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8b4e95e87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894062d34148c0"/>
    <x:sheet xmlns:r="http://schemas.openxmlformats.org/officeDocument/2006/relationships" name="Daily volatility" sheetId="2" r:id="R1c68dda83cca4078"/>
    <x:sheet xmlns:r="http://schemas.openxmlformats.org/officeDocument/2006/relationships" name="IV history" sheetId="3" r:id="Rdb90809895dc4631"/>
    <x:sheet xmlns:r="http://schemas.openxmlformats.org/officeDocument/2006/relationships" name="Strategies" sheetId="4" r:id="R74903c1474274fd8"/>
    <x:sheet xmlns:r="http://schemas.openxmlformats.org/officeDocument/2006/relationships" name="Option source" sheetId="5" r:id="R77e53f11f7984ba9"/>
    <x:sheet xmlns:r="http://schemas.openxmlformats.org/officeDocument/2006/relationships" name="Model inputs" sheetId="6" r:id="R72d6e9d2b1ee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-mmm-yyyy"/>
    <x:numFmt numFmtId="201" formatCode="#,##0.00;(#,##0.00);&quot;–&quot;"/>
    <x:numFmt numFmtId="202" formatCode="dd-mmm-yy"/>
    <x:numFmt numFmtId="203" formatCode="0.0%"/>
    <x:numFmt numFmtId="204" formatCode="0.000"/>
    <x:numFmt numFmtId="205" formatCode="0"/>
    <x:numFmt numFmtId="206" formatCode="0.00&quot;x&quot;"/>
    <x:numFmt numFmtId="207" formatCode="#,##0"/>
  </x:numFmts>
  <x:fonts count="7">
    <x:font>
      <x:sz val="11"/>
      <x:name val="Carlito"/>
    </x:font>
    <x:font>
      <x:sz val="10"/>
      <x:color rgb="FF18334D"/>
      <x:name val="Arial"/>
    </x:font>
    <x:font>
      <x:b/>
      <x:sz val="16"/>
      <x:color rgb="FF18334D"/>
      <x:name val="Arial"/>
    </x:font>
    <x:font>
      <x:i/>
      <x:sz val="10"/>
      <x:color rgb="FF56677A"/>
      <x:name val="Arial"/>
    </x:font>
    <x:font>
      <x:b/>
      <x:sz val="10"/>
      <x:color rgb="FFFFFFFF"/>
      <x:name val="Arial"/>
    </x:font>
    <x:font>
      <x:sz val="10"/>
      <x:color rgb="FF2458A4"/>
      <x:name val="Arial"/>
    </x:font>
    <x:font>
      <x:b/>
      <x:sz val="10"/>
      <x:color rgb="FF1833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34D"/>
      </x:patternFill>
    </x:fill>
  </x:fills>
  <x:borders count="2">
    <x:border/>
    <x:border>
      <x:bottom style="thin">
        <x:color rgb="FF34699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6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A33131"/>
      </x:font>
      <x:fill>
        <x:patternFill patternType="solid">
          <x:bgColor rgb="FFFFF0D0"/>
        </x:patternFill>
      </x:fill>
    </x:dxf>
    <x:dxf>
      <x:font>
        <x:color rgb="FFA33131"/>
      </x:font>
      <x:fill>
        <x:patternFill patternType="solid">
          <x:bgColor rgb="FFFFF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ee37e65e747d7" /><Relationship Type="http://schemas.openxmlformats.org/officeDocument/2006/relationships/theme" Target="/xl/theme/theme1.xml" Id="R4657ff7e9f2e43c9" /><Relationship Type="http://schemas.openxmlformats.org/officeDocument/2006/relationships/sharedStrings" Target="/xl/sharedStrings.xml" Id="R8cd45690d4c24f7c" /><Relationship Type="http://schemas.openxmlformats.org/officeDocument/2006/relationships/worksheet" Target="/xl/worksheets/sheet1.xml" Id="Rfb894062d34148c0" /><Relationship Type="http://schemas.openxmlformats.org/officeDocument/2006/relationships/worksheet" Target="/xl/worksheets/sheet2.xml" Id="R1c68dda83cca4078" /><Relationship Type="http://schemas.openxmlformats.org/officeDocument/2006/relationships/worksheet" Target="/xl/worksheets/sheet3.xml" Id="Rdb90809895dc4631" /><Relationship Type="http://schemas.openxmlformats.org/officeDocument/2006/relationships/worksheet" Target="/xl/worksheets/sheet4.xml" Id="R74903c1474274fd8" /><Relationship Type="http://schemas.openxmlformats.org/officeDocument/2006/relationships/worksheet" Target="/xl/worksheets/sheet5.xml" Id="R77e53f11f7984ba9" /><Relationship Type="http://schemas.openxmlformats.org/officeDocument/2006/relationships/worksheet" Target="/xl/worksheets/sheet6.xml" Id="R72d6e9d2b1ee44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739aed73b548de" /><Relationship Type="http://schemas.openxmlformats.org/officeDocument/2006/relationships/chart" Target="/xl/drawings/charts/chart2.xml" Id="R469f763ca54444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Estimated IV and realized volatility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ATM IV</c:v>
          </c:tx>
          <c:spPr>
            <a:ln xmlns:a="http://schemas.openxmlformats.org/drawingml/2006/main"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'Overview'!$A$21:$A$39</c:f>
              <c:strCache>
                <c:ptCount val="0"/>
              </c:strCache>
            </c:strRef>
          </c:cat>
          <c:val>
            <c:numRef>
              <c:f>'Overview'!$B$21:$B$39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20-day RV</c:v>
          </c:tx>
          <c:spPr>
            <a:ln xmlns:a="http://schemas.openxmlformats.org/drawingml/2006/main" w="19050">
              <a:solidFill>
                <a:srgbClr val="C67B37"/>
              </a:solidFill>
              <a:prstDash val="solid"/>
            </a:ln>
          </c:spPr>
          <c:marker>
            <c:symbol val="none"/>
          </c:marker>
          <c:cat>
            <c:strRef>
              <c:f>'Overview'!$A$21:$A$39</c:f>
              <c:strCache>
                <c:ptCount val="0"/>
              </c:strCache>
            </c:strRef>
          </c:cat>
          <c:val>
            <c:numRef>
              <c:f>'Overview'!$C$21:$C$39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Butterfly expiration payoff (ARS per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P&amp;L / share</c:v>
          </c:tx>
          <c:spPr>
            <a:ln xmlns:a="http://schemas.openxmlformats.org/drawingml/2006/main"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'Overview'!$A$73:$A$97</c:f>
              <c:strCache>
                <c:ptCount val="0"/>
              </c:strCache>
            </c:strRef>
          </c:cat>
          <c:val>
            <c:numRef>
              <c:f>'Overview'!$B$73:$B$97</c:f>
              <c:numCache>
                <c:formatCode>#,##0.00;(#,##0.00);"–"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739aed73b548de"/>
        </a:graphicData>
      </a:graphic>
    </xdr:graphicFrame>
    <xdr:clientData/>
  </xdr:twoCellAnchor>
  <xdr:twoCellAnchor>
    <xdr:from>
      <xdr:col>4</xdr:col>
      <xdr:colOff>0</xdr:colOff>
      <xdr:row>71</xdr:row>
      <xdr:rowOff>0</xdr:rowOff>
    </xdr:from>
    <xdr:to>
      <xdr:col>12</xdr:col>
      <xdr:colOff>0</xdr:colOff>
      <xdr:row>98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9f763ca54444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ailyMeasures" displayName="DailyMeasures" ref="A6:V25" headerRowCount="1" totalsRowCount="0" totalsRowShown="0">
  <x:tableColumns count="22">
    <x:tableColumn id="1" name="Date"/>
    <x:tableColumn id="2" name="GGAL spot"/>
    <x:tableColumn id="3" name="ATM strike"/>
    <x:tableColumn id="4" name="Call IV"/>
    <x:tableColumn id="5" name="Put IV"/>
    <x:tableColumn id="6" name="ATM IV avg"/>
    <x:tableColumn id="7" name="RV 10d"/>
    <x:tableColumn id="8" name="RV 20d"/>
    <x:tableColumn id="9" name="RV 60d"/>
    <x:tableColumn id="10" name="IV − RV20"/>
    <x:tableColumn id="11" name="IV / RV20"/>
    <x:tableColumn id="12" name="P/C IV"/>
    <x:tableColumn id="13" name="Call raw volume"/>
    <x:tableColumn id="14" name="Put raw volume"/>
    <x:tableColumn id="15" name="P/C raw volume"/>
    <x:tableColumn id="16" name="25d call IV"/>
    <x:tableColumn id="17" name="25d put IV"/>
    <x:tableColumn id="18" name="25d skew"/>
    <x:tableColumn id="19" name="Vol butterfly"/>
    <x:tableColumn id="20" name="IV at 20% rate"/>
    <x:tableColumn id="21" name="IV at 40% rate"/>
    <x:tableColumn id="22" name="Valid IV row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calIV" displayName="HistoricalIV" ref="A6:R926" headerRowCount="1" totalsRowCount="0" totalsRowShown="0">
  <x:tableColumns count="18">
    <x:tableColumn id="1" name="Date"/>
    <x:tableColumn id="2" name="Ticker"/>
    <x:tableColumn id="3" name="Type"/>
    <x:tableColumn id="4" name="Strike"/>
    <x:tableColumn id="5" name="PPI price"/>
    <x:tableColumn id="6" name="GGAL spot"/>
    <x:tableColumn id="7" name="Days to expiry"/>
    <x:tableColumn id="8" name="Intrinsic"/>
    <x:tableColumn id="9" name="Time value"/>
    <x:tableColumn id="10" name="K / spot"/>
    <x:tableColumn id="11" name="IV estimate"/>
    <x:tableColumn id="12" name="BS delta"/>
    <x:tableColumn id="13" name="BS vega / 1pp"/>
    <x:tableColumn id="14" name="Raw volume"/>
    <x:tableColumn id="15" name="Low"/>
    <x:tableColumn id="16" name="High"/>
    <x:tableColumn id="17" name="Data status"/>
    <x:tableColumn id="18" name="Source 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preadHistory" displayName="SpreadHistory" ref="A6:T1653" headerRowCount="1" totalsRowCount="0" totalsRowShown="0">
  <x:tableColumns count="20">
    <x:tableColumn id="1" name="Date"/>
    <x:tableColumn id="2" name="Strategy"/>
    <x:tableColumn id="3" name="Type"/>
    <x:tableColumn id="4" name="Long strike 1"/>
    <x:tableColumn id="5" name="Short strike 2 (x2)"/>
    <x:tableColumn id="6" name="Long strike 3"/>
    <x:tableColumn id="7" name="Premium 1"/>
    <x:tableColumn id="8" name="Premium 2"/>
    <x:tableColumn id="9" name="Premium 3"/>
    <x:tableColumn id="10" name="Net debit / share"/>
    <x:tableColumn id="11" name="Strike width"/>
    <x:tableColumn id="12" name="Peak P&amp;L / share"/>
    <x:tableColumn id="13" name="Max loss / share"/>
    <x:tableColumn id="14" name="Lower breakeven"/>
    <x:tableColumn id="15" name="Upper breakeven"/>
    <x:tableColumn id="16" name="Peak / debit"/>
    <x:tableColumn id="17" name="Net debit / set"/>
    <x:tableColumn id="18" name="Data status"/>
    <x:tableColumn id="19" name="Long leg source"/>
    <x:tableColumn id="20" name="Short leg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SourceOptions" displayName="SourceOptions" ref="A6:L926" headerRowCount="1" totalsRowCount="0" totalsRowShown="0">
  <x:tableColumns count="12">
    <x:tableColumn id="1" name="Session date"/>
    <x:tableColumn id="2" name="price (PPI)"/>
    <x:tableColumn id="3" name="volume (PPI)"/>
    <x:tableColumn id="4" name="openingPrice"/>
    <x:tableColumn id="5" name="Closing price (cached)"/>
    <x:tableColumn id="6" name="max"/>
    <x:tableColumn id="7" name="min"/>
    <x:tableColumn id="8" name="previousClose"/>
    <x:tableColumn id="9" name="marketChange"/>
    <x:tableColumn id="10" name="marketChangePercent"/>
    <x:tableColumn id="11" name="ticker"/>
    <x:tableColumn id="12" name="Closing price formu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46e79fe65044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7e7a6b752d4f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30006c2b884d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1305bad63647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d987a96ee34959" /></Relationships>
</file>

<file path=xl/worksheets/sheet1.xml><?xml version="1.0" encoding="utf-8"?>
<x:worksheet xmlns:x="http://schemas.openxmlformats.org/spreadsheetml/2006/main">
  <x:sheetPr>
    <x:tabColor rgb="FF18334D"/>
  </x:sheetPr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1" customHeight="1">
      <x:c r="A2" s="2" t="str">
        <x:v>Galicia options: what the data says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1" customHeight="1">
      <x:c r="A4" s="4" t="str">
        <x:v>21 Aug–16 Sep 2026. October expiry. ARS per share unless stated. Historical estimates, not executable quotes.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0" customHeight="1">
      <x:c r="A6" s="10" t="str">
        <x:v>Latest date</x:v>
      </x:c>
      <x:c r="B6" s="10" t="str">
        <x:v>GGAL spot</x:v>
      </x:c>
      <x:c r="C6" s="10" t="str">
        <x:v>ATM strike</x:v>
      </x:c>
      <x:c r="D6" s="10" t="str">
        <x:v>ATM IV</x:v>
      </x:c>
      <x:c r="E6" s="10" t="str">
        <x:v>20-day RV</x:v>
      </x:c>
      <x:c r="F6" s="10" t="str">
        <x:v>IV / RV20</x:v>
      </x:c>
      <x:c r="G6" s="1"/>
      <x:c r="H6" s="1"/>
      <x:c r="I6" s="1"/>
      <x:c r="J6" s="1"/>
      <x:c r="K6" s="1"/>
      <x:c r="L6" s="1"/>
    </x:row>
    <x:row r="7" ht="32" customHeight="1">
      <x:c r="A7" s="21" t="n">
        <x:f>'Daily volatility'!A25</x:f>
        <x:v>46281</x:v>
      </x:c>
      <x:c r="B7" s="22" t="n">
        <x:f>'Daily volatility'!B25</x:f>
        <x:v>6760</x:v>
      </x:c>
      <x:c r="C7" s="22" t="n">
        <x:f>'Daily volatility'!C25</x:f>
        <x:v>6800</x:v>
      </x:c>
      <x:c r="D7" s="23" t="n">
        <x:f>'Daily volatility'!F25</x:f>
        <x:v>0.4333675530326259</x:v>
      </x:c>
      <x:c r="E7" s="23" t="n">
        <x:f>'Daily volatility'!H25</x:f>
        <x:v>0.29834284170254033</x:v>
      </x:c>
      <x:c r="F7" s="24" t="n">
        <x:f>'Daily volatility'!K25</x:f>
        <x:v>1.4525823732171546</x:v>
      </x:c>
      <x:c r="G7" s="1"/>
      <x:c r="H7" s="1"/>
      <x:c r="I7" s="1"/>
      <x:c r="J7" s="1"/>
      <x:c r="K7" s="1"/>
      <x:c r="L7" s="1"/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1" customHeight="1">
      <x:c r="A10" s="25" t="str">
        <x:v>Coverage</x:v>
      </x:c>
      <x:c r="B10" s="1" t="str">
        <x:v>920 observations, 50 series, 19 dates. Calls and puts share one expiry.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1" customHeight="1">
      <x:c r="A11" s="25" t="str">
        <x:v>Closing-price problem</x:v>
      </x:c>
      <x:c r="B11" s="1" t="str">
        <x:v>The added Closing price column refers to next-row openingPrice. It is excluded.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1" customHeight="1">
      <x:c r="A12" s="25" t="str">
        <x:v>Data screening</x:v>
      </x:c>
      <x:c r="B12" s="1" t="str">
        <x:v>658 IV estimates retained. Zero-volume and inconsistent-range rows are excluded.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1" customHeight="1">
      <x:c r="A13" s="25" t="str">
        <x:v>Model uncertainty</x:v>
      </x:c>
      <x:c r="B13" s="1" t="str">
        <x:v>30% continuous rate and zero dividends are assumptions. Daily table includes 20% / 40% rate checks.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1" customHeight="1">
      <x:c r="A14" s="25" t="str">
        <x:v>Put/call ratio</x:v>
      </x:c>
      <x:c r="B14" s="1" t="str">
        <x:v>Raw-volume ratio measures this file only. Volume units and market-wide coverage are unverified.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1" customHeight="1">
      <x:c r="A15" s="25" t="str">
        <x:v>Strategy use</x:v>
      </x:c>
      <x:c r="B15" s="1" t="str">
        <x:v>Compare historical costs and payoff shapes. Negative butterfly costs are data flags, not proven arbitrage.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1" customHeight="1">
      <x:c r="A16" s="25" t="str">
        <x:v>Missing context</x:v>
      </x:c>
      <x:c r="B16" s="1" t="str">
        <x:v>No bid/ask, OI or second expiry. Nineteen dates cannot support a 1-year IV rank.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40" customHeight="1">
      <x:c r="A20" s="10" t="str">
        <x:v>Date</x:v>
      </x:c>
      <x:c r="B20" s="10" t="str">
        <x:v>ATM IV</x:v>
      </x:c>
      <x:c r="C20" s="10" t="str">
        <x:v>20-day RV</x:v>
      </x:c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1" customHeight="1">
      <x:c r="A21" s="1" t="str">
        <x:f>TEXT('Daily volatility'!A7,"dd-mmm")</x:f>
        <x:v>21-Aug</x:v>
      </x:c>
      <x:c r="B21" s="13" t="n">
        <x:f>'Daily volatility'!F7</x:f>
        <x:v>0.4662779421331327</x:v>
      </x:c>
      <x:c r="C21" s="13" t="n">
        <x:f>'Daily volatility'!H7</x:f>
        <x:v>0.3043009149378666</x:v>
      </x:c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1" customHeight="1">
      <x:c r="A22" s="1" t="str">
        <x:f>TEXT('Daily volatility'!A8,"dd-mmm")</x:f>
        <x:v>24-Aug</x:v>
      </x:c>
      <x:c r="B22" s="13" t="n">
        <x:f>'Daily volatility'!F8</x:f>
        <x:v>0.4462619340877622</x:v>
      </x:c>
      <x:c r="C22" s="13" t="n">
        <x:f>'Daily volatility'!H8</x:f>
        <x:v>0.36708142801383703</x:v>
      </x:c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1" customHeight="1">
      <x:c r="A23" s="1" t="str">
        <x:f>TEXT('Daily volatility'!A9,"dd-mmm")</x:f>
        <x:v>25-Aug</x:v>
      </x:c>
      <x:c r="B23" s="13" t="n">
        <x:f>'Daily volatility'!F9</x:f>
        <x:v>0.4152837032882346</x:v>
      </x:c>
      <x:c r="C23" s="13" t="n">
        <x:f>'Daily volatility'!H9</x:f>
        <x:v>0.37334687770096486</x:v>
      </x:c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1" customHeight="1">
      <x:c r="A24" s="1" t="str">
        <x:f>TEXT('Daily volatility'!A10,"dd-mmm")</x:f>
        <x:v>26-Aug</x:v>
      </x:c>
      <x:c r="B24" s="13" t="n">
        <x:f>'Daily volatility'!F10</x:f>
        <x:v>0.4101545220937889</x:v>
      </x:c>
      <x:c r="C24" s="13" t="n">
        <x:f>'Daily volatility'!H10</x:f>
        <x:v>0.37235223127609585</x:v>
      </x:c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1" customHeight="1">
      <x:c r="A25" s="1" t="str">
        <x:f>TEXT('Daily volatility'!A11,"dd-mmm")</x:f>
        <x:v>27-Aug</x:v>
      </x:c>
      <x:c r="B25" s="13" t="n">
        <x:f>'Daily volatility'!F11</x:f>
        <x:v>0.422104776848233</x:v>
      </x:c>
      <x:c r="C25" s="13" t="n">
        <x:f>'Daily volatility'!H11</x:f>
        <x:v>0.3779302737083981</x:v>
      </x:c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1" customHeight="1">
      <x:c r="A26" s="1" t="str">
        <x:f>TEXT('Daily volatility'!A12,"dd-mmm")</x:f>
        <x:v>28-Aug</x:v>
      </x:c>
      <x:c r="B26" s="13" t="n">
        <x:f>'Daily volatility'!F12</x:f>
        <x:v>0.4144229372198471</x:v>
      </x:c>
      <x:c r="C26" s="13" t="n">
        <x:f>'Daily volatility'!H12</x:f>
        <x:v>0.35592248320745584</x:v>
      </x:c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1" customHeight="1">
      <x:c r="A27" s="1" t="str">
        <x:f>TEXT('Daily volatility'!A13,"dd-mmm")</x:f>
        <x:v>31-Aug</x:v>
      </x:c>
      <x:c r="B27" s="13" t="n">
        <x:f>'Daily volatility'!F13</x:f>
        <x:v>0.43406968018295794</x:v>
      </x:c>
      <x:c r="C27" s="13" t="n">
        <x:f>'Daily volatility'!H13</x:f>
        <x:v>0.3788277049183404</x:v>
      </x:c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1" customHeight="1">
      <x:c r="A28" s="1" t="str">
        <x:f>TEXT('Daily volatility'!A14,"dd-mmm")</x:f>
        <x:v>01-Sep</x:v>
      </x:c>
      <x:c r="B28" s="13" t="n">
        <x:f>'Daily volatility'!F14</x:f>
        <x:v>0.43289965929103935</x:v>
      </x:c>
      <x:c r="C28" s="13" t="n">
        <x:f>'Daily volatility'!H14</x:f>
        <x:v>0.376985298127703</x:v>
      </x:c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1" customHeight="1">
      <x:c r="A29" s="1" t="str">
        <x:f>TEXT('Daily volatility'!A15,"dd-mmm")</x:f>
        <x:v>02-Sep</x:v>
      </x:c>
      <x:c r="B29" s="13" t="n">
        <x:f>'Daily volatility'!F15</x:f>
        <x:v>0.42512126072321393</x:v>
      </x:c>
      <x:c r="C29" s="13" t="n">
        <x:f>'Daily volatility'!H15</x:f>
        <x:v>0.37387495069679266</x:v>
      </x:c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1" customHeight="1">
      <x:c r="A30" s="1" t="str">
        <x:f>TEXT('Daily volatility'!A16,"dd-mmm")</x:f>
        <x:v>03-Sep</x:v>
      </x:c>
      <x:c r="B30" s="13" t="n">
        <x:f>'Daily volatility'!F16</x:f>
        <x:v>0.42328255689435174</x:v>
      </x:c>
      <x:c r="C30" s="13" t="n">
        <x:f>'Daily volatility'!H16</x:f>
        <x:v>0.37398561841843314</x:v>
      </x:c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1" customHeight="1">
      <x:c r="A31" s="1" t="str">
        <x:f>TEXT('Daily volatility'!A17,"dd-mmm")</x:f>
        <x:v>04-Sep</x:v>
      </x:c>
      <x:c r="B31" s="13" t="n">
        <x:f>'Daily volatility'!F17</x:f>
        <x:v>0.41549356948983757</x:v>
      </x:c>
      <x:c r="C31" s="13" t="n">
        <x:f>'Daily volatility'!H17</x:f>
        <x:v>0.3560975675290695</x:v>
      </x:c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1" customHeight="1">
      <x:c r="A32" s="1" t="str">
        <x:f>TEXT('Daily volatility'!A18,"dd-mmm")</x:f>
        <x:v>07-Sep</x:v>
      </x:c>
      <x:c r="B32" s="13" t="n">
        <x:f>'Daily volatility'!F18</x:f>
        <x:v>0.42889257005570425</x:v>
      </x:c>
      <x:c r="C32" s="13" t="n">
        <x:f>'Daily volatility'!H18</x:f>
        <x:v>0.35655002592182145</x:v>
      </x:c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1" customHeight="1">
      <x:c r="A33" s="1" t="str">
        <x:f>TEXT('Daily volatility'!A19,"dd-mmm")</x:f>
        <x:v>08-Sep</x:v>
      </x:c>
      <x:c r="B33" s="13" t="n">
        <x:f>'Daily volatility'!F19</x:f>
        <x:v>0.42798840285234</x:v>
      </x:c>
      <x:c r="C33" s="13" t="n">
        <x:f>'Daily volatility'!H19</x:f>
        <x:v>0.35879322524285145</x:v>
      </x:c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1" customHeight="1">
      <x:c r="A34" s="1" t="str">
        <x:f>TEXT('Daily volatility'!A20,"dd-mmm")</x:f>
        <x:v>09-Sep</x:v>
      </x:c>
      <x:c r="B34" s="13" t="n">
        <x:f>'Daily volatility'!F20</x:f>
        <x:v>0.4234892387694523</x:v>
      </x:c>
      <x:c r="C34" s="13" t="n">
        <x:f>'Daily volatility'!H20</x:f>
        <x:v>0.32323907599693874</x:v>
      </x:c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1" customHeight="1">
      <x:c r="A35" s="1" t="str">
        <x:f>TEXT('Daily volatility'!A21,"dd-mmm")</x:f>
        <x:v>10-Sep</x:v>
      </x:c>
      <x:c r="B35" s="13" t="n">
        <x:f>'Daily volatility'!F21</x:f>
        <x:v>0.4146408738366783</x:v>
      </x:c>
      <x:c r="C35" s="13" t="n">
        <x:f>'Daily volatility'!H21</x:f>
        <x:v>0.3243346403585728</x:v>
      </x:c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1" customHeight="1">
      <x:c r="A36" s="1" t="str">
        <x:f>TEXT('Daily volatility'!A22,"dd-mmm")</x:f>
        <x:v>11-Sep</x:v>
      </x:c>
      <x:c r="B36" s="13" t="n">
        <x:f>'Daily volatility'!F22</x:f>
        <x:v>0.4167291940406511</x:v>
      </x:c>
      <x:c r="C36" s="13" t="n">
        <x:f>'Daily volatility'!H22</x:f>
        <x:v>0.3306908622476769</x:v>
      </x:c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1" customHeight="1">
      <x:c r="A37" s="1" t="str">
        <x:f>TEXT('Daily volatility'!A23,"dd-mmm")</x:f>
        <x:v>14-Sep</x:v>
      </x:c>
      <x:c r="B37" s="13" t="n">
        <x:f>'Daily volatility'!F23</x:f>
        <x:v>0.4326719046026412</x:v>
      </x:c>
      <x:c r="C37" s="13" t="n">
        <x:f>'Daily volatility'!H23</x:f>
        <x:v>0.3165240594681037</x:v>
      </x:c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1" customHeight="1">
      <x:c r="A38" s="1" t="str">
        <x:f>TEXT('Daily volatility'!A24,"dd-mmm")</x:f>
        <x:v>15-Sep</x:v>
      </x:c>
      <x:c r="B38" s="13" t="n">
        <x:f>'Daily volatility'!F24</x:f>
        <x:v>0.43034969444905624</x:v>
      </x:c>
      <x:c r="C38" s="13" t="n">
        <x:f>'Daily volatility'!H24</x:f>
        <x:v>0.303764721181324</x:v>
      </x:c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1" customHeight="1">
      <x:c r="A39" s="1" t="str">
        <x:f>TEXT('Daily volatility'!A25,"dd-mmm")</x:f>
        <x:v>16-Sep</x:v>
      </x:c>
      <x:c r="B39" s="13" t="n">
        <x:f>'Daily volatility'!F25</x:f>
        <x:v>0.4333675530326259</x:v>
      </x:c>
      <x:c r="C39" s="13" t="n">
        <x:f>'Daily volatility'!H25</x:f>
        <x:v>0.29834284170254033</x:v>
      </x:c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40" customHeight="1">
      <x:c r="A43" s="10" t="str">
        <x:v>Quality check</x:v>
      </x:c>
      <x:c r="B43" s="10" t="str">
        <x:v>Count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1" customHeight="1">
      <x:c r="A44" s="1" t="str">
        <x:v>Zero reported volume</x:v>
      </x:c>
      <x:c r="B44" s="1" t="n">
        <x:v>88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1" customHeight="1">
      <x:c r="A45" s="1" t="str">
        <x:v>Price outside range</x:v>
      </x:c>
      <x:c r="B45" s="1" t="n">
        <x:v>120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1" customHeight="1">
      <x:c r="A46" s="1" t="str">
        <x:v>Below intrinsic</x:v>
      </x:c>
      <x:c r="B46" s="1" t="n">
        <x:v>68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1" customHeight="1">
      <x:c r="A47" s="1" t="str">
        <x:v>Model-bound failure</x:v>
      </x:c>
      <x:c r="B47" s="1" t="n">
        <x:v>54</x:v>
      </x:c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1" customHeight="1">
      <x:c r="A48" s="1" t="str">
        <x:v>Duplicate date / ticker</x:v>
      </x:c>
      <x:c r="B48" s="1" t="n">
        <x:v>0</x:v>
      </x:c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1" customHeight="1">
      <x:c r="A50" s="4" t="str">
        <x:v>Quality counts overlap. Screened prices can still be stale or asynchronous.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1" customHeight="1">
      <x:c r="A53" s="1" t="str">
        <x:v>How to read the measures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1" customHeight="1">
      <x:c r="A55" s="1" t="str">
        <x:v>IV vs. RV</x:v>
      </x:c>
      <x:c r="B55" s="1" t="str">
        <x:v>IV describes model-implied future uncertainty; RV measures past share-price variability.</x:v>
      </x:c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1" customHeight="1">
      <x:c r="A57" s="1" t="str">
        <x:v>Butterfly</x:v>
      </x:c>
      <x:c r="B57" s="1" t="str">
        <x:v>Buy the two wings and sell two middle-strike options. Peak expiration P&amp;L is at the middle strike.</x:v>
      </x:c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1" customHeight="1">
      <x:c r="A59" s="1" t="str">
        <x:v>1x2 ratio</x:v>
      </x:c>
      <x:c r="B59" s="1" t="str">
        <x:v>Buy one option and sell two further out-of-the-money options. Premium income adds tail exposure.</x:v>
      </x:c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1" customHeight="1">
      <x:c r="A65" s="25" t="str">
        <x:v>Example: 6,600 / 6,800 / 7,000 call butterfly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1" customHeight="1">
      <x:c r="A66" s="4" t="str">
        <x:v>16 Sep prices. Buy 1 call at 6,600, sell 2 at 6,800, buy 1 at 7,000. All expiration outcomes exclude costs.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40" customHeight="1">
      <x:c r="A68" s="10" t="str">
        <x:v>Debit / share</x:v>
      </x:c>
      <x:c r="B68" s="10" t="str">
        <x:v>Max profit / share</x:v>
      </x:c>
      <x:c r="C68" s="10" t="str">
        <x:v>Max loss / share</x:v>
      </x:c>
      <x:c r="D68" s="10" t="str">
        <x:v>Lower breakeven</x:v>
      </x:c>
      <x:c r="E68" s="10" t="str">
        <x:v>Upper breakeven</x:v>
      </x:c>
      <x:c r="F68" s="10" t="str">
        <x:v>Debit / 100 shares</x:v>
      </x:c>
      <x:c r="G68" s="1"/>
      <x:c r="H68" s="1"/>
      <x:c r="I68" s="1"/>
      <x:c r="J68" s="1"/>
      <x:c r="K68" s="1"/>
      <x:c r="L68" s="1"/>
    </x:row>
    <x:row r="69" ht="21" customHeight="1">
      <x:c r="A69" s="11" t="n">
        <x:f>'Strategies'!J7</x:f>
        <x:v>15.009999999999991</x:v>
      </x:c>
      <x:c r="B69" s="11" t="n">
        <x:f>'Strategies'!L7</x:f>
        <x:v>184.99</x:v>
      </x:c>
      <x:c r="C69" s="11" t="n">
        <x:f>'Strategies'!M7</x:f>
        <x:v>15.009999999999991</x:v>
      </x:c>
      <x:c r="D69" s="11" t="n">
        <x:f>'Strategies'!N7</x:f>
        <x:v>6615.01</x:v>
      </x:c>
      <x:c r="E69" s="11" t="n">
        <x:f>'Strategies'!O7</x:f>
        <x:v>6984.99</x:v>
      </x:c>
      <x:c r="F69" s="11" t="n">
        <x:f>'Strategies'!Q7</x:f>
        <x:v>1500.999999999999</x:v>
      </x:c>
      <x:c r="G69" s="1"/>
      <x:c r="H69" s="1"/>
      <x:c r="I69" s="1"/>
      <x:c r="J69" s="1"/>
      <x:c r="K69" s="1"/>
      <x:c r="L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40" customHeight="1">
      <x:c r="A72" s="10" t="str">
        <x:v>GGAL at expiry</x:v>
      </x:c>
      <x:c r="B72" s="10" t="str">
        <x:v>P&amp;L / share</x:v>
      </x:c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1" customHeight="1">
      <x:c r="A73" s="11" t="n">
        <x:v>6200</x:v>
      </x:c>
      <x:c r="B73" s="11" t="n">
        <x:f>MAX(A73-'Strategies'!D7,0)-2*MAX(A73-'Strategies'!E7,0)+MAX(A73-'Strategies'!F7,0)-$A$69</x:f>
        <x:v>-15.009999999999991</x:v>
      </x:c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1" customHeight="1">
      <x:c r="A74" s="11" t="n">
        <x:v>6250</x:v>
      </x:c>
      <x:c r="B74" s="11" t="n">
        <x:f>MAX(A74-'Strategies'!D7,0)-2*MAX(A74-'Strategies'!E7,0)+MAX(A74-'Strategies'!F7,0)-$A$69</x:f>
        <x:v>-15.009999999999991</x:v>
      </x:c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1" customHeight="1">
      <x:c r="A75" s="11" t="n">
        <x:v>6300</x:v>
      </x:c>
      <x:c r="B75" s="11" t="n">
        <x:f>MAX(A75-'Strategies'!D7,0)-2*MAX(A75-'Strategies'!E7,0)+MAX(A75-'Strategies'!F7,0)-$A$69</x:f>
        <x:v>-15.009999999999991</x:v>
      </x:c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1" customHeight="1">
      <x:c r="A76" s="11" t="n">
        <x:v>6350</x:v>
      </x:c>
      <x:c r="B76" s="11" t="n">
        <x:f>MAX(A76-'Strategies'!D7,0)-2*MAX(A76-'Strategies'!E7,0)+MAX(A76-'Strategies'!F7,0)-$A$69</x:f>
        <x:v>-15.009999999999991</x:v>
      </x:c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1" customHeight="1">
      <x:c r="A77" s="11" t="n">
        <x:v>6400</x:v>
      </x:c>
      <x:c r="B77" s="11" t="n">
        <x:f>MAX(A77-'Strategies'!D7,0)-2*MAX(A77-'Strategies'!E7,0)+MAX(A77-'Strategies'!F7,0)-$A$69</x:f>
        <x:v>-15.009999999999991</x:v>
      </x:c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1" customHeight="1">
      <x:c r="A78" s="11" t="n">
        <x:v>6450</x:v>
      </x:c>
      <x:c r="B78" s="11" t="n">
        <x:f>MAX(A78-'Strategies'!D7,0)-2*MAX(A78-'Strategies'!E7,0)+MAX(A78-'Strategies'!F7,0)-$A$69</x:f>
        <x:v>-15.009999999999991</x:v>
      </x:c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1" customHeight="1">
      <x:c r="A79" s="11" t="n">
        <x:v>6500</x:v>
      </x:c>
      <x:c r="B79" s="11" t="n">
        <x:f>MAX(A79-'Strategies'!D7,0)-2*MAX(A79-'Strategies'!E7,0)+MAX(A79-'Strategies'!F7,0)-$A$69</x:f>
        <x:v>-15.009999999999991</x:v>
      </x:c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1" customHeight="1">
      <x:c r="A80" s="11" t="n">
        <x:v>6550</x:v>
      </x:c>
      <x:c r="B80" s="11" t="n">
        <x:f>MAX(A80-'Strategies'!D7,0)-2*MAX(A80-'Strategies'!E7,0)+MAX(A80-'Strategies'!F7,0)-$A$69</x:f>
        <x:v>-15.009999999999991</x:v>
      </x:c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1" customHeight="1">
      <x:c r="A81" s="11" t="n">
        <x:v>6600</x:v>
      </x:c>
      <x:c r="B81" s="11" t="n">
        <x:f>MAX(A81-'Strategies'!D7,0)-2*MAX(A81-'Strategies'!E7,0)+MAX(A81-'Strategies'!F7,0)-$A$69</x:f>
        <x:v>-15.009999999999991</x:v>
      </x:c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1" customHeight="1">
      <x:c r="A82" s="11" t="n">
        <x:v>6650</x:v>
      </x:c>
      <x:c r="B82" s="11" t="n">
        <x:f>MAX(A82-'Strategies'!D7,0)-2*MAX(A82-'Strategies'!E7,0)+MAX(A82-'Strategies'!F7,0)-$A$69</x:f>
        <x:v>34.99000000000001</x:v>
      </x:c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1" customHeight="1">
      <x:c r="A83" s="11" t="n">
        <x:v>6700</x:v>
      </x:c>
      <x:c r="B83" s="11" t="n">
        <x:f>MAX(A83-'Strategies'!D7,0)-2*MAX(A83-'Strategies'!E7,0)+MAX(A83-'Strategies'!F7,0)-$A$69</x:f>
        <x:v>84.99000000000001</x:v>
      </x:c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1" customHeight="1">
      <x:c r="A84" s="11" t="n">
        <x:v>6750</x:v>
      </x:c>
      <x:c r="B84" s="11" t="n">
        <x:f>MAX(A84-'Strategies'!D7,0)-2*MAX(A84-'Strategies'!E7,0)+MAX(A84-'Strategies'!F7,0)-$A$69</x:f>
        <x:v>134.99</x:v>
      </x:c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1" customHeight="1">
      <x:c r="A85" s="11" t="n">
        <x:v>6800</x:v>
      </x:c>
      <x:c r="B85" s="11" t="n">
        <x:f>MAX(A85-'Strategies'!D7,0)-2*MAX(A85-'Strategies'!E7,0)+MAX(A85-'Strategies'!F7,0)-$A$69</x:f>
        <x:v>184.99</x:v>
      </x:c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1" customHeight="1">
      <x:c r="A86" s="11" t="n">
        <x:v>6850</x:v>
      </x:c>
      <x:c r="B86" s="11" t="n">
        <x:f>MAX(A86-'Strategies'!D7,0)-2*MAX(A86-'Strategies'!E7,0)+MAX(A86-'Strategies'!F7,0)-$A$69</x:f>
        <x:v>134.99</x:v>
      </x:c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1" customHeight="1">
      <x:c r="A87" s="11" t="n">
        <x:v>6900</x:v>
      </x:c>
      <x:c r="B87" s="11" t="n">
        <x:f>MAX(A87-'Strategies'!D7,0)-2*MAX(A87-'Strategies'!E7,0)+MAX(A87-'Strategies'!F7,0)-$A$69</x:f>
        <x:v>84.99000000000001</x:v>
      </x:c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1" customHeight="1">
      <x:c r="A88" s="11" t="n">
        <x:v>6950</x:v>
      </x:c>
      <x:c r="B88" s="11" t="n">
        <x:f>MAX(A88-'Strategies'!D7,0)-2*MAX(A88-'Strategies'!E7,0)+MAX(A88-'Strategies'!F7,0)-$A$69</x:f>
        <x:v>34.99000000000001</x:v>
      </x:c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1" customHeight="1">
      <x:c r="A89" s="11" t="n">
        <x:v>7000</x:v>
      </x:c>
      <x:c r="B89" s="11" t="n">
        <x:f>MAX(A89-'Strategies'!D7,0)-2*MAX(A89-'Strategies'!E7,0)+MAX(A89-'Strategies'!F7,0)-$A$69</x:f>
        <x:v>-15.009999999999991</x:v>
      </x:c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1" customHeight="1">
      <x:c r="A90" s="11" t="n">
        <x:v>7050</x:v>
      </x:c>
      <x:c r="B90" s="11" t="n">
        <x:f>MAX(A90-'Strategies'!D7,0)-2*MAX(A90-'Strategies'!E7,0)+MAX(A90-'Strategies'!F7,0)-$A$69</x:f>
        <x:v>-15.009999999999991</x:v>
      </x:c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1" customHeight="1">
      <x:c r="A91" s="11" t="n">
        <x:v>7100</x:v>
      </x:c>
      <x:c r="B91" s="11" t="n">
        <x:f>MAX(A91-'Strategies'!D7,0)-2*MAX(A91-'Strategies'!E7,0)+MAX(A91-'Strategies'!F7,0)-$A$69</x:f>
        <x:v>-15.009999999999991</x:v>
      </x:c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1" customHeight="1">
      <x:c r="A92" s="11" t="n">
        <x:v>7150</x:v>
      </x:c>
      <x:c r="B92" s="11" t="n">
        <x:f>MAX(A92-'Strategies'!D7,0)-2*MAX(A92-'Strategies'!E7,0)+MAX(A92-'Strategies'!F7,0)-$A$69</x:f>
        <x:v>-15.009999999999991</x:v>
      </x:c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1" customHeight="1">
      <x:c r="A93" s="11" t="n">
        <x:v>7200</x:v>
      </x:c>
      <x:c r="B93" s="11" t="n">
        <x:f>MAX(A93-'Strategies'!D7,0)-2*MAX(A93-'Strategies'!E7,0)+MAX(A93-'Strategies'!F7,0)-$A$69</x:f>
        <x:v>-15.009999999999991</x:v>
      </x:c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1" customHeight="1">
      <x:c r="A94" s="11" t="n">
        <x:v>7250</x:v>
      </x:c>
      <x:c r="B94" s="11" t="n">
        <x:f>MAX(A94-'Strategies'!D7,0)-2*MAX(A94-'Strategies'!E7,0)+MAX(A94-'Strategies'!F7,0)-$A$69</x:f>
        <x:v>-15.009999999999991</x:v>
      </x:c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1" customHeight="1">
      <x:c r="A95" s="11" t="n">
        <x:v>7300</x:v>
      </x:c>
      <x:c r="B95" s="11" t="n">
        <x:f>MAX(A95-'Strategies'!D7,0)-2*MAX(A95-'Strategies'!E7,0)+MAX(A95-'Strategies'!F7,0)-$A$69</x:f>
        <x:v>-15.009999999999991</x:v>
      </x:c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26" t="n">
        <x:v>7350</x:v>
      </x:c>
      <x:c r="B96" s="26" t="n">
        <x:f>MAX(A96-'Strategies'!D7,0)-2*MAX(A96-'Strategies'!E7,0)+MAX(A96-'Strategies'!F7,0)-$A$69</x:f>
        <x:v>-15.009999999999991</x:v>
      </x:c>
    </x:row>
    <x:row r="97">
      <x:c r="A97" s="26" t="n">
        <x:v>7400</x:v>
      </x:c>
      <x:c r="B97" s="26" t="n">
        <x:f>MAX(A97-'Strategies'!D7,0)-2*MAX(A97-'Strategies'!E7,0)+MAX(A97-'Strategies'!F7,0)-$A$69</x:f>
        <x:v>-15.009999999999991</x:v>
      </x:c>
    </x:row>
  </x:sheetData>
  <x:pageMargins left="0.7" right="0.7" top="0.75" bottom="0.75" header="0.3" footer="0.3"/>
  <x:drawing xmlns:r="http://schemas.openxmlformats.org/officeDocument/2006/relationships" r:id="Ra546e79fe650446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1" customHeight="1">
      <x:c r="A2" s="2" t="str">
        <x:v>Daily volatility and market ratios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1" customHeight="1">
      <x:c r="A4" s="4" t="str">
        <x:v>P/C volume uses the raw API field. IV uses the same October expiry each day, not a constant-maturity series.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0" customHeight="1">
      <x:c r="A6" s="10" t="str">
        <x:v>Date</x:v>
      </x:c>
      <x:c r="B6" s="10" t="str">
        <x:v>GGAL spot</x:v>
      </x:c>
      <x:c r="C6" s="10" t="str">
        <x:v>ATM strike</x:v>
      </x:c>
      <x:c r="D6" s="10" t="str">
        <x:v>Call IV</x:v>
      </x:c>
      <x:c r="E6" s="10" t="str">
        <x:v>Put IV</x:v>
      </x:c>
      <x:c r="F6" s="10" t="str">
        <x:v>ATM IV avg</x:v>
      </x:c>
      <x:c r="G6" s="10" t="str">
        <x:v>RV 10d</x:v>
      </x:c>
      <x:c r="H6" s="10" t="str">
        <x:v>RV 20d</x:v>
      </x:c>
      <x:c r="I6" s="10" t="str">
        <x:v>RV 60d</x:v>
      </x:c>
      <x:c r="J6" s="10" t="str">
        <x:v>IV − RV20</x:v>
      </x:c>
      <x:c r="K6" s="10" t="str">
        <x:v>IV / RV20</x:v>
      </x:c>
      <x:c r="L6" s="10" t="str">
        <x:v>P/C IV</x:v>
      </x:c>
      <x:c r="M6" s="10" t="str">
        <x:v>Call raw volume</x:v>
      </x:c>
      <x:c r="N6" s="10" t="str">
        <x:v>Put raw volume</x:v>
      </x:c>
      <x:c r="O6" s="10" t="str">
        <x:v>P/C raw volume</x:v>
      </x:c>
      <x:c r="P6" s="10" t="str">
        <x:v>25d call IV</x:v>
      </x:c>
      <x:c r="Q6" s="10" t="str">
        <x:v>25d put IV</x:v>
      </x:c>
      <x:c r="R6" s="10" t="str">
        <x:v>25d skew</x:v>
      </x:c>
      <x:c r="S6" s="10" t="str">
        <x:v>Vol butterfly</x:v>
      </x:c>
      <x:c r="T6" s="10" t="str">
        <x:v>IV at 20% rate</x:v>
      </x:c>
      <x:c r="U6" s="10" t="str">
        <x:v>IV at 40% rate</x:v>
      </x:c>
      <x:c r="V6" s="10" t="str">
        <x:v>Valid IV rows</x:v>
      </x:c>
    </x:row>
    <x:row r="7" ht="21" customHeight="1">
      <x:c r="A7" s="12" t="n">
        <x:v>46255</x:v>
      </x:c>
      <x:c r="B7" s="11" t="n">
        <x:v>6620</x:v>
      </x:c>
      <x:c r="C7" s="11" t="n">
        <x:v>6600</x:v>
      </x:c>
      <x:c r="D7" s="13" t="n">
        <x:v>0.45037439699872034</x:v>
      </x:c>
      <x:c r="E7" s="13" t="n">
        <x:v>0.48218148726754506</x:v>
      </x:c>
      <x:c r="F7" s="13" t="n">
        <x:v>0.4662779421331327</x:v>
      </x:c>
      <x:c r="G7" s="13" t="n">
        <x:v>0.32282221057826965</x:v>
      </x:c>
      <x:c r="H7" s="13" t="n">
        <x:v>0.3043009149378666</x:v>
      </x:c>
      <x:c r="I7" s="13"/>
      <x:c r="J7" s="13" t="n">
        <x:f>IF(F7="","n.a.",F7-H7)</x:f>
        <x:v>0.16197702719526608</x:v>
      </x:c>
      <x:c r="K7" s="19" t="n">
        <x:f>IF(F7="","n.a.",F7/H7)</x:f>
        <x:v>1.5322922779523658</x:v>
      </x:c>
      <x:c r="L7" s="19" t="n">
        <x:f>IF(D7="","n.a.",E7/D7)</x:f>
        <x:v>1.0706236644018534</x:v>
      </x:c>
      <x:c r="M7" s="20" t="n">
        <x:f>SUMIFS('IV history'!$N$7:$N$926,'IV history'!$A$7:$A$926,A7,'IV history'!$C$7:$C$926,"call")</x:f>
        <x:v>1070590181.12</x:v>
      </x:c>
      <x:c r="N7" s="20" t="n">
        <x:f>SUMIFS('IV history'!$N$7:$N$926,'IV history'!$A$7:$A$926,A7,'IV history'!$C$7:$C$926,"put")</x:f>
        <x:v>385483924.59</x:v>
      </x:c>
      <x:c r="O7" s="19" t="n">
        <x:f>IF(M7=0,"n.a.",N7/M7)</x:f>
        <x:v>0.36006674765756325</x:v>
      </x:c>
      <x:c r="P7" s="13" t="n">
        <x:v>0.4436166568579243</x:v>
      </x:c>
      <x:c r="Q7" s="13" t="n">
        <x:v>0.4667911345790322</x:v>
      </x:c>
      <x:c r="R7" s="13" t="n">
        <x:f>IF(OR(P7="",Q7=""),"n.a.",Q7-P7)</x:f>
        <x:v>0.023174477721107922</x:v>
      </x:c>
      <x:c r="S7" s="13" t="n">
        <x:f>IF(OR(P7="",Q7="",F7=""),"n.a.",(P7+Q7)/2-F7)</x:f>
        <x:v>-0.011074046414654426</x:v>
      </x:c>
      <x:c r="T7" s="13" t="n">
        <x:v>0.4771765180349138</x:v>
      </x:c>
      <x:c r="U7" s="13" t="n">
        <x:v>0.45077854497095504</x:v>
      </x:c>
      <x:c r="V7" s="1" t="n">
        <x:v>31</x:v>
      </x:c>
    </x:row>
    <x:row r="8" ht="21" customHeight="1">
      <x:c r="A8" s="12" t="n">
        <x:v>46258</x:v>
      </x:c>
      <x:c r="B8" s="11" t="n">
        <x:v>6950</x:v>
      </x:c>
      <x:c r="C8" s="11" t="n">
        <x:v>7000</x:v>
      </x:c>
      <x:c r="D8" s="13" t="n">
        <x:v>0.4284132161585331</x:v>
      </x:c>
      <x:c r="E8" s="13" t="n">
        <x:v>0.4641106520169913</x:v>
      </x:c>
      <x:c r="F8" s="13" t="n">
        <x:v>0.4462619340877622</x:v>
      </x:c>
      <x:c r="G8" s="13" t="n">
        <x:v>0.44037521832231946</x:v>
      </x:c>
      <x:c r="H8" s="13" t="n">
        <x:v>0.36708142801383703</x:v>
      </x:c>
      <x:c r="I8" s="13"/>
      <x:c r="J8" s="13" t="n">
        <x:f>IF(F8="","n.a.",F8-H8)</x:f>
        <x:v>0.07918050607392518</x:v>
      </x:c>
      <x:c r="K8" s="19" t="n">
        <x:f>IF(F8="","n.a.",F8/H8)</x:f>
        <x:v>1.2157028387471036</x:v>
      </x:c>
      <x:c r="L8" s="19" t="n">
        <x:f>IF(D8="","n.a.",E8/D8)</x:f>
        <x:v>1.0833247773692594</x:v>
      </x:c>
      <x:c r="M8" s="20" t="n">
        <x:f>SUMIFS('IV history'!$N$7:$N$926,'IV history'!$A$7:$A$926,A8,'IV history'!$C$7:$C$926,"call")</x:f>
        <x:v>3675438355.37</x:v>
      </x:c>
      <x:c r="N8" s="20" t="n">
        <x:f>SUMIFS('IV history'!$N$7:$N$926,'IV history'!$A$7:$A$926,A8,'IV history'!$C$7:$C$926,"put")</x:f>
        <x:v>1720360522.6999998</x:v>
      </x:c>
      <x:c r="O8" s="19" t="n">
        <x:f>IF(M8=0,"n.a.",N8/M8)</x:f>
        <x:v>0.468069480797159</x:v>
      </x:c>
      <x:c r="P8" s="13" t="n">
        <x:v>0.42823891766593547</x:v>
      </x:c>
      <x:c r="Q8" s="13" t="n">
        <x:v>0.4665187553647097</x:v>
      </x:c>
      <x:c r="R8" s="13" t="n">
        <x:f>IF(OR(P8="",Q8=""),"n.a.",Q8-P8)</x:f>
        <x:v>0.038279837698774244</x:v>
      </x:c>
      <x:c r="S8" s="13" t="n">
        <x:f>IF(OR(P8="",Q8="",F8=""),"n.a.",(P8+Q8)/2-F8)</x:f>
        <x:v>0.0011169024275604067</x:v>
      </x:c>
      <x:c r="T8" s="13" t="n">
        <x:v>0.4555084454331076</x:v>
      </x:c>
      <x:c r="U8" s="13" t="n">
        <x:v>0.43283677206692595</x:v>
      </x:c>
      <x:c r="V8" s="1" t="n">
        <x:v>34</x:v>
      </x:c>
    </x:row>
    <x:row r="9" ht="21" customHeight="1">
      <x:c r="A9" s="12" t="n">
        <x:v>46259</x:v>
      </x:c>
      <x:c r="B9" s="11" t="n">
        <x:v>7075</x:v>
      </x:c>
      <x:c r="C9" s="11" t="n">
        <x:v>7000</x:v>
      </x:c>
      <x:c r="D9" s="13" t="n">
        <x:v>0.3798097335206649</x:v>
      </x:c>
      <x:c r="E9" s="13" t="n">
        <x:v>0.45075767305580433</x:v>
      </x:c>
      <x:c r="F9" s="13" t="n">
        <x:v>0.4152837032882346</x:v>
      </x:c>
      <x:c r="G9" s="13" t="n">
        <x:v>0.45248560765578116</x:v>
      </x:c>
      <x:c r="H9" s="13" t="n">
        <x:v>0.37334687770096486</x:v>
      </x:c>
      <x:c r="I9" s="13"/>
      <x:c r="J9" s="13" t="n">
        <x:f>IF(F9="","n.a.",F9-H9)</x:f>
        <x:v>0.041936825587269744</x:v>
      </x:c>
      <x:c r="K9" s="19" t="n">
        <x:f>IF(F9="","n.a.",F9/H9)</x:f>
        <x:v>1.1123267076599457</x:v>
      </x:c>
      <x:c r="L9" s="19" t="n">
        <x:f>IF(D9="","n.a.",E9/D9)</x:f>
        <x:v>1.1867986343516899</x:v>
      </x:c>
      <x:c r="M9" s="20" t="n">
        <x:f>SUMIFS('IV history'!$N$7:$N$926,'IV history'!$A$7:$A$926,A9,'IV history'!$C$7:$C$926,"call")</x:f>
        <x:v>2757719132.0600004</x:v>
      </x:c>
      <x:c r="N9" s="20" t="n">
        <x:f>SUMIFS('IV history'!$N$7:$N$926,'IV history'!$A$7:$A$926,A9,'IV history'!$C$7:$C$926,"put")</x:f>
        <x:v>907131131</x:v>
      </x:c>
      <x:c r="O9" s="19" t="n">
        <x:f>IF(M9=0,"n.a.",N9/M9)</x:f>
        <x:v>0.3289425382208442</x:v>
      </x:c>
      <x:c r="P9" s="13" t="n">
        <x:v>0.41204309986065085</x:v>
      </x:c>
      <x:c r="Q9" s="13" t="n">
        <x:v>0.4513837310991895</x:v>
      </x:c>
      <x:c r="R9" s="13" t="n">
        <x:f>IF(OR(P9="",Q9=""),"n.a.",Q9-P9)</x:f>
        <x:v>0.03934063123853865</x:v>
      </x:c>
      <x:c r="S9" s="13" t="n">
        <x:f>IF(OR(P9="",Q9="",F9=""),"n.a.",(P9+Q9)/2-F9)</x:f>
        <x:v>0.01642971219168554</x:v>
      </x:c>
      <x:c r="T9" s="13" t="n">
        <x:v>0.42859687750340286</x:v>
      </x:c>
      <x:c r="U9" s="13" t="n">
        <x:v>0.395866369219693</x:v>
      </x:c>
      <x:c r="V9" s="1" t="n">
        <x:v>34</x:v>
      </x:c>
    </x:row>
    <x:row r="10" ht="21" customHeight="1">
      <x:c r="A10" s="12" t="n">
        <x:v>46260</x:v>
      </x:c>
      <x:c r="B10" s="11" t="n">
        <x:v>7045</x:v>
      </x:c>
      <x:c r="C10" s="11" t="n">
        <x:v>7000</x:v>
      </x:c>
      <x:c r="D10" s="13" t="n">
        <x:v>0.36729782545888545</x:v>
      </x:c>
      <x:c r="E10" s="13" t="n">
        <x:v>0.4530112187286923</x:v>
      </x:c>
      <x:c r="F10" s="13" t="n">
        <x:v>0.4101545220937889</x:v>
      </x:c>
      <x:c r="G10" s="13" t="n">
        <x:v>0.39051326487102167</x:v>
      </x:c>
      <x:c r="H10" s="13" t="n">
        <x:v>0.37235223127609585</x:v>
      </x:c>
      <x:c r="I10" s="13"/>
      <x:c r="J10" s="13" t="n">
        <x:f>IF(F10="","n.a.",F10-H10)</x:f>
        <x:v>0.03780229081769304</x:v>
      </x:c>
      <x:c r="K10" s="19" t="n">
        <x:f>IF(F10="","n.a.",F10/H10)</x:f>
        <x:v>1.101522933508791</x:v>
      </x:c>
      <x:c r="L10" s="19" t="n">
        <x:f>IF(D10="","n.a.",E10/D10)</x:f>
        <x:v>1.2333621037987916</x:v>
      </x:c>
      <x:c r="M10" s="20" t="n">
        <x:f>SUMIFS('IV history'!$N$7:$N$926,'IV history'!$A$7:$A$926,A10,'IV history'!$C$7:$C$926,"call")</x:f>
        <x:v>2072782646.03</x:v>
      </x:c>
      <x:c r="N10" s="20" t="n">
        <x:f>SUMIFS('IV history'!$N$7:$N$926,'IV history'!$A$7:$A$926,A10,'IV history'!$C$7:$C$926,"put")</x:f>
        <x:v>693253267.76</x:v>
      </x:c>
      <x:c r="O10" s="19" t="n">
        <x:f>IF(M10=0,"n.a.",N10/M10)</x:f>
        <x:v>0.3344553608106416</x:v>
      </x:c>
      <x:c r="P10" s="13" t="n">
        <x:v>0.41021051837782596</x:v>
      </x:c>
      <x:c r="Q10" s="13" t="n">
        <x:v>0.45375422501541357</x:v>
      </x:c>
      <x:c r="R10" s="13" t="n">
        <x:f>IF(OR(P10="",Q10=""),"n.a.",Q10-P10)</x:f>
        <x:v>0.04354370663758761</x:v>
      </x:c>
      <x:c r="S10" s="13" t="n">
        <x:f>IF(OR(P10="",Q10="",F10=""),"n.a.",(P10+Q10)/2-F10)</x:f>
        <x:v>0.021827849602830907</x:v>
      </x:c>
      <x:c r="T10" s="13" t="n">
        <x:v>0.422673519968801</x:v>
      </x:c>
      <x:c r="U10" s="13" t="n">
        <x:v>0.3916975824074991</x:v>
      </x:c>
      <x:c r="V10" s="1" t="n">
        <x:v>35</x:v>
      </x:c>
    </x:row>
    <x:row r="11" ht="21" customHeight="1">
      <x:c r="A11" s="12" t="n">
        <x:v>46261</x:v>
      </x:c>
      <x:c r="B11" s="11" t="n">
        <x:v>6880</x:v>
      </x:c>
      <x:c r="C11" s="11" t="n">
        <x:v>6800</x:v>
      </x:c>
      <x:c r="D11" s="13" t="n">
        <x:v>0.3895459703459053</x:v>
      </x:c>
      <x:c r="E11" s="13" t="n">
        <x:v>0.4546635833505607</x:v>
      </x:c>
      <x:c r="F11" s="13" t="n">
        <x:v>0.422104776848233</x:v>
      </x:c>
      <x:c r="G11" s="13" t="n">
        <x:v>0.4086185141035652</x:v>
      </x:c>
      <x:c r="H11" s="13" t="n">
        <x:v>0.3779302737083981</x:v>
      </x:c>
      <x:c r="I11" s="13" t="n">
        <x:v>0.4384410200725518</x:v>
      </x:c>
      <x:c r="J11" s="13" t="n">
        <x:f>IF(F11="","n.a.",F11-H11)</x:f>
        <x:v>0.0441745031398349</x:v>
      </x:c>
      <x:c r="K11" s="19" t="n">
        <x:f>IF(F11="","n.a.",F11/H11)</x:f>
        <x:v>1.1168853257146552</x:v>
      </x:c>
      <x:c r="L11" s="19" t="n">
        <x:f>IF(D11="","n.a.",E11/D11)</x:f>
        <x:v>1.167162845881406</x:v>
      </x:c>
      <x:c r="M11" s="20" t="n">
        <x:f>SUMIFS('IV history'!$N$7:$N$926,'IV history'!$A$7:$A$926,A11,'IV history'!$C$7:$C$926,"call")</x:f>
        <x:v>2447671780.4500003</x:v>
      </x:c>
      <x:c r="N11" s="20" t="n">
        <x:f>SUMIFS('IV history'!$N$7:$N$926,'IV history'!$A$7:$A$926,A11,'IV history'!$C$7:$C$926,"put")</x:f>
        <x:v>864171654.88</x:v>
      </x:c>
      <x:c r="O11" s="19" t="n">
        <x:f>IF(M11=0,"n.a.",N11/M11)</x:f>
        <x:v>0.3530586338341179</x:v>
      </x:c>
      <x:c r="P11" s="13" t="n">
        <x:v>0.41036125970521686</x:v>
      </x:c>
      <x:c r="Q11" s="13" t="n">
        <x:v>0.4523901190821969</x:v>
      </x:c>
      <x:c r="R11" s="13" t="n">
        <x:f>IF(OR(P11="",Q11=""),"n.a.",Q11-P11)</x:f>
        <x:v>0.04202885937698003</x:v>
      </x:c>
      <x:c r="S11" s="13" t="n">
        <x:f>IF(OR(P11="",Q11="",F11=""),"n.a.",(P11+Q11)/2-F11)</x:f>
        <x:v>0.009270912545473853</x:v>
      </x:c>
      <x:c r="T11" s="13" t="n">
        <x:v>0.435030690428422</x:v>
      </x:c>
      <x:c r="U11" s="13" t="n">
        <x:v>0.40353586946114306</x:v>
      </x:c>
      <x:c r="V11" s="1" t="n">
        <x:v>37</x:v>
      </x:c>
    </x:row>
    <x:row r="12" ht="21" customHeight="1">
      <x:c r="A12" s="12" t="n">
        <x:v>46262</x:v>
      </x:c>
      <x:c r="B12" s="11" t="n">
        <x:v>6810</x:v>
      </x:c>
      <x:c r="C12" s="11" t="n">
        <x:v>6800</x:v>
      </x:c>
      <x:c r="D12" s="13" t="n">
        <x:v>0.38728894327852403</x:v>
      </x:c>
      <x:c r="E12" s="13" t="n">
        <x:v>0.4415569311611701</x:v>
      </x:c>
      <x:c r="F12" s="13" t="n">
        <x:v>0.4144229372198471</x:v>
      </x:c>
      <x:c r="G12" s="13" t="n">
        <x:v>0.4039369597015661</x:v>
      </x:c>
      <x:c r="H12" s="13" t="n">
        <x:v>0.35592248320745584</x:v>
      </x:c>
      <x:c r="I12" s="13" t="n">
        <x:v>0.43864432256312264</x:v>
      </x:c>
      <x:c r="J12" s="13" t="n">
        <x:f>IF(F12="","n.a.",F12-H12)</x:f>
        <x:v>0.058500454012391234</x:v>
      </x:c>
      <x:c r="K12" s="19" t="n">
        <x:f>IF(F12="","n.a.",F12/H12)</x:f>
        <x:v>1.1643629070161696</x:v>
      </x:c>
      <x:c r="L12" s="19" t="n">
        <x:f>IF(D12="","n.a.",E12/D12)</x:f>
        <x:v>1.1401227399451437</x:v>
      </x:c>
      <x:c r="M12" s="20" t="n">
        <x:f>SUMIFS('IV history'!$N$7:$N$926,'IV history'!$A$7:$A$926,A12,'IV history'!$C$7:$C$926,"call")</x:f>
        <x:v>1740587775.19</x:v>
      </x:c>
      <x:c r="N12" s="20" t="n">
        <x:f>SUMIFS('IV history'!$N$7:$N$926,'IV history'!$A$7:$A$926,A12,'IV history'!$C$7:$C$926,"put")</x:f>
        <x:v>1021167327.75</x:v>
      </x:c>
      <x:c r="O12" s="19" t="n">
        <x:f>IF(M12=0,"n.a.",N12/M12)</x:f>
        <x:v>0.586679593126828</x:v>
      </x:c>
      <x:c r="P12" s="13" t="n">
        <x:v>0.40920858369124996</x:v>
      </x:c>
      <x:c r="Q12" s="13" t="n">
        <x:v>0.4421202794852858</x:v>
      </x:c>
      <x:c r="R12" s="13" t="n">
        <x:f>IF(OR(P12="",Q12=""),"n.a.",Q12-P12)</x:f>
        <x:v>0.032911695794035856</x:v>
      </x:c>
      <x:c r="S12" s="13" t="n">
        <x:f>IF(OR(P12="",Q12="",F12=""),"n.a.",(P12+Q12)/2-F12)</x:f>
        <x:v>0.011241494368420812</x:v>
      </x:c>
      <x:c r="T12" s="13" t="n">
        <x:v>0.42537899037526833</x:v>
      </x:c>
      <x:c r="U12" s="13" t="n">
        <x:v>0.3986462137631154</x:v>
      </x:c>
      <x:c r="V12" s="1" t="n">
        <x:v>34</x:v>
      </x:c>
    </x:row>
    <x:row r="13" ht="21" customHeight="1">
      <x:c r="A13" s="12" t="n">
        <x:v>46265</x:v>
      </x:c>
      <x:c r="B13" s="11" t="n">
        <x:v>7015</x:v>
      </x:c>
      <x:c r="C13" s="11" t="n">
        <x:v>7000</x:v>
      </x:c>
      <x:c r="D13" s="13" t="n">
        <x:v>0.411524425546115</x:v>
      </x:c>
      <x:c r="E13" s="13" t="n">
        <x:v>0.45661493481980087</x:v>
      </x:c>
      <x:c r="F13" s="13" t="n">
        <x:v>0.43406968018295794</x:v>
      </x:c>
      <x:c r="G13" s="13" t="n">
        <x:v>0.39539427604237604</x:v>
      </x:c>
      <x:c r="H13" s="13" t="n">
        <x:v>0.3788277049183404</x:v>
      </x:c>
      <x:c r="I13" s="13" t="n">
        <x:v>0.43887049617517193</x:v>
      </x:c>
      <x:c r="J13" s="13" t="n">
        <x:f>IF(F13="","n.a.",F13-H13)</x:f>
        <x:v>0.05524197526461755</x:v>
      </x:c>
      <x:c r="K13" s="19" t="n">
        <x:f>IF(F13="","n.a.",F13/H13)</x:f>
        <x:v>1.1458234826740705</x:v>
      </x:c>
      <x:c r="L13" s="19" t="n">
        <x:f>IF(D13="","n.a.",E13/D13)</x:f>
        <x:v>1.1095694604611823</x:v>
      </x:c>
      <x:c r="M13" s="20" t="n">
        <x:f>SUMIFS('IV history'!$N$7:$N$926,'IV history'!$A$7:$A$926,A13,'IV history'!$C$7:$C$926,"call")</x:f>
        <x:v>2837380990</x:v>
      </x:c>
      <x:c r="N13" s="20" t="n">
        <x:f>SUMIFS('IV history'!$N$7:$N$926,'IV history'!$A$7:$A$926,A13,'IV history'!$C$7:$C$926,"put")</x:f>
        <x:v>754902688.6999999</x:v>
      </x:c>
      <x:c r="O13" s="19" t="n">
        <x:f>IF(M13=0,"n.a.",N13/M13)</x:f>
        <x:v>0.2660561593104914</x:v>
      </x:c>
      <x:c r="P13" s="13" t="n">
        <x:v>0.41895923355922216</x:v>
      </x:c>
      <x:c r="Q13" s="13" t="n">
        <x:v>0.45887837319405766</x:v>
      </x:c>
      <x:c r="R13" s="13" t="n">
        <x:f>IF(OR(P13="",Q13=""),"n.a.",Q13-P13)</x:f>
        <x:v>0.03991913963483551</x:v>
      </x:c>
      <x:c r="S13" s="13" t="n">
        <x:f>IF(OR(P13="",Q13="",F13=""),"n.a.",(P13+Q13)/2-F13)</x:f>
        <x:v>0.00484912319368197</x:v>
      </x:c>
      <x:c r="T13" s="13" t="n">
        <x:v>0.44411372558733636</x:v>
      </x:c>
      <x:c r="U13" s="13" t="n">
        <x:v>0.4199053022267192</x:v>
      </x:c>
      <x:c r="V13" s="1" t="n">
        <x:v>35</x:v>
      </x:c>
    </x:row>
    <x:row r="14" ht="21" customHeight="1">
      <x:c r="A14" s="12" t="n">
        <x:v>46266</x:v>
      </x:c>
      <x:c r="B14" s="11" t="n">
        <x:v>7060</x:v>
      </x:c>
      <x:c r="C14" s="11" t="n">
        <x:v>7000</x:v>
      </x:c>
      <x:c r="D14" s="13" t="n">
        <x:v>0.39901259711553155</x:v>
      </x:c>
      <x:c r="E14" s="13" t="n">
        <x:v>0.4667867214665472</x:v>
      </x:c>
      <x:c r="F14" s="13" t="n">
        <x:v>0.43289965929103935</x:v>
      </x:c>
      <x:c r="G14" s="13" t="n">
        <x:v>0.35278919921071844</x:v>
      </x:c>
      <x:c r="H14" s="13" t="n">
        <x:v>0.376985298127703</x:v>
      </x:c>
      <x:c r="I14" s="13" t="n">
        <x:v>0.4391141798440958</x:v>
      </x:c>
      <x:c r="J14" s="13" t="n">
        <x:f>IF(F14="","n.a.",F14-H14)</x:f>
        <x:v>0.05591436116333637</x:v>
      </x:c>
      <x:c r="K14" s="19" t="n">
        <x:f>IF(F14="","n.a.",F14/H14)</x:f>
        <x:v>1.148319739366588</x:v>
      </x:c>
      <x:c r="L14" s="19" t="n">
        <x:f>IF(D14="","n.a.",E14/D14)</x:f>
        <x:v>1.169854598177992</x:v>
      </x:c>
      <x:c r="M14" s="20" t="n">
        <x:f>SUMIFS('IV history'!$N$7:$N$926,'IV history'!$A$7:$A$926,A14,'IV history'!$C$7:$C$926,"call")</x:f>
        <x:v>3640294763</x:v>
      </x:c>
      <x:c r="N14" s="20" t="n">
        <x:f>SUMIFS('IV history'!$N$7:$N$926,'IV history'!$A$7:$A$926,A14,'IV history'!$C$7:$C$926,"put")</x:f>
        <x:v>747067567.0899999</x:v>
      </x:c>
      <x:c r="O14" s="19" t="n">
        <x:f>IF(M14=0,"n.a.",N14/M14)</x:f>
        <x:v>0.2052217239887285</x:v>
      </x:c>
      <x:c r="P14" s="13" t="n">
        <x:v>0.41483886967144146</x:v>
      </x:c>
      <x:c r="Q14" s="13" t="n">
        <x:v>0.46070565218227494</x:v>
      </x:c>
      <x:c r="R14" s="13" t="n">
        <x:f>IF(OR(P14="",Q14=""),"n.a.",Q14-P14)</x:f>
        <x:v>0.04586678251083348</x:v>
      </x:c>
      <x:c r="S14" s="13" t="n">
        <x:f>IF(OR(P14="",Q14="",F14=""),"n.a.",(P14+Q14)/2-F14)</x:f>
        <x:v>0.0048726016358188184</x:v>
      </x:c>
      <x:c r="T14" s="13" t="n">
        <x:v>0.4440522775872673</x:v>
      </x:c>
      <x:c r="U14" s="13" t="n">
        <x:v>0.41718276666903903</x:v>
      </x:c>
      <x:c r="V14" s="1" t="n">
        <x:v>35</x:v>
      </x:c>
    </x:row>
    <x:row r="15" ht="21" customHeight="1">
      <x:c r="A15" s="12" t="n">
        <x:v>46267</x:v>
      </x:c>
      <x:c r="B15" s="11" t="n">
        <x:v>7170</x:v>
      </x:c>
      <x:c r="C15" s="11" t="n">
        <x:v>7200</x:v>
      </x:c>
      <x:c r="D15" s="13" t="n">
        <x:v>0.3936006656446317</x:v>
      </x:c>
      <x:c r="E15" s="13" t="n">
        <x:v>0.45664185580179617</x:v>
      </x:c>
      <x:c r="F15" s="13" t="n">
        <x:v>0.42512126072321393</x:v>
      </x:c>
      <x:c r="G15" s="13" t="n">
        <x:v>0.3344318359157444</x:v>
      </x:c>
      <x:c r="H15" s="13" t="n">
        <x:v>0.37387495069679266</x:v>
      </x:c>
      <x:c r="I15" s="13" t="n">
        <x:v>0.43872123203449526</x:v>
      </x:c>
      <x:c r="J15" s="13" t="n">
        <x:f>IF(F15="","n.a.",F15-H15)</x:f>
        <x:v>0.05124631002642127</x:v>
      </x:c>
      <x:c r="K15" s="19" t="n">
        <x:f>IF(F15="","n.a.",F15/H15)</x:f>
        <x:v>1.1370680489048899</x:v>
      </x:c>
      <x:c r="L15" s="19" t="n">
        <x:f>IF(D15="","n.a.",E15/D15)</x:f>
        <x:v>1.1601653545324087</x:v>
      </x:c>
      <x:c r="M15" s="20" t="n">
        <x:f>SUMIFS('IV history'!$N$7:$N$926,'IV history'!$A$7:$A$926,A15,'IV history'!$C$7:$C$926,"call")</x:f>
        <x:v>2693995335.66</x:v>
      </x:c>
      <x:c r="N15" s="20" t="n">
        <x:f>SUMIFS('IV history'!$N$7:$N$926,'IV history'!$A$7:$A$926,A15,'IV history'!$C$7:$C$926,"put")</x:f>
        <x:v>691950498.76</x:v>
      </x:c>
      <x:c r="O15" s="19" t="n">
        <x:f>IF(M15=0,"n.a.",N15/M15)</x:f>
        <x:v>0.25684918217962677</x:v>
      </x:c>
      <x:c r="P15" s="13" t="n">
        <x:v>0.40423198679294536</x:v>
      </x:c>
      <x:c r="Q15" s="13" t="n">
        <x:v>0.4585406320632362</x:v>
      </x:c>
      <x:c r="R15" s="13" t="n">
        <x:f>IF(OR(P15="",Q15=""),"n.a.",Q15-P15)</x:f>
        <x:v>0.054308645270290834</x:v>
      </x:c>
      <x:c r="S15" s="13" t="n">
        <x:f>IF(OR(P15="",Q15="",F15=""),"n.a.",(P15+Q15)/2-F15)</x:f>
        <x:v>0.006265048704876819</x:v>
      </x:c>
      <x:c r="T15" s="13" t="n">
        <x:v>0.4339090018673769</x:v>
      </x:c>
      <x:c r="U15" s="13" t="n">
        <x:v>0.41248560275128254</x:v>
      </x:c>
      <x:c r="V15" s="1" t="n">
        <x:v>34</x:v>
      </x:c>
    </x:row>
    <x:row r="16" ht="21" customHeight="1">
      <x:c r="A16" s="12" t="n">
        <x:v>46268</x:v>
      </x:c>
      <x:c r="B16" s="11" t="n">
        <x:v>7075</x:v>
      </x:c>
      <x:c r="C16" s="11" t="n">
        <x:v>7000</x:v>
      </x:c>
      <x:c r="D16" s="13" t="n">
        <x:v>0.38797270586248733</x:v>
      </x:c>
      <x:c r="E16" s="13" t="n">
        <x:v>0.45859240792621614</x:v>
      </x:c>
      <x:c r="F16" s="13" t="n">
        <x:v>0.42328255689435174</x:v>
      </x:c>
      <x:c r="G16" s="13" t="n">
        <x:v>0.34624524471250034</x:v>
      </x:c>
      <x:c r="H16" s="13" t="n">
        <x:v>0.37398561841843314</x:v>
      </x:c>
      <x:c r="I16" s="13" t="n">
        <x:v>0.43780103649037355</x:v>
      </x:c>
      <x:c r="J16" s="13" t="n">
        <x:f>IF(F16="","n.a.",F16-H16)</x:f>
        <x:v>0.049296938475918595</x:v>
      </x:c>
      <x:c r="K16" s="19" t="n">
        <x:f>IF(F16="","n.a.",F16/H16)</x:f>
        <x:v>1.1318150646658365</x:v>
      </x:c>
      <x:c r="L16" s="19" t="n">
        <x:f>IF(D16="","n.a.",E16/D16)</x:f>
        <x:v>1.1820223458934742</x:v>
      </x:c>
      <x:c r="M16" s="20" t="n">
        <x:f>SUMIFS('IV history'!$N$7:$N$926,'IV history'!$A$7:$A$926,A16,'IV history'!$C$7:$C$926,"call")</x:f>
        <x:v>3639414302.94</x:v>
      </x:c>
      <x:c r="N16" s="20" t="n">
        <x:f>SUMIFS('IV history'!$N$7:$N$926,'IV history'!$A$7:$A$926,A16,'IV history'!$C$7:$C$926,"put")</x:f>
        <x:v>940904213.01</x:v>
      </x:c>
      <x:c r="O16" s="19" t="n">
        <x:f>IF(M16=0,"n.a.",N16/M16)</x:f>
        <x:v>0.2585317676665491</x:v>
      </x:c>
      <x:c r="P16" s="13" t="n">
        <x:v>0.4116177686542646</x:v>
      </x:c>
      <x:c r="Q16" s="13" t="n">
        <x:v>0.4576811410040141</x:v>
      </x:c>
      <x:c r="R16" s="13" t="n">
        <x:f>IF(OR(P16="",Q16=""),"n.a.",Q16-P16)</x:f>
        <x:v>0.0460633723497495</x:v>
      </x:c>
      <x:c r="S16" s="13" t="n">
        <x:f>IF(OR(P16="",Q16="",F16=""),"n.a.",(P16+Q16)/2-F16)</x:f>
        <x:v>0.011366897934787568</x:v>
      </x:c>
      <x:c r="T16" s="13" t="n">
        <x:v>0.4348020167847724</x:v>
      </x:c>
      <x:c r="U16" s="13" t="n">
        <x:v>0.40708164032082794</x:v>
      </x:c>
      <x:c r="V16" s="1" t="n">
        <x:v>36</x:v>
      </x:c>
    </x:row>
    <x:row r="17" ht="21" customHeight="1">
      <x:c r="A17" s="12" t="n">
        <x:v>46269</x:v>
      </x:c>
      <x:c r="B17" s="11" t="n">
        <x:v>7005</x:v>
      </x:c>
      <x:c r="C17" s="11" t="n">
        <x:v>7000</x:v>
      </x:c>
      <x:c r="D17" s="13" t="n">
        <x:v>0.3949748616044194</x:v>
      </x:c>
      <x:c r="E17" s="13" t="n">
        <x:v>0.4360122773752557</x:v>
      </x:c>
      <x:c r="F17" s="13" t="n">
        <x:v>0.41549356948983757</x:v>
      </x:c>
      <x:c r="G17" s="13" t="n">
        <x:v>0.3543845466217185</x:v>
      </x:c>
      <x:c r="H17" s="13" t="n">
        <x:v>0.3560975675290695</x:v>
      </x:c>
      <x:c r="I17" s="13" t="n">
        <x:v>0.43422892323885603</x:v>
      </x:c>
      <x:c r="J17" s="13" t="n">
        <x:f>IF(F17="","n.a.",F17-H17)</x:f>
        <x:v>0.05939600196076805</x:v>
      </x:c>
      <x:c r="K17" s="19" t="n">
        <x:f>IF(F17="","n.a.",F17/H17)</x:f>
        <x:v>1.1667969887379794</x:v>
      </x:c>
      <x:c r="L17" s="19" t="n">
        <x:f>IF(D17="","n.a.",E17/D17)</x:f>
        <x:v>1.1038988041014535</x:v>
      </x:c>
      <x:c r="M17" s="20" t="n">
        <x:f>SUMIFS('IV history'!$N$7:$N$926,'IV history'!$A$7:$A$926,A17,'IV history'!$C$7:$C$926,"call")</x:f>
        <x:v>1861211512.59</x:v>
      </x:c>
      <x:c r="N17" s="20" t="n">
        <x:f>SUMIFS('IV history'!$N$7:$N$926,'IV history'!$A$7:$A$926,A17,'IV history'!$C$7:$C$926,"put")</x:f>
        <x:v>475504226.54999995</x:v>
      </x:c>
      <x:c r="O17" s="19" t="n">
        <x:f>IF(M17=0,"n.a.",N17/M17)</x:f>
        <x:v>0.25548102584445337</x:v>
      </x:c>
      <x:c r="P17" s="13" t="n">
        <x:v>0.408876537067165</x:v>
      </x:c>
      <x:c r="Q17" s="13" t="n">
        <x:v>0.4386335667635495</x:v>
      </x:c>
      <x:c r="R17" s="13" t="n">
        <x:f>IF(OR(P17="",Q17=""),"n.a.",Q17-P17)</x:f>
        <x:v>0.029757029696384496</x:v>
      </x:c>
      <x:c r="S17" s="13" t="n">
        <x:f>IF(OR(P17="",Q17="",F17=""),"n.a.",(P17+Q17)/2-F17)</x:f>
        <x:v>0.008261482425519662</x:v>
      </x:c>
      <x:c r="T17" s="13" t="n">
        <x:v>0.4250313229284821</x:v>
      </x:c>
      <x:c r="U17" s="13" t="n">
        <x:v>0.4020951923822544</x:v>
      </x:c>
      <x:c r="V17" s="1" t="n">
        <x:v>34</x:v>
      </x:c>
    </x:row>
    <x:row r="18" ht="21" customHeight="1">
      <x:c r="A18" s="12" t="n">
        <x:v>46272</x:v>
      </x:c>
      <x:c r="B18" s="11" t="n">
        <x:v>6935</x:v>
      </x:c>
      <x:c r="C18" s="11" t="n">
        <x:v>7000</x:v>
      </x:c>
      <x:c r="D18" s="13" t="n">
        <x:v>0.42273407148583275</x:v>
      </x:c>
      <x:c r="E18" s="13" t="n">
        <x:v>0.43505106862557574</x:v>
      </x:c>
      <x:c r="F18" s="13" t="n">
        <x:v>0.42889257005570425</x:v>
      </x:c>
      <x:c r="G18" s="13" t="n">
        <x:v>0.266619643750618</x:v>
      </x:c>
      <x:c r="H18" s="13" t="n">
        <x:v>0.35655002592182145</x:v>
      </x:c>
      <x:c r="I18" s="13" t="n">
        <x:v>0.43438603574602536</x:v>
      </x:c>
      <x:c r="J18" s="13" t="n">
        <x:f>IF(F18="","n.a.",F18-H18)</x:f>
        <x:v>0.0723425441338828</x:v>
      </x:c>
      <x:c r="K18" s="19" t="n">
        <x:f>IF(F18="","n.a.",F18/H18)</x:f>
        <x:v>1.202895916069138</x:v>
      </x:c>
      <x:c r="L18" s="19" t="n">
        <x:f>IF(D18="","n.a.",E18/D18)</x:f>
        <x:v>1.02913651387609</x:v>
      </x:c>
      <x:c r="M18" s="20" t="n">
        <x:f>SUMIFS('IV history'!$N$7:$N$926,'IV history'!$A$7:$A$926,A18,'IV history'!$C$7:$C$926,"call")</x:f>
        <x:v>357933496.21999997</x:v>
      </x:c>
      <x:c r="N18" s="20" t="n">
        <x:f>SUMIFS('IV history'!$N$7:$N$926,'IV history'!$A$7:$A$926,A18,'IV history'!$C$7:$C$926,"put")</x:f>
        <x:v>123923282.16999999</x:v>
      </x:c>
      <x:c r="O18" s="19" t="n">
        <x:f>IF(M18=0,"n.a.",N18/M18)</x:f>
        <x:v>0.3462187347054881</x:v>
      </x:c>
      <x:c r="P18" s="13" t="n">
        <x:v>0.4346481106579841</x:v>
      </x:c>
      <x:c r="Q18" s="13" t="n">
        <x:v>0.4393302373765524</x:v>
      </x:c>
      <x:c r="R18" s="13" t="n">
        <x:f>IF(OR(P18="",Q18=""),"n.a.",Q18-P18)</x:f>
        <x:v>0.004682126718568325</x:v>
      </x:c>
      <x:c r="S18" s="13" t="n">
        <x:f>IF(OR(P18="",Q18="",F18=""),"n.a.",(P18+Q18)/2-F18)</x:f>
        <x:v>0.008096603961563975</x:v>
      </x:c>
      <x:c r="T18" s="13" t="n">
        <x:v>0.4358191716864044</x:v>
      </x:c>
      <x:c r="U18" s="13" t="n">
        <x:v>0.41902083041343324</x:v>
      </x:c>
      <x:c r="V18" s="1" t="n">
        <x:v>37</x:v>
      </x:c>
    </x:row>
    <x:row r="19" ht="21" customHeight="1">
      <x:c r="A19" s="12" t="n">
        <x:v>46273</x:v>
      </x:c>
      <x:c r="B19" s="11" t="n">
        <x:v>7015</x:v>
      </x:c>
      <x:c r="C19" s="11" t="n">
        <x:v>7000</x:v>
      </x:c>
      <x:c r="D19" s="13" t="n">
        <x:v>0.4041019936917703</x:v>
      </x:c>
      <x:c r="E19" s="13" t="n">
        <x:v>0.45187481201290974</x:v>
      </x:c>
      <x:c r="F19" s="13" t="n">
        <x:v>0.42798840285234</x:v>
      </x:c>
      <x:c r="G19" s="13" t="n">
        <x:v>0.25628549496888303</x:v>
      </x:c>
      <x:c r="H19" s="13" t="n">
        <x:v>0.35879322524285145</x:v>
      </x:c>
      <x:c r="I19" s="13" t="n">
        <x:v>0.38112329533650346</x:v>
      </x:c>
      <x:c r="J19" s="13" t="n">
        <x:f>IF(F19="","n.a.",F19-H19)</x:f>
        <x:v>0.06919517760948857</x:v>
      </x:c>
      <x:c r="K19" s="19" t="n">
        <x:f>IF(F19="","n.a.",F19/H19)</x:f>
        <x:v>1.192855307016049</x:v>
      </x:c>
      <x:c r="L19" s="19" t="n">
        <x:f>IF(D19="","n.a.",E19/D19)</x:f>
        <x:v>1.1182197045966031</x:v>
      </x:c>
      <x:c r="M19" s="20" t="n">
        <x:f>SUMIFS('IV history'!$N$7:$N$926,'IV history'!$A$7:$A$926,A19,'IV history'!$C$7:$C$926,"call")</x:f>
        <x:v>2058112368.06</x:v>
      </x:c>
      <x:c r="N19" s="20" t="n">
        <x:f>SUMIFS('IV history'!$N$7:$N$926,'IV history'!$A$7:$A$926,A19,'IV history'!$C$7:$C$926,"put")</x:f>
        <x:v>523323698.24</x:v>
      </x:c>
      <x:c r="O19" s="19" t="n">
        <x:f>IF(M19=0,"n.a.",N19/M19)</x:f>
        <x:v>0.2542736277967616</x:v>
      </x:c>
      <x:c r="P19" s="13" t="n">
        <x:v>0.41343695609493386</x:v>
      </x:c>
      <x:c r="Q19" s="13" t="n">
        <x:v>0.450116049878626</x:v>
      </x:c>
      <x:c r="R19" s="13" t="n">
        <x:f>IF(OR(P19="",Q19=""),"n.a.",Q19-P19)</x:f>
        <x:v>0.03667909378369216</x:v>
      </x:c>
      <x:c r="S19" s="13" t="n">
        <x:f>IF(OR(P19="",Q19="",F19=""),"n.a.",(P19+Q19)/2-F19)</x:f>
        <x:v>0.00378810013443992</x:v>
      </x:c>
      <x:c r="T19" s="13" t="n">
        <x:v>0.43681577382262216</x:v>
      </x:c>
      <x:c r="U19" s="13" t="n">
        <x:v>0.4157645820697365</x:v>
      </x:c>
      <x:c r="V19" s="1" t="n">
        <x:v>34</x:v>
      </x:c>
    </x:row>
    <x:row r="20" ht="21" customHeight="1">
      <x:c r="A20" s="12" t="n">
        <x:v>46274</x:v>
      </x:c>
      <x:c r="B20" s="11" t="n">
        <x:v>7085</x:v>
      </x:c>
      <x:c r="C20" s="11" t="n">
        <x:v>7000</x:v>
      </x:c>
      <x:c r="D20" s="13" t="n">
        <x:v>0.4029601238944973</x:v>
      </x:c>
      <x:c r="E20" s="13" t="n">
        <x:v>0.44401835364440734</x:v>
      </x:c>
      <x:c r="F20" s="13" t="n">
        <x:v>0.4234892387694523</x:v>
      </x:c>
      <x:c r="G20" s="13" t="n">
        <x:v>0.26086487788273555</x:v>
      </x:c>
      <x:c r="H20" s="13" t="n">
        <x:v>0.32323907599693874</x:v>
      </x:c>
      <x:c r="I20" s="13" t="n">
        <x:v>0.3818792883985458</x:v>
      </x:c>
      <x:c r="J20" s="13" t="n">
        <x:f>IF(F20="","n.a.",F20-H20)</x:f>
        <x:v>0.10025016277251358</x:v>
      </x:c>
      <x:c r="K20" s="19" t="n">
        <x:f>IF(F20="","n.a.",F20/H20)</x:f>
        <x:v>1.3101424617779287</x:v>
      </x:c>
      <x:c r="L20" s="19" t="n">
        <x:f>IF(D20="","n.a.",E20/D20)</x:f>
        <x:v>1.1018915453794627</x:v>
      </x:c>
      <x:c r="M20" s="20" t="n">
        <x:f>SUMIFS('IV history'!$N$7:$N$926,'IV history'!$A$7:$A$926,A20,'IV history'!$C$7:$C$926,"call")</x:f>
        <x:v>1919441283.19</x:v>
      </x:c>
      <x:c r="N20" s="20" t="n">
        <x:f>SUMIFS('IV history'!$N$7:$N$926,'IV history'!$A$7:$A$926,A20,'IV history'!$C$7:$C$926,"put")</x:f>
        <x:v>766494954.8100002</x:v>
      </x:c>
      <x:c r="O20" s="19" t="n">
        <x:f>IF(M20=0,"n.a.",N20/M20)</x:f>
        <x:v>0.3993323273406572</x:v>
      </x:c>
      <x:c r="P20" s="13" t="n">
        <x:v>0.41373336893488644</x:v>
      </x:c>
      <x:c r="Q20" s="13" t="n">
        <x:v>0.43682290392140977</x:v>
      </x:c>
      <x:c r="R20" s="13" t="n">
        <x:f>IF(OR(P20="",Q20=""),"n.a.",Q20-P20)</x:f>
        <x:v>0.02308953498652333</x:v>
      </x:c>
      <x:c r="S20" s="13" t="n">
        <x:f>IF(OR(P20="",Q20="",F20=""),"n.a.",(P20+Q20)/2-F20)</x:f>
        <x:v>0.001788897658695776</x:v>
      </x:c>
      <x:c r="T20" s="13" t="n">
        <x:v>0.43414016009699896</x:v>
      </x:c>
      <x:c r="U20" s="13" t="n">
        <x:v>0.40905446067315077</x:v>
      </x:c>
      <x:c r="V20" s="1" t="n">
        <x:v>33</x:v>
      </x:c>
    </x:row>
    <x:row r="21" ht="21" customHeight="1">
      <x:c r="A21" s="12" t="n">
        <x:v>46275</x:v>
      </x:c>
      <x:c r="B21" s="11" t="n">
        <x:v>7145</x:v>
      </x:c>
      <x:c r="C21" s="11" t="n">
        <x:v>7200</x:v>
      </x:c>
      <x:c r="D21" s="13" t="n">
        <x:v>0.38460584725382674</x:v>
      </x:c>
      <x:c r="E21" s="13" t="n">
        <x:v>0.44467590041952987</x:v>
      </x:c>
      <x:c r="F21" s="13" t="n">
        <x:v>0.4146408738366783</x:v>
      </x:c>
      <x:c r="G21" s="13" t="n">
        <x:v>0.22451120255133084</x:v>
      </x:c>
      <x:c r="H21" s="13" t="n">
        <x:v>0.3243346403585728</x:v>
      </x:c>
      <x:c r="I21" s="13" t="n">
        <x:v>0.3824476515648601</x:v>
      </x:c>
      <x:c r="J21" s="13" t="n">
        <x:f>IF(F21="","n.a.",F21-H21)</x:f>
        <x:v>0.09030623347810551</x:v>
      </x:c>
      <x:c r="K21" s="19" t="n">
        <x:f>IF(F21="","n.a.",F21/H21)</x:f>
        <x:v>1.2784353634821928</x:v>
      </x:c>
      <x:c r="L21" s="19" t="n">
        <x:f>IF(D21="","n.a.",E21/D21)</x:f>
        <x:v>1.1561860111972218</x:v>
      </x:c>
      <x:c r="M21" s="20" t="n">
        <x:f>SUMIFS('IV history'!$N$7:$N$926,'IV history'!$A$7:$A$926,A21,'IV history'!$C$7:$C$926,"call")</x:f>
        <x:v>2987192736.19</x:v>
      </x:c>
      <x:c r="N21" s="20" t="n">
        <x:f>SUMIFS('IV history'!$N$7:$N$926,'IV history'!$A$7:$A$926,A21,'IV history'!$C$7:$C$926,"put")</x:f>
        <x:v>707804017.5500001</x:v>
      </x:c>
      <x:c r="O21" s="19" t="n">
        <x:f>IF(M21=0,"n.a.",N21/M21)</x:f>
        <x:v>0.23694621675224248</x:v>
      </x:c>
      <x:c r="P21" s="13" t="n">
        <x:v>0.40761779877134524</x:v>
      </x:c>
      <x:c r="Q21" s="13" t="n">
        <x:v>0.44284128128448363</x:v>
      </x:c>
      <x:c r="R21" s="13" t="n">
        <x:f>IF(OR(P21="",Q21=""),"n.a.",Q21-P21)</x:f>
        <x:v>0.03522348251313839</x:v>
      </x:c>
      <x:c r="S21" s="13" t="n">
        <x:f>IF(OR(P21="",Q21="",F21=""),"n.a.",(P21+Q21)/2-F21)</x:f>
        <x:v>0.010588666191236162</x:v>
      </x:c>
      <x:c r="T21" s="13" t="n">
        <x:v>0.4215470084324282</x:v>
      </x:c>
      <x:c r="U21" s="13" t="n">
        <x:v>0.4047314708880062</x:v>
      </x:c>
      <x:c r="V21" s="1" t="n">
        <x:v>35</x:v>
      </x:c>
    </x:row>
    <x:row r="22" ht="21" customHeight="1">
      <x:c r="A22" s="12" t="n">
        <x:v>46276</x:v>
      </x:c>
      <x:c r="B22" s="11" t="n">
        <x:v>7000</x:v>
      </x:c>
      <x:c r="C22" s="11" t="n">
        <x:v>7000</x:v>
      </x:c>
      <x:c r="D22" s="13" t="n">
        <x:v>0.38691220729691345</x:v>
      </x:c>
      <x:c r="E22" s="13" t="n">
        <x:v>0.4465461807843888</x:v>
      </x:c>
      <x:c r="F22" s="13" t="n">
        <x:v>0.4167291940406511</x:v>
      </x:c>
      <x:c r="G22" s="13" t="n">
        <x:v>0.24723729565036293</x:v>
      </x:c>
      <x:c r="H22" s="13" t="n">
        <x:v>0.3306908622476769</x:v>
      </x:c>
      <x:c r="I22" s="13" t="n">
        <x:v>0.38003810121587356</x:v>
      </x:c>
      <x:c r="J22" s="13" t="n">
        <x:f>IF(F22="","n.a.",F22-H22)</x:f>
        <x:v>0.08603833179297421</x:v>
      </x:c>
      <x:c r="K22" s="19" t="n">
        <x:f>IF(F22="","n.a.",F22/H22)</x:f>
        <x:v>1.2601775301808438</x:v>
      </x:c>
      <x:c r="L22" s="19" t="n">
        <x:f>IF(D22="","n.a.",E22/D22)</x:f>
        <x:v>1.1541279193646963</x:v>
      </x:c>
      <x:c r="M22" s="20" t="n">
        <x:f>SUMIFS('IV history'!$N$7:$N$926,'IV history'!$A$7:$A$926,A22,'IV history'!$C$7:$C$926,"call")</x:f>
        <x:v>2174586296.75</x:v>
      </x:c>
      <x:c r="N22" s="20" t="n">
        <x:f>SUMIFS('IV history'!$N$7:$N$926,'IV history'!$A$7:$A$926,A22,'IV history'!$C$7:$C$926,"put")</x:f>
        <x:v>669867745.24</x:v>
      </x:c>
      <x:c r="O22" s="19" t="n">
        <x:f>IF(M22=0,"n.a.",N22/M22)</x:f>
        <x:v>0.3080437627336943</x:v>
      </x:c>
      <x:c r="P22" s="13" t="n">
        <x:v>0.410122077232718</x:v>
      </x:c>
      <x:c r="Q22" s="13" t="n">
        <x:v>0.4425978462759361</x:v>
      </x:c>
      <x:c r="R22" s="13" t="n">
        <x:f>IF(OR(P22="",Q22=""),"n.a.",Q22-P22)</x:f>
        <x:v>0.03247576904321814</x:v>
      </x:c>
      <x:c r="S22" s="13" t="n">
        <x:f>IF(OR(P22="",Q22="",F22=""),"n.a.",(P22+Q22)/2-F22)</x:f>
        <x:v>0.009630767713675936</x:v>
      </x:c>
      <x:c r="T22" s="13" t="n">
        <x:v>0.42488469918193433</x:v>
      </x:c>
      <x:c r="U22" s="13" t="n">
        <x:v>0.40539511901182457</x:v>
      </x:c>
      <x:c r="V22" s="1" t="n">
        <x:v>34</x:v>
      </x:c>
    </x:row>
    <x:row r="23" ht="21" customHeight="1">
      <x:c r="A23" s="12" t="n">
        <x:v>46279</x:v>
      </x:c>
      <x:c r="B23" s="11" t="n">
        <x:v>6840</x:v>
      </x:c>
      <x:c r="C23" s="11" t="n">
        <x:v>6800</x:v>
      </x:c>
      <x:c r="D23" s="13" t="n">
        <x:v>0.41583221466494913</x:v>
      </x:c>
      <x:c r="E23" s="13" t="n">
        <x:v>0.4495115945403333</x:v>
      </x:c>
      <x:c r="F23" s="13" t="n">
        <x:v>0.4326719046026412</x:v>
      </x:c>
      <x:c r="G23" s="13" t="n">
        <x:v>0.22759600021579462</x:v>
      </x:c>
      <x:c r="H23" s="13" t="n">
        <x:v>0.3165240594681037</x:v>
      </x:c>
      <x:c r="I23" s="13" t="n">
        <x:v>0.3801529110825119</x:v>
      </x:c>
      <x:c r="J23" s="13" t="n">
        <x:f>IF(F23="","n.a.",F23-H23)</x:f>
        <x:v>0.11614784513453752</x:v>
      </x:c>
      <x:c r="K23" s="19" t="n">
        <x:f>IF(F23="","n.a.",F23/H23)</x:f>
        <x:v>1.3669479196296035</x:v>
      </x:c>
      <x:c r="L23" s="19" t="n">
        <x:f>IF(D23="","n.a.",E23/D23)</x:f>
        <x:v>1.0809927145796552</x:v>
      </x:c>
      <x:c r="M23" s="20" t="n">
        <x:f>SUMIFS('IV history'!$N$7:$N$926,'IV history'!$A$7:$A$926,A23,'IV history'!$C$7:$C$926,"call")</x:f>
        <x:v>1562892977.44</x:v>
      </x:c>
      <x:c r="N23" s="20" t="n">
        <x:f>SUMIFS('IV history'!$N$7:$N$926,'IV history'!$A$7:$A$926,A23,'IV history'!$C$7:$C$926,"put")</x:f>
        <x:v>641123582.4</x:v>
      </x:c>
      <x:c r="O23" s="19" t="n">
        <x:f>IF(M23=0,"n.a.",N23/M23)</x:f>
        <x:v>0.4102159211503738</x:v>
      </x:c>
      <x:c r="P23" s="13" t="n">
        <x:v>0.4281424577599775</x:v>
      </x:c>
      <x:c r="Q23" s="13" t="n">
        <x:v>0.44790154802075105</x:v>
      </x:c>
      <x:c r="R23" s="13" t="n">
        <x:f>IF(OR(P23="",Q23=""),"n.a.",Q23-P23)</x:f>
        <x:v>0.01975909026077355</x:v>
      </x:c>
      <x:c r="S23" s="13" t="n">
        <x:f>IF(OR(P23="",Q23="",F23=""),"n.a.",(P23+Q23)/2-F23)</x:f>
        <x:v>0.005350098287723093</x:v>
      </x:c>
      <x:c r="T23" s="13" t="n">
        <x:v>0.44100716307806836</x:v>
      </x:c>
      <x:c r="U23" s="13" t="n">
        <x:v>0.4215006902691279</x:v>
      </x:c>
      <x:c r="V23" s="1" t="n">
        <x:v>38</x:v>
      </x:c>
    </x:row>
    <x:row r="24" ht="21" customHeight="1">
      <x:c r="A24" s="12" t="n">
        <x:v>46280</x:v>
      </x:c>
      <x:c r="B24" s="11" t="n">
        <x:v>6725</x:v>
      </x:c>
      <x:c r="C24" s="11" t="n">
        <x:v>6800</x:v>
      </x:c>
      <x:c r="D24" s="13" t="n">
        <x:v>0.425159276616851</x:v>
      </x:c>
      <x:c r="E24" s="13" t="n">
        <x:v>0.4355401122812615</x:v>
      </x:c>
      <x:c r="F24" s="13" t="n">
        <x:v>0.43034969444905624</x:v>
      </x:c>
      <x:c r="G24" s="13" t="n">
        <x:v>0.23210993104424654</x:v>
      </x:c>
      <x:c r="H24" s="13" t="n">
        <x:v>0.303764721181324</x:v>
      </x:c>
      <x:c r="I24" s="13" t="n">
        <x:v>0.3776137546749165</x:v>
      </x:c>
      <x:c r="J24" s="13" t="n">
        <x:f>IF(F24="","n.a.",F24-H24)</x:f>
        <x:v>0.12658497326773221</x:v>
      </x:c>
      <x:c r="K24" s="19" t="n">
        <x:f>IF(F24="","n.a.",F24/H24)</x:f>
        <x:v>1.4167204564619957</x:v>
      </x:c>
      <x:c r="L24" s="19" t="n">
        <x:f>IF(D24="","n.a.",E24/D24)</x:f>
        <x:v>1.0244163452036485</x:v>
      </x:c>
      <x:c r="M24" s="20" t="n">
        <x:f>SUMIFS('IV history'!$N$7:$N$926,'IV history'!$A$7:$A$926,A24,'IV history'!$C$7:$C$926,"call")</x:f>
        <x:v>1721518495.18</x:v>
      </x:c>
      <x:c r="N24" s="20" t="n">
        <x:f>SUMIFS('IV history'!$N$7:$N$926,'IV history'!$A$7:$A$926,A24,'IV history'!$C$7:$C$926,"put")</x:f>
        <x:v>973242461.52</x:v>
      </x:c>
      <x:c r="O24" s="19" t="n">
        <x:f>IF(M24=0,"n.a.",N24/M24)</x:f>
        <x:v>0.5653395326538382</x:v>
      </x:c>
      <x:c r="P24" s="13" t="n">
        <x:v>0.42056984022961513</x:v>
      </x:c>
      <x:c r="Q24" s="13" t="n">
        <x:v>0.44058944242804876</x:v>
      </x:c>
      <x:c r="R24" s="13" t="n">
        <x:f>IF(OR(P24="",Q24=""),"n.a.",Q24-P24)</x:f>
        <x:v>0.020019602198433628</x:v>
      </x:c>
      <x:c r="S24" s="13" t="n">
        <x:f>IF(OR(P24="",Q24="",F24=""),"n.a.",(P24+Q24)/2-F24)</x:f>
        <x:v>0.00022994687977573314</x:v>
      </x:c>
      <x:c r="T24" s="13" t="n">
        <x:v>0.4355687144238909</x:v>
      </x:c>
      <x:c r="U24" s="13" t="n">
        <x:v>0.4228804181048128</x:v>
      </x:c>
      <x:c r="V24" s="1" t="n">
        <x:v>34</x:v>
      </x:c>
    </x:row>
    <x:row r="25" ht="21" customHeight="1">
      <x:c r="A25" s="12" t="n">
        <x:v>46281</x:v>
      </x:c>
      <x:c r="B25" s="11" t="n">
        <x:v>6760</x:v>
      </x:c>
      <x:c r="C25" s="11" t="n">
        <x:v>6800</x:v>
      </x:c>
      <x:c r="D25" s="13" t="n">
        <x:v>0.40439010230283473</x:v>
      </x:c>
      <x:c r="E25" s="13" t="n">
        <x:v>0.4623450037624171</x:v>
      </x:c>
      <x:c r="F25" s="13" t="n">
        <x:v>0.4333675530326259</x:v>
      </x:c>
      <x:c r="G25" s="13" t="n">
        <x:v>0.21176784757779676</x:v>
      </x:c>
      <x:c r="H25" s="13" t="n">
        <x:v>0.29834284170254033</x:v>
      </x:c>
      <x:c r="I25" s="13" t="n">
        <x:v>0.37763241424869093</x:v>
      </x:c>
      <x:c r="J25" s="13" t="n">
        <x:f>IF(F25="","n.a.",F25-H25)</x:f>
        <x:v>0.1350247113300856</x:v>
      </x:c>
      <x:c r="K25" s="19" t="n">
        <x:f>IF(F25="","n.a.",F25/H25)</x:f>
        <x:v>1.4525823732171546</x:v>
      </x:c>
      <x:c r="L25" s="19" t="n">
        <x:f>IF(D25="","n.a.",E25/D25)</x:f>
        <x:v>1.1433143420908503</x:v>
      </x:c>
      <x:c r="M25" s="20" t="n">
        <x:f>SUMIFS('IV history'!$N$7:$N$926,'IV history'!$A$7:$A$926,A25,'IV history'!$C$7:$C$926,"call")</x:f>
        <x:v>1216321896.84</x:v>
      </x:c>
      <x:c r="N25" s="20" t="n">
        <x:f>SUMIFS('IV history'!$N$7:$N$926,'IV history'!$A$7:$A$926,A25,'IV history'!$C$7:$C$926,"put")</x:f>
        <x:v>496133552.4</x:v>
      </x:c>
      <x:c r="O25" s="19" t="n">
        <x:f>IF(M25=0,"n.a.",N25/M25)</x:f>
        <x:v>0.40789658863246087</x:v>
      </x:c>
      <x:c r="P25" s="13" t="n">
        <x:v>0.4196761049594954</x:v>
      </x:c>
      <x:c r="Q25" s="13" t="n">
        <x:v>0.4595109105255981</x:v>
      </x:c>
      <x:c r="R25" s="13" t="n">
        <x:f>IF(OR(P25="",Q25=""),"n.a.",Q25-P25)</x:f>
        <x:v>0.03983480556610269</x:v>
      </x:c>
      <x:c r="S25" s="13" t="n">
        <x:f>IF(OR(P25="",Q25="",F25=""),"n.a.",(P25+Q25)/2-F25)</x:f>
        <x:v>0.006225954709920878</x:v>
      </x:c>
      <x:c r="T25" s="13" t="n">
        <x:v>0.4392210380776339</x:v>
      </x:c>
      <x:c r="U25" s="13" t="n">
        <x:v>0.42514604501454306</x:v>
      </x:c>
      <x:c r="V25" s="1" t="n">
        <x:v>34</x:v>
      </x:c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</x:sheetData>
  <x:pageMargins left="0.7" right="0.7" top="0.75" bottom="0.75" header="0.3" footer="0.3"/>
  <x:tableParts count="1">
    <x:tablePart xmlns:r="http://schemas.openxmlformats.org/officeDocument/2006/relationships" r:id="R227e7a6b752d4fd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65" hidden="0" customWidth="1"/>
    <x:col min="18" max="18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2" t="str">
        <x:v>Historical implied volatility estimates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1" customHeight="1">
      <x:c r="A4" s="4" t="str">
        <x:v>Model snapshot: 30% rate, zero dividends. Conditional on ticker strikes and PPI prices. See Model inputs.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40" customHeight="1">
      <x:c r="A6" s="10" t="str">
        <x:v>Date</x:v>
      </x:c>
      <x:c r="B6" s="10" t="str">
        <x:v>Ticker</x:v>
      </x:c>
      <x:c r="C6" s="10" t="str">
        <x:v>Type</x:v>
      </x:c>
      <x:c r="D6" s="10" t="str">
        <x:v>Strike</x:v>
      </x:c>
      <x:c r="E6" s="10" t="str">
        <x:v>PPI price</x:v>
      </x:c>
      <x:c r="F6" s="10" t="str">
        <x:v>GGAL spot</x:v>
      </x:c>
      <x:c r="G6" s="10" t="str">
        <x:v>Days to expiry</x:v>
      </x:c>
      <x:c r="H6" s="10" t="str">
        <x:v>Intrinsic</x:v>
      </x:c>
      <x:c r="I6" s="10" t="str">
        <x:v>Time value</x:v>
      </x:c>
      <x:c r="J6" s="10" t="str">
        <x:v>K / spot</x:v>
      </x:c>
      <x:c r="K6" s="10" t="str">
        <x:v>IV estimate</x:v>
      </x:c>
      <x:c r="L6" s="10" t="str">
        <x:v>BS delta</x:v>
      </x:c>
      <x:c r="M6" s="10" t="str">
        <x:v>BS vega / 1pp</x:v>
      </x:c>
      <x:c r="N6" s="10" t="str">
        <x:v>Raw volume</x:v>
      </x:c>
      <x:c r="O6" s="10" t="str">
        <x:v>Low</x:v>
      </x:c>
      <x:c r="P6" s="10" t="str">
        <x:v>High</x:v>
      </x:c>
      <x:c r="Q6" s="10" t="str">
        <x:v>Data status</x:v>
      </x:c>
      <x:c r="R6" s="10" t="str">
        <x:v>Source row</x:v>
      </x:c>
    </x:row>
    <x:row r="7" ht="21" customHeight="1">
      <x:c r="A7" s="12" t="n">
        <x:v>46281</x:v>
      </x:c>
      <x:c r="B7" s="1" t="str">
        <x:v>GFGC6800OC</x:v>
      </x:c>
      <x:c r="C7" s="1" t="str">
        <x:v>call</x:v>
      </x:c>
      <x:c r="D7" s="11" t="n">
        <x:v>6800</x:v>
      </x:c>
      <x:c r="E7" s="11" t="n">
        <x:f>'Option source'!B258</x:f>
        <x:v>376.43</x:v>
      </x:c>
      <x:c r="F7" s="11" t="n">
        <x:v>6760</x:v>
      </x:c>
      <x:c r="G7" s="18" t="n">
        <x:v>30</x:v>
      </x:c>
      <x:c r="H7" s="11" t="n">
        <x:f>MAX(IF(C7="call",F7-D7,D7-F7),0)</x:f>
        <x:v>0</x:v>
      </x:c>
      <x:c r="I7" s="11" t="n">
        <x:f>E7-H7</x:f>
        <x:v>376.43</x:v>
      </x:c>
      <x:c r="J7" s="13" t="n">
        <x:f>D7/F7</x:f>
        <x:v>1.0059171597633136</x:v>
      </x:c>
      <x:c r="K7" s="13" t="n">
        <x:v>0.40439010230283473</x:v>
      </x:c>
      <x:c r="L7" s="17" t="n">
        <x:v>0.5869722886674886</x:v>
      </x:c>
      <x:c r="M7" s="17" t="n">
        <x:v>7.547161159092123</x:v>
      </x:c>
      <x:c r="N7" s="11" t="n">
        <x:f>'Option source'!C258</x:f>
        <x:v>100339456</x:v>
      </x:c>
      <x:c r="O7" s="11" t="n">
        <x:f>'Option source'!G258</x:f>
        <x:v>330</x:v>
      </x:c>
      <x:c r="P7" s="11" t="n">
        <x:f>'Option source'!F258</x:f>
        <x:v>429.88</x:v>
      </x:c>
      <x:c r="Q7" s="1" t="str">
        <x:v>Screen passed; indicative</x:v>
      </x:c>
      <x:c r="R7" s="1" t="n">
        <x:v>253</x:v>
      </x:c>
    </x:row>
    <x:row r="8" ht="21" customHeight="1">
      <x:c r="A8" s="12" t="n">
        <x:v>46281</x:v>
      </x:c>
      <x:c r="B8" s="1" t="str">
        <x:v>GFGV6800OC</x:v>
      </x:c>
      <x:c r="C8" s="1" t="str">
        <x:v>put</x:v>
      </x:c>
      <x:c r="D8" s="11" t="n">
        <x:v>6800</x:v>
      </x:c>
      <x:c r="E8" s="11" t="n">
        <x:f>'Option source'!B752</x:f>
        <x:v>312.15</x:v>
      </x:c>
      <x:c r="F8" s="11" t="n">
        <x:v>6760</x:v>
      </x:c>
      <x:c r="G8" s="18" t="n">
        <x:v>30</x:v>
      </x:c>
      <x:c r="H8" s="11" t="n">
        <x:f>MAX(IF(C8="call",F8-D8,D8-F8),0)</x:f>
        <x:v>40</x:v>
      </x:c>
      <x:c r="I8" s="11" t="n">
        <x:f>E8-H8</x:f>
        <x:v>272.15</x:v>
      </x:c>
      <x:c r="J8" s="13" t="n">
        <x:f>D8/F8</x:f>
        <x:v>1.0059171597633136</x:v>
      </x:c>
      <x:c r="K8" s="13" t="n">
        <x:v>0.4623450037624171</x:v>
      </x:c>
      <x:c r="L8" s="17" t="n">
        <x:v>-0.4176965165974782</x:v>
      </x:c>
      <x:c r="M8" s="17" t="n">
        <x:v>7.566504064804416</x:v>
      </x:c>
      <x:c r="N8" s="11" t="n">
        <x:f>'Option source'!C752</x:f>
        <x:v>81244632</x:v>
      </x:c>
      <x:c r="O8" s="11" t="n">
        <x:f>'Option source'!G752</x:f>
        <x:v>285</x:v>
      </x:c>
      <x:c r="P8" s="11" t="n">
        <x:f>'Option source'!F752</x:f>
        <x:v>345</x:v>
      </x:c>
      <x:c r="Q8" s="1" t="str">
        <x:v>Screen passed; indicative</x:v>
      </x:c>
      <x:c r="R8" s="1" t="n">
        <x:v>747</x:v>
      </x:c>
    </x:row>
    <x:row r="9" ht="21" customHeight="1">
      <x:c r="A9" s="12" t="n">
        <x:v>46281</x:v>
      </x:c>
      <x:c r="B9" s="1" t="str">
        <x:v>GFGC6600OC</x:v>
      </x:c>
      <x:c r="C9" s="1" t="str">
        <x:v>call</x:v>
      </x:c>
      <x:c r="D9" s="11" t="n">
        <x:v>6600</x:v>
      </x:c>
      <x:c r="E9" s="11" t="n">
        <x:f>'Option source'!B239</x:f>
        <x:v>478.22</x:v>
      </x:c>
      <x:c r="F9" s="11" t="n">
        <x:v>6760</x:v>
      </x:c>
      <x:c r="G9" s="18" t="n">
        <x:v>30</x:v>
      </x:c>
      <x:c r="H9" s="11" t="n">
        <x:f>MAX(IF(C9="call",F9-D9,D9-F9),0)</x:f>
        <x:v>160</x:v>
      </x:c>
      <x:c r="I9" s="11" t="n">
        <x:f>E9-H9</x:f>
        <x:v>318.22</x:v>
      </x:c>
      <x:c r="J9" s="13" t="n">
        <x:f>D9/F9</x:f>
        <x:v>0.9763313609467456</x:v>
      </x:c>
      <x:c r="K9" s="13" t="n">
        <x:v>0.3845605174242546</x:v>
      </x:c>
      <x:c r="L9" s="17" t="n">
        <x:v>0.6900664829621354</x:v>
      </x:c>
      <x:c r="M9" s="17" t="n">
        <x:v>6.836611517116694</x:v>
      </x:c>
      <x:c r="N9" s="11" t="n">
        <x:f>'Option source'!C239</x:f>
        <x:v>55284376</x:v>
      </x:c>
      <x:c r="O9" s="11" t="n">
        <x:f>'Option source'!G239</x:f>
        <x:v>435</x:v>
      </x:c>
      <x:c r="P9" s="11" t="n">
        <x:f>'Option source'!F239</x:f>
        <x:v>540</x:v>
      </x:c>
      <x:c r="Q9" s="1" t="str">
        <x:v>Screen passed; indicative</x:v>
      </x:c>
      <x:c r="R9" s="1" t="n">
        <x:v>234</x:v>
      </x:c>
    </x:row>
    <x:row r="10" ht="21" customHeight="1">
      <x:c r="A10" s="12" t="n">
        <x:v>46281</x:v>
      </x:c>
      <x:c r="B10" s="1" t="str">
        <x:v>GFGV6600OC</x:v>
      </x:c>
      <x:c r="C10" s="1" t="str">
        <x:v>put</x:v>
      </x:c>
      <x:c r="D10" s="11" t="n">
        <x:v>6600</x:v>
      </x:c>
      <x:c r="E10" s="11" t="n">
        <x:f>'Option source'!B733</x:f>
        <x:v>222.45</x:v>
      </x:c>
      <x:c r="F10" s="11" t="n">
        <x:v>6760</x:v>
      </x:c>
      <x:c r="G10" s="18" t="n">
        <x:v>30</x:v>
      </x:c>
      <x:c r="H10" s="11" t="n">
        <x:f>MAX(IF(C10="call",F10-D10,D10-F10),0)</x:f>
        <x:v>0</x:v>
      </x:c>
      <x:c r="I10" s="11" t="n">
        <x:f>E10-H10</x:f>
        <x:v>222.45</x:v>
      </x:c>
      <x:c r="J10" s="13" t="n">
        <x:f>D10/F10</x:f>
        <x:v>0.9763313609467456</x:v>
      </x:c>
      <x:c r="K10" s="13" t="n">
        <x:v>0.4619316372287913</x:v>
      </x:c>
      <x:c r="L10" s="17" t="n">
        <x:v>-0.33240609281424527</x:v>
      </x:c>
      <x:c r="M10" s="17" t="n">
        <x:v>7.038915947283138</x:v>
      </x:c>
      <x:c r="N10" s="11" t="n">
        <x:f>'Option source'!C733</x:f>
        <x:v>124328488</x:v>
      </x:c>
      <x:c r="O10" s="11" t="n">
        <x:f>'Option source'!G733</x:f>
        <x:v>198.18</x:v>
      </x:c>
      <x:c r="P10" s="11" t="n">
        <x:f>'Option source'!F733</x:f>
        <x:v>249</x:v>
      </x:c>
      <x:c r="Q10" s="1" t="str">
        <x:v>Screen passed; indicative</x:v>
      </x:c>
      <x:c r="R10" s="1" t="n">
        <x:v>728</x:v>
      </x:c>
    </x:row>
    <x:row r="11" ht="21" customHeight="1">
      <x:c r="A11" s="12" t="n">
        <x:v>46281</x:v>
      </x:c>
      <x:c r="B11" s="1" t="str">
        <x:v>GFGC7000OC</x:v>
      </x:c>
      <x:c r="C11" s="1" t="str">
        <x:v>call</x:v>
      </x:c>
      <x:c r="D11" s="11" t="n">
        <x:v>7000</x:v>
      </x:c>
      <x:c r="E11" s="11" t="n">
        <x:f>'Option source'!B277</x:f>
        <x:v>289.65</x:v>
      </x:c>
      <x:c r="F11" s="11" t="n">
        <x:v>6760</x:v>
      </x:c>
      <x:c r="G11" s="18" t="n">
        <x:v>30</x:v>
      </x:c>
      <x:c r="H11" s="11" t="n">
        <x:f>MAX(IF(C11="call",F11-D11,D11-F11),0)</x:f>
        <x:v>0</x:v>
      </x:c>
      <x:c r="I11" s="11" t="n">
        <x:f>E11-H11</x:f>
        <x:v>289.65</x:v>
      </x:c>
      <x:c r="J11" s="13" t="n">
        <x:f>D11/F11</x:f>
        <x:v>1.0355029585798816</x:v>
      </x:c>
      <x:c r="K11" s="13" t="n">
        <x:v>0.41615491438905555</x:v>
      </x:c>
      <x:c r="L11" s="17" t="n">
        <x:v>0.48959346754281935</x:v>
      </x:c>
      <x:c r="M11" s="17" t="n">
        <x:v>7.728997502835312</x:v>
      </x:c>
      <x:c r="N11" s="11" t="n">
        <x:f>'Option source'!C277</x:f>
        <x:v>223562320</x:v>
      </x:c>
      <x:c r="O11" s="11" t="n">
        <x:f>'Option source'!G277</x:f>
        <x:v>237</x:v>
      </x:c>
      <x:c r="P11" s="11" t="n">
        <x:f>'Option source'!F277</x:f>
        <x:v>329.06</x:v>
      </x:c>
      <x:c r="Q11" s="1" t="str">
        <x:v>Screen passed; indicative</x:v>
      </x:c>
      <x:c r="R11" s="1" t="n">
        <x:v>272</x:v>
      </x:c>
    </x:row>
    <x:row r="12" ht="21" customHeight="1">
      <x:c r="A12" s="12" t="n">
        <x:v>46281</x:v>
      </x:c>
      <x:c r="B12" s="1" t="str">
        <x:v>GFGV7000OC</x:v>
      </x:c>
      <x:c r="C12" s="1" t="str">
        <x:v>put</x:v>
      </x:c>
      <x:c r="D12" s="11" t="n">
        <x:v>7000</x:v>
      </x:c>
      <x:c r="E12" s="11" t="n">
        <x:f>'Option source'!B771</x:f>
        <x:v>427.03</x:v>
      </x:c>
      <x:c r="F12" s="11" t="n">
        <x:v>6760</x:v>
      </x:c>
      <x:c r="G12" s="18" t="n">
        <x:v>30</x:v>
      </x:c>
      <x:c r="H12" s="11" t="n">
        <x:f>MAX(IF(C12="call",F12-D12,D12-F12),0)</x:f>
        <x:v>240</x:v>
      </x:c>
      <x:c r="I12" s="11" t="n">
        <x:f>E12-H12</x:f>
        <x:v>187.02999999999997</x:v>
      </x:c>
      <x:c r="J12" s="13" t="n">
        <x:f>D12/F12</x:f>
        <x:v>1.0355029585798816</x:v>
      </x:c>
      <x:c r="K12" s="13" t="n">
        <x:v>0.4707501883926792</x:v>
      </x:c>
      <x:c r="L12" s="17" t="n">
        <x:v>-0.5033184914214262</x:v>
      </x:c>
      <x:c r="M12" s="17" t="n">
        <x:v>7.73136063110297</x:v>
      </x:c>
      <x:c r="N12" s="11" t="n">
        <x:f>'Option source'!C771</x:f>
        <x:v>45682320</x:v>
      </x:c>
      <x:c r="O12" s="11" t="n">
        <x:f>'Option source'!G771</x:f>
        <x:v>385</x:v>
      </x:c>
      <x:c r="P12" s="11" t="n">
        <x:f>'Option source'!F771</x:f>
        <x:v>465</x:v>
      </x:c>
      <x:c r="Q12" s="1" t="str">
        <x:v>Screen passed; indicative</x:v>
      </x:c>
      <x:c r="R12" s="1" t="n">
        <x:v>766</x:v>
      </x:c>
    </x:row>
    <x:row r="13" ht="21" customHeight="1">
      <x:c r="A13" s="12" t="n">
        <x:v>46281</x:v>
      </x:c>
      <x:c r="B13" s="1" t="str">
        <x:v>GFGC6400OC</x:v>
      </x:c>
      <x:c r="C13" s="1" t="str">
        <x:v>call</x:v>
      </x:c>
      <x:c r="D13" s="11" t="n">
        <x:v>6400</x:v>
      </x:c>
      <x:c r="E13" s="11" t="n">
        <x:f>'Option source'!B220</x:f>
        <x:v>616.1</x:v>
      </x:c>
      <x:c r="F13" s="11" t="n">
        <x:v>6760</x:v>
      </x:c>
      <x:c r="G13" s="18" t="n">
        <x:v>30</x:v>
      </x:c>
      <x:c r="H13" s="11" t="n">
        <x:f>MAX(IF(C13="call",F13-D13,D13-F13),0)</x:f>
        <x:v>360</x:v>
      </x:c>
      <x:c r="I13" s="11" t="n">
        <x:f>E13-H13</x:f>
        <x:v>256.1</x:v>
      </x:c>
      <x:c r="J13" s="13" t="n">
        <x:f>D13/F13</x:f>
        <x:v>0.9467455621301775</x:v>
      </x:c>
      <x:c r="K13" s="13" t="n">
        <x:v>0.3869839565146613</x:v>
      </x:c>
      <x:c r="L13" s="17" t="n">
        <x:v>0.7796420812694678</x:v>
      </x:c>
      <x:c r="M13" s="17" t="n">
        <x:v>5.743739896379245</x:v>
      </x:c>
      <x:c r="N13" s="11" t="n">
        <x:f>'Option source'!C220</x:f>
        <x:v>27128652</x:v>
      </x:c>
      <x:c r="O13" s="11" t="n">
        <x:f>'Option source'!G220</x:f>
        <x:v>570</x:v>
      </x:c>
      <x:c r="P13" s="11" t="n">
        <x:f>'Option source'!F220</x:f>
        <x:v>670</x:v>
      </x:c>
      <x:c r="Q13" s="1" t="str">
        <x:v>Screen passed; indicative</x:v>
      </x:c>
      <x:c r="R13" s="1" t="n">
        <x:v>215</x:v>
      </x:c>
    </x:row>
    <x:row r="14" ht="21" customHeight="1">
      <x:c r="A14" s="12" t="n">
        <x:v>46281</x:v>
      </x:c>
      <x:c r="B14" s="1" t="str">
        <x:v>GFGV6400OC</x:v>
      </x:c>
      <x:c r="C14" s="1" t="str">
        <x:v>put</x:v>
      </x:c>
      <x:c r="D14" s="11" t="n">
        <x:v>6400</x:v>
      </x:c>
      <x:c r="E14" s="11" t="n">
        <x:f>'Option source'!B714</x:f>
        <x:v>150.25</x:v>
      </x:c>
      <x:c r="F14" s="11" t="n">
        <x:v>6760</x:v>
      </x:c>
      <x:c r="G14" s="18" t="n">
        <x:v>30</x:v>
      </x:c>
      <x:c r="H14" s="11" t="n">
        <x:f>MAX(IF(C14="call",F14-D14,D14-F14),0)</x:f>
        <x:v>0</x:v>
      </x:c>
      <x:c r="I14" s="11" t="n">
        <x:f>E14-H14</x:f>
        <x:v>150.25</x:v>
      </x:c>
      <x:c r="J14" s="13" t="n">
        <x:f>D14/F14</x:f>
        <x:v>0.9467455621301775</x:v>
      </x:c>
      <x:c r="K14" s="13" t="n">
        <x:v>0.45952810417546824</x:v>
      </x:c>
      <x:c r="L14" s="17" t="n">
        <x:v>-0.2519301149870443</x:v>
      </x:c>
      <x:c r="M14" s="17" t="n">
        <x:v>6.183727603037229</x:v>
      </x:c>
      <x:c r="N14" s="11" t="n">
        <x:f>'Option source'!C714</x:f>
        <x:v>109657352</x:v>
      </x:c>
      <x:c r="O14" s="11" t="n">
        <x:f>'Option source'!G714</x:f>
        <x:v>132.99</x:v>
      </x:c>
      <x:c r="P14" s="11" t="n">
        <x:f>'Option source'!F714</x:f>
        <x:v>171</x:v>
      </x:c>
      <x:c r="Q14" s="1" t="str">
        <x:v>Screen passed; indicative</x:v>
      </x:c>
      <x:c r="R14" s="1" t="n">
        <x:v>709</x:v>
      </x:c>
    </x:row>
    <x:row r="15" ht="21" customHeight="1">
      <x:c r="A15" s="12" t="n">
        <x:v>46281</x:v>
      </x:c>
      <x:c r="B15" s="1" t="str">
        <x:v>GFGC7200OC</x:v>
      </x:c>
      <x:c r="C15" s="1" t="str">
        <x:v>call</x:v>
      </x:c>
      <x:c r="D15" s="11" t="n">
        <x:v>7200</x:v>
      </x:c>
      <x:c r="E15" s="11" t="n">
        <x:f>'Option source'!B296</x:f>
        <x:v>213.18</x:v>
      </x:c>
      <x:c r="F15" s="11" t="n">
        <x:v>6760</x:v>
      </x:c>
      <x:c r="G15" s="18" t="n">
        <x:v>30</x:v>
      </x:c>
      <x:c r="H15" s="11" t="n">
        <x:f>MAX(IF(C15="call",F15-D15,D15-F15),0)</x:f>
        <x:v>0</x:v>
      </x:c>
      <x:c r="I15" s="11" t="n">
        <x:f>E15-H15</x:f>
        <x:v>213.18</x:v>
      </x:c>
      <x:c r="J15" s="13" t="n">
        <x:f>D15/F15</x:f>
        <x:v>1.0650887573964498</x:v>
      </x:c>
      <x:c r="K15" s="13" t="n">
        <x:v>0.4172587971642073</x:v>
      </x:c>
      <x:c r="L15" s="17" t="n">
        <x:v>0.3969700485184003</x:v>
      </x:c>
      <x:c r="M15" s="17" t="n">
        <x:v>7.472333700016554</x:v>
      </x:c>
      <x:c r="N15" s="11" t="n">
        <x:f>'Option source'!C296</x:f>
        <x:v>147861040</x:v>
      </x:c>
      <x:c r="O15" s="11" t="n">
        <x:f>'Option source'!G296</x:f>
        <x:v>181</x:v>
      </x:c>
      <x:c r="P15" s="11" t="n">
        <x:f>'Option source'!F296</x:f>
        <x:v>245</x:v>
      </x:c>
      <x:c r="Q15" s="1" t="str">
        <x:v>Screen passed; indicative</x:v>
      </x:c>
      <x:c r="R15" s="1" t="n">
        <x:v>291</x:v>
      </x:c>
    </x:row>
    <x:row r="16" ht="21" customHeight="1">
      <x:c r="A16" s="12" t="n">
        <x:v>46281</x:v>
      </x:c>
      <x:c r="B16" s="1" t="str">
        <x:v>GFGV7200OC</x:v>
      </x:c>
      <x:c r="C16" s="1" t="str">
        <x:v>put</x:v>
      </x:c>
      <x:c r="D16" s="11" t="n">
        <x:v>7200</x:v>
      </x:c>
      <x:c r="E16" s="11" t="n">
        <x:f>'Option source'!B790</x:f>
        <x:v>550.35</x:v>
      </x:c>
      <x:c r="F16" s="11" t="n">
        <x:v>6760</x:v>
      </x:c>
      <x:c r="G16" s="18" t="n">
        <x:v>30</x:v>
      </x:c>
      <x:c r="H16" s="11" t="n">
        <x:f>MAX(IF(C16="call",F16-D16,D16-F16),0)</x:f>
        <x:v>440</x:v>
      </x:c>
      <x:c r="I16" s="11" t="n">
        <x:f>E16-H16</x:f>
        <x:v>110.35000000000002</x:v>
      </x:c>
      <x:c r="J16" s="13" t="n">
        <x:f>D16/F16</x:f>
        <x:v>1.0650887573964498</x:v>
      </x:c>
      <x:c r="K16" s="13" t="n">
        <x:v>0.46356595077901613</x:v>
      </x:c>
      <x:c r="L16" s="17" t="n">
        <x:v>-0.5880349278217802</x:v>
      </x:c>
      <x:c r="M16" s="17" t="n">
        <x:v>7.542607185149983</x:v>
      </x:c>
      <x:c r="N16" s="11" t="n">
        <x:f>'Option source'!C790</x:f>
        <x:v>10836713</x:v>
      </x:c>
      <x:c r="O16" s="11" t="n">
        <x:f>'Option source'!G790</x:f>
        <x:v>521</x:v>
      </x:c>
      <x:c r="P16" s="11" t="n">
        <x:f>'Option source'!F790</x:f>
        <x:v>590</x:v>
      </x:c>
      <x:c r="Q16" s="1" t="str">
        <x:v>Screen passed; indicative</x:v>
      </x:c>
      <x:c r="R16" s="1" t="n">
        <x:v>785</x:v>
      </x:c>
    </x:row>
    <x:row r="17" ht="21" customHeight="1">
      <x:c r="A17" s="12" t="n">
        <x:v>46281</x:v>
      </x:c>
      <x:c r="B17" s="1" t="str">
        <x:v>GFGC6200OC</x:v>
      </x:c>
      <x:c r="C17" s="1" t="str">
        <x:v>call</x:v>
      </x:c>
      <x:c r="D17" s="11" t="n">
        <x:v>6200</x:v>
      </x:c>
      <x:c r="E17" s="11" t="n">
        <x:f>'Option source'!B201</x:f>
        <x:v>704.74</x:v>
      </x:c>
      <x:c r="F17" s="11" t="n">
        <x:v>6760</x:v>
      </x:c>
      <x:c r="G17" s="18" t="n">
        <x:v>30</x:v>
      </x:c>
      <x:c r="H17" s="11" t="n">
        <x:f>MAX(IF(C17="call",F17-D17,D17-F17),0)</x:f>
        <x:v>560</x:v>
      </x:c>
      <x:c r="I17" s="11" t="n">
        <x:f>E17-H17</x:f>
        <x:v>144.74</x:v>
      </x:c>
      <x:c r="J17" s="13" t="n">
        <x:f>D17/F17</x:f>
        <x:v>0.9171597633136095</x:v>
      </x:c>
      <x:c r="K17" s="13"/>
      <x:c r="L17" s="17"/>
      <x:c r="M17" s="17"/>
      <x:c r="N17" s="11" t="n">
        <x:f>'Option source'!C201</x:f>
        <x:v>13875889</x:v>
      </x:c>
      <x:c r="O17" s="11" t="n">
        <x:f>'Option source'!G201</x:f>
        <x:v>700</x:v>
      </x:c>
      <x:c r="P17" s="11" t="n">
        <x:f>'Option source'!F201</x:f>
        <x:v>810</x:v>
      </x:c>
      <x:c r="Q17" s="1" t="str">
        <x:v>No stable model IV</x:v>
      </x:c>
      <x:c r="R17" s="1" t="n">
        <x:v>196</x:v>
      </x:c>
    </x:row>
    <x:row r="18" ht="21" customHeight="1">
      <x:c r="A18" s="12" t="n">
        <x:v>46281</x:v>
      </x:c>
      <x:c r="B18" s="1" t="str">
        <x:v>GFGV6200OC</x:v>
      </x:c>
      <x:c r="C18" s="1" t="str">
        <x:v>put</x:v>
      </x:c>
      <x:c r="D18" s="11" t="n">
        <x:v>6200</x:v>
      </x:c>
      <x:c r="E18" s="11" t="n">
        <x:f>'Option source'!B695</x:f>
        <x:v>97.41</x:v>
      </x:c>
      <x:c r="F18" s="11" t="n">
        <x:v>6760</x:v>
      </x:c>
      <x:c r="G18" s="18" t="n">
        <x:v>30</x:v>
      </x:c>
      <x:c r="H18" s="11" t="n">
        <x:f>MAX(IF(C18="call",F18-D18,D18-F18),0)</x:f>
        <x:v>0</x:v>
      </x:c>
      <x:c r="I18" s="11" t="n">
        <x:f>E18-H18</x:f>
        <x:v>97.41</x:v>
      </x:c>
      <x:c r="J18" s="13" t="n">
        <x:f>D18/F18</x:f>
        <x:v>0.9171597633136095</x:v>
      </x:c>
      <x:c r="K18" s="13" t="n">
        <x:v>0.45889877574325805</x:v>
      </x:c>
      <x:c r="L18" s="17" t="n">
        <x:v>-0.1812833210858802</x:v>
      </x:c>
      <x:c r="M18" s="17" t="n">
        <x:v>5.1081011638969525</x:v>
      </x:c>
      <x:c r="N18" s="11" t="n">
        <x:f>'Option source'!C695</x:f>
        <x:v>54669212</x:v>
      </x:c>
      <x:c r="O18" s="11" t="n">
        <x:f>'Option source'!G695</x:f>
        <x:v>83.05</x:v>
      </x:c>
      <x:c r="P18" s="11" t="n">
        <x:f>'Option source'!F695</x:f>
        <x:v>117.6</x:v>
      </x:c>
      <x:c r="Q18" s="1" t="str">
        <x:v>Screen passed; indicative</x:v>
      </x:c>
      <x:c r="R18" s="1" t="n">
        <x:v>690</x:v>
      </x:c>
    </x:row>
    <x:row r="19" ht="21" customHeight="1">
      <x:c r="A19" s="12" t="n">
        <x:v>46281</x:v>
      </x:c>
      <x:c r="B19" s="1" t="str">
        <x:v>GFGC7400OC</x:v>
      </x:c>
      <x:c r="C19" s="1" t="str">
        <x:v>call</x:v>
      </x:c>
      <x:c r="D19" s="11" t="n">
        <x:v>7400</x:v>
      </x:c>
      <x:c r="E19" s="11" t="n">
        <x:f>'Option source'!B315</x:f>
        <x:v>157.14</x:v>
      </x:c>
      <x:c r="F19" s="11" t="n">
        <x:v>6760</x:v>
      </x:c>
      <x:c r="G19" s="18" t="n">
        <x:v>30</x:v>
      </x:c>
      <x:c r="H19" s="11" t="n">
        <x:f>MAX(IF(C19="call",F19-D19,D19-F19),0)</x:f>
        <x:v>0</x:v>
      </x:c>
      <x:c r="I19" s="11" t="n">
        <x:f>E19-H19</x:f>
        <x:v>157.14</x:v>
      </x:c>
      <x:c r="J19" s="13" t="n">
        <x:f>D19/F19</x:f>
        <x:v>1.0946745562130178</x:v>
      </x:c>
      <x:c r="K19" s="13" t="n">
        <x:v>0.42384091436363663</x:v>
      </x:c>
      <x:c r="L19" s="17" t="n">
        <x:v>0.31534577296766164</x:v>
      </x:c>
      <x:c r="M19" s="17" t="n">
        <x:v>6.887839008822348</x:v>
      </x:c>
      <x:c r="N19" s="11" t="n">
        <x:f>'Option source'!C315</x:f>
        <x:v>192882096</x:v>
      </x:c>
      <x:c r="O19" s="11" t="n">
        <x:f>'Option source'!G315</x:f>
        <x:v>111</x:v>
      </x:c>
      <x:c r="P19" s="11" t="n">
        <x:f>'Option source'!F315</x:f>
        <x:v>177.99</x:v>
      </x:c>
      <x:c r="Q19" s="1" t="str">
        <x:v>Screen passed; indicative</x:v>
      </x:c>
      <x:c r="R19" s="1" t="n">
        <x:v>310</x:v>
      </x:c>
    </x:row>
    <x:row r="20" ht="21" customHeight="1">
      <x:c r="A20" s="12" t="n">
        <x:v>46281</x:v>
      </x:c>
      <x:c r="B20" s="1" t="str">
        <x:v>GFGV7400OC</x:v>
      </x:c>
      <x:c r="C20" s="1" t="str">
        <x:v>put</x:v>
      </x:c>
      <x:c r="D20" s="11" t="n">
        <x:v>7400</x:v>
      </x:c>
      <x:c r="E20" s="11" t="n">
        <x:f>'Option source'!B809</x:f>
        <x:v>677.83</x:v>
      </x:c>
      <x:c r="F20" s="11" t="n">
        <x:v>6760</x:v>
      </x:c>
      <x:c r="G20" s="18" t="n">
        <x:v>30</x:v>
      </x:c>
      <x:c r="H20" s="11" t="n">
        <x:f>MAX(IF(C20="call",F20-D20,D20-F20),0)</x:f>
        <x:v>640</x:v>
      </x:c>
      <x:c r="I20" s="11" t="n">
        <x:f>E20-H20</x:f>
        <x:v>37.83000000000004</x:v>
      </x:c>
      <x:c r="J20" s="13" t="n">
        <x:f>D20/F20</x:f>
        <x:v>1.0946745562130178</x:v>
      </x:c>
      <x:c r="K20" s="13" t="n">
        <x:v>0.42688101271685724</x:v>
      </x:c>
      <x:c r="L20" s="17" t="n">
        <x:v>-0.6831271829556859</x:v>
      </x:c>
      <x:c r="M20" s="17" t="n">
        <x:v>6.90200318741137</x:v>
      </x:c>
      <x:c r="N20" s="11" t="n">
        <x:f>'Option source'!C809</x:f>
        <x:v>6190239</x:v>
      </x:c>
      <x:c r="O20" s="11" t="n">
        <x:f>'Option source'!G809</x:f>
        <x:v>630.55</x:v>
      </x:c>
      <x:c r="P20" s="11" t="n">
        <x:f>'Option source'!F809</x:f>
        <x:v>715.55</x:v>
      </x:c>
      <x:c r="Q20" s="1" t="str">
        <x:v>Screen passed; indicative</x:v>
      </x:c>
      <x:c r="R20" s="1" t="n">
        <x:v>804</x:v>
      </x:c>
    </x:row>
    <x:row r="21" ht="21" customHeight="1">
      <x:c r="A21" s="12" t="n">
        <x:v>46281</x:v>
      </x:c>
      <x:c r="B21" s="1" t="str">
        <x:v>GFGC6000OC</x:v>
      </x:c>
      <x:c r="C21" s="1" t="str">
        <x:v>call</x:v>
      </x:c>
      <x:c r="D21" s="11" t="n">
        <x:v>6000</x:v>
      </x:c>
      <x:c r="E21" s="11" t="n">
        <x:f>'Option source'!B182</x:f>
        <x:v>916.41</x:v>
      </x:c>
      <x:c r="F21" s="11" t="n">
        <x:v>6760</x:v>
      </x:c>
      <x:c r="G21" s="18" t="n">
        <x:v>30</x:v>
      </x:c>
      <x:c r="H21" s="11" t="n">
        <x:f>MAX(IF(C21="call",F21-D21,D21-F21),0)</x:f>
        <x:v>760</x:v>
      </x:c>
      <x:c r="I21" s="11" t="n">
        <x:f>E21-H21</x:f>
        <x:v>156.40999999999997</x:v>
      </x:c>
      <x:c r="J21" s="13" t="n">
        <x:f>D21/F21</x:f>
        <x:v>0.8875739644970414</x:v>
      </x:c>
      <x:c r="K21" s="13" t="n">
        <x:v>0.29844270352894725</x:v>
      </x:c>
      <x:c r="L21" s="17" t="n">
        <x:v>0.9577244626692842</x:v>
      </x:c>
      <x:c r="M21" s="17" t="n">
        <x:v>1.7467079536767682</x:v>
      </x:c>
      <x:c r="N21" s="11" t="n">
        <x:f>'Option source'!C182</x:f>
        <x:v>11611929</x:v>
      </x:c>
      <x:c r="O21" s="11" t="n">
        <x:f>'Option source'!G182</x:f>
        <x:v>856.28</x:v>
      </x:c>
      <x:c r="P21" s="11" t="n">
        <x:f>'Option source'!F182</x:f>
        <x:v>946.54</x:v>
      </x:c>
      <x:c r="Q21" s="1" t="str">
        <x:v>Screen passed; indicative</x:v>
      </x:c>
      <x:c r="R21" s="1" t="n">
        <x:v>177</x:v>
      </x:c>
    </x:row>
    <x:row r="22" ht="21" customHeight="1">
      <x:c r="A22" s="12" t="n">
        <x:v>46281</x:v>
      </x:c>
      <x:c r="B22" s="1" t="str">
        <x:v>GFGV6000OC</x:v>
      </x:c>
      <x:c r="C22" s="1" t="str">
        <x:v>put</x:v>
      </x:c>
      <x:c r="D22" s="11" t="n">
        <x:v>6000</x:v>
      </x:c>
      <x:c r="E22" s="11" t="n">
        <x:f>'Option source'!B676</x:f>
        <x:v>56.82</x:v>
      </x:c>
      <x:c r="F22" s="11" t="n">
        <x:v>6760</x:v>
      </x:c>
      <x:c r="G22" s="18" t="n">
        <x:v>30</x:v>
      </x:c>
      <x:c r="H22" s="11" t="n">
        <x:f>MAX(IF(C22="call",F22-D22,D22-F22),0)</x:f>
        <x:v>0</x:v>
      </x:c>
      <x:c r="I22" s="11" t="n">
        <x:f>E22-H22</x:f>
        <x:v>56.82</x:v>
      </x:c>
      <x:c r="J22" s="13" t="n">
        <x:f>D22/F22</x:f>
        <x:v>0.8875739644970414</x:v>
      </x:c>
      <x:c r="K22" s="13" t="n">
        <x:v>0.45172074248788235</x:v>
      </x:c>
      <x:c r="L22" s="17" t="n">
        <x:v>-0.11978267731393377</x:v>
      </x:c>
      <x:c r="M22" s="17" t="n">
        <x:v>3.871897041459863</x:v>
      </x:c>
      <x:c r="N22" s="11" t="n">
        <x:f>'Option source'!C676</x:f>
        <x:v>31602294</x:v>
      </x:c>
      <x:c r="O22" s="11" t="n">
        <x:f>'Option source'!G676</x:f>
        <x:v>48.93</x:v>
      </x:c>
      <x:c r="P22" s="11" t="n">
        <x:f>'Option source'!F676</x:f>
        <x:v>69.71</x:v>
      </x:c>
      <x:c r="Q22" s="1" t="str">
        <x:v>Screen passed; indicative</x:v>
      </x:c>
      <x:c r="R22" s="1" t="n">
        <x:v>671</x:v>
      </x:c>
    </x:row>
    <x:row r="23" ht="21" customHeight="1">
      <x:c r="A23" s="12" t="n">
        <x:v>46281</x:v>
      </x:c>
      <x:c r="B23" s="1" t="str">
        <x:v>GFGC7600OC</x:v>
      </x:c>
      <x:c r="C23" s="1" t="str">
        <x:v>call</x:v>
      </x:c>
      <x:c r="D23" s="11" t="n">
        <x:v>7600</x:v>
      </x:c>
      <x:c r="E23" s="11" t="n">
        <x:f>'Option source'!B334</x:f>
        <x:v>107.66</x:v>
      </x:c>
      <x:c r="F23" s="11" t="n">
        <x:v>6760</x:v>
      </x:c>
      <x:c r="G23" s="18" t="n">
        <x:v>30</x:v>
      </x:c>
      <x:c r="H23" s="11" t="n">
        <x:f>MAX(IF(C23="call",F23-D23,D23-F23),0)</x:f>
        <x:v>0</x:v>
      </x:c>
      <x:c r="I23" s="11" t="n">
        <x:f>E23-H23</x:f>
        <x:v>107.66</x:v>
      </x:c>
      <x:c r="J23" s="13" t="n">
        <x:f>D23/F23</x:f>
        <x:v>1.1242603550295858</x:v>
      </x:c>
      <x:c r="K23" s="13" t="n">
        <x:v>0.4189701396364364</x:v>
      </x:c>
      <x:c r="L23" s="17" t="n">
        <x:v>0.2389234187577026</x:v>
      </x:c>
      <x:c r="M23" s="17" t="n">
        <x:v>6.010048439546301</x:v>
      </x:c>
      <x:c r="N23" s="11" t="n">
        <x:f>'Option source'!C334</x:f>
        <x:v>235477376</x:v>
      </x:c>
      <x:c r="O23" s="11" t="n">
        <x:f>'Option source'!G334</x:f>
        <x:v>95</x:v>
      </x:c>
      <x:c r="P23" s="11" t="n">
        <x:f>'Option source'!F334</x:f>
        <x:v>127</x:v>
      </x:c>
      <x:c r="Q23" s="1" t="str">
        <x:v>Screen passed; indicative</x:v>
      </x:c>
      <x:c r="R23" s="1" t="n">
        <x:v>329</x:v>
      </x:c>
    </x:row>
    <x:row r="24" ht="21" customHeight="1">
      <x:c r="A24" s="12" t="n">
        <x:v>46281</x:v>
      </x:c>
      <x:c r="B24" s="1" t="str">
        <x:v>GFGV7600OC</x:v>
      </x:c>
      <x:c r="C24" s="1" t="str">
        <x:v>put</x:v>
      </x:c>
      <x:c r="D24" s="11" t="n">
        <x:v>7600</x:v>
      </x:c>
      <x:c r="E24" s="11" t="n">
        <x:f>'Option source'!B828</x:f>
        <x:v>857</x:v>
      </x:c>
      <x:c r="F24" s="11" t="n">
        <x:v>6760</x:v>
      </x:c>
      <x:c r="G24" s="18" t="n">
        <x:v>30</x:v>
      </x:c>
      <x:c r="H24" s="11" t="n">
        <x:f>MAX(IF(C24="call",F24-D24,D24-F24),0)</x:f>
        <x:v>840</x:v>
      </x:c>
      <x:c r="I24" s="11" t="n">
        <x:f>E24-H24</x:f>
        <x:v>17</x:v>
      </x:c>
      <x:c r="J24" s="13" t="n">
        <x:f>D24/F24</x:f>
        <x:v>1.1242603550295858</x:v>
      </x:c>
      <x:c r="K24" s="13" t="n">
        <x:v>0.44896149599338425</x:v>
      </x:c>
      <x:c r="L24" s="17" t="n">
        <x:v>-0.7434586100327699</x:v>
      </x:c>
      <x:c r="M24" s="17" t="n">
        <x:v>6.242819966753235</x:v>
      </x:c>
      <x:c r="N24" s="11" t="n">
        <x:f>'Option source'!C828</x:f>
        <x:v>4665704</x:v>
      </x:c>
      <x:c r="O24" s="11" t="n">
        <x:f>'Option source'!G828</x:f>
        <x:v>753.12</x:v>
      </x:c>
      <x:c r="P24" s="11" t="n">
        <x:f>'Option source'!F828</x:f>
        <x:v>916</x:v>
      </x:c>
      <x:c r="Q24" s="1" t="str">
        <x:v>Screen passed; indicative</x:v>
      </x:c>
      <x:c r="R24" s="1" t="n">
        <x:v>823</x:v>
      </x:c>
    </x:row>
    <x:row r="25" ht="21" customHeight="1">
      <x:c r="A25" s="12" t="n">
        <x:v>46281</x:v>
      </x:c>
      <x:c r="B25" s="1" t="str">
        <x:v>GFGC5800OC</x:v>
      </x:c>
      <x:c r="C25" s="1" t="str">
        <x:v>call</x:v>
      </x:c>
      <x:c r="D25" s="11" t="n">
        <x:v>5800</x:v>
      </x:c>
      <x:c r="E25" s="11" t="n">
        <x:f>'Option source'!B163</x:f>
        <x:v>1049.9</x:v>
      </x:c>
      <x:c r="F25" s="11" t="n">
        <x:v>6760</x:v>
      </x:c>
      <x:c r="G25" s="18" t="n">
        <x:v>30</x:v>
      </x:c>
      <x:c r="H25" s="11" t="n">
        <x:f>MAX(IF(C25="call",F25-D25,D25-F25),0)</x:f>
        <x:v>960</x:v>
      </x:c>
      <x:c r="I25" s="11" t="n">
        <x:f>E25-H25</x:f>
        <x:v>89.90000000000009</x:v>
      </x:c>
      <x:c r="J25" s="13" t="n">
        <x:f>D25/F25</x:f>
        <x:v>0.8579881656804734</x:v>
      </x:c>
      <x:c r="K25" s="13"/>
      <x:c r="L25" s="17"/>
      <x:c r="M25" s="17"/>
      <x:c r="N25" s="11" t="n">
        <x:f>'Option source'!C163</x:f>
        <x:v>1980739.25</x:v>
      </x:c>
      <x:c r="O25" s="11" t="n">
        <x:f>'Option source'!G163</x:f>
        <x:v>1059.3</x:v>
      </x:c>
      <x:c r="P25" s="11" t="n">
        <x:f>'Option source'!F163</x:f>
        <x:v>1142.92</x:v>
      </x:c>
      <x:c r="Q25" s="1" t="str">
        <x:v>Price outside daily range</x:v>
      </x:c>
      <x:c r="R25" s="1" t="n">
        <x:v>158</x:v>
      </x:c>
    </x:row>
    <x:row r="26" ht="21" customHeight="1">
      <x:c r="A26" s="12" t="n">
        <x:v>46281</x:v>
      </x:c>
      <x:c r="B26" s="1" t="str">
        <x:v>GFGV5800OC</x:v>
      </x:c>
      <x:c r="C26" s="1" t="str">
        <x:v>put</x:v>
      </x:c>
      <x:c r="D26" s="11" t="n">
        <x:v>5800</x:v>
      </x:c>
      <x:c r="E26" s="11" t="n">
        <x:f>'Option source'!B657</x:f>
        <x:v>31.98</x:v>
      </x:c>
      <x:c r="F26" s="11" t="n">
        <x:v>6760</x:v>
      </x:c>
      <x:c r="G26" s="18" t="n">
        <x:v>30</x:v>
      </x:c>
      <x:c r="H26" s="11" t="n">
        <x:f>MAX(IF(C26="call",F26-D26,D26-F26),0)</x:f>
        <x:v>0</x:v>
      </x:c>
      <x:c r="I26" s="11" t="n">
        <x:f>E26-H26</x:f>
        <x:v>31.98</x:v>
      </x:c>
      <x:c r="J26" s="13" t="n">
        <x:f>D26/F26</x:f>
        <x:v>0.8579881656804734</x:v>
      </x:c>
      <x:c r="K26" s="13" t="n">
        <x:v>0.45084665351652214</x:v>
      </x:c>
      <x:c r="L26" s="17" t="n">
        <x:v>-0.07487853986481796</x:v>
      </x:c>
      <x:c r="M26" s="17" t="n">
        <x:v>2.7399994756111874</x:v>
      </x:c>
      <x:c r="N26" s="11" t="n">
        <x:f>'Option source'!C657</x:f>
        <x:v>14883324</x:v>
      </x:c>
      <x:c r="O26" s="11" t="n">
        <x:f>'Option source'!G657</x:f>
        <x:v>26.55</x:v>
      </x:c>
      <x:c r="P26" s="11" t="n">
        <x:f>'Option source'!F657</x:f>
        <x:v>37.89</x:v>
      </x:c>
      <x:c r="Q26" s="1" t="str">
        <x:v>Screen passed; indicative</x:v>
      </x:c>
      <x:c r="R26" s="1" t="n">
        <x:v>652</x:v>
      </x:c>
    </x:row>
    <x:row r="27" ht="21" customHeight="1">
      <x:c r="A27" s="12" t="n">
        <x:v>46281</x:v>
      </x:c>
      <x:c r="B27" s="1" t="str">
        <x:v>GFGC7800OC</x:v>
      </x:c>
      <x:c r="C27" s="1" t="str">
        <x:v>call</x:v>
      </x:c>
      <x:c r="D27" s="11" t="n">
        <x:v>7800</x:v>
      </x:c>
      <x:c r="E27" s="11" t="n">
        <x:f>'Option source'!B353</x:f>
        <x:v>75.86</x:v>
      </x:c>
      <x:c r="F27" s="11" t="n">
        <x:v>6760</x:v>
      </x:c>
      <x:c r="G27" s="18" t="n">
        <x:v>30</x:v>
      </x:c>
      <x:c r="H27" s="11" t="n">
        <x:f>MAX(IF(C27="call",F27-D27,D27-F27),0)</x:f>
        <x:v>0</x:v>
      </x:c>
      <x:c r="I27" s="11" t="n">
        <x:f>E27-H27</x:f>
        <x:v>75.86</x:v>
      </x:c>
      <x:c r="J27" s="13" t="n">
        <x:f>D27/F27</x:f>
        <x:v>1.1538461538461537</x:v>
      </x:c>
      <x:c r="K27" s="13" t="n">
        <x:v>0.4234031303779808</x:v>
      </x:c>
      <x:c r="L27" s="17" t="n">
        <x:v>0.18007865112930005</x:v>
      </x:c>
      <x:c r="M27" s="17" t="n">
        <x:v>5.086790739076091</x:v>
      </x:c>
      <x:c r="N27" s="11" t="n">
        <x:f>'Option source'!C353</x:f>
        <x:v>97534584</x:v>
      </x:c>
      <x:c r="O27" s="11" t="n">
        <x:f>'Option source'!G353</x:f>
        <x:v>67.01</x:v>
      </x:c>
      <x:c r="P27" s="11" t="n">
        <x:f>'Option source'!F353</x:f>
        <x:v>89.99</x:v>
      </x:c>
      <x:c r="Q27" s="1" t="str">
        <x:v>Screen passed; indicative</x:v>
      </x:c>
      <x:c r="R27" s="1" t="n">
        <x:v>348</x:v>
      </x:c>
    </x:row>
    <x:row r="28" ht="21" customHeight="1">
      <x:c r="A28" s="12" t="n">
        <x:v>46281</x:v>
      </x:c>
      <x:c r="B28" s="1" t="str">
        <x:v>GFGV7800OC</x:v>
      </x:c>
      <x:c r="C28" s="1" t="str">
        <x:v>put</x:v>
      </x:c>
      <x:c r="D28" s="11" t="n">
        <x:v>7800</x:v>
      </x:c>
      <x:c r="E28" s="11" t="n">
        <x:f>'Option source'!B847</x:f>
        <x:v>1000</x:v>
      </x:c>
      <x:c r="F28" s="11" t="n">
        <x:v>6760</x:v>
      </x:c>
      <x:c r="G28" s="18" t="n">
        <x:v>30</x:v>
      </x:c>
      <x:c r="H28" s="11" t="n">
        <x:f>MAX(IF(C28="call",F28-D28,D28-F28),0)</x:f>
        <x:v>1040</x:v>
      </x:c>
      <x:c r="I28" s="11" t="n">
        <x:f>E28-H28</x:f>
        <x:v>-40</x:v>
      </x:c>
      <x:c r="J28" s="13" t="n">
        <x:f>D28/F28</x:f>
        <x:v>1.1538461538461537</x:v>
      </x:c>
      <x:c r="K28" s="13"/>
      <x:c r="L28" s="17"/>
      <x:c r="M28" s="17"/>
      <x:c r="N28" s="11" t="n">
        <x:f>'Option source'!C847</x:f>
        <x:v>302000</x:v>
      </x:c>
      <x:c r="O28" s="11" t="n">
        <x:f>'Option source'!G847</x:f>
        <x:v>1020</x:v>
      </x:c>
      <x:c r="P28" s="11" t="n">
        <x:f>'Option source'!F847</x:f>
        <x:v>1020</x:v>
      </x:c>
      <x:c r="Q28" s="1" t="str">
        <x:v>Price outside daily range; Below intrinsic value</x:v>
      </x:c>
      <x:c r="R28" s="1" t="n">
        <x:v>842</x:v>
      </x:c>
    </x:row>
    <x:row r="29" ht="21" customHeight="1">
      <x:c r="A29" s="12" t="n">
        <x:v>46281</x:v>
      </x:c>
      <x:c r="B29" s="1" t="str">
        <x:v>GFGC5600OC</x:v>
      </x:c>
      <x:c r="C29" s="1" t="str">
        <x:v>call</x:v>
      </x:c>
      <x:c r="D29" s="11" t="n">
        <x:v>5600</x:v>
      </x:c>
      <x:c r="E29" s="11" t="n">
        <x:f>'Option source'!B153</x:f>
        <x:v>1233.13</x:v>
      </x:c>
      <x:c r="F29" s="11" t="n">
        <x:v>6760</x:v>
      </x:c>
      <x:c r="G29" s="18" t="n">
        <x:v>30</x:v>
      </x:c>
      <x:c r="H29" s="11" t="n">
        <x:f>MAX(IF(C29="call",F29-D29,D29-F29),0)</x:f>
        <x:v>1160</x:v>
      </x:c>
      <x:c r="I29" s="11" t="n">
        <x:f>E29-H29</x:f>
        <x:v>73.13000000000011</x:v>
      </x:c>
      <x:c r="J29" s="13" t="n">
        <x:f>D29/F29</x:f>
        <x:v>0.8284023668639053</x:v>
      </x:c>
      <x:c r="K29" s="13"/>
      <x:c r="L29" s="17"/>
      <x:c r="M29" s="17"/>
      <x:c r="N29" s="11" t="n">
        <x:f>'Option source'!C153</x:f>
        <x:v>1870673.75</x:v>
      </x:c>
      <x:c r="O29" s="11" t="n">
        <x:f>'Option source'!G153</x:f>
        <x:v>1227.44</x:v>
      </x:c>
      <x:c r="P29" s="11" t="n">
        <x:f>'Option source'!F153</x:f>
        <x:v>1335.39</x:v>
      </x:c>
      <x:c r="Q29" s="1" t="str">
        <x:v>No stable model IV</x:v>
      </x:c>
      <x:c r="R29" s="1" t="n">
        <x:v>148</x:v>
      </x:c>
    </x:row>
    <x:row r="30" ht="21" customHeight="1">
      <x:c r="A30" s="12" t="n">
        <x:v>46281</x:v>
      </x:c>
      <x:c r="B30" s="1" t="str">
        <x:v>GFGV5600OC</x:v>
      </x:c>
      <x:c r="C30" s="1" t="str">
        <x:v>put</x:v>
      </x:c>
      <x:c r="D30" s="11" t="n">
        <x:v>5600</x:v>
      </x:c>
      <x:c r="E30" s="11" t="n">
        <x:f>'Option source'!B638</x:f>
        <x:v>17.15</x:v>
      </x:c>
      <x:c r="F30" s="11" t="n">
        <x:v>6760</x:v>
      </x:c>
      <x:c r="G30" s="18" t="n">
        <x:v>30</x:v>
      </x:c>
      <x:c r="H30" s="11" t="n">
        <x:f>MAX(IF(C30="call",F30-D30,D30-F30),0)</x:f>
        <x:v>0</x:v>
      </x:c>
      <x:c r="I30" s="11" t="n">
        <x:f>E30-H30</x:f>
        <x:v>17.15</x:v>
      </x:c>
      <x:c r="J30" s="13" t="n">
        <x:f>D30/F30</x:f>
        <x:v>0.8284023668639053</x:v>
      </x:c>
      <x:c r="K30" s="13" t="n">
        <x:v>0.45291432335443466</x:v>
      </x:c>
      <x:c r="L30" s="17" t="n">
        <x:v>-0.0441291085983635</x:v>
      </x:c>
      <x:c r="M30" s="17" t="n">
        <x:v>1.8083049649206464</x:v>
      </x:c>
      <x:c r="N30" s="11" t="n">
        <x:f>'Option source'!C638</x:f>
        <x:v>7799133.5</x:v>
      </x:c>
      <x:c r="O30" s="11" t="n">
        <x:f>'Option source'!G638</x:f>
        <x:v>14.36</x:v>
      </x:c>
      <x:c r="P30" s="11" t="n">
        <x:f>'Option source'!F638</x:f>
        <x:v>22.99</x:v>
      </x:c>
      <x:c r="Q30" s="1" t="str">
        <x:v>Screen passed; indicative</x:v>
      </x:c>
      <x:c r="R30" s="1" t="n">
        <x:v>633</x:v>
      </x:c>
    </x:row>
    <x:row r="31" ht="21" customHeight="1">
      <x:c r="A31" s="12" t="n">
        <x:v>46281</x:v>
      </x:c>
      <x:c r="B31" s="1" t="str">
        <x:v>GFGC8000OC</x:v>
      </x:c>
      <x:c r="C31" s="1" t="str">
        <x:v>call</x:v>
      </x:c>
      <x:c r="D31" s="11" t="n">
        <x:v>8000</x:v>
      </x:c>
      <x:c r="E31" s="11" t="n">
        <x:f>'Option source'!B372</x:f>
        <x:v>54.71</x:v>
      </x:c>
      <x:c r="F31" s="11" t="n">
        <x:v>6760</x:v>
      </x:c>
      <x:c r="G31" s="18" t="n">
        <x:v>30</x:v>
      </x:c>
      <x:c r="H31" s="11" t="n">
        <x:f>MAX(IF(C31="call",F31-D31,D31-F31),0)</x:f>
        <x:v>0</x:v>
      </x:c>
      <x:c r="I31" s="11" t="n">
        <x:f>E31-H31</x:f>
        <x:v>54.71</x:v>
      </x:c>
      <x:c r="J31" s="13" t="n">
        <x:f>D31/F31</x:f>
        <x:v>1.183431952662722</x:v>
      </x:c>
      <x:c r="K31" s="13" t="n">
        <x:v>0.4322605355217278</x:v>
      </x:c>
      <x:c r="L31" s="17" t="n">
        <x:v>0.1360802822841062</x:v>
      </x:c>
      <x:c r="M31" s="17" t="n">
        <x:v>4.230867280879823</x:v>
      </x:c>
      <x:c r="N31" s="11" t="n">
        <x:f>'Option source'!C372</x:f>
        <x:v>66091964</x:v>
      </x:c>
      <x:c r="O31" s="11" t="n">
        <x:f>'Option source'!G372</x:f>
        <x:v>46.6</x:v>
      </x:c>
      <x:c r="P31" s="11" t="n">
        <x:f>'Option source'!F372</x:f>
        <x:v>62.99</x:v>
      </x:c>
      <x:c r="Q31" s="1" t="str">
        <x:v>Screen passed; indicative</x:v>
      </x:c>
      <x:c r="R31" s="1" t="n">
        <x:v>367</x:v>
      </x:c>
    </x:row>
    <x:row r="32" ht="21" customHeight="1">
      <x:c r="A32" s="12" t="n">
        <x:v>46281</x:v>
      </x:c>
      <x:c r="B32" s="1" t="str">
        <x:v>GFGV8000OC</x:v>
      </x:c>
      <x:c r="C32" s="1" t="str">
        <x:v>put</x:v>
      </x:c>
      <x:c r="D32" s="11" t="n">
        <x:v>8000</x:v>
      </x:c>
      <x:c r="E32" s="11" t="n">
        <x:f>'Option source'!B866</x:f>
        <x:v>1230</x:v>
      </x:c>
      <x:c r="F32" s="11" t="n">
        <x:v>6760</x:v>
      </x:c>
      <x:c r="G32" s="18" t="n">
        <x:v>30</x:v>
      </x:c>
      <x:c r="H32" s="11" t="n">
        <x:f>MAX(IF(C32="call",F32-D32,D32-F32),0)</x:f>
        <x:v>1240</x:v>
      </x:c>
      <x:c r="I32" s="11" t="n">
        <x:f>E32-H32</x:f>
        <x:v>-10</x:v>
      </x:c>
      <x:c r="J32" s="13" t="n">
        <x:f>D32/F32</x:f>
        <x:v>1.183431952662722</x:v>
      </x:c>
      <x:c r="K32" s="13"/>
      <x:c r="L32" s="17"/>
      <x:c r="M32" s="17"/>
      <x:c r="N32" s="11" t="n">
        <x:f>'Option source'!C866</x:f>
        <x:v>0</x:v>
      </x:c>
      <x:c r="O32" s="11" t="n">
        <x:f>'Option source'!G866</x:f>
        <x:v>1109</x:v>
      </x:c>
      <x:c r="P32" s="11" t="n">
        <x:f>'Option source'!F866</x:f>
        <x:v>1250</x:v>
      </x:c>
      <x:c r="Q32" s="1" t="str">
        <x:v>Zero reported volume; Below intrinsic value</x:v>
      </x:c>
      <x:c r="R32" s="1" t="n">
        <x:v>861</x:v>
      </x:c>
    </x:row>
    <x:row r="33" ht="21" customHeight="1">
      <x:c r="A33" s="12" t="n">
        <x:v>46281</x:v>
      </x:c>
      <x:c r="B33" s="1" t="str">
        <x:v>GFGC5400OC</x:v>
      </x:c>
      <x:c r="C33" s="1" t="str">
        <x:v>call</x:v>
      </x:c>
      <x:c r="D33" s="11" t="n">
        <x:v>5400</x:v>
      </x:c>
      <x:c r="E33" s="11" t="n">
        <x:f>'Option source'!B135</x:f>
        <x:v>1470</x:v>
      </x:c>
      <x:c r="F33" s="11" t="n">
        <x:v>6760</x:v>
      </x:c>
      <x:c r="G33" s="18" t="n">
        <x:v>30</x:v>
      </x:c>
      <x:c r="H33" s="11" t="n">
        <x:f>MAX(IF(C33="call",F33-D33,D33-F33),0)</x:f>
        <x:v>1360</x:v>
      </x:c>
      <x:c r="I33" s="11" t="n">
        <x:f>E33-H33</x:f>
        <x:v>110</x:v>
      </x:c>
      <x:c r="J33" s="13" t="n">
        <x:f>D33/F33</x:f>
        <x:v>0.7988165680473372</x:v>
      </x:c>
      <x:c r="K33" s="13"/>
      <x:c r="L33" s="17"/>
      <x:c r="M33" s="17"/>
      <x:c r="N33" s="11" t="n">
        <x:f>'Option source'!C135</x:f>
        <x:v>0</x:v>
      </x:c>
      <x:c r="O33" s="11" t="n">
        <x:f>'Option source'!G135</x:f>
        <x:v>1424.19</x:v>
      </x:c>
      <x:c r="P33" s="11" t="n">
        <x:f>'Option source'!F135</x:f>
        <x:v>1532.25</x:v>
      </x:c>
      <x:c r="Q33" s="1" t="str">
        <x:v>Zero reported volume</x:v>
      </x:c>
      <x:c r="R33" s="1" t="n">
        <x:v>130</x:v>
      </x:c>
    </x:row>
    <x:row r="34" ht="21" customHeight="1">
      <x:c r="A34" s="12" t="n">
        <x:v>46281</x:v>
      </x:c>
      <x:c r="B34" s="1" t="str">
        <x:v>GFGV5400OC</x:v>
      </x:c>
      <x:c r="C34" s="1" t="str">
        <x:v>put</x:v>
      </x:c>
      <x:c r="D34" s="11" t="n">
        <x:v>5400</x:v>
      </x:c>
      <x:c r="E34" s="11" t="n">
        <x:f>'Option source'!B619</x:f>
        <x:v>9.02</x:v>
      </x:c>
      <x:c r="F34" s="11" t="n">
        <x:v>6760</x:v>
      </x:c>
      <x:c r="G34" s="18" t="n">
        <x:v>30</x:v>
      </x:c>
      <x:c r="H34" s="11" t="n">
        <x:f>MAX(IF(C34="call",F34-D34,D34-F34),0)</x:f>
        <x:v>0</x:v>
      </x:c>
      <x:c r="I34" s="11" t="n">
        <x:f>E34-H34</x:f>
        <x:v>9.02</x:v>
      </x:c>
      <x:c r="J34" s="13" t="n">
        <x:f>D34/F34</x:f>
        <x:v>0.7988165680473372</x:v>
      </x:c>
      <x:c r="K34" s="13" t="n">
        <x:v>0.45968662692499124</x:v>
      </x:c>
      <x:c r="L34" s="17" t="n">
        <x:v>-0.025148638724061034</x:v>
      </x:c>
      <x:c r="M34" s="17" t="n">
        <x:v>1.1383263620540112</x:v>
      </x:c>
      <x:c r="N34" s="11" t="n">
        <x:f>'Option source'!C619</x:f>
        <x:v>1795599.12</x:v>
      </x:c>
      <x:c r="O34" s="11" t="n">
        <x:f>'Option source'!G619</x:f>
        <x:v>7.3</x:v>
      </x:c>
      <x:c r="P34" s="11" t="n">
        <x:f>'Option source'!F619</x:f>
        <x:v>12.63</x:v>
      </x:c>
      <x:c r="Q34" s="1" t="str">
        <x:v>Screen passed; indicative</x:v>
      </x:c>
      <x:c r="R34" s="1" t="n">
        <x:v>614</x:v>
      </x:c>
    </x:row>
    <x:row r="35" ht="21" customHeight="1">
      <x:c r="A35" s="12" t="n">
        <x:v>46281</x:v>
      </x:c>
      <x:c r="B35" s="1" t="str">
        <x:v>GFGC8300OC</x:v>
      </x:c>
      <x:c r="C35" s="1" t="str">
        <x:v>call</x:v>
      </x:c>
      <x:c r="D35" s="11" t="n">
        <x:v>8300</x:v>
      </x:c>
      <x:c r="E35" s="11" t="n">
        <x:f>'Option source'!B391</x:f>
        <x:v>32.2</x:v>
      </x:c>
      <x:c r="F35" s="11" t="n">
        <x:v>6760</x:v>
      </x:c>
      <x:c r="G35" s="18" t="n">
        <x:v>30</x:v>
      </x:c>
      <x:c r="H35" s="11" t="n">
        <x:f>MAX(IF(C35="call",F35-D35,D35-F35),0)</x:f>
        <x:v>0</x:v>
      </x:c>
      <x:c r="I35" s="11" t="n">
        <x:f>E35-H35</x:f>
        <x:v>32.2</x:v>
      </x:c>
      <x:c r="J35" s="13" t="n">
        <x:f>D35/F35</x:f>
        <x:v>1.227810650887574</x:v>
      </x:c>
      <x:c r="K35" s="13" t="n">
        <x:v>0.441080351742178</x:v>
      </x:c>
      <x:c r="L35" s="17" t="n">
        <x:v>0.08616336371067088</x:v>
      </x:c>
      <x:c r="M35" s="17" t="n">
        <x:v>3.0466019778882685</x:v>
      </x:c>
      <x:c r="N35" s="11" t="n">
        <x:f>'Option source'!C391</x:f>
        <x:v>26771796</x:v>
      </x:c>
      <x:c r="O35" s="11" t="n">
        <x:f>'Option source'!G391</x:f>
        <x:v>27</x:v>
      </x:c>
      <x:c r="P35" s="11" t="n">
        <x:f>'Option source'!F391</x:f>
        <x:v>38</x:v>
      </x:c>
      <x:c r="Q35" s="1" t="str">
        <x:v>Screen passed; indicative</x:v>
      </x:c>
      <x:c r="R35" s="1" t="n">
        <x:v>386</x:v>
      </x:c>
    </x:row>
    <x:row r="36" ht="21" customHeight="1">
      <x:c r="A36" s="12" t="n">
        <x:v>46281</x:v>
      </x:c>
      <x:c r="B36" s="1" t="str">
        <x:v>GFGV8300OC</x:v>
      </x:c>
      <x:c r="C36" s="1" t="str">
        <x:v>put</x:v>
      </x:c>
      <x:c r="D36" s="11" t="n">
        <x:v>8300</x:v>
      </x:c>
      <x:c r="E36" s="11" t="n">
        <x:f>'Option source'!B885</x:f>
        <x:v>1520</x:v>
      </x:c>
      <x:c r="F36" s="11" t="n">
        <x:v>6760</x:v>
      </x:c>
      <x:c r="G36" s="18" t="n">
        <x:v>30</x:v>
      </x:c>
      <x:c r="H36" s="11" t="n">
        <x:f>MAX(IF(C36="call",F36-D36,D36-F36),0)</x:f>
        <x:v>1540</x:v>
      </x:c>
      <x:c r="I36" s="11" t="n">
        <x:f>E36-H36</x:f>
        <x:v>-20</x:v>
      </x:c>
      <x:c r="J36" s="13" t="n">
        <x:f>D36/F36</x:f>
        <x:v>1.227810650887574</x:v>
      </x:c>
      <x:c r="K36" s="13"/>
      <x:c r="L36" s="17"/>
      <x:c r="M36" s="17"/>
      <x:c r="N36" s="11" t="n">
        <x:f>'Option source'!C885</x:f>
        <x:v>0</x:v>
      </x:c>
      <x:c r="O36" s="11" t="n">
        <x:f>'Option source'!G885</x:f>
        <x:v>1520</x:v>
      </x:c>
      <x:c r="P36" s="11" t="n">
        <x:f>'Option source'!F885</x:f>
        <x:v>1520</x:v>
      </x:c>
      <x:c r="Q36" s="1" t="str">
        <x:v>Zero reported volume; Below intrinsic value</x:v>
      </x:c>
      <x:c r="R36" s="1" t="n">
        <x:v>880</x:v>
      </x:c>
    </x:row>
    <x:row r="37" ht="21" customHeight="1">
      <x:c r="A37" s="12" t="n">
        <x:v>46281</x:v>
      </x:c>
      <x:c r="B37" s="1" t="str">
        <x:v>GFGC5200OC</x:v>
      </x:c>
      <x:c r="C37" s="1" t="str">
        <x:v>call</x:v>
      </x:c>
      <x:c r="D37" s="11" t="n">
        <x:v>5200</x:v>
      </x:c>
      <x:c r="E37" s="11" t="n">
        <x:f>'Option source'!B116</x:f>
        <x:v>1678.07</x:v>
      </x:c>
      <x:c r="F37" s="11" t="n">
        <x:v>6760</x:v>
      </x:c>
      <x:c r="G37" s="18" t="n">
        <x:v>30</x:v>
      </x:c>
      <x:c r="H37" s="11" t="n">
        <x:f>MAX(IF(C37="call",F37-D37,D37-F37),0)</x:f>
        <x:v>1560</x:v>
      </x:c>
      <x:c r="I37" s="11" t="n">
        <x:f>E37-H37</x:f>
        <x:v>118.06999999999994</x:v>
      </x:c>
      <x:c r="J37" s="13" t="n">
        <x:f>D37/F37</x:f>
        <x:v>0.7692307692307693</x:v>
      </x:c>
      <x:c r="K37" s="13"/>
      <x:c r="L37" s="17"/>
      <x:c r="M37" s="17"/>
      <x:c r="N37" s="11" t="n">
        <x:f>'Option source'!C116</x:f>
        <x:v>0</x:v>
      </x:c>
      <x:c r="O37" s="11" t="n">
        <x:f>'Option source'!G116</x:f>
        <x:v>1653.01</x:v>
      </x:c>
      <x:c r="P37" s="11" t="n">
        <x:f>'Option source'!F116</x:f>
        <x:v>1700</x:v>
      </x:c>
      <x:c r="Q37" s="1" t="str">
        <x:v>Zero reported volume</x:v>
      </x:c>
      <x:c r="R37" s="1" t="n">
        <x:v>111</x:v>
      </x:c>
    </x:row>
    <x:row r="38" ht="21" customHeight="1">
      <x:c r="A38" s="12" t="n">
        <x:v>46281</x:v>
      </x:c>
      <x:c r="B38" s="1" t="str">
        <x:v>GFGV5200OC</x:v>
      </x:c>
      <x:c r="C38" s="1" t="str">
        <x:v>put</x:v>
      </x:c>
      <x:c r="D38" s="11" t="n">
        <x:v>5200</x:v>
      </x:c>
      <x:c r="E38" s="11" t="n">
        <x:f>'Option source'!B600</x:f>
        <x:v>6.01</x:v>
      </x:c>
      <x:c r="F38" s="11" t="n">
        <x:v>6760</x:v>
      </x:c>
      <x:c r="G38" s="18" t="n">
        <x:v>30</x:v>
      </x:c>
      <x:c r="H38" s="11" t="n">
        <x:f>MAX(IF(C38="call",F38-D38,D38-F38),0)</x:f>
        <x:v>0</x:v>
      </x:c>
      <x:c r="I38" s="11" t="n">
        <x:f>E38-H38</x:f>
        <x:v>6.01</x:v>
      </x:c>
      <x:c r="J38" s="13" t="n">
        <x:f>D38/F38</x:f>
        <x:v>0.7692307692307693</x:v>
      </x:c>
      <x:c r="K38" s="13" t="n">
        <x:v>0.48616180507639256</x:v>
      </x:c>
      <x:c r="L38" s="17" t="n">
        <x:v>-0.016627534551743706</x:v>
      </x:c>
      <x:c r="M38" s="17" t="n">
        <x:v>0.8017325333712284</x:v>
      </x:c>
      <x:c r="N38" s="11" t="n">
        <x:f>'Option source'!C600</x:f>
        <x:v>533764.69</x:v>
      </x:c>
      <x:c r="O38" s="11" t="n">
        <x:f>'Option source'!G600</x:f>
        <x:v>3.59</x:v>
      </x:c>
      <x:c r="P38" s="11" t="n">
        <x:f>'Option source'!F600</x:f>
        <x:v>7.7</x:v>
      </x:c>
      <x:c r="Q38" s="1" t="str">
        <x:v>Screen passed; indicative</x:v>
      </x:c>
      <x:c r="R38" s="1" t="n">
        <x:v>595</x:v>
      </x:c>
    </x:row>
    <x:row r="39" ht="21" customHeight="1">
      <x:c r="A39" s="12" t="n">
        <x:v>46281</x:v>
      </x:c>
      <x:c r="B39" s="1" t="str">
        <x:v>GFGC5000OC</x:v>
      </x:c>
      <x:c r="C39" s="1" t="str">
        <x:v>call</x:v>
      </x:c>
      <x:c r="D39" s="11" t="n">
        <x:v>5000</x:v>
      </x:c>
      <x:c r="E39" s="11" t="n">
        <x:f>'Option source'!B97</x:f>
        <x:v>1808.85</x:v>
      </x:c>
      <x:c r="F39" s="11" t="n">
        <x:v>6760</x:v>
      </x:c>
      <x:c r="G39" s="18" t="n">
        <x:v>30</x:v>
      </x:c>
      <x:c r="H39" s="11" t="n">
        <x:f>MAX(IF(C39="call",F39-D39,D39-F39),0)</x:f>
        <x:v>1760</x:v>
      </x:c>
      <x:c r="I39" s="11" t="n">
        <x:f>E39-H39</x:f>
        <x:v>48.84999999999991</x:v>
      </x:c>
      <x:c r="J39" s="13" t="n">
        <x:f>D39/F39</x:f>
        <x:v>0.7396449704142012</x:v>
      </x:c>
      <x:c r="K39" s="13"/>
      <x:c r="L39" s="17"/>
      <x:c r="M39" s="17"/>
      <x:c r="N39" s="11" t="n">
        <x:f>'Option source'!C97</x:f>
        <x:v>361770.59</x:v>
      </x:c>
      <x:c r="O39" s="11" t="n">
        <x:f>'Option source'!G97</x:f>
        <x:v>0</x:v>
      </x:c>
      <x:c r="P39" s="11" t="n">
        <x:f>'Option source'!F97</x:f>
        <x:v>0</x:v>
      </x:c>
      <x:c r="Q39" s="1" t="str">
        <x:v>Price outside daily range</x:v>
      </x:c>
      <x:c r="R39" s="1" t="n">
        <x:v>92</x:v>
      </x:c>
    </x:row>
    <x:row r="40" ht="21" customHeight="1">
      <x:c r="A40" s="12" t="n">
        <x:v>46281</x:v>
      </x:c>
      <x:c r="B40" s="1" t="str">
        <x:v>GFGV5000OC</x:v>
      </x:c>
      <x:c r="C40" s="1" t="str">
        <x:v>put</x:v>
      </x:c>
      <x:c r="D40" s="11" t="n">
        <x:v>5000</x:v>
      </x:c>
      <x:c r="E40" s="11" t="n">
        <x:f>'Option source'!B581</x:f>
        <x:v>3.18</x:v>
      </x:c>
      <x:c r="F40" s="11" t="n">
        <x:v>6760</x:v>
      </x:c>
      <x:c r="G40" s="18" t="n">
        <x:v>30</x:v>
      </x:c>
      <x:c r="H40" s="11" t="n">
        <x:f>MAX(IF(C40="call",F40-D40,D40-F40),0)</x:f>
        <x:v>0</x:v>
      </x:c>
      <x:c r="I40" s="11" t="n">
        <x:f>E40-H40</x:f>
        <x:v>3.18</x:v>
      </x:c>
      <x:c r="J40" s="13" t="n">
        <x:f>D40/F40</x:f>
        <x:v>0.7396449704142012</x:v>
      </x:c>
      <x:c r="K40" s="13" t="n">
        <x:v>0.49860677110259216</x:v>
      </x:c>
      <x:c r="L40" s="17" t="n">
        <x:v>-0.009292573546693994</x:v>
      </x:c>
      <x:c r="M40" s="17" t="n">
        <x:v>0.4844465743959357</x:v>
      </x:c>
      <x:c r="N40" s="11" t="n">
        <x:f>'Option source'!C581</x:f>
        <x:v>745490.69</x:v>
      </x:c>
      <x:c r="O40" s="11" t="n">
        <x:f>'Option source'!G581</x:f>
        <x:v>2</x:v>
      </x:c>
      <x:c r="P40" s="11" t="n">
        <x:f>'Option source'!F581</x:f>
        <x:v>3.99</x:v>
      </x:c>
      <x:c r="Q40" s="1" t="str">
        <x:v>Screen passed; indicative</x:v>
      </x:c>
      <x:c r="R40" s="1" t="n">
        <x:v>576</x:v>
      </x:c>
    </x:row>
    <x:row r="41" ht="21" customHeight="1">
      <x:c r="A41" s="12" t="n">
        <x:v>46281</x:v>
      </x:c>
      <x:c r="B41" s="1" t="str">
        <x:v>GFGC8600OC</x:v>
      </x:c>
      <x:c r="C41" s="1" t="str">
        <x:v>call</x:v>
      </x:c>
      <x:c r="D41" s="11" t="n">
        <x:v>8600</x:v>
      </x:c>
      <x:c r="E41" s="11" t="n">
        <x:f>'Option source'!B410</x:f>
        <x:v>17.94</x:v>
      </x:c>
      <x:c r="F41" s="11" t="n">
        <x:v>6760</x:v>
      </x:c>
      <x:c r="G41" s="18" t="n">
        <x:v>30</x:v>
      </x:c>
      <x:c r="H41" s="11" t="n">
        <x:f>MAX(IF(C41="call",F41-D41,D41-F41),0)</x:f>
        <x:v>0</x:v>
      </x:c>
      <x:c r="I41" s="11" t="n">
        <x:f>E41-H41</x:f>
        <x:v>17.94</x:v>
      </x:c>
      <x:c r="J41" s="13" t="n">
        <x:f>D41/F41</x:f>
        <x:v>1.272189349112426</x:v>
      </x:c>
      <x:c r="K41" s="13" t="n">
        <x:v>0.44561207270690256</x:v>
      </x:c>
      <x:c r="L41" s="17" t="n">
        <x:v>0.05181270173264991</x:v>
      </x:c>
      <x:c r="M41" s="17" t="n">
        <x:v>2.0562805873537697</x:v>
      </x:c>
      <x:c r="N41" s="11" t="n">
        <x:f>'Option source'!C410</x:f>
        <x:v>7674966</x:v>
      </x:c>
      <x:c r="O41" s="11" t="n">
        <x:f>'Option source'!G410</x:f>
        <x:v>16</x:v>
      </x:c>
      <x:c r="P41" s="11" t="n">
        <x:f>'Option source'!F410</x:f>
        <x:v>24</x:v>
      </x:c>
      <x:c r="Q41" s="1" t="str">
        <x:v>Screen passed; indicative</x:v>
      </x:c>
      <x:c r="R41" s="1" t="n">
        <x:v>405</x:v>
      </x:c>
    </x:row>
    <x:row r="42" ht="21" customHeight="1">
      <x:c r="A42" s="12" t="n">
        <x:v>46281</x:v>
      </x:c>
      <x:c r="B42" s="1" t="str">
        <x:v>GFGV8600OC</x:v>
      </x:c>
      <x:c r="C42" s="1" t="str">
        <x:v>put</x:v>
      </x:c>
      <x:c r="D42" s="11" t="n">
        <x:v>8600</x:v>
      </x:c>
      <x:c r="E42" s="11" t="n">
        <x:f>'Option source'!B904</x:f>
        <x:v>1648.65</x:v>
      </x:c>
      <x:c r="F42" s="11" t="n">
        <x:v>6760</x:v>
      </x:c>
      <x:c r="G42" s="18" t="n">
        <x:v>30</x:v>
      </x:c>
      <x:c r="H42" s="11" t="n">
        <x:f>MAX(IF(C42="call",F42-D42,D42-F42),0)</x:f>
        <x:v>1840</x:v>
      </x:c>
      <x:c r="I42" s="11" t="n">
        <x:f>E42-H42</x:f>
        <x:v>-191.3499999999999</x:v>
      </x:c>
      <x:c r="J42" s="13" t="n">
        <x:f>D42/F42</x:f>
        <x:v>1.272189349112426</x:v>
      </x:c>
      <x:c r="K42" s="13"/>
      <x:c r="L42" s="17"/>
      <x:c r="M42" s="17"/>
      <x:c r="N42" s="11" t="n">
        <x:f>'Option source'!C904</x:f>
        <x:v>0</x:v>
      </x:c>
      <x:c r="O42" s="11" t="n">
        <x:f>'Option source'!G904</x:f>
        <x:v>1648.65</x:v>
      </x:c>
      <x:c r="P42" s="11" t="n">
        <x:f>'Option source'!F904</x:f>
        <x:v>1648.65</x:v>
      </x:c>
      <x:c r="Q42" s="1" t="str">
        <x:v>Zero reported volume; Below intrinsic value</x:v>
      </x:c>
      <x:c r="R42" s="1" t="n">
        <x:v>899</x:v>
      </x:c>
    </x:row>
    <x:row r="43" ht="21" customHeight="1">
      <x:c r="A43" s="12" t="n">
        <x:v>46281</x:v>
      </x:c>
      <x:c r="B43" s="1" t="str">
        <x:v>GFGC4800OC</x:v>
      </x:c>
      <x:c r="C43" s="1" t="str">
        <x:v>call</x:v>
      </x:c>
      <x:c r="D43" s="11" t="n">
        <x:v>4800</x:v>
      </x:c>
      <x:c r="E43" s="11" t="n">
        <x:f>'Option source'!B80</x:f>
        <x:v>2084.21</x:v>
      </x:c>
      <x:c r="F43" s="11" t="n">
        <x:v>6760</x:v>
      </x:c>
      <x:c r="G43" s="18" t="n">
        <x:v>30</x:v>
      </x:c>
      <x:c r="H43" s="11" t="n">
        <x:f>MAX(IF(C43="call",F43-D43,D43-F43),0)</x:f>
        <x:v>1960</x:v>
      </x:c>
      <x:c r="I43" s="11" t="n">
        <x:f>E43-H43</x:f>
        <x:v>124.21000000000004</x:v>
      </x:c>
      <x:c r="J43" s="13" t="n">
        <x:f>D43/F43</x:f>
        <x:v>0.7100591715976331</x:v>
      </x:c>
      <x:c r="K43" s="13"/>
      <x:c r="L43" s="17"/>
      <x:c r="M43" s="17"/>
      <x:c r="N43" s="11" t="n">
        <x:f>'Option source'!C80</x:f>
        <x:v>0</x:v>
      </x:c>
      <x:c r="O43" s="11" t="n">
        <x:f>'Option source'!G80</x:f>
        <x:v>2009.47</x:v>
      </x:c>
      <x:c r="P43" s="11" t="n">
        <x:f>'Option source'!F80</x:f>
        <x:v>2064.28</x:v>
      </x:c>
      <x:c r="Q43" s="1" t="str">
        <x:v>Zero reported volume; Price outside daily range</x:v>
      </x:c>
      <x:c r="R43" s="1" t="n">
        <x:v>75</x:v>
      </x:c>
    </x:row>
    <x:row r="44" ht="21" customHeight="1">
      <x:c r="A44" s="12" t="n">
        <x:v>46281</x:v>
      </x:c>
      <x:c r="B44" s="1" t="str">
        <x:v>GFGV4800OC</x:v>
      </x:c>
      <x:c r="C44" s="1" t="str">
        <x:v>put</x:v>
      </x:c>
      <x:c r="D44" s="11" t="n">
        <x:v>4800</x:v>
      </x:c>
      <x:c r="E44" s="11" t="n">
        <x:f>'Option source'!B562</x:f>
        <x:v>1.93</x:v>
      </x:c>
      <x:c r="F44" s="11" t="n">
        <x:v>6760</x:v>
      </x:c>
      <x:c r="G44" s="18" t="n">
        <x:v>30</x:v>
      </x:c>
      <x:c r="H44" s="11" t="n">
        <x:f>MAX(IF(C44="call",F44-D44,D44-F44),0)</x:f>
        <x:v>0</x:v>
      </x:c>
      <x:c r="I44" s="11" t="n">
        <x:f>E44-H44</x:f>
        <x:v>1.93</x:v>
      </x:c>
      <x:c r="J44" s="13" t="n">
        <x:f>D44/F44</x:f>
        <x:v>0.7100591715976331</x:v>
      </x:c>
      <x:c r="K44" s="13" t="n">
        <x:v>0.5212282800029018</x:v>
      </x:c>
      <x:c r="L44" s="17" t="n">
        <x:v>-0.0056849117188211284</x:v>
      </x:c>
      <x:c r="M44" s="17" t="n">
        <x:v>0.3141231125561806</x:v>
      </x:c>
      <x:c r="N44" s="11" t="n">
        <x:f>'Option source'!C562</x:f>
        <x:v>271169.31</x:v>
      </x:c>
      <x:c r="O44" s="11" t="n">
        <x:f>'Option source'!G562</x:f>
        <x:v>1.75</x:v>
      </x:c>
      <x:c r="P44" s="11" t="n">
        <x:f>'Option source'!F562</x:f>
        <x:v>2.9</x:v>
      </x:c>
      <x:c r="Q44" s="1" t="str">
        <x:v>Screen passed; indicative</x:v>
      </x:c>
      <x:c r="R44" s="1" t="n">
        <x:v>557</x:v>
      </x:c>
    </x:row>
    <x:row r="45" ht="21" customHeight="1">
      <x:c r="A45" s="12" t="n">
        <x:v>46281</x:v>
      </x:c>
      <x:c r="B45" s="1" t="str">
        <x:v>GFGC8900OC</x:v>
      </x:c>
      <x:c r="C45" s="1" t="str">
        <x:v>call</x:v>
      </x:c>
      <x:c r="D45" s="11" t="n">
        <x:v>8900</x:v>
      </x:c>
      <x:c r="E45" s="11" t="n">
        <x:f>'Option source'!B429</x:f>
        <x:v>9.99</x:v>
      </x:c>
      <x:c r="F45" s="11" t="n">
        <x:v>6760</x:v>
      </x:c>
      <x:c r="G45" s="18" t="n">
        <x:v>30</x:v>
      </x:c>
      <x:c r="H45" s="11" t="n">
        <x:f>MAX(IF(C45="call",F45-D45,D45-F45),0)</x:f>
        <x:v>0</x:v>
      </x:c>
      <x:c r="I45" s="11" t="n">
        <x:f>E45-H45</x:f>
        <x:v>9.99</x:v>
      </x:c>
      <x:c r="J45" s="13" t="n">
        <x:f>D45/F45</x:f>
        <x:v>1.316568047337278</x:v>
      </x:c>
      <x:c r="K45" s="13" t="n">
        <x:v>0.45136294542413397</x:v>
      </x:c>
      <x:c r="L45" s="17" t="n">
        <x:v>0.030732678750993576</x:v>
      </x:c>
      <x:c r="M45" s="17" t="n">
        <x:v>1.345305108831993</x:v>
      </x:c>
      <x:c r="N45" s="11" t="n">
        <x:f>'Option source'!C429</x:f>
        <x:v>1861800.12</x:v>
      </x:c>
      <x:c r="O45" s="11" t="n">
        <x:f>'Option source'!G429</x:f>
        <x:v>8.01</x:v>
      </x:c>
      <x:c r="P45" s="11" t="n">
        <x:f>'Option source'!F429</x:f>
        <x:v>11</x:v>
      </x:c>
      <x:c r="Q45" s="1" t="str">
        <x:v>Screen passed; indicative</x:v>
      </x:c>
      <x:c r="R45" s="1" t="n">
        <x:v>424</x:v>
      </x:c>
    </x:row>
    <x:row r="46" ht="21" customHeight="1">
      <x:c r="A46" s="12" t="n">
        <x:v>46281</x:v>
      </x:c>
      <x:c r="B46" s="1" t="str">
        <x:v>GFGV8900OC</x:v>
      </x:c>
      <x:c r="C46" s="1" t="str">
        <x:v>put</x:v>
      </x:c>
      <x:c r="D46" s="11" t="n">
        <x:v>8900</x:v>
      </x:c>
      <x:c r="E46" s="11" t="n">
        <x:f>'Option source'!B919</x:f>
        <x:v>2022.5</x:v>
      </x:c>
      <x:c r="F46" s="11" t="n">
        <x:v>6760</x:v>
      </x:c>
      <x:c r="G46" s="18" t="n">
        <x:v>30</x:v>
      </x:c>
      <x:c r="H46" s="11" t="n">
        <x:f>MAX(IF(C46="call",F46-D46,D46-F46),0)</x:f>
        <x:v>2140</x:v>
      </x:c>
      <x:c r="I46" s="11" t="n">
        <x:f>E46-H46</x:f>
        <x:v>-117.5</x:v>
      </x:c>
      <x:c r="J46" s="13" t="n">
        <x:f>D46/F46</x:f>
        <x:v>1.316568047337278</x:v>
      </x:c>
      <x:c r="K46" s="13"/>
      <x:c r="L46" s="17"/>
      <x:c r="M46" s="17"/>
      <x:c r="N46" s="11" t="n">
        <x:f>'Option source'!C919</x:f>
        <x:v>0</x:v>
      </x:c>
      <x:c r="O46" s="11" t="n">
        <x:f>'Option source'!G919</x:f>
        <x:v>2022.5</x:v>
      </x:c>
      <x:c r="P46" s="11" t="n">
        <x:f>'Option source'!F919</x:f>
        <x:v>2037.67</x:v>
      </x:c>
      <x:c r="Q46" s="1" t="str">
        <x:v>Zero reported volume; Below intrinsic value</x:v>
      </x:c>
      <x:c r="R46" s="1" t="n">
        <x:v>914</x:v>
      </x:c>
    </x:row>
    <x:row r="47" ht="21" customHeight="1">
      <x:c r="A47" s="12" t="n">
        <x:v>46281</x:v>
      </x:c>
      <x:c r="B47" s="1" t="str">
        <x:v>GFGC4600OC</x:v>
      </x:c>
      <x:c r="C47" s="1" t="str">
        <x:v>call</x:v>
      </x:c>
      <x:c r="D47" s="11" t="n">
        <x:v>4600</x:v>
      </x:c>
      <x:c r="E47" s="11" t="n">
        <x:f>'Option source'!B63</x:f>
        <x:v>2280.1</x:v>
      </x:c>
      <x:c r="F47" s="11" t="n">
        <x:v>6760</x:v>
      </x:c>
      <x:c r="G47" s="18" t="n">
        <x:v>30</x:v>
      </x:c>
      <x:c r="H47" s="11" t="n">
        <x:f>MAX(IF(C47="call",F47-D47,D47-F47),0)</x:f>
        <x:v>2160</x:v>
      </x:c>
      <x:c r="I47" s="11" t="n">
        <x:f>E47-H47</x:f>
        <x:v>120.09999999999991</x:v>
      </x:c>
      <x:c r="J47" s="13" t="n">
        <x:f>D47/F47</x:f>
        <x:v>0.6804733727810651</x:v>
      </x:c>
      <x:c r="K47" s="13"/>
      <x:c r="L47" s="17"/>
      <x:c r="M47" s="17"/>
      <x:c r="N47" s="11" t="n">
        <x:f>'Option source'!C63</x:f>
        <x:v>0</x:v>
      </x:c>
      <x:c r="O47" s="11" t="n">
        <x:f>'Option source'!G63</x:f>
        <x:v>2200.39</x:v>
      </x:c>
      <x:c r="P47" s="11" t="n">
        <x:f>'Option source'!F63</x:f>
        <x:v>2265.16</x:v>
      </x:c>
      <x:c r="Q47" s="1" t="str">
        <x:v>Zero reported volume; Price outside daily range</x:v>
      </x:c>
      <x:c r="R47" s="1" t="n">
        <x:v>58</x:v>
      </x:c>
    </x:row>
    <x:row r="48" ht="21" customHeight="1">
      <x:c r="A48" s="12" t="n">
        <x:v>46281</x:v>
      </x:c>
      <x:c r="B48" s="1" t="str">
        <x:v>GFGV4600OC</x:v>
      </x:c>
      <x:c r="C48" s="1" t="str">
        <x:v>put</x:v>
      </x:c>
      <x:c r="D48" s="11" t="n">
        <x:v>4600</x:v>
      </x:c>
      <x:c r="E48" s="11" t="n">
        <x:f>'Option source'!B543</x:f>
        <x:v>1.62</x:v>
      </x:c>
      <x:c r="F48" s="11" t="n">
        <x:v>6760</x:v>
      </x:c>
      <x:c r="G48" s="18" t="n">
        <x:v>30</x:v>
      </x:c>
      <x:c r="H48" s="11" t="n">
        <x:f>MAX(IF(C48="call",F48-D48,D48-F48),0)</x:f>
        <x:v>0</x:v>
      </x:c>
      <x:c r="I48" s="11" t="n">
        <x:f>E48-H48</x:f>
        <x:v>1.62</x:v>
      </x:c>
      <x:c r="J48" s="13" t="n">
        <x:f>D48/F48</x:f>
        <x:v>0.6804733727810651</x:v>
      </x:c>
      <x:c r="K48" s="13" t="n">
        <x:v>0.5645064882263888</x:v>
      </x:c>
      <x:c r="L48" s="17" t="n">
        <x:v>-0.004500986653506289</x:v>
      </x:c>
      <x:c r="M48" s="17" t="n">
        <x:v>0.2551514000016893</x:v>
      </x:c>
      <x:c r="N48" s="11" t="n">
        <x:f>'Option source'!C543</x:f>
        <x:v>59280.8</x:v>
      </x:c>
      <x:c r="O48" s="11" t="n">
        <x:f>'Option source'!G543</x:f>
        <x:v>1.11</x:v>
      </x:c>
      <x:c r="P48" s="11" t="n">
        <x:f>'Option source'!F543</x:f>
        <x:v>2.6</x:v>
      </x:c>
      <x:c r="Q48" s="1" t="str">
        <x:v>Screen passed; indicative</x:v>
      </x:c>
      <x:c r="R48" s="1" t="n">
        <x:v>538</x:v>
      </x:c>
    </x:row>
    <x:row r="49" ht="21" customHeight="1">
      <x:c r="A49" s="12" t="n">
        <x:v>46281</x:v>
      </x:c>
      <x:c r="B49" s="1" t="str">
        <x:v>GFGC4400OC</x:v>
      </x:c>
      <x:c r="C49" s="1" t="str">
        <x:v>call</x:v>
      </x:c>
      <x:c r="D49" s="11" t="n">
        <x:v>4400</x:v>
      </x:c>
      <x:c r="E49" s="11" t="n">
        <x:f>'Option source'!B44</x:f>
        <x:v>2422</x:v>
      </x:c>
      <x:c r="F49" s="11" t="n">
        <x:v>6760</x:v>
      </x:c>
      <x:c r="G49" s="18" t="n">
        <x:v>30</x:v>
      </x:c>
      <x:c r="H49" s="11" t="n">
        <x:f>MAX(IF(C49="call",F49-D49,D49-F49),0)</x:f>
        <x:v>2360</x:v>
      </x:c>
      <x:c r="I49" s="11" t="n">
        <x:f>E49-H49</x:f>
        <x:v>62</x:v>
      </x:c>
      <x:c r="J49" s="13" t="n">
        <x:f>D49/F49</x:f>
        <x:v>0.650887573964497</x:v>
      </x:c>
      <x:c r="K49" s="13"/>
      <x:c r="L49" s="17"/>
      <x:c r="M49" s="17"/>
      <x:c r="N49" s="11" t="n">
        <x:f>'Option source'!C44</x:f>
        <x:v>0</x:v>
      </x:c>
      <x:c r="O49" s="11" t="n">
        <x:f>'Option source'!G44</x:f>
        <x:v>2391.3</x:v>
      </x:c>
      <x:c r="P49" s="11" t="n">
        <x:f>'Option source'!F44</x:f>
        <x:v>2418.17</x:v>
      </x:c>
      <x:c r="Q49" s="1" t="str">
        <x:v>Zero reported volume; Price outside daily range</x:v>
      </x:c>
      <x:c r="R49" s="1" t="n">
        <x:v>39</x:v>
      </x:c>
    </x:row>
    <x:row r="50" ht="21" customHeight="1">
      <x:c r="A50" s="12" t="n">
        <x:v>46281</x:v>
      </x:c>
      <x:c r="B50" s="1" t="str">
        <x:v>GFGV4400OC</x:v>
      </x:c>
      <x:c r="C50" s="1" t="str">
        <x:v>put</x:v>
      </x:c>
      <x:c r="D50" s="11" t="n">
        <x:v>4400</x:v>
      </x:c>
      <x:c r="E50" s="11" t="n">
        <x:f>'Option source'!B524</x:f>
        <x:v>0.91</x:v>
      </x:c>
      <x:c r="F50" s="11" t="n">
        <x:v>6760</x:v>
      </x:c>
      <x:c r="G50" s="18" t="n">
        <x:v>30</x:v>
      </x:c>
      <x:c r="H50" s="11" t="n">
        <x:f>MAX(IF(C50="call",F50-D50,D50-F50),0)</x:f>
        <x:v>0</x:v>
      </x:c>
      <x:c r="I50" s="11" t="n">
        <x:f>E50-H50</x:f>
        <x:v>0.91</x:v>
      </x:c>
      <x:c r="J50" s="13" t="n">
        <x:f>D50/F50</x:f>
        <x:v>0.650887573964497</x:v>
      </x:c>
      <x:c r="K50" s="13" t="n">
        <x:v>0.5843358777653527</x:v>
      </x:c>
      <x:c r="L50" s="17" t="n">
        <x:v>-0.002600801884573456</x:v>
      </x:c>
      <x:c r="M50" s="17" t="n">
        <x:v>0.15587978795079815</x:v>
      </x:c>
      <x:c r="N50" s="11" t="n">
        <x:f>'Option source'!C524</x:f>
        <x:v>174142.09</x:v>
      </x:c>
      <x:c r="O50" s="11" t="n">
        <x:f>'Option source'!G524</x:f>
        <x:v>0.9</x:v>
      </x:c>
      <x:c r="P50" s="11" t="n">
        <x:f>'Option source'!F524</x:f>
        <x:v>2</x:v>
      </x:c>
      <x:c r="Q50" s="1" t="str">
        <x:v>Screen passed; indicative</x:v>
      </x:c>
      <x:c r="R50" s="1" t="n">
        <x:v>519</x:v>
      </x:c>
    </x:row>
    <x:row r="51" ht="21" customHeight="1">
      <x:c r="A51" s="12" t="n">
        <x:v>46281</x:v>
      </x:c>
      <x:c r="B51" s="1" t="str">
        <x:v>GFGC9200OC</x:v>
      </x:c>
      <x:c r="C51" s="1" t="str">
        <x:v>call</x:v>
      </x:c>
      <x:c r="D51" s="11" t="n">
        <x:v>9200</x:v>
      </x:c>
      <x:c r="E51" s="11" t="n">
        <x:f>'Option source'!B448</x:f>
        <x:v>3.53</x:v>
      </x:c>
      <x:c r="F51" s="11" t="n">
        <x:v>6760</x:v>
      </x:c>
      <x:c r="G51" s="18" t="n">
        <x:v>30</x:v>
      </x:c>
      <x:c r="H51" s="11" t="n">
        <x:f>MAX(IF(C51="call",F51-D51,D51-F51),0)</x:f>
        <x:v>0</x:v>
      </x:c>
      <x:c r="I51" s="11" t="n">
        <x:f>E51-H51</x:f>
        <x:v>3.53</x:v>
      </x:c>
      <x:c r="J51" s="13" t="n">
        <x:f>D51/F51</x:f>
        <x:v>1.3609467455621302</x:v>
      </x:c>
      <x:c r="K51" s="13" t="n">
        <x:v>0.4302862473222649</x:v>
      </x:c>
      <x:c r="L51" s="17" t="n">
        <x:v>0.012653848377904823</x:v>
      </x:c>
      <x:c r="M51" s="17" t="n">
        <x:v>0.6337920453422982</x:v>
      </x:c>
      <x:c r="N51" s="11" t="n">
        <x:f>'Option source'!C448</x:f>
        <x:v>825675.38</x:v>
      </x:c>
      <x:c r="O51" s="11" t="n">
        <x:f>'Option source'!G448</x:f>
        <x:v>3</x:v>
      </x:c>
      <x:c r="P51" s="11" t="n">
        <x:f>'Option source'!F448</x:f>
        <x:v>6.99</x:v>
      </x:c>
      <x:c r="Q51" s="1" t="str">
        <x:v>Screen passed; indicative</x:v>
      </x:c>
      <x:c r="R51" s="1" t="n">
        <x:v>443</x:v>
      </x:c>
    </x:row>
    <x:row r="52" ht="21" customHeight="1">
      <x:c r="A52" s="12" t="n">
        <x:v>46281</x:v>
      </x:c>
      <x:c r="B52" s="1" t="str">
        <x:v>GFGV9200OC</x:v>
      </x:c>
      <x:c r="C52" s="1" t="str">
        <x:v>put</x:v>
      </x:c>
      <x:c r="D52" s="11" t="n">
        <x:v>9200</x:v>
      </x:c>
      <x:c r="E52" s="11" t="n">
        <x:f>'Option source'!B926</x:f>
        <x:v>2268.51</x:v>
      </x:c>
      <x:c r="F52" s="11" t="n">
        <x:v>6760</x:v>
      </x:c>
      <x:c r="G52" s="18" t="n">
        <x:v>30</x:v>
      </x:c>
      <x:c r="H52" s="11" t="n">
        <x:f>MAX(IF(C52="call",F52-D52,D52-F52),0)</x:f>
        <x:v>2440</x:v>
      </x:c>
      <x:c r="I52" s="11" t="n">
        <x:f>E52-H52</x:f>
        <x:v>-171.48999999999978</x:v>
      </x:c>
      <x:c r="J52" s="13" t="n">
        <x:f>D52/F52</x:f>
        <x:v>1.3609467455621302</x:v>
      </x:c>
      <x:c r="K52" s="13"/>
      <x:c r="L52" s="17"/>
      <x:c r="M52" s="17"/>
      <x:c r="N52" s="11" t="n">
        <x:f>'Option source'!C926</x:f>
        <x:v>660601</x:v>
      </x:c>
      <x:c r="O52" s="11" t="n">
        <x:f>'Option source'!G926</x:f>
        <x:v>2168.75</x:v>
      </x:c>
      <x:c r="P52" s="11" t="n">
        <x:f>'Option source'!F926</x:f>
        <x:v>2168.75</x:v>
      </x:c>
      <x:c r="Q52" s="1" t="str">
        <x:v>Price outside daily range; Below intrinsic value</x:v>
      </x:c>
      <x:c r="R52" s="1" t="n">
        <x:v>921</x:v>
      </x:c>
    </x:row>
    <x:row r="53" ht="21" customHeight="1">
      <x:c r="A53" s="12" t="n">
        <x:v>46281</x:v>
      </x:c>
      <x:c r="B53" s="1" t="str">
        <x:v>GFGC4200OC</x:v>
      </x:c>
      <x:c r="C53" s="1" t="str">
        <x:v>call</x:v>
      </x:c>
      <x:c r="D53" s="11" t="n">
        <x:v>4200</x:v>
      </x:c>
      <x:c r="E53" s="11" t="n">
        <x:f>'Option source'!B25</x:f>
        <x:v>2587.49</x:v>
      </x:c>
      <x:c r="F53" s="11" t="n">
        <x:v>6760</x:v>
      </x:c>
      <x:c r="G53" s="18" t="n">
        <x:v>30</x:v>
      </x:c>
      <x:c r="H53" s="11" t="n">
        <x:f>MAX(IF(C53="call",F53-D53,D53-F53),0)</x:f>
        <x:v>2560</x:v>
      </x:c>
      <x:c r="I53" s="11" t="n">
        <x:f>E53-H53</x:f>
        <x:v>27.48999999999978</x:v>
      </x:c>
      <x:c r="J53" s="13" t="n">
        <x:f>D53/F53</x:f>
        <x:v>0.621301775147929</x:v>
      </x:c>
      <x:c r="K53" s="13"/>
      <x:c r="L53" s="17"/>
      <x:c r="M53" s="17"/>
      <x:c r="N53" s="11" t="n">
        <x:f>'Option source'!C25</x:f>
        <x:v>258749</x:v>
      </x:c>
      <x:c r="O53" s="11" t="n">
        <x:f>'Option source'!G25</x:f>
        <x:v>0</x:v>
      </x:c>
      <x:c r="P53" s="11" t="n">
        <x:f>'Option source'!F25</x:f>
        <x:v>0</x:v>
      </x:c>
      <x:c r="Q53" s="1" t="str">
        <x:v>Price outside daily range</x:v>
      </x:c>
      <x:c r="R53" s="1" t="n">
        <x:v>20</x:v>
      </x:c>
    </x:row>
    <x:row r="54" ht="21" customHeight="1">
      <x:c r="A54" s="12" t="n">
        <x:v>46281</x:v>
      </x:c>
      <x:c r="B54" s="1" t="str">
        <x:v>GFGV4200OC</x:v>
      </x:c>
      <x:c r="C54" s="1" t="str">
        <x:v>put</x:v>
      </x:c>
      <x:c r="D54" s="11" t="n">
        <x:v>4200</x:v>
      </x:c>
      <x:c r="E54" s="11" t="n">
        <x:f>'Option source'!B505</x:f>
        <x:v>1.21</x:v>
      </x:c>
      <x:c r="F54" s="11" t="n">
        <x:v>6760</x:v>
      </x:c>
      <x:c r="G54" s="18" t="n">
        <x:v>30</x:v>
      </x:c>
      <x:c r="H54" s="11" t="n">
        <x:f>MAX(IF(C54="call",F54-D54,D54-F54),0)</x:f>
        <x:v>0</x:v>
      </x:c>
      <x:c r="I54" s="11" t="n">
        <x:f>E54-H54</x:f>
        <x:v>1.21</x:v>
      </x:c>
      <x:c r="J54" s="13" t="n">
        <x:f>D54/F54</x:f>
        <x:v>0.621301775147929</x:v>
      </x:c>
      <x:c r="K54" s="13" t="n">
        <x:v>0.6579890521445391</x:v>
      </x:c>
      <x:c r="L54" s="17" t="n">
        <x:v>-0.0029976741584560873</x:v>
      </x:c>
      <x:c r="M54" s="17" t="n">
        <x:v>0.17719036695399495</x:v>
      </x:c>
      <x:c r="N54" s="11" t="n">
        <x:f>'Option source'!C505</x:f>
        <x:v>32093.2</x:v>
      </x:c>
      <x:c r="O54" s="11" t="n">
        <x:f>'Option source'!G505</x:f>
        <x:v>0.67</x:v>
      </x:c>
      <x:c r="P54" s="11" t="n">
        <x:f>'Option source'!F505</x:f>
        <x:v>1.59</x:v>
      </x:c>
      <x:c r="Q54" s="1" t="str">
        <x:v>Screen passed; indicative</x:v>
      </x:c>
      <x:c r="R54" s="1" t="n">
        <x:v>500</x:v>
      </x:c>
    </x:row>
    <x:row r="55" ht="21" customHeight="1">
      <x:c r="A55" s="12" t="n">
        <x:v>46281</x:v>
      </x:c>
      <x:c r="B55" s="1" t="str">
        <x:v>GFGC9500OC</x:v>
      </x:c>
      <x:c r="C55" s="1" t="str">
        <x:v>call</x:v>
      </x:c>
      <x:c r="D55" s="11" t="n">
        <x:v>9500</x:v>
      </x:c>
      <x:c r="E55" s="11" t="n">
        <x:f>'Option source'!B467</x:f>
        <x:v>3.44</x:v>
      </x:c>
      <x:c r="F55" s="11" t="n">
        <x:v>6760</x:v>
      </x:c>
      <x:c r="G55" s="18" t="n">
        <x:v>30</x:v>
      </x:c>
      <x:c r="H55" s="11" t="n">
        <x:f>MAX(IF(C55="call",F55-D55,D55-F55),0)</x:f>
        <x:v>0</x:v>
      </x:c>
      <x:c r="I55" s="11" t="n">
        <x:f>E55-H55</x:f>
        <x:v>3.44</x:v>
      </x:c>
      <x:c r="J55" s="13" t="n">
        <x:f>D55/F55</x:f>
        <x:v>1.4053254437869822</x:v>
      </x:c>
      <x:c r="K55" s="13" t="n">
        <x:v>0.46997575053126145</x:v>
      </x:c>
      <x:c r="L55" s="17" t="n">
        <x:v>0.011451718928825596</x:v>
      </x:c>
      <x:c r="M55" s="17" t="n">
        <x:v>0.5812423130286762</x:v>
      </x:c>
      <x:c r="N55" s="11" t="n">
        <x:f>'Option source'!C467</x:f>
        <x:v>1701123.5</x:v>
      </x:c>
      <x:c r="O55" s="11" t="n">
        <x:f>'Option source'!G467</x:f>
        <x:v>3.05</x:v>
      </x:c>
      <x:c r="P55" s="11" t="n">
        <x:f>'Option source'!F467</x:f>
        <x:v>4.95</x:v>
      </x:c>
      <x:c r="Q55" s="1" t="str">
        <x:v>Screen passed; indicative</x:v>
      </x:c>
      <x:c r="R55" s="1" t="n">
        <x:v>462</x:v>
      </x:c>
    </x:row>
    <x:row r="56" ht="21" customHeight="1">
      <x:c r="A56" s="12" t="n">
        <x:v>46281</x:v>
      </x:c>
      <x:c r="B56" s="1" t="str">
        <x:v>GFGC9900OC</x:v>
      </x:c>
      <x:c r="C56" s="1" t="str">
        <x:v>call</x:v>
      </x:c>
      <x:c r="D56" s="11" t="n">
        <x:v>9900</x:v>
      </x:c>
      <x:c r="E56" s="11" t="n">
        <x:f>'Option source'!B486</x:f>
        <x:v>2.06</x:v>
      </x:c>
      <x:c r="F56" s="11" t="n">
        <x:v>6760</x:v>
      </x:c>
      <x:c r="G56" s="18" t="n">
        <x:v>30</x:v>
      </x:c>
      <x:c r="H56" s="11" t="n">
        <x:f>MAX(IF(C56="call",F56-D56,D56-F56),0)</x:f>
        <x:v>0</x:v>
      </x:c>
      <x:c r="I56" s="11" t="n">
        <x:f>E56-H56</x:f>
        <x:v>2.06</x:v>
      </x:c>
      <x:c r="J56" s="13" t="n">
        <x:f>D56/F56</x:f>
        <x:v>1.4644970414201184</x:v>
      </x:c>
      <x:c r="K56" s="13" t="n">
        <x:v>0.4915538389185891</x:v>
      </x:c>
      <x:c r="L56" s="17" t="n">
        <x:v>0.006912419136148469</x:v>
      </x:c>
      <x:c r="M56" s="17" t="n">
        <x:v>0.37348864821462635</x:v>
      </x:c>
      <x:c r="N56" s="11" t="n">
        <x:f>'Option source'!C486</x:f>
        <x:v>1364921.25</x:v>
      </x:c>
      <x:c r="O56" s="11" t="n">
        <x:f>'Option source'!G486</x:f>
        <x:v>1.82</x:v>
      </x:c>
      <x:c r="P56" s="11" t="n">
        <x:f>'Option source'!F486</x:f>
        <x:v>2.7</x:v>
      </x:c>
      <x:c r="Q56" s="1" t="str">
        <x:v>Screen passed; indicative</x:v>
      </x:c>
      <x:c r="R56" s="1" t="n">
        <x:v>481</x:v>
      </x:c>
    </x:row>
    <x:row r="57" ht="21" customHeight="1">
      <x:c r="A57" s="12" t="n">
        <x:v>46280</x:v>
      </x:c>
      <x:c r="B57" s="1" t="str">
        <x:v>GFGC6800OC</x:v>
      </x:c>
      <x:c r="C57" s="1" t="str">
        <x:v>call</x:v>
      </x:c>
      <x:c r="D57" s="11" t="n">
        <x:v>6800</x:v>
      </x:c>
      <x:c r="E57" s="11" t="n">
        <x:f>'Option source'!B257</x:f>
        <x:v>380.09</x:v>
      </x:c>
      <x:c r="F57" s="11" t="n">
        <x:v>6725</x:v>
      </x:c>
      <x:c r="G57" s="18" t="n">
        <x:v>31</x:v>
      </x:c>
      <x:c r="H57" s="11" t="n">
        <x:f>MAX(IF(C57="call",F57-D57,D57-F57),0)</x:f>
        <x:v>0</x:v>
      </x:c>
      <x:c r="I57" s="11" t="n">
        <x:f>E57-H57</x:f>
        <x:v>380.09</x:v>
      </x:c>
      <x:c r="J57" s="13" t="n">
        <x:f>D57/F57</x:f>
        <x:v>1.0111524163568772</x:v>
      </x:c>
      <x:c r="K57" s="13" t="n">
        <x:v>0.425159276616851</x:v>
      </x:c>
      <x:c r="L57" s="17" t="n">
        <x:v>0.570670021058689</x:v>
      </x:c>
      <x:c r="M57" s="17" t="n">
        <x:v>7.695741502662547</x:v>
      </x:c>
      <x:c r="N57" s="11" t="n">
        <x:f>'Option source'!C257</x:f>
        <x:v>189504416</x:v>
      </x:c>
      <x:c r="O57" s="11" t="n">
        <x:f>'Option source'!G257</x:f>
        <x:v>350</x:v>
      </x:c>
      <x:c r="P57" s="11" t="n">
        <x:f>'Option source'!F257</x:f>
        <x:v>419.9</x:v>
      </x:c>
      <x:c r="Q57" s="1" t="str">
        <x:v>Screen passed; indicative</x:v>
      </x:c>
      <x:c r="R57" s="1" t="n">
        <x:v>252</x:v>
      </x:c>
    </x:row>
    <x:row r="58" ht="21" customHeight="1">
      <x:c r="A58" s="12" t="n">
        <x:v>46280</x:v>
      </x:c>
      <x:c r="B58" s="1" t="str">
        <x:v>GFGV6800OC</x:v>
      </x:c>
      <x:c r="C58" s="1" t="str">
        <x:v>put</x:v>
      </x:c>
      <x:c r="D58" s="11" t="n">
        <x:v>6800</x:v>
      </x:c>
      <x:c r="E58" s="11" t="n">
        <x:f>'Option source'!B751</x:f>
        <x:v>311.72</x:v>
      </x:c>
      <x:c r="F58" s="11" t="n">
        <x:v>6725</x:v>
      </x:c>
      <x:c r="G58" s="18" t="n">
        <x:v>31</x:v>
      </x:c>
      <x:c r="H58" s="11" t="n">
        <x:f>MAX(IF(C58="call",F58-D58,D58-F58),0)</x:f>
        <x:v>75</x:v>
      </x:c>
      <x:c r="I58" s="11" t="n">
        <x:f>E58-H58</x:f>
        <x:v>236.72000000000003</x:v>
      </x:c>
      <x:c r="J58" s="13" t="n">
        <x:f>D58/F58</x:f>
        <x:v>1.0111524163568772</x:v>
      </x:c>
      <x:c r="K58" s="13" t="n">
        <x:v>0.4355401122812615</x:v>
      </x:c>
      <x:c r="L58" s="17" t="n">
        <x:v>-0.4298229088010326</x:v>
      </x:c>
      <x:c r="M58" s="17" t="n">
        <x:v>7.697455831951754</x:v>
      </x:c>
      <x:c r="N58" s="11" t="n">
        <x:f>'Option source'!C751</x:f>
        <x:v>177815008</x:v>
      </x:c>
      <x:c r="O58" s="11" t="n">
        <x:f>'Option source'!G751</x:f>
        <x:v>286</x:v>
      </x:c>
      <x:c r="P58" s="11" t="n">
        <x:f>'Option source'!F751</x:f>
        <x:v>340</x:v>
      </x:c>
      <x:c r="Q58" s="1" t="str">
        <x:v>Screen passed; indicative</x:v>
      </x:c>
      <x:c r="R58" s="1" t="n">
        <x:v>746</x:v>
      </x:c>
    </x:row>
    <x:row r="59" ht="21" customHeight="1">
      <x:c r="A59" s="12" t="n">
        <x:v>46280</x:v>
      </x:c>
      <x:c r="B59" s="1" t="str">
        <x:v>GFGC6600OC</x:v>
      </x:c>
      <x:c r="C59" s="1" t="str">
        <x:v>call</x:v>
      </x:c>
      <x:c r="D59" s="11" t="n">
        <x:v>6600</x:v>
      </x:c>
      <x:c r="E59" s="11" t="n">
        <x:f>'Option source'!B238</x:f>
        <x:v>490</x:v>
      </x:c>
      <x:c r="F59" s="11" t="n">
        <x:v>6725</x:v>
      </x:c>
      <x:c r="G59" s="18" t="n">
        <x:v>31</x:v>
      </x:c>
      <x:c r="H59" s="11" t="n">
        <x:f>MAX(IF(C59="call",F59-D59,D59-F59),0)</x:f>
        <x:v>125</x:v>
      </x:c>
      <x:c r="I59" s="11" t="n">
        <x:f>E59-H59</x:f>
        <x:v>365</x:v>
      </x:c>
      <x:c r="J59" s="13" t="n">
        <x:f>D59/F59</x:f>
        <x:v>0.9814126394052045</x:v>
      </x:c>
      <x:c r="K59" s="13" t="n">
        <x:v>0.42374677640943137</x:v>
      </x:c>
      <x:c r="L59" s="17" t="n">
        <x:v>0.6627574420408849</x:v>
      </x:c>
      <x:c r="M59" s="17" t="n">
        <x:v>7.158662891457725</x:v>
      </x:c>
      <x:c r="N59" s="11" t="n">
        <x:f>'Option source'!C238</x:f>
        <x:v>51367756</x:v>
      </x:c>
      <x:c r="O59" s="11" t="n">
        <x:f>'Option source'!G238</x:f>
        <x:v>450</x:v>
      </x:c>
      <x:c r="P59" s="11" t="n">
        <x:f>'Option source'!F238</x:f>
        <x:v>536.65</x:v>
      </x:c>
      <x:c r="Q59" s="1" t="str">
        <x:v>Screen passed; indicative</x:v>
      </x:c>
      <x:c r="R59" s="1" t="n">
        <x:v>233</x:v>
      </x:c>
    </x:row>
    <x:row r="60" ht="21" customHeight="1">
      <x:c r="A60" s="12" t="n">
        <x:v>46280</x:v>
      </x:c>
      <x:c r="B60" s="1" t="str">
        <x:v>GFGV6600OC</x:v>
      </x:c>
      <x:c r="C60" s="1" t="str">
        <x:v>put</x:v>
      </x:c>
      <x:c r="D60" s="11" t="n">
        <x:v>6600</x:v>
      </x:c>
      <x:c r="E60" s="11" t="n">
        <x:f>'Option source'!B732</x:f>
        <x:v>220.68</x:v>
      </x:c>
      <x:c r="F60" s="11" t="n">
        <x:v>6725</x:v>
      </x:c>
      <x:c r="G60" s="18" t="n">
        <x:v>31</x:v>
      </x:c>
      <x:c r="H60" s="11" t="n">
        <x:f>MAX(IF(C60="call",F60-D60,D60-F60),0)</x:f>
        <x:v>0</x:v>
      </x:c>
      <x:c r="I60" s="11" t="n">
        <x:f>E60-H60</x:f>
        <x:v>220.68</x:v>
      </x:c>
      <x:c r="J60" s="13" t="n">
        <x:f>D60/F60</x:f>
        <x:v>0.9814126394052045</x:v>
      </x:c>
      <x:c r="K60" s="13" t="n">
        <x:v>0.4372059628656846</x:v>
      </x:c>
      <x:c r="L60" s="17" t="n">
        <x:v>-0.3405608405096413</x:v>
      </x:c>
      <x:c r="M60" s="17" t="n">
        <x:v>7.185682144083072</x:v>
      </x:c>
      <x:c r="N60" s="11" t="n">
        <x:f>'Option source'!C732</x:f>
        <x:v>232898432</x:v>
      </x:c>
      <x:c r="O60" s="11" t="n">
        <x:f>'Option source'!G732</x:f>
        <x:v>184.95</x:v>
      </x:c>
      <x:c r="P60" s="11" t="n">
        <x:f>'Option source'!F732</x:f>
        <x:v>249</x:v>
      </x:c>
      <x:c r="Q60" s="1" t="str">
        <x:v>Screen passed; indicative</x:v>
      </x:c>
      <x:c r="R60" s="1" t="n">
        <x:v>727</x:v>
      </x:c>
    </x:row>
    <x:row r="61" ht="21" customHeight="1">
      <x:c r="A61" s="12" t="n">
        <x:v>46280</x:v>
      </x:c>
      <x:c r="B61" s="1" t="str">
        <x:v>GFGC7000OC</x:v>
      </x:c>
      <x:c r="C61" s="1" t="str">
        <x:v>call</x:v>
      </x:c>
      <x:c r="D61" s="11" t="n">
        <x:v>7000</x:v>
      </x:c>
      <x:c r="E61" s="11" t="n">
        <x:f>'Option source'!B276</x:f>
        <x:v>277.07</x:v>
      </x:c>
      <x:c r="F61" s="11" t="n">
        <x:v>6725</x:v>
      </x:c>
      <x:c r="G61" s="18" t="n">
        <x:v>31</x:v>
      </x:c>
      <x:c r="H61" s="11" t="n">
        <x:f>MAX(IF(C61="call",F61-D61,D61-F61),0)</x:f>
        <x:v>0</x:v>
      </x:c>
      <x:c r="I61" s="11" t="n">
        <x:f>E61-H61</x:f>
        <x:v>277.07</x:v>
      </x:c>
      <x:c r="J61" s="13" t="n">
        <x:f>D61/F61</x:f>
        <x:v>1.0408921933085502</x:v>
      </x:c>
      <x:c r="K61" s="13" t="n">
        <x:v>0.41177099701244996</x:v>
      </x:c>
      <x:c r="L61" s="17" t="n">
        <x:v>0.4754197052319948</x:v>
      </x:c>
      <x:c r="M61" s="17" t="n">
        <x:v>7.8038943379462005</x:v>
      </x:c>
      <x:c r="N61" s="11" t="n">
        <x:f>'Option source'!C276</x:f>
        <x:v>418205024</x:v>
      </x:c>
      <x:c r="O61" s="11" t="n">
        <x:f>'Option source'!G276</x:f>
        <x:v>260</x:v>
      </x:c>
      <x:c r="P61" s="11" t="n">
        <x:f>'Option source'!F276</x:f>
        <x:v>315</x:v>
      </x:c>
      <x:c r="Q61" s="1" t="str">
        <x:v>Screen passed; indicative</x:v>
      </x:c>
      <x:c r="R61" s="1" t="n">
        <x:v>271</x:v>
      </x:c>
    </x:row>
    <x:row r="62" ht="21" customHeight="1">
      <x:c r="A62" s="12" t="n">
        <x:v>46280</x:v>
      </x:c>
      <x:c r="B62" s="1" t="str">
        <x:v>GFGV7000OC</x:v>
      </x:c>
      <x:c r="C62" s="1" t="str">
        <x:v>put</x:v>
      </x:c>
      <x:c r="D62" s="11" t="n">
        <x:v>7000</x:v>
      </x:c>
      <x:c r="E62" s="11" t="n">
        <x:f>'Option source'!B770</x:f>
        <x:v>418.29</x:v>
      </x:c>
      <x:c r="F62" s="11" t="n">
        <x:v>6725</x:v>
      </x:c>
      <x:c r="G62" s="18" t="n">
        <x:v>31</x:v>
      </x:c>
      <x:c r="H62" s="11" t="n">
        <x:f>MAX(IF(C62="call",F62-D62,D62-F62),0)</x:f>
        <x:v>275</x:v>
      </x:c>
      <x:c r="I62" s="11" t="n">
        <x:f>E62-H62</x:f>
        <x:v>143.29000000000002</x:v>
      </x:c>
      <x:c r="J62" s="13" t="n">
        <x:f>D62/F62</x:f>
        <x:v>1.0408921933085502</x:v>
      </x:c>
      <x:c r="K62" s="13" t="n">
        <x:v>0.42724476405218037</x:v>
      </x:c>
      <x:c r="L62" s="17" t="n">
        <x:v>-0.5219275521806771</x:v>
      </x:c>
      <x:c r="M62" s="17" t="n">
        <x:v>7.806926517665086</x:v>
      </x:c>
      <x:c r="N62" s="11" t="n">
        <x:f>'Option source'!C770</x:f>
        <x:v>127203152</x:v>
      </x:c>
      <x:c r="O62" s="11" t="n">
        <x:f>'Option source'!G770</x:f>
        <x:v>382.99</x:v>
      </x:c>
      <x:c r="P62" s="11" t="n">
        <x:f>'Option source'!F770</x:f>
        <x:v>453.97</x:v>
      </x:c>
      <x:c r="Q62" s="1" t="str">
        <x:v>Screen passed; indicative</x:v>
      </x:c>
      <x:c r="R62" s="1" t="n">
        <x:v>765</x:v>
      </x:c>
    </x:row>
    <x:row r="63" ht="21" customHeight="1">
      <x:c r="A63" s="12" t="n">
        <x:v>46280</x:v>
      </x:c>
      <x:c r="B63" s="1" t="str">
        <x:v>GFGC6400OC</x:v>
      </x:c>
      <x:c r="C63" s="1" t="str">
        <x:v>call</x:v>
      </x:c>
      <x:c r="D63" s="11" t="n">
        <x:v>6400</x:v>
      </x:c>
      <x:c r="E63" s="11" t="n">
        <x:f>'Option source'!B219</x:f>
        <x:v>600.2</x:v>
      </x:c>
      <x:c r="F63" s="11" t="n">
        <x:v>6725</x:v>
      </x:c>
      <x:c r="G63" s="18" t="n">
        <x:v>31</x:v>
      </x:c>
      <x:c r="H63" s="11" t="n">
        <x:f>MAX(IF(C63="call",F63-D63,D63-F63),0)</x:f>
        <x:v>325</x:v>
      </x:c>
      <x:c r="I63" s="11" t="n">
        <x:f>E63-H63</x:f>
        <x:v>275.20000000000005</x:v>
      </x:c>
      <x:c r="J63" s="13" t="n">
        <x:f>D63/F63</x:f>
        <x:v>0.9516728624535316</x:v>
      </x:c>
      <x:c r="K63" s="13" t="n">
        <x:v>0.39295603176914407</x:v>
      </x:c>
      <x:c r="L63" s="17" t="n">
        <x:v>0.7618569030929825</x:v>
      </x:c>
      <x:c r="M63" s="17" t="n">
        <x:v>6.0668893734128195</x:v>
      </x:c>
      <x:c r="N63" s="11" t="n">
        <x:f>'Option source'!C219</x:f>
        <x:v>52725424</x:v>
      </x:c>
      <x:c r="O63" s="11" t="n">
        <x:f>'Option source'!G219</x:f>
        <x:v>580</x:v>
      </x:c>
      <x:c r="P63" s="11" t="n">
        <x:f>'Option source'!F219</x:f>
        <x:v>675.13</x:v>
      </x:c>
      <x:c r="Q63" s="1" t="str">
        <x:v>Screen passed; indicative</x:v>
      </x:c>
      <x:c r="R63" s="1" t="n">
        <x:v>214</x:v>
      </x:c>
    </x:row>
    <x:row r="64" ht="21" customHeight="1">
      <x:c r="A64" s="12" t="n">
        <x:v>46280</x:v>
      </x:c>
      <x:c r="B64" s="1" t="str">
        <x:v>GFGV6400OC</x:v>
      </x:c>
      <x:c r="C64" s="1" t="str">
        <x:v>put</x:v>
      </x:c>
      <x:c r="D64" s="11" t="n">
        <x:v>6400</x:v>
      </x:c>
      <x:c r="E64" s="11" t="n">
        <x:f>'Option source'!B713</x:f>
        <x:v>151.43</x:v>
      </x:c>
      <x:c r="F64" s="11" t="n">
        <x:v>6725</x:v>
      </x:c>
      <x:c r="G64" s="18" t="n">
        <x:v>31</x:v>
      </x:c>
      <x:c r="H64" s="11" t="n">
        <x:f>MAX(IF(C64="call",F64-D64,D64-F64),0)</x:f>
        <x:v>0</x:v>
      </x:c>
      <x:c r="I64" s="11" t="n">
        <x:f>E64-H64</x:f>
        <x:v>151.43</x:v>
      </x:c>
      <x:c r="J64" s="13" t="n">
        <x:f>D64/F64</x:f>
        <x:v>0.9516728624535316</x:v>
      </x:c>
      <x:c r="K64" s="13" t="n">
        <x:v>0.44063736894663935</x:v>
      </x:c>
      <x:c r="L64" s="17" t="n">
        <x:v>-0.25837746160386854</x:v>
      </x:c>
      <x:c r="M64" s="17" t="n">
        <x:v>6.33659058547583</x:v>
      </x:c>
      <x:c r="N64" s="11" t="n">
        <x:f>'Option source'!C713</x:f>
        <x:v>154461408</x:v>
      </x:c>
      <x:c r="O64" s="11" t="n">
        <x:f>'Option source'!G713</x:f>
        <x:v>130.15</x:v>
      </x:c>
      <x:c r="P64" s="11" t="n">
        <x:f>'Option source'!F713</x:f>
        <x:v>172</x:v>
      </x:c>
      <x:c r="Q64" s="1" t="str">
        <x:v>Screen passed; indicative</x:v>
      </x:c>
      <x:c r="R64" s="1" t="n">
        <x:v>708</x:v>
      </x:c>
    </x:row>
    <x:row r="65" ht="21" customHeight="1">
      <x:c r="A65" s="12" t="n">
        <x:v>46280</x:v>
      </x:c>
      <x:c r="B65" s="1" t="str">
        <x:v>GFGC7200OC</x:v>
      </x:c>
      <x:c r="C65" s="1" t="str">
        <x:v>call</x:v>
      </x:c>
      <x:c r="D65" s="11" t="n">
        <x:v>7200</x:v>
      </x:c>
      <x:c r="E65" s="11" t="n">
        <x:f>'Option source'!B295</x:f>
        <x:v>205.53</x:v>
      </x:c>
      <x:c r="F65" s="11" t="n">
        <x:v>6725</x:v>
      </x:c>
      <x:c r="G65" s="18" t="n">
        <x:v>31</x:v>
      </x:c>
      <x:c r="H65" s="11" t="n">
        <x:f>MAX(IF(C65="call",F65-D65,D65-F65),0)</x:f>
        <x:v>0</x:v>
      </x:c>
      <x:c r="I65" s="11" t="n">
        <x:f>E65-H65</x:f>
        <x:v>205.53</x:v>
      </x:c>
      <x:c r="J65" s="13" t="n">
        <x:f>D65/F65</x:f>
        <x:v>1.070631970260223</x:v>
      </x:c>
      <x:c r="K65" s="13" t="n">
        <x:v>0.41582763539839585</x:v>
      </x:c>
      <x:c r="L65" s="17" t="n">
        <x:v>0.38501444051298395</x:v>
      </x:c>
      <x:c r="M65" s="17" t="n">
        <x:v>7.491678829621797</x:v>
      </x:c>
      <x:c r="N65" s="11" t="n">
        <x:f>'Option source'!C295</x:f>
        <x:v>191148784</x:v>
      </x:c>
      <x:c r="O65" s="11" t="n">
        <x:f>'Option source'!G295</x:f>
        <x:v>187.08</x:v>
      </x:c>
      <x:c r="P65" s="11" t="n">
        <x:f>'Option source'!F295</x:f>
        <x:v>260</x:v>
      </x:c>
      <x:c r="Q65" s="1" t="str">
        <x:v>Screen passed; indicative</x:v>
      </x:c>
      <x:c r="R65" s="1" t="n">
        <x:v>290</x:v>
      </x:c>
    </x:row>
    <x:row r="66" ht="21" customHeight="1">
      <x:c r="A66" s="12" t="n">
        <x:v>46280</x:v>
      </x:c>
      <x:c r="B66" s="1" t="str">
        <x:v>GFGV7200OC</x:v>
      </x:c>
      <x:c r="C66" s="1" t="str">
        <x:v>put</x:v>
      </x:c>
      <x:c r="D66" s="11" t="n">
        <x:v>7200</x:v>
      </x:c>
      <x:c r="E66" s="11" t="n">
        <x:f>'Option source'!B789</x:f>
        <x:v>542</x:v>
      </x:c>
      <x:c r="F66" s="11" t="n">
        <x:v>6725</x:v>
      </x:c>
      <x:c r="G66" s="18" t="n">
        <x:v>31</x:v>
      </x:c>
      <x:c r="H66" s="11" t="n">
        <x:f>MAX(IF(C66="call",F66-D66,D66-F66),0)</x:f>
        <x:v>475</x:v>
      </x:c>
      <x:c r="I66" s="11" t="n">
        <x:f>E66-H66</x:f>
        <x:v>67</x:v>
      </x:c>
      <x:c r="J66" s="13" t="n">
        <x:f>D66/F66</x:f>
        <x:v>1.070631970260223</x:v>
      </x:c>
      <x:c r="K66" s="13" t="n">
        <x:v>0.4108756805738658</x:v>
      </x:c>
      <x:c r="L66" s="17" t="n">
        <x:v>-0.6168859420906068</x:v>
      </x:c>
      <x:c r="M66" s="17" t="n">
        <x:v>7.480698112344627</x:v>
      </x:c>
      <x:c r="N66" s="11" t="n">
        <x:f>'Option source'!C789</x:f>
        <x:v>51121128</x:v>
      </x:c>
      <x:c r="O66" s="11" t="n">
        <x:f>'Option source'!G789</x:f>
        <x:v>495</x:v>
      </x:c>
      <x:c r="P66" s="11" t="n">
        <x:f>'Option source'!F789</x:f>
        <x:v>590</x:v>
      </x:c>
      <x:c r="Q66" s="1" t="str">
        <x:v>Screen passed; indicative</x:v>
      </x:c>
      <x:c r="R66" s="1" t="n">
        <x:v>784</x:v>
      </x:c>
    </x:row>
    <x:row r="67" ht="21" customHeight="1">
      <x:c r="A67" s="12" t="n">
        <x:v>46280</x:v>
      </x:c>
      <x:c r="B67" s="1" t="str">
        <x:v>GFGC6200OC</x:v>
      </x:c>
      <x:c r="C67" s="1" t="str">
        <x:v>call</x:v>
      </x:c>
      <x:c r="D67" s="11" t="n">
        <x:v>6200</x:v>
      </x:c>
      <x:c r="E67" s="11" t="n">
        <x:f>'Option source'!B200</x:f>
        <x:v>757.6</x:v>
      </x:c>
      <x:c r="F67" s="11" t="n">
        <x:v>6725</x:v>
      </x:c>
      <x:c r="G67" s="18" t="n">
        <x:v>31</x:v>
      </x:c>
      <x:c r="H67" s="11" t="n">
        <x:f>MAX(IF(C67="call",F67-D67,D67-F67),0)</x:f>
        <x:v>525</x:v>
      </x:c>
      <x:c r="I67" s="11" t="n">
        <x:f>E67-H67</x:f>
        <x:v>232.60000000000002</x:v>
      </x:c>
      <x:c r="J67" s="13" t="n">
        <x:f>D67/F67</x:f>
        <x:v>0.9219330855018587</x:v>
      </x:c>
      <x:c r="K67" s="13" t="n">
        <x:v>0.4085613899453238</x:v>
      </x:c>
      <x:c r="L67" s="17" t="n">
        <x:v>0.830511474024366</x:v>
      </x:c>
      <x:c r="M67" s="17" t="n">
        <x:v>4.949939075036372</x:v>
      </x:c>
      <x:c r="N67" s="11" t="n">
        <x:f>'Option source'!C200</x:f>
        <x:v>13415150</x:v>
      </x:c>
      <x:c r="O67" s="11" t="n">
        <x:f>'Option source'!G200</x:f>
        <x:v>730</x:v>
      </x:c>
      <x:c r="P67" s="11" t="n">
        <x:f>'Option source'!F200</x:f>
        <x:v>822.13</x:v>
      </x:c>
      <x:c r="Q67" s="1" t="str">
        <x:v>Screen passed; indicative</x:v>
      </x:c>
      <x:c r="R67" s="1" t="n">
        <x:v>195</x:v>
      </x:c>
    </x:row>
    <x:row r="68" ht="21" customHeight="1">
      <x:c r="A68" s="12" t="n">
        <x:v>46280</x:v>
      </x:c>
      <x:c r="B68" s="1" t="str">
        <x:v>GFGV6200OC</x:v>
      </x:c>
      <x:c r="C68" s="1" t="str">
        <x:v>put</x:v>
      </x:c>
      <x:c r="D68" s="11" t="n">
        <x:v>6200</x:v>
      </x:c>
      <x:c r="E68" s="11" t="n">
        <x:f>'Option source'!B694</x:f>
        <x:v>97.24</x:v>
      </x:c>
      <x:c r="F68" s="11" t="n">
        <x:v>6725</x:v>
      </x:c>
      <x:c r="G68" s="18" t="n">
        <x:v>31</x:v>
      </x:c>
      <x:c r="H68" s="11" t="n">
        <x:f>MAX(IF(C68="call",F68-D68,D68-F68),0)</x:f>
        <x:v>0</x:v>
      </x:c>
      <x:c r="I68" s="11" t="n">
        <x:f>E68-H68</x:f>
        <x:v>97.24</x:v>
      </x:c>
      <x:c r="J68" s="13" t="n">
        <x:f>D68/F68</x:f>
        <x:v>0.9219330855018587</x:v>
      </x:c>
      <x:c r="K68" s="13" t="n">
        <x:v>0.4402178158110245</x:v>
      </x:c>
      <x:c r="L68" s="17" t="n">
        <x:v>-0.1850403950328683</x:v>
      </x:c>
      <x:c r="M68" s="17" t="n">
        <x:v>5.23217367939869</x:v>
      </x:c>
      <x:c r="N68" s="11" t="n">
        <x:f>'Option source'!C694</x:f>
        <x:v>62372620</x:v>
      </x:c>
      <x:c r="O68" s="11" t="n">
        <x:f>'Option source'!G694</x:f>
        <x:v>80</x:v>
      </x:c>
      <x:c r="P68" s="11" t="n">
        <x:f>'Option source'!F694</x:f>
        <x:v>112</x:v>
      </x:c>
      <x:c r="Q68" s="1" t="str">
        <x:v>Screen passed; indicative</x:v>
      </x:c>
      <x:c r="R68" s="1" t="n">
        <x:v>689</x:v>
      </x:c>
    </x:row>
    <x:row r="69" ht="21" customHeight="1">
      <x:c r="A69" s="12" t="n">
        <x:v>46280</x:v>
      </x:c>
      <x:c r="B69" s="1" t="str">
        <x:v>GFGC7400OC</x:v>
      </x:c>
      <x:c r="C69" s="1" t="str">
        <x:v>call</x:v>
      </x:c>
      <x:c r="D69" s="11" t="n">
        <x:v>7400</x:v>
      </x:c>
      <x:c r="E69" s="11" t="n">
        <x:f>'Option source'!B314</x:f>
        <x:v>148.96</x:v>
      </x:c>
      <x:c r="F69" s="11" t="n">
        <x:v>6725</x:v>
      </x:c>
      <x:c r="G69" s="18" t="n">
        <x:v>31</x:v>
      </x:c>
      <x:c r="H69" s="11" t="n">
        <x:f>MAX(IF(C69="call",F69-D69,D69-F69),0)</x:f>
        <x:v>0</x:v>
      </x:c>
      <x:c r="I69" s="11" t="n">
        <x:f>E69-H69</x:f>
        <x:v>148.96</x:v>
      </x:c>
      <x:c r="J69" s="13" t="n">
        <x:f>D69/F69</x:f>
        <x:v>1.100371747211896</x:v>
      </x:c>
      <x:c r="K69" s="13" t="n">
        <x:v>0.4184794567803369</x:v>
      </x:c>
      <x:c r="L69" s="17" t="n">
        <x:v>0.30349517603391424</x:v>
      </x:c>
      <x:c r="M69" s="17" t="n">
        <x:v>6.849892585832154</x:v>
      </x:c>
      <x:c r="N69" s="11" t="n">
        <x:f>'Option source'!C314</x:f>
        <x:v>138135056</x:v>
      </x:c>
      <x:c r="O69" s="11" t="n">
        <x:f>'Option source'!G314</x:f>
        <x:v>134.4</x:v>
      </x:c>
      <x:c r="P69" s="11" t="n">
        <x:f>'Option source'!F314</x:f>
        <x:v>180</x:v>
      </x:c>
      <x:c r="Q69" s="1" t="str">
        <x:v>Screen passed; indicative</x:v>
      </x:c>
      <x:c r="R69" s="1" t="n">
        <x:v>309</x:v>
      </x:c>
    </x:row>
    <x:row r="70" ht="21" customHeight="1">
      <x:c r="A70" s="12" t="n">
        <x:v>46280</x:v>
      </x:c>
      <x:c r="B70" s="1" t="str">
        <x:v>GFGV7400OC</x:v>
      </x:c>
      <x:c r="C70" s="1" t="str">
        <x:v>put</x:v>
      </x:c>
      <x:c r="D70" s="11" t="n">
        <x:v>7400</x:v>
      </x:c>
      <x:c r="E70" s="11" t="n">
        <x:f>'Option source'!B808</x:f>
        <x:v>663.54</x:v>
      </x:c>
      <x:c r="F70" s="11" t="n">
        <x:v>6725</x:v>
      </x:c>
      <x:c r="G70" s="18" t="n">
        <x:v>31</x:v>
      </x:c>
      <x:c r="H70" s="11" t="n">
        <x:f>MAX(IF(C70="call",F70-D70,D70-F70),0)</x:f>
        <x:v>675</x:v>
      </x:c>
      <x:c r="I70" s="11" t="n">
        <x:f>E70-H70</x:f>
        <x:v>-11.460000000000036</x:v>
      </x:c>
      <x:c r="J70" s="13" t="n">
        <x:f>D70/F70</x:f>
        <x:v>1.100371747211896</x:v>
      </x:c>
      <x:c r="K70" s="13"/>
      <x:c r="L70" s="17"/>
      <x:c r="M70" s="17"/>
      <x:c r="N70" s="11" t="n">
        <x:f>'Option source'!C808</x:f>
        <x:v>42596096</x:v>
      </x:c>
      <x:c r="O70" s="11" t="n">
        <x:f>'Option source'!G808</x:f>
        <x:v>649.5</x:v>
      </x:c>
      <x:c r="P70" s="11" t="n">
        <x:f>'Option source'!F808</x:f>
        <x:v>721.1</x:v>
      </x:c>
      <x:c r="Q70" s="1" t="str">
        <x:v>Below intrinsic value</x:v>
      </x:c>
      <x:c r="R70" s="1" t="n">
        <x:v>803</x:v>
      </x:c>
    </x:row>
    <x:row r="71" ht="21" customHeight="1">
      <x:c r="A71" s="12" t="n">
        <x:v>46280</x:v>
      </x:c>
      <x:c r="B71" s="1" t="str">
        <x:v>GFGC6000OC</x:v>
      </x:c>
      <x:c r="C71" s="1" t="str">
        <x:v>call</x:v>
      </x:c>
      <x:c r="D71" s="11" t="n">
        <x:v>6000</x:v>
      </x:c>
      <x:c r="E71" s="11" t="n">
        <x:f>'Option source'!B181</x:f>
        <x:v>930</x:v>
      </x:c>
      <x:c r="F71" s="11" t="n">
        <x:v>6725</x:v>
      </x:c>
      <x:c r="G71" s="18" t="n">
        <x:v>31</x:v>
      </x:c>
      <x:c r="H71" s="11" t="n">
        <x:f>MAX(IF(C71="call",F71-D71,D71-F71),0)</x:f>
        <x:v>725</x:v>
      </x:c>
      <x:c r="I71" s="11" t="n">
        <x:f>E71-H71</x:f>
        <x:v>205</x:v>
      </x:c>
      <x:c r="J71" s="13" t="n">
        <x:f>D71/F71</x:f>
        <x:v>0.8921933085501859</x:v>
      </x:c>
      <x:c r="K71" s="13" t="n">
        <x:v>0.4341302723597699</x:v>
      </x:c>
      <x:c r="L71" s="17" t="n">
        <x:v>0.8782481591491041</x:v>
      </x:c>
      <x:c r="M71" s="17" t="n">
        <x:v>3.9607202456482056</x:v>
      </x:c>
      <x:c r="N71" s="11" t="n">
        <x:f>'Option source'!C181</x:f>
        <x:v>2821693.25</x:v>
      </x:c>
      <x:c r="O71" s="11" t="n">
        <x:f>'Option source'!G181</x:f>
        <x:v>890</x:v>
      </x:c>
      <x:c r="P71" s="11" t="n">
        <x:f>'Option source'!F181</x:f>
        <x:v>990</x:v>
      </x:c>
      <x:c r="Q71" s="1" t="str">
        <x:v>Screen passed; indicative</x:v>
      </x:c>
      <x:c r="R71" s="1" t="n">
        <x:v>176</x:v>
      </x:c>
    </x:row>
    <x:row r="72" ht="21" customHeight="1">
      <x:c r="A72" s="12" t="n">
        <x:v>46280</x:v>
      </x:c>
      <x:c r="B72" s="1" t="str">
        <x:v>GFGV6000OC</x:v>
      </x:c>
      <x:c r="C72" s="1" t="str">
        <x:v>put</x:v>
      </x:c>
      <x:c r="D72" s="11" t="n">
        <x:v>6000</x:v>
      </x:c>
      <x:c r="E72" s="11" t="n">
        <x:f>'Option source'!B675</x:f>
        <x:v>59.49</x:v>
      </x:c>
      <x:c r="F72" s="11" t="n">
        <x:v>6725</x:v>
      </x:c>
      <x:c r="G72" s="18" t="n">
        <x:v>31</x:v>
      </x:c>
      <x:c r="H72" s="11" t="n">
        <x:f>MAX(IF(C72="call",F72-D72,D72-F72),0)</x:f>
        <x:v>0</x:v>
      </x:c>
      <x:c r="I72" s="11" t="n">
        <x:f>E72-H72</x:f>
        <x:v>59.49</x:v>
      </x:c>
      <x:c r="J72" s="13" t="n">
        <x:f>D72/F72</x:f>
        <x:v>0.8921933085501859</x:v>
      </x:c>
      <x:c r="K72" s="13" t="n">
        <x:v>0.44176461394931665</x:v>
      </x:c>
      <x:c r="L72" s="17" t="n">
        <x:v>-0.1254172680370721</x:v>
      </x:c>
      <x:c r="M72" s="17" t="n">
        <x:v>4.043855523752073</x:v>
      </x:c>
      <x:c r="N72" s="11" t="n">
        <x:f>'Option source'!C675</x:f>
        <x:v>67548216</x:v>
      </x:c>
      <x:c r="O72" s="11" t="n">
        <x:f>'Option source'!G675</x:f>
        <x:v>47</x:v>
      </x:c>
      <x:c r="P72" s="11" t="n">
        <x:f>'Option source'!F675</x:f>
        <x:v>68</x:v>
      </x:c>
      <x:c r="Q72" s="1" t="str">
        <x:v>Screen passed; indicative</x:v>
      </x:c>
      <x:c r="R72" s="1" t="n">
        <x:v>670</x:v>
      </x:c>
    </x:row>
    <x:row r="73" ht="21" customHeight="1">
      <x:c r="A73" s="12" t="n">
        <x:v>46280</x:v>
      </x:c>
      <x:c r="B73" s="1" t="str">
        <x:v>GFGC7600OC</x:v>
      </x:c>
      <x:c r="C73" s="1" t="str">
        <x:v>call</x:v>
      </x:c>
      <x:c r="D73" s="11" t="n">
        <x:v>7600</x:v>
      </x:c>
      <x:c r="E73" s="11" t="n">
        <x:f>'Option source'!B333</x:f>
        <x:v>106.1</x:v>
      </x:c>
      <x:c r="F73" s="11" t="n">
        <x:v>6725</x:v>
      </x:c>
      <x:c r="G73" s="18" t="n">
        <x:v>31</x:v>
      </x:c>
      <x:c r="H73" s="11" t="n">
        <x:f>MAX(IF(C73="call",F73-D73,D73-F73),0)</x:f>
        <x:v>0</x:v>
      </x:c>
      <x:c r="I73" s="11" t="n">
        <x:f>E73-H73</x:f>
        <x:v>106.1</x:v>
      </x:c>
      <x:c r="J73" s="13" t="n">
        <x:f>D73/F73</x:f>
        <x:v>1.1301115241635689</x:v>
      </x:c>
      <x:c r="K73" s="13" t="n">
        <x:v>0.42121598873551885</x:v>
      </x:c>
      <x:c r="L73" s="17" t="n">
        <x:v>0.23346436005350865</x:v>
      </x:c>
      <x:c r="M73" s="17" t="n">
        <x:v>6.000879148899984</x:v>
      </x:c>
      <x:c r="N73" s="11" t="n">
        <x:f>'Option source'!C333</x:f>
        <x:v>340337472</x:v>
      </x:c>
      <x:c r="O73" s="11" t="n">
        <x:f>'Option source'!G333</x:f>
        <x:v>95.1</x:v>
      </x:c>
      <x:c r="P73" s="11" t="n">
        <x:f>'Option source'!F333</x:f>
        <x:v>130</x:v>
      </x:c>
      <x:c r="Q73" s="1" t="str">
        <x:v>Screen passed; indicative</x:v>
      </x:c>
      <x:c r="R73" s="1" t="n">
        <x:v>328</x:v>
      </x:c>
    </x:row>
    <x:row r="74" ht="21" customHeight="1">
      <x:c r="A74" s="12" t="n">
        <x:v>46280</x:v>
      </x:c>
      <x:c r="B74" s="1" t="str">
        <x:v>GFGV7600OC</x:v>
      </x:c>
      <x:c r="C74" s="1" t="str">
        <x:v>put</x:v>
      </x:c>
      <x:c r="D74" s="11" t="n">
        <x:v>7600</x:v>
      </x:c>
      <x:c r="E74" s="11" t="n">
        <x:f>'Option source'!B827</x:f>
        <x:v>860.85</x:v>
      </x:c>
      <x:c r="F74" s="11" t="n">
        <x:v>6725</x:v>
      </x:c>
      <x:c r="G74" s="18" t="n">
        <x:v>31</x:v>
      </x:c>
      <x:c r="H74" s="11" t="n">
        <x:f>MAX(IF(C74="call",F74-D74,D74-F74),0)</x:f>
        <x:v>875</x:v>
      </x:c>
      <x:c r="I74" s="11" t="n">
        <x:f>E74-H74</x:f>
        <x:v>-14.149999999999977</x:v>
      </x:c>
      <x:c r="J74" s="13" t="n">
        <x:f>D74/F74</x:f>
        <x:v>1.1301115241635689</x:v>
      </x:c>
      <x:c r="K74" s="13"/>
      <x:c r="L74" s="17"/>
      <x:c r="M74" s="17"/>
      <x:c r="N74" s="11" t="n">
        <x:f>'Option source'!C827</x:f>
        <x:v>1079927</x:v>
      </x:c>
      <x:c r="O74" s="11" t="n">
        <x:f>'Option source'!G827</x:f>
        <x:v>799.5</x:v>
      </x:c>
      <x:c r="P74" s="11" t="n">
        <x:f>'Option source'!F827</x:f>
        <x:v>879.55</x:v>
      </x:c>
      <x:c r="Q74" s="1" t="str">
        <x:v>Below intrinsic value</x:v>
      </x:c>
      <x:c r="R74" s="1" t="n">
        <x:v>822</x:v>
      </x:c>
    </x:row>
    <x:row r="75" ht="21" customHeight="1">
      <x:c r="A75" s="12" t="n">
        <x:v>46280</x:v>
      </x:c>
      <x:c r="B75" s="1" t="str">
        <x:v>GFGC5800OC</x:v>
      </x:c>
      <x:c r="C75" s="1" t="str">
        <x:v>call</x:v>
      </x:c>
      <x:c r="D75" s="11" t="n">
        <x:v>5800</x:v>
      </x:c>
      <x:c r="E75" s="11" t="n">
        <x:f>'Option source'!B162</x:f>
        <x:v>1198.65</x:v>
      </x:c>
      <x:c r="F75" s="11" t="n">
        <x:v>6725</x:v>
      </x:c>
      <x:c r="G75" s="18" t="n">
        <x:v>31</x:v>
      </x:c>
      <x:c r="H75" s="11" t="n">
        <x:f>MAX(IF(C75="call",F75-D75,D75-F75),0)</x:f>
        <x:v>925</x:v>
      </x:c>
      <x:c r="I75" s="11" t="n">
        <x:f>E75-H75</x:f>
        <x:v>273.6500000000001</x:v>
      </x:c>
      <x:c r="J75" s="13" t="n">
        <x:f>D75/F75</x:f>
        <x:v>0.862453531598513</x:v>
      </x:c>
      <x:c r="K75" s="13"/>
      <x:c r="L75" s="17"/>
      <x:c r="M75" s="17"/>
      <x:c r="N75" s="11" t="n">
        <x:f>'Option source'!C162</x:f>
        <x:v>0</x:v>
      </x:c>
      <x:c r="O75" s="11" t="n">
        <x:f>'Option source'!G162</x:f>
        <x:v>1163.54</x:v>
      </x:c>
      <x:c r="P75" s="11" t="n">
        <x:f>'Option source'!F162</x:f>
        <x:v>1337.15</x:v>
      </x:c>
      <x:c r="Q75" s="1" t="str">
        <x:v>Zero reported volume</x:v>
      </x:c>
      <x:c r="R75" s="1" t="n">
        <x:v>157</x:v>
      </x:c>
    </x:row>
    <x:row r="76" ht="21" customHeight="1">
      <x:c r="A76" s="12" t="n">
        <x:v>46280</x:v>
      </x:c>
      <x:c r="B76" s="1" t="str">
        <x:v>GFGV5800OC</x:v>
      </x:c>
      <x:c r="C76" s="1" t="str">
        <x:v>put</x:v>
      </x:c>
      <x:c r="D76" s="11" t="n">
        <x:v>5800</x:v>
      </x:c>
      <x:c r="E76" s="11" t="n">
        <x:f>'Option source'!B656</x:f>
        <x:v>32.86</x:v>
      </x:c>
      <x:c r="F76" s="11" t="n">
        <x:v>6725</x:v>
      </x:c>
      <x:c r="G76" s="18" t="n">
        <x:v>31</x:v>
      </x:c>
      <x:c r="H76" s="11" t="n">
        <x:f>MAX(IF(C76="call",F76-D76,D76-F76),0)</x:f>
        <x:v>0</x:v>
      </x:c>
      <x:c r="I76" s="11" t="n">
        <x:f>E76-H76</x:f>
        <x:v>32.86</x:v>
      </x:c>
      <x:c r="J76" s="13" t="n">
        <x:f>D76/F76</x:f>
        <x:v>0.862453531598513</x:v>
      </x:c>
      <x:c r="K76" s="13" t="n">
        <x:v>0.4387242885031871</x:v>
      </x:c>
      <x:c r="L76" s="17" t="n">
        <x:v>-0.07772460506829182</x:v>
      </x:c>
      <x:c r="M76" s="17" t="n">
        <x:v>2.8506584700605067</x:v>
      </x:c>
      <x:c r="N76" s="11" t="n">
        <x:f>'Option source'!C656</x:f>
        <x:v>20763368</x:v>
      </x:c>
      <x:c r="O76" s="11" t="n">
        <x:f>'Option source'!G656</x:f>
        <x:v>28</x:v>
      </x:c>
      <x:c r="P76" s="11" t="n">
        <x:f>'Option source'!F656</x:f>
        <x:v>39.5</x:v>
      </x:c>
      <x:c r="Q76" s="1" t="str">
        <x:v>Screen passed; indicative</x:v>
      </x:c>
      <x:c r="R76" s="1" t="n">
        <x:v>651</x:v>
      </x:c>
    </x:row>
    <x:row r="77" ht="21" customHeight="1">
      <x:c r="A77" s="12" t="n">
        <x:v>46280</x:v>
      </x:c>
      <x:c r="B77" s="1" t="str">
        <x:v>GFGC7800OC</x:v>
      </x:c>
      <x:c r="C77" s="1" t="str">
        <x:v>call</x:v>
      </x:c>
      <x:c r="D77" s="11" t="n">
        <x:v>7800</x:v>
      </x:c>
      <x:c r="E77" s="11" t="n">
        <x:f>'Option source'!B352</x:f>
        <x:v>74.96</x:v>
      </x:c>
      <x:c r="F77" s="11" t="n">
        <x:v>6725</x:v>
      </x:c>
      <x:c r="G77" s="18" t="n">
        <x:v>31</x:v>
      </x:c>
      <x:c r="H77" s="11" t="n">
        <x:f>MAX(IF(C77="call",F77-D77,D77-F77),0)</x:f>
        <x:v>0</x:v>
      </x:c>
      <x:c r="I77" s="11" t="n">
        <x:f>E77-H77</x:f>
        <x:v>74.96</x:v>
      </x:c>
      <x:c r="J77" s="13" t="n">
        <x:f>D77/F77</x:f>
        <x:v>1.1598513011152416</x:v>
      </x:c>
      <x:c r="K77" s="13" t="n">
        <x:v>0.4251283577692114</x:v>
      </x:c>
      <x:c r="L77" s="17" t="n">
        <x:v>0.1763636104840559</x:v>
      </x:c>
      <x:c r="M77" s="17" t="n">
        <x:v>5.076960016378413</x:v>
      </x:c>
      <x:c r="N77" s="11" t="n">
        <x:f>'Option source'!C352</x:f>
        <x:v>103323992</x:v>
      </x:c>
      <x:c r="O77" s="11" t="n">
        <x:f>'Option source'!G352</x:f>
        <x:v>67.03</x:v>
      </x:c>
      <x:c r="P77" s="11" t="n">
        <x:f>'Option source'!F352</x:f>
        <x:v>95</x:v>
      </x:c>
      <x:c r="Q77" s="1" t="str">
        <x:v>Screen passed; indicative</x:v>
      </x:c>
      <x:c r="R77" s="1" t="n">
        <x:v>347</x:v>
      </x:c>
    </x:row>
    <x:row r="78" ht="21" customHeight="1">
      <x:c r="A78" s="12" t="n">
        <x:v>46280</x:v>
      </x:c>
      <x:c r="B78" s="1" t="str">
        <x:v>GFGV7800OC</x:v>
      </x:c>
      <x:c r="C78" s="1" t="str">
        <x:v>put</x:v>
      </x:c>
      <x:c r="D78" s="11" t="n">
        <x:v>7800</x:v>
      </x:c>
      <x:c r="E78" s="11" t="n">
        <x:f>'Option source'!B846</x:f>
        <x:v>1064.72</x:v>
      </x:c>
      <x:c r="F78" s="11" t="n">
        <x:v>6725</x:v>
      </x:c>
      <x:c r="G78" s="18" t="n">
        <x:v>31</x:v>
      </x:c>
      <x:c r="H78" s="11" t="n">
        <x:f>MAX(IF(C78="call",F78-D78,D78-F78),0)</x:f>
        <x:v>1075</x:v>
      </x:c>
      <x:c r="I78" s="11" t="n">
        <x:f>E78-H78</x:f>
        <x:v>-10.279999999999973</x:v>
      </x:c>
      <x:c r="J78" s="13" t="n">
        <x:f>D78/F78</x:f>
        <x:v>1.1598513011152416</x:v>
      </x:c>
      <x:c r="K78" s="13"/>
      <x:c r="L78" s="17"/>
      <x:c r="M78" s="17"/>
      <x:c r="N78" s="11" t="n">
        <x:f>'Option source'!C846</x:f>
        <x:v>2107901.5</x:v>
      </x:c>
      <x:c r="O78" s="11" t="n">
        <x:f>'Option source'!G846</x:f>
        <x:v>967.62</x:v>
      </x:c>
      <x:c r="P78" s="11" t="n">
        <x:f>'Option source'!F846</x:f>
        <x:v>1088.22</x:v>
      </x:c>
      <x:c r="Q78" s="1" t="str">
        <x:v>Below intrinsic value</x:v>
      </x:c>
      <x:c r="R78" s="1" t="n">
        <x:v>841</x:v>
      </x:c>
    </x:row>
    <x:row r="79" ht="21" customHeight="1">
      <x:c r="A79" s="12" t="n">
        <x:v>46280</x:v>
      </x:c>
      <x:c r="B79" s="1" t="str">
        <x:v>GFGC5600OC</x:v>
      </x:c>
      <x:c r="C79" s="1" t="str">
        <x:v>call</x:v>
      </x:c>
      <x:c r="D79" s="11" t="n">
        <x:v>5600</x:v>
      </x:c>
      <x:c r="E79" s="11" t="n">
        <x:f>'Option source'!B152</x:f>
        <x:v>1455</x:v>
      </x:c>
      <x:c r="F79" s="11" t="n">
        <x:v>6725</x:v>
      </x:c>
      <x:c r="G79" s="18" t="n">
        <x:v>31</x:v>
      </x:c>
      <x:c r="H79" s="11" t="n">
        <x:f>MAX(IF(C79="call",F79-D79,D79-F79),0)</x:f>
        <x:v>1125</x:v>
      </x:c>
      <x:c r="I79" s="11" t="n">
        <x:f>E79-H79</x:f>
        <x:v>330</x:v>
      </x:c>
      <x:c r="J79" s="13" t="n">
        <x:f>D79/F79</x:f>
        <x:v>0.8327137546468402</x:v>
      </x:c>
      <x:c r="K79" s="13"/>
      <x:c r="L79" s="17"/>
      <x:c r="M79" s="17"/>
      <x:c r="N79" s="11" t="n">
        <x:f>'Option source'!C152</x:f>
        <x:v>0</x:v>
      </x:c>
      <x:c r="O79" s="11" t="n">
        <x:f>'Option source'!G152</x:f>
        <x:v>1455</x:v>
      </x:c>
      <x:c r="P79" s="11" t="n">
        <x:f>'Option source'!F152</x:f>
        <x:v>1455</x:v>
      </x:c>
      <x:c r="Q79" s="1" t="str">
        <x:v>Zero reported volume</x:v>
      </x:c>
      <x:c r="R79" s="1" t="n">
        <x:v>147</x:v>
      </x:c>
    </x:row>
    <x:row r="80" ht="21" customHeight="1">
      <x:c r="A80" s="12" t="n">
        <x:v>46280</x:v>
      </x:c>
      <x:c r="B80" s="1" t="str">
        <x:v>GFGV5600OC</x:v>
      </x:c>
      <x:c r="C80" s="1" t="str">
        <x:v>put</x:v>
      </x:c>
      <x:c r="D80" s="11" t="n">
        <x:v>5600</x:v>
      </x:c>
      <x:c r="E80" s="11" t="n">
        <x:f>'Option source'!B637</x:f>
        <x:v>17.76</x:v>
      </x:c>
      <x:c r="F80" s="11" t="n">
        <x:v>6725</x:v>
      </x:c>
      <x:c r="G80" s="18" t="n">
        <x:v>31</x:v>
      </x:c>
      <x:c r="H80" s="11" t="n">
        <x:f>MAX(IF(C80="call",F80-D80,D80-F80),0)</x:f>
        <x:v>0</x:v>
      </x:c>
      <x:c r="I80" s="11" t="n">
        <x:f>E80-H80</x:f>
        <x:v>17.76</x:v>
      </x:c>
      <x:c r="J80" s="13" t="n">
        <x:f>D80/F80</x:f>
        <x:v>0.8327137546468402</x:v>
      </x:c>
      <x:c r="K80" s="13" t="n">
        <x:v>0.4419941798818514</x:v>
      </x:c>
      <x:c r="L80" s="17" t="n">
        <x:v>-0.046147793952215244</x:v>
      </x:c>
      <x:c r="M80" s="17" t="n">
        <x:v>1.8956985472493917</x:v>
      </x:c>
      <x:c r="N80" s="11" t="n">
        <x:f>'Option source'!C637</x:f>
        <x:v>6115640</x:v>
      </x:c>
      <x:c r="O80" s="11" t="n">
        <x:f>'Option source'!G637</x:f>
        <x:v>15</x:v>
      </x:c>
      <x:c r="P80" s="11" t="n">
        <x:f>'Option source'!F637</x:f>
        <x:v>21.42</x:v>
      </x:c>
      <x:c r="Q80" s="1" t="str">
        <x:v>Screen passed; indicative</x:v>
      </x:c>
      <x:c r="R80" s="1" t="n">
        <x:v>632</x:v>
      </x:c>
    </x:row>
    <x:row r="81" ht="21" customHeight="1">
      <x:c r="A81" s="12" t="n">
        <x:v>46280</x:v>
      </x:c>
      <x:c r="B81" s="1" t="str">
        <x:v>GFGC8000OC</x:v>
      </x:c>
      <x:c r="C81" s="1" t="str">
        <x:v>call</x:v>
      </x:c>
      <x:c r="D81" s="11" t="n">
        <x:v>8000</x:v>
      </x:c>
      <x:c r="E81" s="11" t="n">
        <x:f>'Option source'!B371</x:f>
        <x:v>53.36</x:v>
      </x:c>
      <x:c r="F81" s="11" t="n">
        <x:v>6725</x:v>
      </x:c>
      <x:c r="G81" s="18" t="n">
        <x:v>31</x:v>
      </x:c>
      <x:c r="H81" s="11" t="n">
        <x:f>MAX(IF(C81="call",F81-D81,D81-F81),0)</x:f>
        <x:v>0</x:v>
      </x:c>
      <x:c r="I81" s="11" t="n">
        <x:f>E81-H81</x:f>
        <x:v>53.36</x:v>
      </x:c>
      <x:c r="J81" s="13" t="n">
        <x:f>D81/F81</x:f>
        <x:v>1.1895910780669146</x:v>
      </x:c>
      <x:c r="K81" s="13" t="n">
        <x:v>0.43146370778483595</x:v>
      </x:c>
      <x:c r="L81" s="17" t="n">
        <x:v>0.1323861735854981</x:v>
      </x:c>
      <x:c r="M81" s="17" t="n">
        <x:v>4.198417749462774</x:v>
      </x:c>
      <x:c r="N81" s="11" t="n">
        <x:f>'Option source'!C371</x:f>
        <x:v>111552832</x:v>
      </x:c>
      <x:c r="O81" s="11" t="n">
        <x:f>'Option source'!G371</x:f>
        <x:v>48.9</x:v>
      </x:c>
      <x:c r="P81" s="11" t="n">
        <x:f>'Option source'!F371</x:f>
        <x:v>72.1</x:v>
      </x:c>
      <x:c r="Q81" s="1" t="str">
        <x:v>Screen passed; indicative</x:v>
      </x:c>
      <x:c r="R81" s="1" t="n">
        <x:v>366</x:v>
      </x:c>
    </x:row>
    <x:row r="82" ht="21" customHeight="1">
      <x:c r="A82" s="12" t="n">
        <x:v>46280</x:v>
      </x:c>
      <x:c r="B82" s="1" t="str">
        <x:v>GFGV8000OC</x:v>
      </x:c>
      <x:c r="C82" s="1" t="str">
        <x:v>put</x:v>
      </x:c>
      <x:c r="D82" s="11" t="n">
        <x:v>8000</x:v>
      </x:c>
      <x:c r="E82" s="11" t="n">
        <x:f>'Option source'!B865</x:f>
        <x:v>1230</x:v>
      </x:c>
      <x:c r="F82" s="11" t="n">
        <x:v>6725</x:v>
      </x:c>
      <x:c r="G82" s="18" t="n">
        <x:v>31</x:v>
      </x:c>
      <x:c r="H82" s="11" t="n">
        <x:f>MAX(IF(C82="call",F82-D82,D82-F82),0)</x:f>
        <x:v>1275</x:v>
      </x:c>
      <x:c r="I82" s="11" t="n">
        <x:f>E82-H82</x:f>
        <x:v>-45</x:v>
      </x:c>
      <x:c r="J82" s="13" t="n">
        <x:f>D82/F82</x:f>
        <x:v>1.1895910780669146</x:v>
      </x:c>
      <x:c r="K82" s="13"/>
      <x:c r="L82" s="17"/>
      <x:c r="M82" s="17"/>
      <x:c r="N82" s="11" t="n">
        <x:f>'Option source'!C865</x:f>
        <x:v>21339940</x:v>
      </x:c>
      <x:c r="O82" s="11" t="n">
        <x:f>'Option source'!G865</x:f>
        <x:v>1109</x:v>
      </x:c>
      <x:c r="P82" s="11" t="n">
        <x:f>'Option source'!F865</x:f>
        <x:v>1250</x:v>
      </x:c>
      <x:c r="Q82" s="1" t="str">
        <x:v>Below intrinsic value</x:v>
      </x:c>
      <x:c r="R82" s="1" t="n">
        <x:v>860</x:v>
      </x:c>
    </x:row>
    <x:row r="83" ht="21" customHeight="1">
      <x:c r="A83" s="12" t="n">
        <x:v>46280</x:v>
      </x:c>
      <x:c r="B83" s="1" t="str">
        <x:v>GFGC5400OC</x:v>
      </x:c>
      <x:c r="C83" s="1" t="str">
        <x:v>call</x:v>
      </x:c>
      <x:c r="D83" s="11" t="n">
        <x:v>5400</x:v>
      </x:c>
      <x:c r="E83" s="11" t="n">
        <x:f>'Option source'!B134</x:f>
        <x:v>1470</x:v>
      </x:c>
      <x:c r="F83" s="11" t="n">
        <x:v>6725</x:v>
      </x:c>
      <x:c r="G83" s="18" t="n">
        <x:v>31</x:v>
      </x:c>
      <x:c r="H83" s="11" t="n">
        <x:f>MAX(IF(C83="call",F83-D83,D83-F83),0)</x:f>
        <x:v>1325</x:v>
      </x:c>
      <x:c r="I83" s="11" t="n">
        <x:f>E83-H83</x:f>
        <x:v>145</x:v>
      </x:c>
      <x:c r="J83" s="13" t="n">
        <x:f>D83/F83</x:f>
        <x:v>0.8029739776951673</x:v>
      </x:c>
      <x:c r="K83" s="13" t="n">
        <x:v>0.4481931018775211</x:v>
      </x:c>
      <x:c r="L83" s="17" t="n">
        <x:v>0.9738315061908382</x:v>
      </x:c>
      <x:c r="M83" s="17" t="n">
        <x:v>1.1901049021996253</x:v>
      </x:c>
      <x:c r="N83" s="11" t="n">
        <x:f>'Option source'!C134</x:f>
        <x:v>11837598</x:v>
      </x:c>
      <x:c r="O83" s="11" t="n">
        <x:f>'Option source'!G134</x:f>
        <x:v>1424.19</x:v>
      </x:c>
      <x:c r="P83" s="11" t="n">
        <x:f>'Option source'!F134</x:f>
        <x:v>1532.25</x:v>
      </x:c>
      <x:c r="Q83" s="1" t="str">
        <x:v>Screen passed; indicative</x:v>
      </x:c>
      <x:c r="R83" s="1" t="n">
        <x:v>129</x:v>
      </x:c>
    </x:row>
    <x:row r="84" ht="21" customHeight="1">
      <x:c r="A84" s="12" t="n">
        <x:v>46280</x:v>
      </x:c>
      <x:c r="B84" s="1" t="str">
        <x:v>GFGV5400OC</x:v>
      </x:c>
      <x:c r="C84" s="1" t="str">
        <x:v>put</x:v>
      </x:c>
      <x:c r="D84" s="11" t="n">
        <x:v>5400</x:v>
      </x:c>
      <x:c r="E84" s="11" t="n">
        <x:f>'Option source'!B618</x:f>
        <x:v>9.9</x:v>
      </x:c>
      <x:c r="F84" s="11" t="n">
        <x:v>6725</x:v>
      </x:c>
      <x:c r="G84" s="18" t="n">
        <x:v>31</x:v>
      </x:c>
      <x:c r="H84" s="11" t="n">
        <x:f>MAX(IF(C84="call",F84-D84,D84-F84),0)</x:f>
        <x:v>0</x:v>
      </x:c>
      <x:c r="I84" s="11" t="n">
        <x:f>E84-H84</x:f>
        <x:v>9.9</x:v>
      </x:c>
      <x:c r="J84" s="13" t="n">
        <x:f>D84/F84</x:f>
        <x:v>0.8029739776951673</x:v>
      </x:c>
      <x:c r="K84" s="13" t="n">
        <x:v>0.4522475729675885</x:v>
      </x:c>
      <x:c r="L84" s="17" t="n">
        <x:v>-0.027169005486415765</x:v>
      </x:c>
      <x:c r="M84" s="17" t="n">
        <x:v>1.2279928280975247</x:v>
      </x:c>
      <x:c r="N84" s="11" t="n">
        <x:f>'Option source'!C618</x:f>
        <x:v>1908707.12</x:v>
      </x:c>
      <x:c r="O84" s="11" t="n">
        <x:f>'Option source'!G618</x:f>
        <x:v>8</x:v>
      </x:c>
      <x:c r="P84" s="11" t="n">
        <x:f>'Option source'!F618</x:f>
        <x:v>11.38</x:v>
      </x:c>
      <x:c r="Q84" s="1" t="str">
        <x:v>Screen passed; indicative</x:v>
      </x:c>
      <x:c r="R84" s="1" t="n">
        <x:v>613</x:v>
      </x:c>
    </x:row>
    <x:row r="85" ht="21" customHeight="1">
      <x:c r="A85" s="12" t="n">
        <x:v>46280</x:v>
      </x:c>
      <x:c r="B85" s="1" t="str">
        <x:v>GFGC5200OC</x:v>
      </x:c>
      <x:c r="C85" s="1" t="str">
        <x:v>call</x:v>
      </x:c>
      <x:c r="D85" s="11" t="n">
        <x:v>5200</x:v>
      </x:c>
      <x:c r="E85" s="11" t="n">
        <x:f>'Option source'!B115</x:f>
        <x:v>1678.07</x:v>
      </x:c>
      <x:c r="F85" s="11" t="n">
        <x:v>6725</x:v>
      </x:c>
      <x:c r="G85" s="18" t="n">
        <x:v>31</x:v>
      </x:c>
      <x:c r="H85" s="11" t="n">
        <x:f>MAX(IF(C85="call",F85-D85,D85-F85),0)</x:f>
        <x:v>1525</x:v>
      </x:c>
      <x:c r="I85" s="11" t="n">
        <x:f>E85-H85</x:f>
        <x:v>153.06999999999994</x:v>
      </x:c>
      <x:c r="J85" s="13" t="n">
        <x:f>D85/F85</x:f>
        <x:v>0.7732342007434945</x:v>
      </x:c>
      <x:c r="K85" s="13" t="n">
        <x:v>0.5972113528651428</x:v>
      </x:c>
      <x:c r="L85" s="17" t="n">
        <x:v>0.9564631675832227</x:v>
      </x:c>
      <x:c r="M85" s="17" t="n">
        <x:v>1.8088546867285331</x:v>
      </x:c>
      <x:c r="N85" s="11" t="n">
        <x:f>'Option source'!C115</x:f>
        <x:v>503108.09</x:v>
      </x:c>
      <x:c r="O85" s="11" t="n">
        <x:f>'Option source'!G115</x:f>
        <x:v>1653.01</x:v>
      </x:c>
      <x:c r="P85" s="11" t="n">
        <x:f>'Option source'!F115</x:f>
        <x:v>1700</x:v>
      </x:c>
      <x:c r="Q85" s="1" t="str">
        <x:v>Screen passed; indicative</x:v>
      </x:c>
      <x:c r="R85" s="1" t="n">
        <x:v>110</x:v>
      </x:c>
    </x:row>
    <x:row r="86" ht="21" customHeight="1">
      <x:c r="A86" s="12" t="n">
        <x:v>46280</x:v>
      </x:c>
      <x:c r="B86" s="1" t="str">
        <x:v>GFGV5200OC</x:v>
      </x:c>
      <x:c r="C86" s="1" t="str">
        <x:v>put</x:v>
      </x:c>
      <x:c r="D86" s="11" t="n">
        <x:v>5200</x:v>
      </x:c>
      <x:c r="E86" s="11" t="n">
        <x:f>'Option source'!B599</x:f>
        <x:v>5.46</x:v>
      </x:c>
      <x:c r="F86" s="11" t="n">
        <x:v>6725</x:v>
      </x:c>
      <x:c r="G86" s="18" t="n">
        <x:v>31</x:v>
      </x:c>
      <x:c r="H86" s="11" t="n">
        <x:f>MAX(IF(C86="call",F86-D86,D86-F86),0)</x:f>
        <x:v>0</x:v>
      </x:c>
      <x:c r="I86" s="11" t="n">
        <x:f>E86-H86</x:f>
        <x:v>5.46</x:v>
      </x:c>
      <x:c r="J86" s="13" t="n">
        <x:f>D86/F86</x:f>
        <x:v>0.7732342007434945</x:v>
      </x:c>
      <x:c r="K86" s="13" t="n">
        <x:v>0.46526348695565134</x:v>
      </x:c>
      <x:c r="L86" s="17" t="n">
        <x:v>-0.015683641350411337</x:v>
      </x:c>
      <x:c r="M86" s="17" t="n">
        <x:v>0.7711667447595424</x:v>
      </x:c>
      <x:c r="N86" s="11" t="n">
        <x:f>'Option source'!C599</x:f>
        <x:v>812441.62</x:v>
      </x:c>
      <x:c r="O86" s="11" t="n">
        <x:f>'Option source'!G599</x:f>
        <x:v>3.7</x:v>
      </x:c>
      <x:c r="P86" s="11" t="n">
        <x:f>'Option source'!F599</x:f>
        <x:v>6.64</x:v>
      </x:c>
      <x:c r="Q86" s="1" t="str">
        <x:v>Screen passed; indicative</x:v>
      </x:c>
      <x:c r="R86" s="1" t="n">
        <x:v>594</x:v>
      </x:c>
    </x:row>
    <x:row r="87" ht="21" customHeight="1">
      <x:c r="A87" s="12" t="n">
        <x:v>46280</x:v>
      </x:c>
      <x:c r="B87" s="1" t="str">
        <x:v>GFGC8300OC</x:v>
      </x:c>
      <x:c r="C87" s="1" t="str">
        <x:v>call</x:v>
      </x:c>
      <x:c r="D87" s="11" t="n">
        <x:v>8300</x:v>
      </x:c>
      <x:c r="E87" s="11" t="n">
        <x:f>'Option source'!B390</x:f>
        <x:v>31.45</x:v>
      </x:c>
      <x:c r="F87" s="11" t="n">
        <x:v>6725</x:v>
      </x:c>
      <x:c r="G87" s="18" t="n">
        <x:v>31</x:v>
      </x:c>
      <x:c r="H87" s="11" t="n">
        <x:f>MAX(IF(C87="call",F87-D87,D87-F87),0)</x:f>
        <x:v>0</x:v>
      </x:c>
      <x:c r="I87" s="11" t="n">
        <x:f>E87-H87</x:f>
        <x:v>31.45</x:v>
      </x:c>
      <x:c r="J87" s="13" t="n">
        <x:f>D87/F87</x:f>
        <x:v>1.2342007434944238</x:v>
      </x:c>
      <x:c r="K87" s="13" t="n">
        <x:v>0.4397314764762362</x:v>
      </x:c>
      <x:c r="L87" s="17" t="n">
        <x:v>0.08393224165964927</x:v>
      </x:c>
      <x:c r="M87" s="17" t="n">
        <x:v>3.020938390564582</x:v>
      </x:c>
      <x:c r="N87" s="11" t="n">
        <x:f>'Option source'!C390</x:f>
        <x:v>22569552</x:v>
      </x:c>
      <x:c r="O87" s="11" t="n">
        <x:f>'Option source'!G390</x:f>
        <x:v>27.21</x:v>
      </x:c>
      <x:c r="P87" s="11" t="n">
        <x:f>'Option source'!F390</x:f>
        <x:v>47</x:v>
      </x:c>
      <x:c r="Q87" s="1" t="str">
        <x:v>Screen passed; indicative</x:v>
      </x:c>
      <x:c r="R87" s="1" t="n">
        <x:v>385</x:v>
      </x:c>
    </x:row>
    <x:row r="88" ht="21" customHeight="1">
      <x:c r="A88" s="12" t="n">
        <x:v>46280</x:v>
      </x:c>
      <x:c r="B88" s="1" t="str">
        <x:v>GFGV8300OC</x:v>
      </x:c>
      <x:c r="C88" s="1" t="str">
        <x:v>put</x:v>
      </x:c>
      <x:c r="D88" s="11" t="n">
        <x:v>8300</x:v>
      </x:c>
      <x:c r="E88" s="11" t="n">
        <x:f>'Option source'!B884</x:f>
        <x:v>1520</x:v>
      </x:c>
      <x:c r="F88" s="11" t="n">
        <x:v>6725</x:v>
      </x:c>
      <x:c r="G88" s="18" t="n">
        <x:v>31</x:v>
      </x:c>
      <x:c r="H88" s="11" t="n">
        <x:f>MAX(IF(C88="call",F88-D88,D88-F88),0)</x:f>
        <x:v>1575</x:v>
      </x:c>
      <x:c r="I88" s="11" t="n">
        <x:f>E88-H88</x:f>
        <x:v>-55</x:v>
      </x:c>
      <x:c r="J88" s="13" t="n">
        <x:f>D88/F88</x:f>
        <x:v>1.2342007434944238</x:v>
      </x:c>
      <x:c r="K88" s="13"/>
      <x:c r="L88" s="17"/>
      <x:c r="M88" s="17"/>
      <x:c r="N88" s="11" t="n">
        <x:f>'Option source'!C884</x:f>
        <x:v>760000</x:v>
      </x:c>
      <x:c r="O88" s="11" t="n">
        <x:f>'Option source'!G884</x:f>
        <x:v>1520</x:v>
      </x:c>
      <x:c r="P88" s="11" t="n">
        <x:f>'Option source'!F884</x:f>
        <x:v>1520</x:v>
      </x:c>
      <x:c r="Q88" s="1" t="str">
        <x:v>Below intrinsic value</x:v>
      </x:c>
      <x:c r="R88" s="1" t="n">
        <x:v>879</x:v>
      </x:c>
    </x:row>
    <x:row r="89" ht="21" customHeight="1">
      <x:c r="A89" s="12" t="n">
        <x:v>46280</x:v>
      </x:c>
      <x:c r="B89" s="1" t="str">
        <x:v>GFGC5000OC</x:v>
      </x:c>
      <x:c r="C89" s="1" t="str">
        <x:v>call</x:v>
      </x:c>
      <x:c r="D89" s="11" t="n">
        <x:v>5000</x:v>
      </x:c>
      <x:c r="E89" s="11" t="n">
        <x:f>'Option source'!B96</x:f>
        <x:v>1851</x:v>
      </x:c>
      <x:c r="F89" s="11" t="n">
        <x:v>6725</x:v>
      </x:c>
      <x:c r="G89" s="18" t="n">
        <x:v>31</x:v>
      </x:c>
      <x:c r="H89" s="11" t="n">
        <x:f>MAX(IF(C89="call",F89-D89,D89-F89),0)</x:f>
        <x:v>1725</x:v>
      </x:c>
      <x:c r="I89" s="11" t="n">
        <x:f>E89-H89</x:f>
        <x:v>126</x:v>
      </x:c>
      <x:c r="J89" s="13" t="n">
        <x:f>D89/F89</x:f>
        <x:v>0.7434944237918215</x:v>
      </x:c>
      <x:c r="K89" s="13"/>
      <x:c r="L89" s="17"/>
      <x:c r="M89" s="17"/>
      <x:c r="N89" s="11" t="n">
        <x:f>'Option source'!C96</x:f>
        <x:v>2212747.25</x:v>
      </x:c>
      <x:c r="O89" s="11" t="n">
        <x:f>'Option source'!G96</x:f>
        <x:v>1840.71</x:v>
      </x:c>
      <x:c r="P89" s="11" t="n">
        <x:f>'Option source'!F96</x:f>
        <x:v>1848.45</x:v>
      </x:c>
      <x:c r="Q89" s="1" t="str">
        <x:v>Price outside daily range</x:v>
      </x:c>
      <x:c r="R89" s="1" t="n">
        <x:v>91</x:v>
      </x:c>
    </x:row>
    <x:row r="90" ht="21" customHeight="1">
      <x:c r="A90" s="12" t="n">
        <x:v>46280</x:v>
      </x:c>
      <x:c r="B90" s="1" t="str">
        <x:v>GFGV5000OC</x:v>
      </x:c>
      <x:c r="C90" s="1" t="str">
        <x:v>put</x:v>
      </x:c>
      <x:c r="D90" s="11" t="n">
        <x:v>5000</x:v>
      </x:c>
      <x:c r="E90" s="11" t="n">
        <x:f>'Option source'!B580</x:f>
        <x:v>3.46</x:v>
      </x:c>
      <x:c r="F90" s="11" t="n">
        <x:v>6725</x:v>
      </x:c>
      <x:c r="G90" s="18" t="n">
        <x:v>31</x:v>
      </x:c>
      <x:c r="H90" s="11" t="n">
        <x:f>MAX(IF(C90="call",F90-D90,D90-F90),0)</x:f>
        <x:v>0</x:v>
      </x:c>
      <x:c r="I90" s="11" t="n">
        <x:f>E90-H90</x:f>
        <x:v>3.46</x:v>
      </x:c>
      <x:c r="J90" s="13" t="n">
        <x:f>D90/F90</x:f>
        <x:v>0.7434944237918215</x:v>
      </x:c>
      <x:c r="K90" s="13" t="n">
        <x:v>0.48967188939671746</x:v>
      </x:c>
      <x:c r="L90" s="17" t="n">
        <x:v>-0.009986175748911696</x:v>
      </x:c>
      <x:c r="M90" s="17" t="n">
        <x:v>0.5217162997019132</x:v>
      </x:c>
      <x:c r="N90" s="11" t="n">
        <x:f>'Option source'!C580</x:f>
        <x:v>1247591.5</x:v>
      </x:c>
      <x:c r="O90" s="11" t="n">
        <x:f>'Option source'!G580</x:f>
        <x:v>2.42</x:v>
      </x:c>
      <x:c r="P90" s="11" t="n">
        <x:f>'Option source'!F580</x:f>
        <x:v>4.35</x:v>
      </x:c>
      <x:c r="Q90" s="1" t="str">
        <x:v>Screen passed; indicative</x:v>
      </x:c>
      <x:c r="R90" s="1" t="n">
        <x:v>575</x:v>
      </x:c>
    </x:row>
    <x:row r="91" ht="21" customHeight="1">
      <x:c r="A91" s="12" t="n">
        <x:v>46280</x:v>
      </x:c>
      <x:c r="B91" s="1" t="str">
        <x:v>GFGC8600OC</x:v>
      </x:c>
      <x:c r="C91" s="1" t="str">
        <x:v>call</x:v>
      </x:c>
      <x:c r="D91" s="11" t="n">
        <x:v>8600</x:v>
      </x:c>
      <x:c r="E91" s="11" t="n">
        <x:f>'Option source'!B409</x:f>
        <x:v>19.15</x:v>
      </x:c>
      <x:c r="F91" s="11" t="n">
        <x:v>6725</x:v>
      </x:c>
      <x:c r="G91" s="18" t="n">
        <x:v>31</x:v>
      </x:c>
      <x:c r="H91" s="11" t="n">
        <x:f>MAX(IF(C91="call",F91-D91,D91-F91),0)</x:f>
        <x:v>0</x:v>
      </x:c>
      <x:c r="I91" s="11" t="n">
        <x:f>E91-H91</x:f>
        <x:v>19.15</x:v>
      </x:c>
      <x:c r="J91" s="13" t="n">
        <x:f>D91/F91</x:f>
        <x:v>1.278810408921933</x:v>
      </x:c>
      <x:c r="K91" s="13" t="n">
        <x:v>0.451506032217686</x:v>
      </x:c>
      <x:c r="L91" s="17" t="n">
        <x:v>0.05374364841172797</x:v>
      </x:c>
      <x:c r="M91" s="17" t="n">
        <x:v>2.1406996607633233</x:v>
      </x:c>
      <x:c r="N91" s="11" t="n">
        <x:f>'Option source'!C409</x:f>
        <x:v>16742308</x:v>
      </x:c>
      <x:c r="O91" s="11" t="n">
        <x:f>'Option source'!G409</x:f>
        <x:v>17</x:v>
      </x:c>
      <x:c r="P91" s="11" t="n">
        <x:f>'Option source'!F409</x:f>
        <x:v>25</x:v>
      </x:c>
      <x:c r="Q91" s="1" t="str">
        <x:v>Screen passed; indicative</x:v>
      </x:c>
      <x:c r="R91" s="1" t="n">
        <x:v>404</x:v>
      </x:c>
    </x:row>
    <x:row r="92" ht="21" customHeight="1">
      <x:c r="A92" s="12" t="n">
        <x:v>46280</x:v>
      </x:c>
      <x:c r="B92" s="1" t="str">
        <x:v>GFGV8600OC</x:v>
      </x:c>
      <x:c r="C92" s="1" t="str">
        <x:v>put</x:v>
      </x:c>
      <x:c r="D92" s="11" t="n">
        <x:v>8600</x:v>
      </x:c>
      <x:c r="E92" s="11" t="n">
        <x:f>'Option source'!B903</x:f>
        <x:v>1648.65</x:v>
      </x:c>
      <x:c r="F92" s="11" t="n">
        <x:v>6725</x:v>
      </x:c>
      <x:c r="G92" s="18" t="n">
        <x:v>31</x:v>
      </x:c>
      <x:c r="H92" s="11" t="n">
        <x:f>MAX(IF(C92="call",F92-D92,D92-F92),0)</x:f>
        <x:v>1875</x:v>
      </x:c>
      <x:c r="I92" s="11" t="n">
        <x:f>E92-H92</x:f>
        <x:v>-226.3499999999999</x:v>
      </x:c>
      <x:c r="J92" s="13" t="n">
        <x:f>D92/F92</x:f>
        <x:v>1.278810408921933</x:v>
      </x:c>
      <x:c r="K92" s="13"/>
      <x:c r="L92" s="17"/>
      <x:c r="M92" s="17"/>
      <x:c r="N92" s="11" t="n">
        <x:f>'Option source'!C903</x:f>
        <x:v>164865</x:v>
      </x:c>
      <x:c r="O92" s="11" t="n">
        <x:f>'Option source'!G903</x:f>
        <x:v>0</x:v>
      </x:c>
      <x:c r="P92" s="11" t="n">
        <x:f>'Option source'!F903</x:f>
        <x:v>0</x:v>
      </x:c>
      <x:c r="Q92" s="1" t="str">
        <x:v>Price outside daily range; Below intrinsic value</x:v>
      </x:c>
      <x:c r="R92" s="1" t="n">
        <x:v>898</x:v>
      </x:c>
    </x:row>
    <x:row r="93" ht="21" customHeight="1">
      <x:c r="A93" s="12" t="n">
        <x:v>46280</x:v>
      </x:c>
      <x:c r="B93" s="1" t="str">
        <x:v>GFGC4800OC</x:v>
      </x:c>
      <x:c r="C93" s="1" t="str">
        <x:v>call</x:v>
      </x:c>
      <x:c r="D93" s="11" t="n">
        <x:v>4800</x:v>
      </x:c>
      <x:c r="E93" s="11" t="n">
        <x:f>'Option source'!B79</x:f>
        <x:v>2084.21</x:v>
      </x:c>
      <x:c r="F93" s="11" t="n">
        <x:v>6725</x:v>
      </x:c>
      <x:c r="G93" s="18" t="n">
        <x:v>31</x:v>
      </x:c>
      <x:c r="H93" s="11" t="n">
        <x:f>MAX(IF(C93="call",F93-D93,D93-F93),0)</x:f>
        <x:v>1925</x:v>
      </x:c>
      <x:c r="I93" s="11" t="n">
        <x:f>E93-H93</x:f>
        <x:v>159.21000000000004</x:v>
      </x:c>
      <x:c r="J93" s="13" t="n">
        <x:f>D93/F93</x:f>
        <x:v>0.7137546468401487</x:v>
      </x:c>
      <x:c r="K93" s="13"/>
      <x:c r="L93" s="17"/>
      <x:c r="M93" s="17"/>
      <x:c r="N93" s="11" t="n">
        <x:f>'Option source'!C79</x:f>
        <x:v>18354320</x:v>
      </x:c>
      <x:c r="O93" s="11" t="n">
        <x:f>'Option source'!G79</x:f>
        <x:v>2009.47</x:v>
      </x:c>
      <x:c r="P93" s="11" t="n">
        <x:f>'Option source'!F79</x:f>
        <x:v>2064.28</x:v>
      </x:c>
      <x:c r="Q93" s="1" t="str">
        <x:v>Price outside daily range</x:v>
      </x:c>
      <x:c r="R93" s="1" t="n">
        <x:v>74</x:v>
      </x:c>
    </x:row>
    <x:row r="94" ht="21" customHeight="1">
      <x:c r="A94" s="12" t="n">
        <x:v>46280</x:v>
      </x:c>
      <x:c r="B94" s="1" t="str">
        <x:v>GFGV4800OC</x:v>
      </x:c>
      <x:c r="C94" s="1" t="str">
        <x:v>put</x:v>
      </x:c>
      <x:c r="D94" s="11" t="n">
        <x:v>4800</x:v>
      </x:c>
      <x:c r="E94" s="11" t="n">
        <x:f>'Option source'!B561</x:f>
        <x:v>2.64</x:v>
      </x:c>
      <x:c r="F94" s="11" t="n">
        <x:v>6725</x:v>
      </x:c>
      <x:c r="G94" s="18" t="n">
        <x:v>31</x:v>
      </x:c>
      <x:c r="H94" s="11" t="n">
        <x:f>MAX(IF(C94="call",F94-D94,D94-F94),0)</x:f>
        <x:v>0</x:v>
      </x:c>
      <x:c r="I94" s="11" t="n">
        <x:f>E94-H94</x:f>
        <x:v>2.64</x:v>
      </x:c>
      <x:c r="J94" s="13" t="n">
        <x:f>D94/F94</x:f>
        <x:v>0.7137546468401487</x:v>
      </x:c>
      <x:c r="K94" s="13" t="n">
        <x:v>0.5264234418387135</x:v>
      </x:c>
      <x:c r="L94" s="17" t="n">
        <x:v>-0.0073264920839080094</x:v>
      </x:c>
      <x:c r="M94" s="17" t="n">
        <x:v>0.39758909457673325</x:v>
      </x:c>
      <x:c r="N94" s="11" t="n">
        <x:f>'Option source'!C561</x:f>
        <x:v>235711.3</x:v>
      </x:c>
      <x:c r="O94" s="11" t="n">
        <x:f>'Option source'!G561</x:f>
        <x:v>1.5</x:v>
      </x:c>
      <x:c r="P94" s="11" t="n">
        <x:f>'Option source'!F561</x:f>
        <x:v>3.7</x:v>
      </x:c>
      <x:c r="Q94" s="1" t="str">
        <x:v>Screen passed; indicative</x:v>
      </x:c>
      <x:c r="R94" s="1" t="n">
        <x:v>556</x:v>
      </x:c>
    </x:row>
    <x:row r="95" ht="21" customHeight="1">
      <x:c r="A95" s="12" t="n">
        <x:v>46280</x:v>
      </x:c>
      <x:c r="B95" s="1" t="str">
        <x:v>GFGC4600OC</x:v>
      </x:c>
      <x:c r="C95" s="1" t="str">
        <x:v>call</x:v>
      </x:c>
      <x:c r="D95" s="11" t="n">
        <x:v>4600</x:v>
      </x:c>
      <x:c r="E95" s="11" t="n">
        <x:f>'Option source'!B62</x:f>
        <x:v>2280.1</x:v>
      </x:c>
      <x:c r="F95" s="11" t="n">
        <x:v>6725</x:v>
      </x:c>
      <x:c r="G95" s="18" t="n">
        <x:v>31</x:v>
      </x:c>
      <x:c r="H95" s="11" t="n">
        <x:f>MAX(IF(C95="call",F95-D95,D95-F95),0)</x:f>
        <x:v>2125</x:v>
      </x:c>
      <x:c r="I95" s="11" t="n">
        <x:f>E95-H95</x:f>
        <x:v>155.0999999999999</x:v>
      </x:c>
      <x:c r="J95" s="13" t="n">
        <x:f>D95/F95</x:f>
        <x:v>0.6840148698884758</x:v>
      </x:c>
      <x:c r="K95" s="13"/>
      <x:c r="L95" s="17"/>
      <x:c r="M95" s="17"/>
      <x:c r="N95" s="11" t="n">
        <x:f>'Option source'!C62</x:f>
        <x:v>27287726</x:v>
      </x:c>
      <x:c r="O95" s="11" t="n">
        <x:f>'Option source'!G62</x:f>
        <x:v>2200.39</x:v>
      </x:c>
      <x:c r="P95" s="11" t="n">
        <x:f>'Option source'!F62</x:f>
        <x:v>2265.16</x:v>
      </x:c>
      <x:c r="Q95" s="1" t="str">
        <x:v>Price outside daily range</x:v>
      </x:c>
      <x:c r="R95" s="1" t="n">
        <x:v>57</x:v>
      </x:c>
    </x:row>
    <x:row r="96" ht="21" customHeight="1">
      <x:c r="A96" s="12" t="n">
        <x:v>46280</x:v>
      </x:c>
      <x:c r="B96" s="1" t="str">
        <x:v>GFGV4600OC</x:v>
      </x:c>
      <x:c r="C96" s="1" t="str">
        <x:v>put</x:v>
      </x:c>
      <x:c r="D96" s="11" t="n">
        <x:v>4600</x:v>
      </x:c>
      <x:c r="E96" s="11" t="n">
        <x:f>'Option source'!B542</x:f>
        <x:v>1.8</x:v>
      </x:c>
      <x:c r="F96" s="11" t="n">
        <x:v>6725</x:v>
      </x:c>
      <x:c r="G96" s="18" t="n">
        <x:v>31</x:v>
      </x:c>
      <x:c r="H96" s="11" t="n">
        <x:f>MAX(IF(C96="call",F96-D96,D96-F96),0)</x:f>
        <x:v>0</x:v>
      </x:c>
      <x:c r="I96" s="11" t="n">
        <x:f>E96-H96</x:f>
        <x:v>1.8</x:v>
      </x:c>
      <x:c r="J96" s="13" t="n">
        <x:f>D96/F96</x:f>
        <x:v>0.6840148698884758</x:v>
      </x:c>
      <x:c r="K96" s="13" t="n">
        <x:v>0.5563204606309544</x:v>
      </x:c>
      <x:c r="L96" s="17" t="n">
        <x:v>-0.004930644995627453</x:v>
      </x:c>
      <x:c r="M96" s="17" t="n">
        <x:v>0.2798872881315524</x:v>
      </x:c>
      <x:c r="N96" s="11" t="n">
        <x:f>'Option source'!C542</x:f>
        <x:v>192004.59</x:v>
      </x:c>
      <x:c r="O96" s="11" t="n">
        <x:f>'Option source'!G542</x:f>
        <x:v>1</x:v>
      </x:c>
      <x:c r="P96" s="11" t="n">
        <x:f>'Option source'!F542</x:f>
        <x:v>2</x:v>
      </x:c>
      <x:c r="Q96" s="1" t="str">
        <x:v>Screen passed; indicative</x:v>
      </x:c>
      <x:c r="R96" s="1" t="n">
        <x:v>537</x:v>
      </x:c>
    </x:row>
    <x:row r="97" ht="21" customHeight="1">
      <x:c r="A97" s="12" t="n">
        <x:v>46280</x:v>
      </x:c>
      <x:c r="B97" s="1" t="str">
        <x:v>GFGC8900OC</x:v>
      </x:c>
      <x:c r="C97" s="1" t="str">
        <x:v>call</x:v>
      </x:c>
      <x:c r="D97" s="11" t="n">
        <x:v>8900</x:v>
      </x:c>
      <x:c r="E97" s="11" t="n">
        <x:f>'Option source'!B428</x:f>
        <x:v>9.81</x:v>
      </x:c>
      <x:c r="F97" s="11" t="n">
        <x:v>6725</x:v>
      </x:c>
      <x:c r="G97" s="18" t="n">
        <x:v>31</x:v>
      </x:c>
      <x:c r="H97" s="11" t="n">
        <x:f>MAX(IF(C97="call",F97-D97,D97-F97),0)</x:f>
        <x:v>0</x:v>
      </x:c>
      <x:c r="I97" s="11" t="n">
        <x:f>E97-H97</x:f>
        <x:v>9.81</x:v>
      </x:c>
      <x:c r="J97" s="13" t="n">
        <x:f>D97/F97</x:f>
        <x:v>1.3234200743494424</x:v>
      </x:c>
      <x:c r="K97" s="13" t="n">
        <x:v>0.4493769570206119</x:v>
      </x:c>
      <x:c r="L97" s="17" t="n">
        <x:v>0.030077009448900276</x:v>
      </x:c>
      <x:c r="M97" s="17" t="n">
        <x:v>1.3363698647810747</x:v>
      </x:c>
      <x:c r="N97" s="11" t="n">
        <x:f>'Option source'!C428</x:f>
        <x:v>3391931.75</x:v>
      </x:c>
      <x:c r="O97" s="11" t="n">
        <x:f>'Option source'!G428</x:f>
        <x:v>9</x:v>
      </x:c>
      <x:c r="P97" s="11" t="n">
        <x:f>'Option source'!F428</x:f>
        <x:v>13</x:v>
      </x:c>
      <x:c r="Q97" s="1" t="str">
        <x:v>Screen passed; indicative</x:v>
      </x:c>
      <x:c r="R97" s="1" t="n">
        <x:v>423</x:v>
      </x:c>
    </x:row>
    <x:row r="98" ht="21" customHeight="1">
      <x:c r="A98" s="12" t="n">
        <x:v>46280</x:v>
      </x:c>
      <x:c r="B98" s="1" t="str">
        <x:v>GFGV8900OC</x:v>
      </x:c>
      <x:c r="C98" s="1" t="str">
        <x:v>put</x:v>
      </x:c>
      <x:c r="D98" s="11" t="n">
        <x:v>8900</x:v>
      </x:c>
      <x:c r="E98" s="11" t="n">
        <x:f>'Option source'!B918</x:f>
        <x:v>2022.5</x:v>
      </x:c>
      <x:c r="F98" s="11" t="n">
        <x:v>6725</x:v>
      </x:c>
      <x:c r="G98" s="18" t="n">
        <x:v>31</x:v>
      </x:c>
      <x:c r="H98" s="11" t="n">
        <x:f>MAX(IF(C98="call",F98-D98,D98-F98),0)</x:f>
        <x:v>2175</x:v>
      </x:c>
      <x:c r="I98" s="11" t="n">
        <x:f>E98-H98</x:f>
        <x:v>-152.5</x:v>
      </x:c>
      <x:c r="J98" s="13" t="n">
        <x:f>D98/F98</x:f>
        <x:v>1.3234200743494424</x:v>
      </x:c>
      <x:c r="K98" s="13"/>
      <x:c r="L98" s="17"/>
      <x:c r="M98" s="17"/>
      <x:c r="N98" s="11" t="n">
        <x:f>'Option source'!C918</x:f>
        <x:v>0</x:v>
      </x:c>
      <x:c r="O98" s="11" t="n">
        <x:f>'Option source'!G918</x:f>
        <x:v>2022.5</x:v>
      </x:c>
      <x:c r="P98" s="11" t="n">
        <x:f>'Option source'!F918</x:f>
        <x:v>2037.67</x:v>
      </x:c>
      <x:c r="Q98" s="1" t="str">
        <x:v>Zero reported volume; Below intrinsic value</x:v>
      </x:c>
      <x:c r="R98" s="1" t="n">
        <x:v>913</x:v>
      </x:c>
    </x:row>
    <x:row r="99" ht="21" customHeight="1">
      <x:c r="A99" s="12" t="n">
        <x:v>46280</x:v>
      </x:c>
      <x:c r="B99" s="1" t="str">
        <x:v>GFGC4400OC</x:v>
      </x:c>
      <x:c r="C99" s="1" t="str">
        <x:v>call</x:v>
      </x:c>
      <x:c r="D99" s="11" t="n">
        <x:v>4400</x:v>
      </x:c>
      <x:c r="E99" s="11" t="n">
        <x:f>'Option source'!B43</x:f>
        <x:v>2422</x:v>
      </x:c>
      <x:c r="F99" s="11" t="n">
        <x:v>6725</x:v>
      </x:c>
      <x:c r="G99" s="18" t="n">
        <x:v>31</x:v>
      </x:c>
      <x:c r="H99" s="11" t="n">
        <x:f>MAX(IF(C99="call",F99-D99,D99-F99),0)</x:f>
        <x:v>2325</x:v>
      </x:c>
      <x:c r="I99" s="11" t="n">
        <x:f>E99-H99</x:f>
        <x:v>97</x:v>
      </x:c>
      <x:c r="J99" s="13" t="n">
        <x:f>D99/F99</x:f>
        <x:v>0.654275092936803</x:v>
      </x:c>
      <x:c r="K99" s="13"/>
      <x:c r="L99" s="17"/>
      <x:c r="M99" s="17"/>
      <x:c r="N99" s="11" t="n">
        <x:f>'Option source'!C43</x:f>
        <x:v>1446295</x:v>
      </x:c>
      <x:c r="O99" s="11" t="n">
        <x:f>'Option source'!G43</x:f>
        <x:v>2391.3</x:v>
      </x:c>
      <x:c r="P99" s="11" t="n">
        <x:f>'Option source'!F43</x:f>
        <x:v>2418.17</x:v>
      </x:c>
      <x:c r="Q99" s="1" t="str">
        <x:v>Price outside daily range</x:v>
      </x:c>
      <x:c r="R99" s="1" t="n">
        <x:v>38</x:v>
      </x:c>
    </x:row>
    <x:row r="100" ht="21" customHeight="1">
      <x:c r="A100" s="12" t="n">
        <x:v>46280</x:v>
      </x:c>
      <x:c r="B100" s="1" t="str">
        <x:v>GFGV4400OC</x:v>
      </x:c>
      <x:c r="C100" s="1" t="str">
        <x:v>put</x:v>
      </x:c>
      <x:c r="D100" s="11" t="n">
        <x:v>4400</x:v>
      </x:c>
      <x:c r="E100" s="11" t="n">
        <x:f>'Option source'!B523</x:f>
        <x:v>1.71</x:v>
      </x:c>
      <x:c r="F100" s="11" t="n">
        <x:v>6725</x:v>
      </x:c>
      <x:c r="G100" s="18" t="n">
        <x:v>31</x:v>
      </x:c>
      <x:c r="H100" s="11" t="n">
        <x:f>MAX(IF(C100="call",F100-D100,D100-F100),0)</x:f>
        <x:v>0</x:v>
      </x:c>
      <x:c r="I100" s="11" t="n">
        <x:f>E100-H100</x:f>
        <x:v>1.71</x:v>
      </x:c>
      <x:c r="J100" s="13" t="n">
        <x:f>D100/F100</x:f>
        <x:v>0.654275092936803</x:v>
      </x:c>
      <x:c r="K100" s="13"/>
      <x:c r="L100" s="17"/>
      <x:c r="M100" s="17"/>
      <x:c r="N100" s="11" t="n">
        <x:f>'Option source'!C523</x:f>
        <x:v>288556.09</x:v>
      </x:c>
      <x:c r="O100" s="11" t="n">
        <x:f>'Option source'!G523</x:f>
        <x:v>0.71</x:v>
      </x:c>
      <x:c r="P100" s="11" t="n">
        <x:f>'Option source'!F523</x:f>
        <x:v>1.7</x:v>
      </x:c>
      <x:c r="Q100" s="1" t="str">
        <x:v>Price outside daily range</x:v>
      </x:c>
      <x:c r="R100" s="1" t="n">
        <x:v>518</x:v>
      </x:c>
    </x:row>
    <x:row r="101" ht="21" customHeight="1">
      <x:c r="A101" s="12" t="n">
        <x:v>46280</x:v>
      </x:c>
      <x:c r="B101" s="1" t="str">
        <x:v>GFGC9200OC</x:v>
      </x:c>
      <x:c r="C101" s="1" t="str">
        <x:v>call</x:v>
      </x:c>
      <x:c r="D101" s="11" t="n">
        <x:v>9200</x:v>
      </x:c>
      <x:c r="E101" s="11" t="n">
        <x:f>'Option source'!B447</x:f>
        <x:v>5.93</x:v>
      </x:c>
      <x:c r="F101" s="11" t="n">
        <x:v>6725</x:v>
      </x:c>
      <x:c r="G101" s="18" t="n">
        <x:v>31</x:v>
      </x:c>
      <x:c r="H101" s="11" t="n">
        <x:f>MAX(IF(C101="call",F101-D101,D101-F101),0)</x:f>
        <x:v>0</x:v>
      </x:c>
      <x:c r="I101" s="11" t="n">
        <x:f>E101-H101</x:f>
        <x:v>5.93</x:v>
      </x:c>
      <x:c r="J101" s="13" t="n">
        <x:f>D101/F101</x:f>
        <x:v>1.3680297397769516</x:v>
      </x:c>
      <x:c r="K101" s="13" t="n">
        <x:v>0.46044639746563587</x:v>
      </x:c>
      <x:c r="L101" s="17" t="n">
        <x:v>0.01883877494975919</x:v>
      </x:c>
      <x:c r="M101" s="17" t="n">
        <x:v>0.9019135853814184</x:v>
      </x:c>
      <x:c r="N101" s="11" t="n">
        <x:f>'Option source'!C447</x:f>
        <x:v>1086758.38</x:v>
      </x:c>
      <x:c r="O101" s="11" t="n">
        <x:f>'Option source'!G447</x:f>
        <x:v>5.8</x:v>
      </x:c>
      <x:c r="P101" s="11" t="n">
        <x:f>'Option source'!F447</x:f>
        <x:v>7.9</x:v>
      </x:c>
      <x:c r="Q101" s="1" t="str">
        <x:v>Screen passed; indicative</x:v>
      </x:c>
      <x:c r="R101" s="1" t="n">
        <x:v>442</x:v>
      </x:c>
    </x:row>
    <x:row r="102" ht="21" customHeight="1">
      <x:c r="A102" s="12" t="n">
        <x:v>46280</x:v>
      </x:c>
      <x:c r="B102" s="1" t="str">
        <x:v>GFGV9200OC</x:v>
      </x:c>
      <x:c r="C102" s="1" t="str">
        <x:v>put</x:v>
      </x:c>
      <x:c r="D102" s="11" t="n">
        <x:v>9200</x:v>
      </x:c>
      <x:c r="E102" s="11" t="n">
        <x:f>'Option source'!B925</x:f>
        <x:v>2041.57</x:v>
      </x:c>
      <x:c r="F102" s="11" t="n">
        <x:v>6725</x:v>
      </x:c>
      <x:c r="G102" s="18" t="n">
        <x:v>31</x:v>
      </x:c>
      <x:c r="H102" s="11" t="n">
        <x:f>MAX(IF(C102="call",F102-D102,D102-F102),0)</x:f>
        <x:v>2475</x:v>
      </x:c>
      <x:c r="I102" s="11" t="n">
        <x:f>E102-H102</x:f>
        <x:v>-433.43000000000006</x:v>
      </x:c>
      <x:c r="J102" s="13" t="n">
        <x:f>D102/F102</x:f>
        <x:v>1.3680297397769516</x:v>
      </x:c>
      <x:c r="K102" s="13"/>
      <x:c r="L102" s="17"/>
      <x:c r="M102" s="17"/>
      <x:c r="N102" s="11" t="n">
        <x:f>'Option source'!C925</x:f>
        <x:v>0</x:v>
      </x:c>
      <x:c r="O102" s="11" t="n">
        <x:f>'Option source'!G925</x:f>
        <x:v>2041.57</x:v>
      </x:c>
      <x:c r="P102" s="11" t="n">
        <x:f>'Option source'!F925</x:f>
        <x:v>2041.57</x:v>
      </x:c>
      <x:c r="Q102" s="1" t="str">
        <x:v>Zero reported volume; Below intrinsic value</x:v>
      </x:c>
      <x:c r="R102" s="1" t="n">
        <x:v>920</x:v>
      </x:c>
    </x:row>
    <x:row r="103" ht="21" customHeight="1">
      <x:c r="A103" s="12" t="n">
        <x:v>46280</x:v>
      </x:c>
      <x:c r="B103" s="1" t="str">
        <x:v>GFGC4200OC</x:v>
      </x:c>
      <x:c r="C103" s="1" t="str">
        <x:v>call</x:v>
      </x:c>
      <x:c r="D103" s="11" t="n">
        <x:v>4200</x:v>
      </x:c>
      <x:c r="E103" s="11" t="n">
        <x:f>'Option source'!B24</x:f>
        <x:v>2597.16</x:v>
      </x:c>
      <x:c r="F103" s="11" t="n">
        <x:v>6725</x:v>
      </x:c>
      <x:c r="G103" s="18" t="n">
        <x:v>31</x:v>
      </x:c>
      <x:c r="H103" s="11" t="n">
        <x:f>MAX(IF(C103="call",F103-D103,D103-F103),0)</x:f>
        <x:v>2525</x:v>
      </x:c>
      <x:c r="I103" s="11" t="n">
        <x:f>E103-H103</x:f>
        <x:v>72.15999999999985</x:v>
      </x:c>
      <x:c r="J103" s="13" t="n">
        <x:f>D103/F103</x:f>
        <x:v>0.6245353159851301</x:v>
      </x:c>
      <x:c r="K103" s="13"/>
      <x:c r="L103" s="17"/>
      <x:c r="M103" s="17"/>
      <x:c r="N103" s="11" t="n">
        <x:f>'Option source'!C24</x:f>
        <x:v>2869639.25</x:v>
      </x:c>
      <x:c r="O103" s="11" t="n">
        <x:f>'Option source'!G24</x:f>
        <x:v>2597.16</x:v>
      </x:c>
      <x:c r="P103" s="11" t="n">
        <x:f>'Option source'!F24</x:f>
        <x:v>2663.71</x:v>
      </x:c>
      <x:c r="Q103" s="1" t="str">
        <x:v>No stable model IV</x:v>
      </x:c>
      <x:c r="R103" s="1" t="n">
        <x:v>19</x:v>
      </x:c>
    </x:row>
    <x:row r="104" ht="21" customHeight="1">
      <x:c r="A104" s="12" t="n">
        <x:v>46280</x:v>
      </x:c>
      <x:c r="B104" s="1" t="str">
        <x:v>GFGV4200OC</x:v>
      </x:c>
      <x:c r="C104" s="1" t="str">
        <x:v>put</x:v>
      </x:c>
      <x:c r="D104" s="11" t="n">
        <x:v>4200</x:v>
      </x:c>
      <x:c r="E104" s="11" t="n">
        <x:f>'Option source'!B504</x:f>
        <x:v>1.19</x:v>
      </x:c>
      <x:c r="F104" s="11" t="n">
        <x:v>6725</x:v>
      </x:c>
      <x:c r="G104" s="18" t="n">
        <x:v>31</x:v>
      </x:c>
      <x:c r="H104" s="11" t="n">
        <x:f>MAX(IF(C104="call",F104-D104,D104-F104),0)</x:f>
        <x:v>0</x:v>
      </x:c>
      <x:c r="I104" s="11" t="n">
        <x:f>E104-H104</x:f>
        <x:v>1.19</x:v>
      </x:c>
      <x:c r="J104" s="13" t="n">
        <x:f>D104/F104</x:f>
        <x:v>0.6245353159851301</x:v>
      </x:c>
      <x:c r="K104" s="13" t="n">
        <x:v>0.6411460493809051</x:v>
      </x:c>
      <x:c r="L104" s="17" t="n">
        <x:v>-0.002987183335114052</x:v>
      </x:c>
      <x:c r="M104" s="17" t="n">
        <x:v>0.17862162991921732</x:v>
      </x:c>
      <x:c r="N104" s="11" t="n">
        <x:f>'Option source'!C504</x:f>
        <x:v>209747.8</x:v>
      </x:c>
      <x:c r="O104" s="11" t="n">
        <x:f>'Option source'!G504</x:f>
        <x:v>0.65</x:v>
      </x:c>
      <x:c r="P104" s="11" t="n">
        <x:f>'Option source'!F504</x:f>
        <x:v>1.61</x:v>
      </x:c>
      <x:c r="Q104" s="1" t="str">
        <x:v>Screen passed; indicative</x:v>
      </x:c>
      <x:c r="R104" s="1" t="n">
        <x:v>499</x:v>
      </x:c>
    </x:row>
    <x:row r="105" ht="21" customHeight="1">
      <x:c r="A105" s="12" t="n">
        <x:v>46280</x:v>
      </x:c>
      <x:c r="B105" s="1" t="str">
        <x:v>GFGC9500OC</x:v>
      </x:c>
      <x:c r="C105" s="1" t="str">
        <x:v>call</x:v>
      </x:c>
      <x:c r="D105" s="11" t="n">
        <x:v>9500</x:v>
      </x:c>
      <x:c r="E105" s="11" t="n">
        <x:f>'Option source'!B466</x:f>
        <x:v>3.7</x:v>
      </x:c>
      <x:c r="F105" s="11" t="n">
        <x:v>6725</x:v>
      </x:c>
      <x:c r="G105" s="18" t="n">
        <x:v>31</x:v>
      </x:c>
      <x:c r="H105" s="11" t="n">
        <x:f>MAX(IF(C105="call",F105-D105,D105-F105),0)</x:f>
        <x:v>0</x:v>
      </x:c>
      <x:c r="I105" s="11" t="n">
        <x:f>E105-H105</x:f>
        <x:v>3.7</x:v>
      </x:c>
      <x:c r="J105" s="13" t="n">
        <x:f>D105/F105</x:f>
        <x:v>1.412639405204461</x:v>
      </x:c>
      <x:c r="K105" s="13" t="n">
        <x:v>0.4724390036361973</x:v>
      </x:c>
      <x:c r="L105" s="17" t="n">
        <x:v>0.012060494424974925</x:v>
      </x:c>
      <x:c r="M105" s="17" t="n">
        <x:v>0.6148158247292538</x:v>
      </x:c>
      <x:c r="N105" s="11" t="n">
        <x:f>'Option source'!C466</x:f>
        <x:v>174398.3</x:v>
      </x:c>
      <x:c r="O105" s="11" t="n">
        <x:f>'Option source'!G466</x:f>
        <x:v>3.65</x:v>
      </x:c>
      <x:c r="P105" s="11" t="n">
        <x:f>'Option source'!F466</x:f>
        <x:v>5</x:v>
      </x:c>
      <x:c r="Q105" s="1" t="str">
        <x:v>Screen passed; indicative</x:v>
      </x:c>
      <x:c r="R105" s="1" t="n">
        <x:v>461</x:v>
      </x:c>
    </x:row>
    <x:row r="106" ht="21" customHeight="1">
      <x:c r="A106" s="12" t="n">
        <x:v>46280</x:v>
      </x:c>
      <x:c r="B106" s="1" t="str">
        <x:v>GFGC9900OC</x:v>
      </x:c>
      <x:c r="C106" s="1" t="str">
        <x:v>call</x:v>
      </x:c>
      <x:c r="D106" s="11" t="n">
        <x:v>9900</x:v>
      </x:c>
      <x:c r="E106" s="11" t="n">
        <x:f>'Option source'!B485</x:f>
        <x:v>2.44</x:v>
      </x:c>
      <x:c r="F106" s="11" t="n">
        <x:v>6725</x:v>
      </x:c>
      <x:c r="G106" s="18" t="n">
        <x:v>31</x:v>
      </x:c>
      <x:c r="H106" s="11" t="n">
        <x:f>MAX(IF(C106="call",F106-D106,D106-F106),0)</x:f>
        <x:v>0</x:v>
      </x:c>
      <x:c r="I106" s="11" t="n">
        <x:f>E106-H106</x:f>
        <x:v>2.44</x:v>
      </x:c>
      <x:c r="J106" s="13" t="n">
        <x:f>D106/F106</x:f>
        <x:v>1.4721189591078068</x:v>
      </x:c>
      <x:c r="K106" s="13" t="n">
        <x:v>0.4984812216101609</x:v>
      </x:c>
      <x:c r="L106" s="17" t="n">
        <x:v>0.007891663914518779</x:v>
      </x:c>
      <x:c r="M106" s="17" t="n">
        <x:v>0.4244744725273788</x:v>
      </x:c>
      <x:c r="N106" s="11" t="n">
        <x:f>'Option source'!C485</x:f>
        <x:v>504513.91</x:v>
      </x:c>
      <x:c r="O106" s="11" t="n">
        <x:f>'Option source'!G485</x:f>
        <x:v>2.2</x:v>
      </x:c>
      <x:c r="P106" s="11" t="n">
        <x:f>'Option source'!F485</x:f>
        <x:v>3.5</x:v>
      </x:c>
      <x:c r="Q106" s="1" t="str">
        <x:v>Screen passed; indicative</x:v>
      </x:c>
      <x:c r="R106" s="1" t="n">
        <x:v>480</x:v>
      </x:c>
    </x:row>
    <x:row r="107" ht="21" customHeight="1">
      <x:c r="A107" s="12" t="n">
        <x:v>46279</x:v>
      </x:c>
      <x:c r="B107" s="1" t="str">
        <x:v>GFGC6800OC</x:v>
      </x:c>
      <x:c r="C107" s="1" t="str">
        <x:v>call</x:v>
      </x:c>
      <x:c r="D107" s="11" t="n">
        <x:v>6800</x:v>
      </x:c>
      <x:c r="E107" s="11" t="n">
        <x:f>'Option source'!B256</x:f>
        <x:v>449.91</x:v>
      </x:c>
      <x:c r="F107" s="11" t="n">
        <x:v>6840</x:v>
      </x:c>
      <x:c r="G107" s="18" t="n">
        <x:v>32</x:v>
      </x:c>
      <x:c r="H107" s="11" t="n">
        <x:f>MAX(IF(C107="call",F107-D107,D107-F107),0)</x:f>
        <x:v>40</x:v>
      </x:c>
      <x:c r="I107" s="11" t="n">
        <x:f>E107-H107</x:f>
        <x:v>409.91</x:v>
      </x:c>
      <x:c r="J107" s="13" t="n">
        <x:f>D107/F107</x:f>
        <x:v>0.9941520467836257</x:v>
      </x:c>
      <x:c r="K107" s="13" t="n">
        <x:v>0.41583221466494913</x:v>
      </x:c>
      <x:c r="L107" s="17" t="n">
        <x:v>0.6265815551605552</x:v>
      </x:c>
      <x:c r="M107" s="17" t="n">
        <x:v>7.669484929190549</x:v>
      </x:c>
      <x:c r="N107" s="11" t="n">
        <x:f>'Option source'!C256</x:f>
        <x:v>135067376</x:v>
      </x:c>
      <x:c r="O107" s="11" t="n">
        <x:f>'Option source'!G256</x:f>
        <x:v>430</x:v>
      </x:c>
      <x:c r="P107" s="11" t="n">
        <x:f>'Option source'!F256</x:f>
        <x:v>533</x:v>
      </x:c>
      <x:c r="Q107" s="1" t="str">
        <x:v>Screen passed; indicative</x:v>
      </x:c>
      <x:c r="R107" s="1" t="n">
        <x:v>251</x:v>
      </x:c>
    </x:row>
    <x:row r="108" ht="21" customHeight="1">
      <x:c r="A108" s="12" t="n">
        <x:v>46279</x:v>
      </x:c>
      <x:c r="B108" s="1" t="str">
        <x:v>GFGV6800OC</x:v>
      </x:c>
      <x:c r="C108" s="1" t="str">
        <x:v>put</x:v>
      </x:c>
      <x:c r="D108" s="11" t="n">
        <x:v>6800</x:v>
      </x:c>
      <x:c r="E108" s="11" t="n">
        <x:f>'Option source'!B750</x:f>
        <x:v>275.35</x:v>
      </x:c>
      <x:c r="F108" s="11" t="n">
        <x:v>6840</x:v>
      </x:c>
      <x:c r="G108" s="18" t="n">
        <x:v>32</x:v>
      </x:c>
      <x:c r="H108" s="11" t="n">
        <x:f>MAX(IF(C108="call",F108-D108,D108-F108),0)</x:f>
        <x:v>0</x:v>
      </x:c>
      <x:c r="I108" s="11" t="n">
        <x:f>E108-H108</x:f>
        <x:v>275.35</x:v>
      </x:c>
      <x:c r="J108" s="13" t="n">
        <x:f>D108/F108</x:f>
        <x:v>0.9941520467836257</x:v>
      </x:c>
      <x:c r="K108" s="13" t="n">
        <x:v>0.4495115945403333</x:v>
      </x:c>
      <x:c r="L108" s="17" t="n">
        <x:v>-0.37895554130101206</x:v>
      </x:c>
      <x:c r="M108" s="17" t="n">
        <x:v>7.704867109068196</x:v>
      </x:c>
      <x:c r="N108" s="11" t="n">
        <x:f>'Option source'!C750</x:f>
        <x:v>155947568</x:v>
      </x:c>
      <x:c r="O108" s="11" t="n">
        <x:f>'Option source'!G750</x:f>
        <x:v>214</x:v>
      </x:c>
      <x:c r="P108" s="11" t="n">
        <x:f>'Option source'!F750</x:f>
        <x:v>299</x:v>
      </x:c>
      <x:c r="Q108" s="1" t="str">
        <x:v>Screen passed; indicative</x:v>
      </x:c>
      <x:c r="R108" s="1" t="n">
        <x:v>745</x:v>
      </x:c>
    </x:row>
    <x:row r="109" ht="21" customHeight="1">
      <x:c r="A109" s="12" t="n">
        <x:v>46279</x:v>
      </x:c>
      <x:c r="B109" s="1" t="str">
        <x:v>GFGC7000OC</x:v>
      </x:c>
      <x:c r="C109" s="1" t="str">
        <x:v>call</x:v>
      </x:c>
      <x:c r="D109" s="11" t="n">
        <x:v>7000</x:v>
      </x:c>
      <x:c r="E109" s="11" t="n">
        <x:f>'Option source'!B275</x:f>
        <x:v>351.33</x:v>
      </x:c>
      <x:c r="F109" s="11" t="n">
        <x:v>6840</x:v>
      </x:c>
      <x:c r="G109" s="18" t="n">
        <x:v>32</x:v>
      </x:c>
      <x:c r="H109" s="11" t="n">
        <x:f>MAX(IF(C109="call",F109-D109,D109-F109),0)</x:f>
        <x:v>0</x:v>
      </x:c>
      <x:c r="I109" s="11" t="n">
        <x:f>E109-H109</x:f>
        <x:v>351.33</x:v>
      </x:c>
      <x:c r="J109" s="13" t="n">
        <x:f>D109/F109</x:f>
        <x:v>1.023391812865497</x:v>
      </x:c>
      <x:c r="K109" s="13" t="n">
        <x:v>0.4222047288320755</x:v>
      </x:c>
      <x:c r="L109" s="17" t="n">
        <x:v>0.5350358998873448</x:v>
      </x:c>
      <x:c r="M109" s="17" t="n">
        <x:v>8.04851231399286</x:v>
      </x:c>
      <x:c r="N109" s="11" t="n">
        <x:f>'Option source'!C275</x:f>
        <x:v>212083968</x:v>
      </x:c>
      <x:c r="O109" s="11" t="n">
        <x:f>'Option source'!G275</x:f>
        <x:v>337.5</x:v>
      </x:c>
      <x:c r="P109" s="11" t="n">
        <x:f>'Option source'!F275</x:f>
        <x:v>425</x:v>
      </x:c>
      <x:c r="Q109" s="1" t="str">
        <x:v>Screen passed; indicative</x:v>
      </x:c>
      <x:c r="R109" s="1" t="n">
        <x:v>270</x:v>
      </x:c>
    </x:row>
    <x:row r="110" ht="21" customHeight="1">
      <x:c r="A110" s="12" t="n">
        <x:v>46279</x:v>
      </x:c>
      <x:c r="B110" s="1" t="str">
        <x:v>GFGV7000OC</x:v>
      </x:c>
      <x:c r="C110" s="1" t="str">
        <x:v>put</x:v>
      </x:c>
      <x:c r="D110" s="11" t="n">
        <x:v>7000</x:v>
      </x:c>
      <x:c r="E110" s="11" t="n">
        <x:f>'Option source'!B769</x:f>
        <x:v>374.39</x:v>
      </x:c>
      <x:c r="F110" s="11" t="n">
        <x:v>6840</x:v>
      </x:c>
      <x:c r="G110" s="18" t="n">
        <x:v>32</x:v>
      </x:c>
      <x:c r="H110" s="11" t="n">
        <x:f>MAX(IF(C110="call",F110-D110,D110-F110),0)</x:f>
        <x:v>160</x:v>
      </x:c>
      <x:c r="I110" s="11" t="n">
        <x:f>E110-H110</x:f>
        <x:v>214.39</x:v>
      </x:c>
      <x:c r="J110" s="13" t="n">
        <x:f>D110/F110</x:f>
        <x:v>1.023391812865497</x:v>
      </x:c>
      <x:c r="K110" s="13" t="n">
        <x:v>0.44764884531992</x:v>
      </x:c>
      <x:c r="L110" s="17" t="n">
        <x:v>-0.4640416104550006</x:v>
      </x:c>
      <x:c r="M110" s="17" t="n">
        <x:v>8.046847736989523</x:v>
      </x:c>
      <x:c r="N110" s="11" t="n">
        <x:f>'Option source'!C769</x:f>
        <x:v>147142976</x:v>
      </x:c>
      <x:c r="O110" s="11" t="n">
        <x:f>'Option source'!G769</x:f>
        <x:v>300</x:v>
      </x:c>
      <x:c r="P110" s="11" t="n">
        <x:f>'Option source'!F769</x:f>
        <x:v>392</x:v>
      </x:c>
      <x:c r="Q110" s="1" t="str">
        <x:v>Screen passed; indicative</x:v>
      </x:c>
      <x:c r="R110" s="1" t="n">
        <x:v>764</x:v>
      </x:c>
    </x:row>
    <x:row r="111" ht="21" customHeight="1">
      <x:c r="A111" s="12" t="n">
        <x:v>46279</x:v>
      </x:c>
      <x:c r="B111" s="1" t="str">
        <x:v>GFGC6600OC</x:v>
      </x:c>
      <x:c r="C111" s="1" t="str">
        <x:v>call</x:v>
      </x:c>
      <x:c r="D111" s="11" t="n">
        <x:v>6600</x:v>
      </x:c>
      <x:c r="E111" s="11" t="n">
        <x:f>'Option source'!B237</x:f>
        <x:v>574.6</x:v>
      </x:c>
      <x:c r="F111" s="11" t="n">
        <x:v>6840</x:v>
      </x:c>
      <x:c r="G111" s="18" t="n">
        <x:v>32</x:v>
      </x:c>
      <x:c r="H111" s="11" t="n">
        <x:f>MAX(IF(C111="call",F111-D111,D111-F111),0)</x:f>
        <x:v>240</x:v>
      </x:c>
      <x:c r="I111" s="11" t="n">
        <x:f>E111-H111</x:f>
        <x:v>334.6</x:v>
      </x:c>
      <x:c r="J111" s="13" t="n">
        <x:f>D111/F111</x:f>
        <x:v>0.9649122807017544</x:v>
      </x:c>
      <x:c r="K111" s="13" t="n">
        <x:v>0.4199929681804525</x:v>
      </x:c>
      <x:c r="L111" s="17" t="n">
        <x:v>0.7125668720823347</x:v>
      </x:c>
      <x:c r="M111" s="17" t="n">
        <x:v>6.903645532214945</x:v>
      </x:c>
      <x:c r="N111" s="11" t="n">
        <x:f>'Option source'!C237</x:f>
        <x:v>79085528</x:v>
      </x:c>
      <x:c r="O111" s="11" t="n">
        <x:f>'Option source'!G237</x:f>
        <x:v>540</x:v>
      </x:c>
      <x:c r="P111" s="11" t="n">
        <x:f>'Option source'!F237</x:f>
        <x:v>665</x:v>
      </x:c>
      <x:c r="Q111" s="1" t="str">
        <x:v>Screen passed; indicative</x:v>
      </x:c>
      <x:c r="R111" s="1" t="n">
        <x:v>232</x:v>
      </x:c>
    </x:row>
    <x:row r="112" ht="21" customHeight="1">
      <x:c r="A112" s="12" t="n">
        <x:v>46279</x:v>
      </x:c>
      <x:c r="B112" s="1" t="str">
        <x:v>GFGV6600OC</x:v>
      </x:c>
      <x:c r="C112" s="1" t="str">
        <x:v>put</x:v>
      </x:c>
      <x:c r="D112" s="11" t="n">
        <x:v>6600</x:v>
      </x:c>
      <x:c r="E112" s="11" t="n">
        <x:f>'Option source'!B731</x:f>
        <x:v>192.29</x:v>
      </x:c>
      <x:c r="F112" s="11" t="n">
        <x:v>6840</x:v>
      </x:c>
      <x:c r="G112" s="18" t="n">
        <x:v>32</x:v>
      </x:c>
      <x:c r="H112" s="11" t="n">
        <x:f>MAX(IF(C112="call",F112-D112,D112-F112),0)</x:f>
        <x:v>0</x:v>
      </x:c>
      <x:c r="I112" s="11" t="n">
        <x:f>E112-H112</x:f>
        <x:v>192.29</x:v>
      </x:c>
      <x:c r="J112" s="13" t="n">
        <x:f>D112/F112</x:f>
        <x:v>0.9649122807017544</x:v>
      </x:c>
      <x:c r="K112" s="13" t="n">
        <x:v>0.4473677349453659</x:v>
      </x:c>
      <x:c r="L112" s="17" t="n">
        <x:v>-0.29652035595760684</x:v>
      </x:c>
      <x:c r="M112" s="17" t="n">
        <x:v>7.004433185085145</x:v>
      </x:c>
      <x:c r="N112" s="11" t="n">
        <x:f>'Option source'!C731</x:f>
        <x:v>115791792</x:v>
      </x:c>
      <x:c r="O112" s="11" t="n">
        <x:f>'Option source'!G731</x:f>
        <x:v>137.48</x:v>
      </x:c>
      <x:c r="P112" s="11" t="n">
        <x:f>'Option source'!F731</x:f>
        <x:v>200</x:v>
      </x:c>
      <x:c r="Q112" s="1" t="str">
        <x:v>Screen passed; indicative</x:v>
      </x:c>
      <x:c r="R112" s="1" t="n">
        <x:v>726</x:v>
      </x:c>
    </x:row>
    <x:row r="113" ht="21" customHeight="1">
      <x:c r="A113" s="12" t="n">
        <x:v>46279</x:v>
      </x:c>
      <x:c r="B113" s="1" t="str">
        <x:v>GFGC7200OC</x:v>
      </x:c>
      <x:c r="C113" s="1" t="str">
        <x:v>call</x:v>
      </x:c>
      <x:c r="D113" s="11" t="n">
        <x:v>7200</x:v>
      </x:c>
      <x:c r="E113" s="11" t="n">
        <x:f>'Option source'!B294</x:f>
        <x:v>261.93</x:v>
      </x:c>
      <x:c r="F113" s="11" t="n">
        <x:v>6840</x:v>
      </x:c>
      <x:c r="G113" s="18" t="n">
        <x:v>32</x:v>
      </x:c>
      <x:c r="H113" s="11" t="n">
        <x:f>MAX(IF(C113="call",F113-D113,D113-F113),0)</x:f>
        <x:v>0</x:v>
      </x:c>
      <x:c r="I113" s="11" t="n">
        <x:f>E113-H113</x:f>
        <x:v>261.93</x:v>
      </x:c>
      <x:c r="J113" s="13" t="n">
        <x:f>D113/F113</x:f>
        <x:v>1.0526315789473684</x:v>
      </x:c>
      <x:c r="K113" s="13" t="n">
        <x:v>0.4176973171685588</x:v>
      </x:c>
      <x:c r="L113" s="17" t="n">
        <x:v>0.44423721541445127</x:v>
      </x:c>
      <x:c r="M113" s="17" t="n">
        <x:v>8.000632957573075</x:v>
      </x:c>
      <x:c r="N113" s="11" t="n">
        <x:f>'Option source'!C294</x:f>
        <x:v>225884640</x:v>
      </x:c>
      <x:c r="O113" s="11" t="n">
        <x:f>'Option source'!G294</x:f>
        <x:v>255</x:v>
      </x:c>
      <x:c r="P113" s="11" t="n">
        <x:f>'Option source'!F294</x:f>
        <x:v>324</x:v>
      </x:c>
      <x:c r="Q113" s="1" t="str">
        <x:v>Screen passed; indicative</x:v>
      </x:c>
      <x:c r="R113" s="1" t="n">
        <x:v>289</x:v>
      </x:c>
    </x:row>
    <x:row r="114" ht="21" customHeight="1">
      <x:c r="A114" s="12" t="n">
        <x:v>46279</x:v>
      </x:c>
      <x:c r="B114" s="1" t="str">
        <x:v>GFGV7200OC</x:v>
      </x:c>
      <x:c r="C114" s="1" t="str">
        <x:v>put</x:v>
      </x:c>
      <x:c r="D114" s="11" t="n">
        <x:v>7200</x:v>
      </x:c>
      <x:c r="E114" s="11" t="n">
        <x:f>'Option source'!B788</x:f>
        <x:v>494.18</x:v>
      </x:c>
      <x:c r="F114" s="11" t="n">
        <x:v>6840</x:v>
      </x:c>
      <x:c r="G114" s="18" t="n">
        <x:v>32</x:v>
      </x:c>
      <x:c r="H114" s="11" t="n">
        <x:f>MAX(IF(C114="call",F114-D114,D114-F114),0)</x:f>
        <x:v>360</x:v>
      </x:c>
      <x:c r="I114" s="11" t="n">
        <x:f>E114-H114</x:f>
        <x:v>134.18</x:v>
      </x:c>
      <x:c r="J114" s="13" t="n">
        <x:f>D114/F114</x:f>
        <x:v>1.0526315789473684</x:v>
      </x:c>
      <x:c r="K114" s="13" t="n">
        <x:v>0.44716043208924505</x:v>
      </x:c>
      <x:c r="L114" s="17" t="n">
        <x:v>-0.5487716195293405</x:v>
      </x:c>
      <x:c r="M114" s="17" t="n">
        <x:v>8.019236995146443</x:v>
      </x:c>
      <x:c r="N114" s="11" t="n">
        <x:f>'Option source'!C788</x:f>
        <x:v>43380644</x:v>
      </x:c>
      <x:c r="O114" s="11" t="n">
        <x:f>'Option source'!G788</x:f>
        <x:v>393.3</x:v>
      </x:c>
      <x:c r="P114" s="11" t="n">
        <x:f>'Option source'!F788</x:f>
        <x:v>510</x:v>
      </x:c>
      <x:c r="Q114" s="1" t="str">
        <x:v>Screen passed; indicative</x:v>
      </x:c>
      <x:c r="R114" s="1" t="n">
        <x:v>783</x:v>
      </x:c>
    </x:row>
    <x:row r="115" ht="21" customHeight="1">
      <x:c r="A115" s="12" t="n">
        <x:v>46279</x:v>
      </x:c>
      <x:c r="B115" s="1" t="str">
        <x:v>GFGC6400OC</x:v>
      </x:c>
      <x:c r="C115" s="1" t="str">
        <x:v>call</x:v>
      </x:c>
      <x:c r="D115" s="11" t="n">
        <x:v>6400</x:v>
      </x:c>
      <x:c r="E115" s="11" t="n">
        <x:f>'Option source'!B218</x:f>
        <x:v>675.11</x:v>
      </x:c>
      <x:c r="F115" s="11" t="n">
        <x:v>6840</x:v>
      </x:c>
      <x:c r="G115" s="18" t="n">
        <x:v>32</x:v>
      </x:c>
      <x:c r="H115" s="11" t="n">
        <x:f>MAX(IF(C115="call",F115-D115,D115-F115),0)</x:f>
        <x:v>440</x:v>
      </x:c>
      <x:c r="I115" s="11" t="n">
        <x:f>E115-H115</x:f>
        <x:v>235.11</x:v>
      </x:c>
      <x:c r="J115" s="13" t="n">
        <x:f>D115/F115</x:f>
        <x:v>0.935672514619883</x:v>
      </x:c>
      <x:c r="K115" s="13" t="n">
        <x:v>0.3509531177896113</x:v>
      </x:c>
      <x:c r="L115" s="17" t="n">
        <x:v>0.8276477561859044</x:v>
      </x:c>
      <x:c r="M115" s="17" t="n">
        <x:v>5.17027297113095</x:v>
      </x:c>
      <x:c r="N115" s="11" t="n">
        <x:f>'Option source'!C218</x:f>
        <x:v>29115720</x:v>
      </x:c>
      <x:c r="O115" s="11" t="n">
        <x:f>'Option source'!G218</x:f>
        <x:v>671</x:v>
      </x:c>
      <x:c r="P115" s="11" t="n">
        <x:f>'Option source'!F218</x:f>
        <x:v>800</x:v>
      </x:c>
      <x:c r="Q115" s="1" t="str">
        <x:v>Screen passed; indicative</x:v>
      </x:c>
      <x:c r="R115" s="1" t="n">
        <x:v>213</x:v>
      </x:c>
    </x:row>
    <x:row r="116" ht="21" customHeight="1">
      <x:c r="A116" s="12" t="n">
        <x:v>46279</x:v>
      </x:c>
      <x:c r="B116" s="1" t="str">
        <x:v>GFGV6400OC</x:v>
      </x:c>
      <x:c r="C116" s="1" t="str">
        <x:v>put</x:v>
      </x:c>
      <x:c r="D116" s="11" t="n">
        <x:v>6400</x:v>
      </x:c>
      <x:c r="E116" s="11" t="n">
        <x:f>'Option source'!B712</x:f>
        <x:v>130.18</x:v>
      </x:c>
      <x:c r="F116" s="11" t="n">
        <x:v>6840</x:v>
      </x:c>
      <x:c r="G116" s="18" t="n">
        <x:v>32</x:v>
      </x:c>
      <x:c r="H116" s="11" t="n">
        <x:f>MAX(IF(C116="call",F116-D116,D116-F116),0)</x:f>
        <x:v>0</x:v>
      </x:c>
      <x:c r="I116" s="11" t="n">
        <x:f>E116-H116</x:f>
        <x:v>130.18</x:v>
      </x:c>
      <x:c r="J116" s="13" t="n">
        <x:f>D116/F116</x:f>
        <x:v>0.935672514619883</x:v>
      </x:c>
      <x:c r="K116" s="13" t="n">
        <x:v>0.44822309292741946</x:v>
      </x:c>
      <x:c r="L116" s="17" t="n">
        <x:v>-0.22197823694412522</x:v>
      </x:c>
      <x:c r="M116" s="17" t="n">
        <x:v>6.0275225544580175</x:v>
      </x:c>
      <x:c r="N116" s="11" t="n">
        <x:f>'Option source'!C712</x:f>
        <x:v>76737328</x:v>
      </x:c>
      <x:c r="O116" s="11" t="n">
        <x:f>'Option source'!G712</x:f>
        <x:v>97</x:v>
      </x:c>
      <x:c r="P116" s="11" t="n">
        <x:f>'Option source'!F712</x:f>
        <x:v>134.69</x:v>
      </x:c>
      <x:c r="Q116" s="1" t="str">
        <x:v>Screen passed; indicative</x:v>
      </x:c>
      <x:c r="R116" s="1" t="n">
        <x:v>707</x:v>
      </x:c>
    </x:row>
    <x:row r="117" ht="21" customHeight="1">
      <x:c r="A117" s="12" t="n">
        <x:v>46279</x:v>
      </x:c>
      <x:c r="B117" s="1" t="str">
        <x:v>GFGC7400OC</x:v>
      </x:c>
      <x:c r="C117" s="1" t="str">
        <x:v>call</x:v>
      </x:c>
      <x:c r="D117" s="11" t="n">
        <x:v>7400</x:v>
      </x:c>
      <x:c r="E117" s="11" t="n">
        <x:f>'Option source'!B313</x:f>
        <x:v>198.36</x:v>
      </x:c>
      <x:c r="F117" s="11" t="n">
        <x:v>6840</x:v>
      </x:c>
      <x:c r="G117" s="18" t="n">
        <x:v>32</x:v>
      </x:c>
      <x:c r="H117" s="11" t="n">
        <x:f>MAX(IF(C117="call",F117-D117,D117-F117),0)</x:f>
        <x:v>0</x:v>
      </x:c>
      <x:c r="I117" s="11" t="n">
        <x:f>E117-H117</x:f>
        <x:v>198.36</x:v>
      </x:c>
      <x:c r="J117" s="13" t="n">
        <x:f>D117/F117</x:f>
        <x:v>1.0818713450292399</x:v>
      </x:c>
      <x:c r="K117" s="13" t="n">
        <x:v>0.4248236074766789</x:v>
      </x:c>
      <x:c r="L117" s="17" t="n">
        <x:v>0.3618156699571608</x:v>
      </x:c>
      <x:c r="M117" s="17" t="n">
        <x:v>7.590015441577807</x:v>
      </x:c>
      <x:c r="N117" s="11" t="n">
        <x:f>'Option source'!C313</x:f>
        <x:v>139453056</x:v>
      </x:c>
      <x:c r="O117" s="11" t="n">
        <x:f>'Option source'!G313</x:f>
        <x:v>180</x:v>
      </x:c>
      <x:c r="P117" s="11" t="n">
        <x:f>'Option source'!F313</x:f>
        <x:v>254.99</x:v>
      </x:c>
      <x:c r="Q117" s="1" t="str">
        <x:v>Screen passed; indicative</x:v>
      </x:c>
      <x:c r="R117" s="1" t="n">
        <x:v>308</x:v>
      </x:c>
    </x:row>
    <x:row r="118" ht="21" customHeight="1">
      <x:c r="A118" s="12" t="n">
        <x:v>46279</x:v>
      </x:c>
      <x:c r="B118" s="1" t="str">
        <x:v>GFGV7400OC</x:v>
      </x:c>
      <x:c r="C118" s="1" t="str">
        <x:v>put</x:v>
      </x:c>
      <x:c r="D118" s="11" t="n">
        <x:v>7400</x:v>
      </x:c>
      <x:c r="E118" s="11" t="n">
        <x:f>'Option source'!B807</x:f>
        <x:v>619.04</x:v>
      </x:c>
      <x:c r="F118" s="11" t="n">
        <x:v>6840</x:v>
      </x:c>
      <x:c r="G118" s="18" t="n">
        <x:v>32</x:v>
      </x:c>
      <x:c r="H118" s="11" t="n">
        <x:f>MAX(IF(C118="call",F118-D118,D118-F118),0)</x:f>
        <x:v>560</x:v>
      </x:c>
      <x:c r="I118" s="11" t="n">
        <x:f>E118-H118</x:f>
        <x:v>59.039999999999964</x:v>
      </x:c>
      <x:c r="J118" s="13" t="n">
        <x:f>D118/F118</x:f>
        <x:v>1.0818713450292399</x:v>
      </x:c>
      <x:c r="K118" s="13" t="n">
        <x:v>0.4232525723574756</x:v>
      </x:c>
      <x:c r="L118" s="17" t="n">
        <x:v>-0.6388506644480701</x:v>
      </x:c>
      <x:c r="M118" s="17" t="n">
        <x:v>7.5852314337342435</x:v>
      </x:c>
      <x:c r="N118" s="11" t="n">
        <x:f>'Option source'!C807</x:f>
        <x:v>11768273</x:v>
      </x:c>
      <x:c r="O118" s="11" t="n">
        <x:f>'Option source'!G807</x:f>
        <x:v>520</x:v>
      </x:c>
      <x:c r="P118" s="11" t="n">
        <x:f>'Option source'!F807</x:f>
        <x:v>620</x:v>
      </x:c>
      <x:c r="Q118" s="1" t="str">
        <x:v>Screen passed; indicative</x:v>
      </x:c>
      <x:c r="R118" s="1" t="n">
        <x:v>802</x:v>
      </x:c>
    </x:row>
    <x:row r="119" ht="21" customHeight="1">
      <x:c r="A119" s="12" t="n">
        <x:v>46279</x:v>
      </x:c>
      <x:c r="B119" s="1" t="str">
        <x:v>GFGC6200OC</x:v>
      </x:c>
      <x:c r="C119" s="1" t="str">
        <x:v>call</x:v>
      </x:c>
      <x:c r="D119" s="11" t="n">
        <x:v>6200</x:v>
      </x:c>
      <x:c r="E119" s="11" t="n">
        <x:f>'Option source'!B199</x:f>
        <x:v>847.81</x:v>
      </x:c>
      <x:c r="F119" s="11" t="n">
        <x:v>6840</x:v>
      </x:c>
      <x:c r="G119" s="18" t="n">
        <x:v>32</x:v>
      </x:c>
      <x:c r="H119" s="11" t="n">
        <x:f>MAX(IF(C119="call",F119-D119,D119-F119),0)</x:f>
        <x:v>640</x:v>
      </x:c>
      <x:c r="I119" s="11" t="n">
        <x:f>E119-H119</x:f>
        <x:v>207.80999999999995</x:v>
      </x:c>
      <x:c r="J119" s="13" t="n">
        <x:f>D119/F119</x:f>
        <x:v>0.9064327485380117</x:v>
      </x:c>
      <x:c r="K119" s="13" t="n">
        <x:v>0.37500935528244506</x:v>
      </x:c>
      <x:c r="L119" s="17" t="n">
        <x:v>0.8804257304646197</x:v>
      </x:c>
      <x:c r="M119" s="17" t="n">
        <x:v>4.041235851524207</x:v>
      </x:c>
      <x:c r="N119" s="11" t="n">
        <x:f>'Option source'!C199</x:f>
        <x:v>4077403.75</x:v>
      </x:c>
      <x:c r="O119" s="11" t="n">
        <x:f>'Option source'!G199</x:f>
        <x:v>845</x:v>
      </x:c>
      <x:c r="P119" s="11" t="n">
        <x:f>'Option source'!F199</x:f>
        <x:v>950</x:v>
      </x:c>
      <x:c r="Q119" s="1" t="str">
        <x:v>Screen passed; indicative</x:v>
      </x:c>
      <x:c r="R119" s="1" t="n">
        <x:v>194</x:v>
      </x:c>
    </x:row>
    <x:row r="120" ht="21" customHeight="1">
      <x:c r="A120" s="12" t="n">
        <x:v>46279</x:v>
      </x:c>
      <x:c r="B120" s="1" t="str">
        <x:v>GFGV6200OC</x:v>
      </x:c>
      <x:c r="C120" s="1" t="str">
        <x:v>put</x:v>
      </x:c>
      <x:c r="D120" s="11" t="n">
        <x:v>6200</x:v>
      </x:c>
      <x:c r="E120" s="11" t="n">
        <x:f>'Option source'!B693</x:f>
        <x:v>81.68</x:v>
      </x:c>
      <x:c r="F120" s="11" t="n">
        <x:v>6840</x:v>
      </x:c>
      <x:c r="G120" s="18" t="n">
        <x:v>32</x:v>
      </x:c>
      <x:c r="H120" s="11" t="n">
        <x:f>MAX(IF(C120="call",F120-D120,D120-F120),0)</x:f>
        <x:v>0</x:v>
      </x:c>
      <x:c r="I120" s="11" t="n">
        <x:f>E120-H120</x:f>
        <x:v>81.68</x:v>
      </x:c>
      <x:c r="J120" s="13" t="n">
        <x:f>D120/F120</x:f>
        <x:v>0.9064327485380117</x:v>
      </x:c>
      <x:c r="K120" s="13" t="n">
        <x:v>0.445057601475224</x:v>
      </x:c>
      <x:c r="L120" s="17" t="n">
        <x:v>-0.1560182507966087</x:v>
      </x:c>
      <x:c r="M120" s="17" t="n">
        <x:v>4.84688127742182</x:v>
      </x:c>
      <x:c r="N120" s="11" t="n">
        <x:f>'Option source'!C693</x:f>
        <x:v>36600232</x:v>
      </x:c>
      <x:c r="O120" s="11" t="n">
        <x:f>'Option source'!G693</x:f>
        <x:v>61</x:v>
      </x:c>
      <x:c r="P120" s="11" t="n">
        <x:f>'Option source'!F693</x:f>
        <x:v>82.99</x:v>
      </x:c>
      <x:c r="Q120" s="1" t="str">
        <x:v>Screen passed; indicative</x:v>
      </x:c>
      <x:c r="R120" s="1" t="n">
        <x:v>688</x:v>
      </x:c>
    </x:row>
    <x:row r="121" ht="21" customHeight="1">
      <x:c r="A121" s="12" t="n">
        <x:v>46279</x:v>
      </x:c>
      <x:c r="B121" s="1" t="str">
        <x:v>GFGC7600OC</x:v>
      </x:c>
      <x:c r="C121" s="1" t="str">
        <x:v>call</x:v>
      </x:c>
      <x:c r="D121" s="11" t="n">
        <x:v>7600</x:v>
      </x:c>
      <x:c r="E121" s="11" t="n">
        <x:f>'Option source'!B332</x:f>
        <x:v>145.5</x:v>
      </x:c>
      <x:c r="F121" s="11" t="n">
        <x:v>6840</x:v>
      </x:c>
      <x:c r="G121" s="18" t="n">
        <x:v>32</x:v>
      </x:c>
      <x:c r="H121" s="11" t="n">
        <x:f>MAX(IF(C121="call",F121-D121,D121-F121),0)</x:f>
        <x:v>0</x:v>
      </x:c>
      <x:c r="I121" s="11" t="n">
        <x:f>E121-H121</x:f>
        <x:v>145.5</x:v>
      </x:c>
      <x:c r="J121" s="13" t="n">
        <x:f>D121/F121</x:f>
        <x:v>1.1111111111111112</x:v>
      </x:c>
      <x:c r="K121" s="13" t="n">
        <x:v>0.4270860334783845</x:v>
      </x:c>
      <x:c r="L121" s="17" t="n">
        <x:v>0.287073056414651</x:v>
      </x:c>
      <x:c r="M121" s="17" t="n">
        <x:v>6.899551350982152</x:v>
      </x:c>
      <x:c r="N121" s="11" t="n">
        <x:f>'Option source'!C332</x:f>
        <x:v>340783872</x:v>
      </x:c>
      <x:c r="O121" s="11" t="n">
        <x:f>'Option source'!G332</x:f>
        <x:v>140</x:v>
      </x:c>
      <x:c r="P121" s="11" t="n">
        <x:f>'Option source'!F332</x:f>
        <x:v>183</x:v>
      </x:c>
      <x:c r="Q121" s="1" t="str">
        <x:v>Screen passed; indicative</x:v>
      </x:c>
      <x:c r="R121" s="1" t="n">
        <x:v>327</x:v>
      </x:c>
    </x:row>
    <x:row r="122" ht="21" customHeight="1">
      <x:c r="A122" s="12" t="n">
        <x:v>46279</x:v>
      </x:c>
      <x:c r="B122" s="1" t="str">
        <x:v>GFGV7600OC</x:v>
      </x:c>
      <x:c r="C122" s="1" t="str">
        <x:v>put</x:v>
      </x:c>
      <x:c r="D122" s="11" t="n">
        <x:v>7600</x:v>
      </x:c>
      <x:c r="E122" s="11" t="n">
        <x:f>'Option source'!B826</x:f>
        <x:v>775.5</x:v>
      </x:c>
      <x:c r="F122" s="11" t="n">
        <x:v>6840</x:v>
      </x:c>
      <x:c r="G122" s="18" t="n">
        <x:v>32</x:v>
      </x:c>
      <x:c r="H122" s="11" t="n">
        <x:f>MAX(IF(C122="call",F122-D122,D122-F122),0)</x:f>
        <x:v>760</x:v>
      </x:c>
      <x:c r="I122" s="11" t="n">
        <x:f>E122-H122</x:f>
        <x:v>15.5</x:v>
      </x:c>
      <x:c r="J122" s="13" t="n">
        <x:f>D122/F122</x:f>
        <x:v>1.1111111111111112</x:v>
      </x:c>
      <x:c r="K122" s="13" t="n">
        <x:v>0.40884978158179286</x:v>
      </x:c>
      <x:c r="L122" s="17" t="n">
        <x:v>-0.723255895833208</x:v>
      </x:c>
      <x:c r="M122" s="17" t="n">
        <x:v>6.778806139840655</x:v>
      </x:c>
      <x:c r="N122" s="11" t="n">
        <x:f>'Option source'!C826</x:f>
        <x:v>2145817.25</x:v>
      </x:c>
      <x:c r="O122" s="11" t="n">
        <x:f>'Option source'!G826</x:f>
        <x:v>661</x:v>
      </x:c>
      <x:c r="P122" s="11" t="n">
        <x:f>'Option source'!F826</x:f>
        <x:v>775.5</x:v>
      </x:c>
      <x:c r="Q122" s="1" t="str">
        <x:v>Screen passed; indicative</x:v>
      </x:c>
      <x:c r="R122" s="1" t="n">
        <x:v>821</x:v>
      </x:c>
    </x:row>
    <x:row r="123" ht="21" customHeight="1">
      <x:c r="A123" s="12" t="n">
        <x:v>46279</x:v>
      </x:c>
      <x:c r="B123" s="1" t="str">
        <x:v>GFGC6000OC</x:v>
      </x:c>
      <x:c r="C123" s="1" t="str">
        <x:v>call</x:v>
      </x:c>
      <x:c r="D123" s="11" t="n">
        <x:v>6000</x:v>
      </x:c>
      <x:c r="E123" s="11" t="n">
        <x:f>'Option source'!B180</x:f>
        <x:v>1010</x:v>
      </x:c>
      <x:c r="F123" s="11" t="n">
        <x:v>6840</x:v>
      </x:c>
      <x:c r="G123" s="18" t="n">
        <x:v>32</x:v>
      </x:c>
      <x:c r="H123" s="11" t="n">
        <x:f>MAX(IF(C123="call",F123-D123,D123-F123),0)</x:f>
        <x:v>840</x:v>
      </x:c>
      <x:c r="I123" s="11" t="n">
        <x:f>E123-H123</x:f>
        <x:v>170</x:v>
      </x:c>
      <x:c r="J123" s="13" t="n">
        <x:f>D123/F123</x:f>
        <x:v>0.8771929824561403</x:v>
      </x:c>
      <x:c r="K123" s="13" t="n">
        <x:v>0.3311863667744882</x:v>
      </x:c>
      <x:c r="L123" s="17" t="n">
        <x:v>0.9508772368084064</x:v>
      </x:c>
      <x:c r="M123" s="17" t="n">
        <x:v>2.059484319893927</x:v>
      </x:c>
      <x:c r="N123" s="11" t="n">
        <x:f>'Option source'!C180</x:f>
        <x:v>22518816</x:v>
      </x:c>
      <x:c r="O123" s="11" t="n">
        <x:f>'Option source'!G180</x:f>
        <x:v>997.35</x:v>
      </x:c>
      <x:c r="P123" s="11" t="n">
        <x:f>'Option source'!F180</x:f>
        <x:v>1145</x:v>
      </x:c>
      <x:c r="Q123" s="1" t="str">
        <x:v>Screen passed; indicative</x:v>
      </x:c>
      <x:c r="R123" s="1" t="n">
        <x:v>175</x:v>
      </x:c>
    </x:row>
    <x:row r="124" ht="21" customHeight="1">
      <x:c r="A124" s="12" t="n">
        <x:v>46279</x:v>
      </x:c>
      <x:c r="B124" s="1" t="str">
        <x:v>GFGV6000OC</x:v>
      </x:c>
      <x:c r="C124" s="1" t="str">
        <x:v>put</x:v>
      </x:c>
      <x:c r="D124" s="11" t="n">
        <x:v>6000</x:v>
      </x:c>
      <x:c r="E124" s="11" t="n">
        <x:f>'Option source'!B674</x:f>
        <x:v>48.24</x:v>
      </x:c>
      <x:c r="F124" s="11" t="n">
        <x:v>6840</x:v>
      </x:c>
      <x:c r="G124" s="18" t="n">
        <x:v>32</x:v>
      </x:c>
      <x:c r="H124" s="11" t="n">
        <x:f>MAX(IF(C124="call",F124-D124,D124-F124),0)</x:f>
        <x:v>0</x:v>
      </x:c>
      <x:c r="I124" s="11" t="n">
        <x:f>E124-H124</x:f>
        <x:v>48.24</x:v>
      </x:c>
      <x:c r="J124" s="13" t="n">
        <x:f>D124/F124</x:f>
        <x:v>0.8771929824561403</x:v>
      </x:c>
      <x:c r="K124" s="13" t="n">
        <x:v>0.4430916054426357</x:v>
      </x:c>
      <x:c r="L124" s="17" t="n">
        <x:v>-0.10297340404281574</x:v>
      </x:c>
      <x:c r="M124" s="17" t="n">
        <x:v>3.6309973689164603</x:v>
      </x:c>
      <x:c r="N124" s="11" t="n">
        <x:f>'Option source'!C674</x:f>
        <x:v>20539852</x:v>
      </x:c>
      <x:c r="O124" s="11" t="n">
        <x:f>'Option source'!G674</x:f>
        <x:v>37.15</x:v>
      </x:c>
      <x:c r="P124" s="11" t="n">
        <x:f>'Option source'!F674</x:f>
        <x:v>49.93</x:v>
      </x:c>
      <x:c r="Q124" s="1" t="str">
        <x:v>Screen passed; indicative</x:v>
      </x:c>
      <x:c r="R124" s="1" t="n">
        <x:v>669</x:v>
      </x:c>
    </x:row>
    <x:row r="125" ht="21" customHeight="1">
      <x:c r="A125" s="12" t="n">
        <x:v>46279</x:v>
      </x:c>
      <x:c r="B125" s="1" t="str">
        <x:v>GFGC7800OC</x:v>
      </x:c>
      <x:c r="C125" s="1" t="str">
        <x:v>call</x:v>
      </x:c>
      <x:c r="D125" s="11" t="n">
        <x:v>7800</x:v>
      </x:c>
      <x:c r="E125" s="11" t="n">
        <x:f>'Option source'!B351</x:f>
        <x:v>104.78</x:v>
      </x:c>
      <x:c r="F125" s="11" t="n">
        <x:v>6840</x:v>
      </x:c>
      <x:c r="G125" s="18" t="n">
        <x:v>32</x:v>
      </x:c>
      <x:c r="H125" s="11" t="n">
        <x:f>MAX(IF(C125="call",F125-D125,D125-F125),0)</x:f>
        <x:v>0</x:v>
      </x:c>
      <x:c r="I125" s="11" t="n">
        <x:f>E125-H125</x:f>
        <x:v>104.78</x:v>
      </x:c>
      <x:c r="J125" s="13" t="n">
        <x:f>D125/F125</x:f>
        <x:v>1.1403508771929824</x:v>
      </x:c>
      <x:c r="K125" s="13" t="n">
        <x:v>0.42892402206690494</x:v>
      </x:c>
      <x:c r="L125" s="17" t="n">
        <x:v>0.22257259403513063</x:v>
      </x:c>
      <x:c r="M125" s="17" t="n">
        <x:v>6.0367255098381065</x:v>
      </x:c>
      <x:c r="N125" s="11" t="n">
        <x:f>'Option source'!C351</x:f>
        <x:v>100332312</x:v>
      </x:c>
      <x:c r="O125" s="11" t="n">
        <x:f>'Option source'!G351</x:f>
        <x:v>102</x:v>
      </x:c>
      <x:c r="P125" s="11" t="n">
        <x:f>'Option source'!F351</x:f>
        <x:v>143.77</x:v>
      </x:c>
      <x:c r="Q125" s="1" t="str">
        <x:v>Screen passed; indicative</x:v>
      </x:c>
      <x:c r="R125" s="1" t="n">
        <x:v>346</x:v>
      </x:c>
    </x:row>
    <x:row r="126" ht="21" customHeight="1">
      <x:c r="A126" s="12" t="n">
        <x:v>46279</x:v>
      </x:c>
      <x:c r="B126" s="1" t="str">
        <x:v>GFGV7800OC</x:v>
      </x:c>
      <x:c r="C126" s="1" t="str">
        <x:v>put</x:v>
      </x:c>
      <x:c r="D126" s="11" t="n">
        <x:v>7800</x:v>
      </x:c>
      <x:c r="E126" s="11" t="n">
        <x:f>'Option source'!B845</x:f>
        <x:v>955</x:v>
      </x:c>
      <x:c r="F126" s="11" t="n">
        <x:v>6840</x:v>
      </x:c>
      <x:c r="G126" s="18" t="n">
        <x:v>32</x:v>
      </x:c>
      <x:c r="H126" s="11" t="n">
        <x:f>MAX(IF(C126="call",F126-D126,D126-F126),0)</x:f>
        <x:v>960</x:v>
      </x:c>
      <x:c r="I126" s="11" t="n">
        <x:f>E126-H126</x:f>
        <x:v>-5</x:v>
      </x:c>
      <x:c r="J126" s="13" t="n">
        <x:f>D126/F126</x:f>
        <x:v>1.1403508771929824</x:v>
      </x:c>
      <x:c r="K126" s="13"/>
      <x:c r="L126" s="17"/>
      <x:c r="M126" s="17"/>
      <x:c r="N126" s="11" t="n">
        <x:f>'Option source'!C845</x:f>
        <x:v>3038134</x:v>
      </x:c>
      <x:c r="O126" s="11" t="n">
        <x:f>'Option source'!G845</x:f>
        <x:v>830</x:v>
      </x:c>
      <x:c r="P126" s="11" t="n">
        <x:f>'Option source'!F845</x:f>
        <x:v>983.59</x:v>
      </x:c>
      <x:c r="Q126" s="1" t="str">
        <x:v>Below intrinsic value</x:v>
      </x:c>
      <x:c r="R126" s="1" t="n">
        <x:v>840</x:v>
      </x:c>
    </x:row>
    <x:row r="127" ht="21" customHeight="1">
      <x:c r="A127" s="12" t="n">
        <x:v>46279</x:v>
      </x:c>
      <x:c r="B127" s="1" t="str">
        <x:v>GFGC5800OC</x:v>
      </x:c>
      <x:c r="C127" s="1" t="str">
        <x:v>call</x:v>
      </x:c>
      <x:c r="D127" s="11" t="n">
        <x:v>5800</x:v>
      </x:c>
      <x:c r="E127" s="11" t="n">
        <x:f>'Option source'!B161</x:f>
        <x:v>1198.65</x:v>
      </x:c>
      <x:c r="F127" s="11" t="n">
        <x:v>6840</x:v>
      </x:c>
      <x:c r="G127" s="18" t="n">
        <x:v>32</x:v>
      </x:c>
      <x:c r="H127" s="11" t="n">
        <x:f>MAX(IF(C127="call",F127-D127,D127-F127),0)</x:f>
        <x:v>1040</x:v>
      </x:c>
      <x:c r="I127" s="11" t="n">
        <x:f>E127-H127</x:f>
        <x:v>158.6500000000001</x:v>
      </x:c>
      <x:c r="J127" s="13" t="n">
        <x:f>D127/F127</x:f>
        <x:v>0.847953216374269</x:v>
      </x:c>
      <x:c r="K127" s="13" t="n">
        <x:v>0.34924891288573146</x:v>
      </x:c>
      <x:c r="L127" s="17" t="n">
        <x:v>0.9713459061302536</x:v>
      </x:c>
      <x:c r="M127" s="17" t="n">
        <x:v>1.3264983927016762</x:v>
      </x:c>
      <x:c r="N127" s="11" t="n">
        <x:f>'Option source'!C161</x:f>
        <x:v>18114076</x:v>
      </x:c>
      <x:c r="O127" s="11" t="n">
        <x:f>'Option source'!G161</x:f>
        <x:v>1163.54</x:v>
      </x:c>
      <x:c r="P127" s="11" t="n">
        <x:f>'Option source'!F161</x:f>
        <x:v>1337.15</x:v>
      </x:c>
      <x:c r="Q127" s="1" t="str">
        <x:v>Screen passed; indicative</x:v>
      </x:c>
      <x:c r="R127" s="1" t="n">
        <x:v>156</x:v>
      </x:c>
    </x:row>
    <x:row r="128" ht="21" customHeight="1">
      <x:c r="A128" s="12" t="n">
        <x:v>46279</x:v>
      </x:c>
      <x:c r="B128" s="1" t="str">
        <x:v>GFGV5800OC</x:v>
      </x:c>
      <x:c r="C128" s="1" t="str">
        <x:v>put</x:v>
      </x:c>
      <x:c r="D128" s="11" t="n">
        <x:v>5800</x:v>
      </x:c>
      <x:c r="E128" s="11" t="n">
        <x:f>'Option source'!B655</x:f>
        <x:v>28</x:v>
      </x:c>
      <x:c r="F128" s="11" t="n">
        <x:v>6840</x:v>
      </x:c>
      <x:c r="G128" s="18" t="n">
        <x:v>32</x:v>
      </x:c>
      <x:c r="H128" s="11" t="n">
        <x:f>MAX(IF(C128="call",F128-D128,D128-F128),0)</x:f>
        <x:v>0</x:v>
      </x:c>
      <x:c r="I128" s="11" t="n">
        <x:f>E128-H128</x:f>
        <x:v>28</x:v>
      </x:c>
      <x:c r="J128" s="13" t="n">
        <x:f>D128/F128</x:f>
        <x:v>0.847953216374269</x:v>
      </x:c>
      <x:c r="K128" s="13" t="n">
        <x:v>0.446197232346799</x:v>
      </x:c>
      <x:c r="L128" s="17" t="n">
        <x:v>-0.065075455958856</x:v>
      </x:c>
      <x:c r="M128" s="17" t="n">
        <x:v>2.5702464054334087</x:v>
      </x:c>
      <x:c r="N128" s="11" t="n">
        <x:f>'Option source'!C655</x:f>
        <x:v>10710143</x:v>
      </x:c>
      <x:c r="O128" s="11" t="n">
        <x:f>'Option source'!G655</x:f>
        <x:v>21</x:v>
      </x:c>
      <x:c r="P128" s="11" t="n">
        <x:f>'Option source'!F655</x:f>
        <x:v>28.78</x:v>
      </x:c>
      <x:c r="Q128" s="1" t="str">
        <x:v>Screen passed; indicative</x:v>
      </x:c>
      <x:c r="R128" s="1" t="n">
        <x:v>650</x:v>
      </x:c>
    </x:row>
    <x:row r="129" ht="21" customHeight="1">
      <x:c r="A129" s="12" t="n">
        <x:v>46279</x:v>
      </x:c>
      <x:c r="B129" s="1" t="str">
        <x:v>GFGC8000OC</x:v>
      </x:c>
      <x:c r="C129" s="1" t="str">
        <x:v>call</x:v>
      </x:c>
      <x:c r="D129" s="11" t="n">
        <x:v>8000</x:v>
      </x:c>
      <x:c r="E129" s="11" t="n">
        <x:f>'Option source'!B370</x:f>
        <x:v>76.83</x:v>
      </x:c>
      <x:c r="F129" s="11" t="n">
        <x:v>6840</x:v>
      </x:c>
      <x:c r="G129" s="18" t="n">
        <x:v>32</x:v>
      </x:c>
      <x:c r="H129" s="11" t="n">
        <x:f>MAX(IF(C129="call",F129-D129,D129-F129),0)</x:f>
        <x:v>0</x:v>
      </x:c>
      <x:c r="I129" s="11" t="n">
        <x:f>E129-H129</x:f>
        <x:v>76.83</x:v>
      </x:c>
      <x:c r="J129" s="13" t="n">
        <x:f>D129/F129</x:f>
        <x:v>1.1695906432748537</x:v>
      </x:c>
      <x:c r="K129" s="13" t="n">
        <x:v>0.435713485927955</x:v>
      </x:c>
      <x:c r="L129" s="17" t="n">
        <x:v>0.17210352022206457</x:v>
      </x:c>
      <x:c r="M129" s="17" t="n">
        <x:v>5.165510676077477</x:v>
      </x:c>
      <x:c r="N129" s="11" t="n">
        <x:f>'Option source'!C370</x:f>
        <x:v>164742464</x:v>
      </x:c>
      <x:c r="O129" s="11" t="n">
        <x:f>'Option source'!G370</x:f>
        <x:v>75</x:v>
      </x:c>
      <x:c r="P129" s="11" t="n">
        <x:f>'Option source'!F370</x:f>
        <x:v>103</x:v>
      </x:c>
      <x:c r="Q129" s="1" t="str">
        <x:v>Screen passed; indicative</x:v>
      </x:c>
      <x:c r="R129" s="1" t="n">
        <x:v>365</x:v>
      </x:c>
    </x:row>
    <x:row r="130" ht="21" customHeight="1">
      <x:c r="A130" s="12" t="n">
        <x:v>46279</x:v>
      </x:c>
      <x:c r="B130" s="1" t="str">
        <x:v>GFGV8000OC</x:v>
      </x:c>
      <x:c r="C130" s="1" t="str">
        <x:v>put</x:v>
      </x:c>
      <x:c r="D130" s="11" t="n">
        <x:v>8000</x:v>
      </x:c>
      <x:c r="E130" s="11" t="n">
        <x:f>'Option source'!B864</x:f>
        <x:v>1160</x:v>
      </x:c>
      <x:c r="F130" s="11" t="n">
        <x:v>6840</x:v>
      </x:c>
      <x:c r="G130" s="18" t="n">
        <x:v>32</x:v>
      </x:c>
      <x:c r="H130" s="11" t="n">
        <x:f>MAX(IF(C130="call",F130-D130,D130-F130),0)</x:f>
        <x:v>1160</x:v>
      </x:c>
      <x:c r="I130" s="11" t="n">
        <x:f>E130-H130</x:f>
        <x:v>0</x:v>
      </x:c>
      <x:c r="J130" s="13" t="n">
        <x:f>D130/F130</x:f>
        <x:v>1.1695906432748537</x:v>
      </x:c>
      <x:c r="K130" s="13"/>
      <x:c r="L130" s="17"/>
      <x:c r="M130" s="17"/>
      <x:c r="N130" s="11" t="n">
        <x:f>'Option source'!C864</x:f>
        <x:v>3754252.75</x:v>
      </x:c>
      <x:c r="O130" s="11" t="n">
        <x:f>'Option source'!G864</x:f>
        <x:v>1090</x:v>
      </x:c>
      <x:c r="P130" s="11" t="n">
        <x:f>'Option source'!F864</x:f>
        <x:v>1160</x:v>
      </x:c>
      <x:c r="Q130" s="1" t="str">
        <x:v>No stable model IV</x:v>
      </x:c>
      <x:c r="R130" s="1" t="n">
        <x:v>859</x:v>
      </x:c>
    </x:row>
    <x:row r="131" ht="21" customHeight="1">
      <x:c r="A131" s="12" t="n">
        <x:v>46279</x:v>
      </x:c>
      <x:c r="B131" s="1" t="str">
        <x:v>GFGC5600OC</x:v>
      </x:c>
      <x:c r="C131" s="1" t="str">
        <x:v>call</x:v>
      </x:c>
      <x:c r="D131" s="11" t="n">
        <x:v>5600</x:v>
      </x:c>
      <x:c r="E131" s="11" t="n">
        <x:f>'Option source'!B151</x:f>
        <x:v>1455</x:v>
      </x:c>
      <x:c r="F131" s="11" t="n">
        <x:v>6840</x:v>
      </x:c>
      <x:c r="G131" s="18" t="n">
        <x:v>32</x:v>
      </x:c>
      <x:c r="H131" s="11" t="n">
        <x:f>MAX(IF(C131="call",F131-D131,D131-F131),0)</x:f>
        <x:v>1240</x:v>
      </x:c>
      <x:c r="I131" s="11" t="n">
        <x:f>E131-H131</x:f>
        <x:v>215</x:v>
      </x:c>
      <x:c r="J131" s="13" t="n">
        <x:f>D131/F131</x:f>
        <x:v>0.8187134502923976</x:v>
      </x:c>
      <x:c r="K131" s="13" t="n">
        <x:v>0.6515890829895374</x:v>
      </x:c>
      <x:c r="L131" s="17" t="n">
        <x:v>0.8978756448681571</x:v>
      </x:c>
      <x:c r="M131" s="17" t="n">
        <x:v>3.609207754559001</x:v>
      </x:c>
      <x:c r="N131" s="11" t="n">
        <x:f>'Option source'!C151</x:f>
        <x:v>1455000</x:v>
      </x:c>
      <x:c r="O131" s="11" t="n">
        <x:f>'Option source'!G151</x:f>
        <x:v>1455</x:v>
      </x:c>
      <x:c r="P131" s="11" t="n">
        <x:f>'Option source'!F151</x:f>
        <x:v>1455</x:v>
      </x:c>
      <x:c r="Q131" s="1" t="str">
        <x:v>Screen passed; indicative</x:v>
      </x:c>
      <x:c r="R131" s="1" t="n">
        <x:v>146</x:v>
      </x:c>
    </x:row>
    <x:row r="132" ht="21" customHeight="1">
      <x:c r="A132" s="12" t="n">
        <x:v>46279</x:v>
      </x:c>
      <x:c r="B132" s="1" t="str">
        <x:v>GFGV5600OC</x:v>
      </x:c>
      <x:c r="C132" s="1" t="str">
        <x:v>put</x:v>
      </x:c>
      <x:c r="D132" s="11" t="n">
        <x:v>5600</x:v>
      </x:c>
      <x:c r="E132" s="11" t="n">
        <x:f>'Option source'!B636</x:f>
        <x:v>14.36</x:v>
      </x:c>
      <x:c r="F132" s="11" t="n">
        <x:v>6840</x:v>
      </x:c>
      <x:c r="G132" s="18" t="n">
        <x:v>32</x:v>
      </x:c>
      <x:c r="H132" s="11" t="n">
        <x:f>MAX(IF(C132="call",F132-D132,D132-F132),0)</x:f>
        <x:v>0</x:v>
      </x:c>
      <x:c r="I132" s="11" t="n">
        <x:f>E132-H132</x:f>
        <x:v>14.36</x:v>
      </x:c>
      <x:c r="J132" s="13" t="n">
        <x:f>D132/F132</x:f>
        <x:v>0.8187134502923976</x:v>
      </x:c>
      <x:c r="K132" s="13" t="n">
        <x:v>0.4440702550008494</x:v>
      </x:c>
      <x:c r="L132" s="17" t="n">
        <x:v>-0.0369681657158758</x:v>
      </x:c>
      <x:c r="M132" s="17" t="n">
        <x:v>1.6366578596946253</x:v>
      </x:c>
      <x:c r="N132" s="11" t="n">
        <x:f>'Option source'!C636</x:f>
        <x:v>4646376.5</x:v>
      </x:c>
      <x:c r="O132" s="11" t="n">
        <x:f>'Option source'!G636</x:f>
        <x:v>11</x:v>
      </x:c>
      <x:c r="P132" s="11" t="n">
        <x:f>'Option source'!F636</x:f>
        <x:v>15</x:v>
      </x:c>
      <x:c r="Q132" s="1" t="str">
        <x:v>Screen passed; indicative</x:v>
      </x:c>
      <x:c r="R132" s="1" t="n">
        <x:v>631</x:v>
      </x:c>
    </x:row>
    <x:row r="133" ht="21" customHeight="1">
      <x:c r="A133" s="12" t="n">
        <x:v>46279</x:v>
      </x:c>
      <x:c r="B133" s="1" t="str">
        <x:v>GFGC5400OC</x:v>
      </x:c>
      <x:c r="C133" s="1" t="str">
        <x:v>call</x:v>
      </x:c>
      <x:c r="D133" s="11" t="n">
        <x:v>5400</x:v>
      </x:c>
      <x:c r="E133" s="11" t="n">
        <x:f>'Option source'!B133</x:f>
        <x:v>1616</x:v>
      </x:c>
      <x:c r="F133" s="11" t="n">
        <x:v>6840</x:v>
      </x:c>
      <x:c r="G133" s="18" t="n">
        <x:v>32</x:v>
      </x:c>
      <x:c r="H133" s="11" t="n">
        <x:f>MAX(IF(C133="call",F133-D133,D133-F133),0)</x:f>
        <x:v>1440</x:v>
      </x:c>
      <x:c r="I133" s="11" t="n">
        <x:f>E133-H133</x:f>
        <x:v>176</x:v>
      </x:c>
      <x:c r="J133" s="13" t="n">
        <x:f>D133/F133</x:f>
        <x:v>0.7894736842105263</x:v>
      </x:c>
      <x:c r="K133" s="13" t="n">
        <x:v>0.6129549630099955</x:v>
      </x:c>
      <x:c r="L133" s="17" t="n">
        <x:v>0.9379927538959445</x:v>
      </x:c>
      <x:c r="M133" s="17" t="n">
        <x:v>2.475436872814471</x:v>
      </x:c>
      <x:c r="N133" s="11" t="n">
        <x:f>'Option source'!C133</x:f>
        <x:v>3268665</x:v>
      </x:c>
      <x:c r="O133" s="11" t="n">
        <x:f>'Option source'!G133</x:f>
        <x:v>1600</x:v>
      </x:c>
      <x:c r="P133" s="11" t="n">
        <x:f>'Option source'!F133</x:f>
        <x:v>1647</x:v>
      </x:c>
      <x:c r="Q133" s="1" t="str">
        <x:v>Screen passed; indicative</x:v>
      </x:c>
      <x:c r="R133" s="1" t="n">
        <x:v>128</x:v>
      </x:c>
    </x:row>
    <x:row r="134" ht="21" customHeight="1">
      <x:c r="A134" s="12" t="n">
        <x:v>46279</x:v>
      </x:c>
      <x:c r="B134" s="1" t="str">
        <x:v>GFGV5400OC</x:v>
      </x:c>
      <x:c r="C134" s="1" t="str">
        <x:v>put</x:v>
      </x:c>
      <x:c r="D134" s="11" t="n">
        <x:v>5400</x:v>
      </x:c>
      <x:c r="E134" s="11" t="n">
        <x:f>'Option source'!B617</x:f>
        <x:v>7.66</x:v>
      </x:c>
      <x:c r="F134" s="11" t="n">
        <x:v>6840</x:v>
      </x:c>
      <x:c r="G134" s="18" t="n">
        <x:v>32</x:v>
      </x:c>
      <x:c r="H134" s="11" t="n">
        <x:f>MAX(IF(C134="call",F134-D134,D134-F134),0)</x:f>
        <x:v>0</x:v>
      </x:c>
      <x:c r="I134" s="11" t="n">
        <x:f>E134-H134</x:f>
        <x:v>7.66</x:v>
      </x:c>
      <x:c r="J134" s="13" t="n">
        <x:f>D134/F134</x:f>
        <x:v>0.7894736842105263</x:v>
      </x:c>
      <x:c r="K134" s="13" t="n">
        <x:v>0.45134045834302094</x:v>
      </x:c>
      <x:c r="L134" s="17" t="n">
        <x:v>-0.021051985116821825</x:v>
      </x:c>
      <x:c r="M134" s="17" t="n">
        <x:v>1.0241301909136142</x:v>
      </x:c>
      <x:c r="N134" s="11" t="n">
        <x:f>'Option source'!C617</x:f>
        <x:v>2942087.25</x:v>
      </x:c>
      <x:c r="O134" s="11" t="n">
        <x:f>'Option source'!G617</x:f>
        <x:v>5.1</x:v>
      </x:c>
      <x:c r="P134" s="11" t="n">
        <x:f>'Option source'!F617</x:f>
        <x:v>7.9</x:v>
      </x:c>
      <x:c r="Q134" s="1" t="str">
        <x:v>Screen passed; indicative</x:v>
      </x:c>
      <x:c r="R134" s="1" t="n">
        <x:v>612</x:v>
      </x:c>
    </x:row>
    <x:row r="135" ht="21" customHeight="1">
      <x:c r="A135" s="12" t="n">
        <x:v>46279</x:v>
      </x:c>
      <x:c r="B135" s="1" t="str">
        <x:v>GFGC8300OC</x:v>
      </x:c>
      <x:c r="C135" s="1" t="str">
        <x:v>call</x:v>
      </x:c>
      <x:c r="D135" s="11" t="n">
        <x:v>8300</x:v>
      </x:c>
      <x:c r="E135" s="11" t="n">
        <x:f>'Option source'!B389</x:f>
        <x:v>45.46</x:v>
      </x:c>
      <x:c r="F135" s="11" t="n">
        <x:v>6840</x:v>
      </x:c>
      <x:c r="G135" s="18" t="n">
        <x:v>32</x:v>
      </x:c>
      <x:c r="H135" s="11" t="n">
        <x:f>MAX(IF(C135="call",F135-D135,D135-F135),0)</x:f>
        <x:v>0</x:v>
      </x:c>
      <x:c r="I135" s="11" t="n">
        <x:f>E135-H135</x:f>
        <x:v>45.46</x:v>
      </x:c>
      <x:c r="J135" s="13" t="n">
        <x:f>D135/F135</x:f>
        <x:v>1.213450292397661</x:v>
      </x:c>
      <x:c r="K135" s="13" t="n">
        <x:v>0.43951161989637355</x:v>
      </x:c>
      <x:c r="L135" s="17" t="n">
        <x:v>0.11133120255556749</x:v>
      </x:c>
      <x:c r="M135" s="17" t="n">
        <x:v>3.8412158069437954</x:v>
      </x:c>
      <x:c r="N135" s="11" t="n">
        <x:f>'Option source'!C389</x:f>
        <x:v>33432668</x:v>
      </x:c>
      <x:c r="O135" s="11" t="n">
        <x:f>'Option source'!G389</x:f>
        <x:v>45</x:v>
      </x:c>
      <x:c r="P135" s="11" t="n">
        <x:f>'Option source'!F389</x:f>
        <x:v>62</x:v>
      </x:c>
      <x:c r="Q135" s="1" t="str">
        <x:v>Screen passed; indicative</x:v>
      </x:c>
      <x:c r="R135" s="1" t="n">
        <x:v>384</x:v>
      </x:c>
    </x:row>
    <x:row r="136" ht="21" customHeight="1">
      <x:c r="A136" s="12" t="n">
        <x:v>46279</x:v>
      </x:c>
      <x:c r="B136" s="1" t="str">
        <x:v>GFGV8300OC</x:v>
      </x:c>
      <x:c r="C136" s="1" t="str">
        <x:v>put</x:v>
      </x:c>
      <x:c r="D136" s="11" t="n">
        <x:v>8300</x:v>
      </x:c>
      <x:c r="E136" s="11" t="n">
        <x:f>'Option source'!B883</x:f>
        <x:v>1327.03</x:v>
      </x:c>
      <x:c r="F136" s="11" t="n">
        <x:v>6840</x:v>
      </x:c>
      <x:c r="G136" s="18" t="n">
        <x:v>32</x:v>
      </x:c>
      <x:c r="H136" s="11" t="n">
        <x:f>MAX(IF(C136="call",F136-D136,D136-F136),0)</x:f>
        <x:v>1460</x:v>
      </x:c>
      <x:c r="I136" s="11" t="n">
        <x:f>E136-H136</x:f>
        <x:v>-132.97000000000003</x:v>
      </x:c>
      <x:c r="J136" s="13" t="n">
        <x:f>D136/F136</x:f>
        <x:v>1.213450292397661</x:v>
      </x:c>
      <x:c r="K136" s="13"/>
      <x:c r="L136" s="17"/>
      <x:c r="M136" s="17"/>
      <x:c r="N136" s="11" t="n">
        <x:f>'Option source'!C883</x:f>
        <x:v>3026934</x:v>
      </x:c>
      <x:c r="O136" s="11" t="n">
        <x:f>'Option source'!G883</x:f>
        <x:v>1238.27</x:v>
      </x:c>
      <x:c r="P136" s="11" t="n">
        <x:f>'Option source'!F883</x:f>
        <x:v>1469.79</x:v>
      </x:c>
      <x:c r="Q136" s="1" t="str">
        <x:v>Below intrinsic value</x:v>
      </x:c>
      <x:c r="R136" s="1" t="n">
        <x:v>878</x:v>
      </x:c>
    </x:row>
    <x:row r="137" ht="21" customHeight="1">
      <x:c r="A137" s="12" t="n">
        <x:v>46279</x:v>
      </x:c>
      <x:c r="B137" s="1" t="str">
        <x:v>GFGC5200OC</x:v>
      </x:c>
      <x:c r="C137" s="1" t="str">
        <x:v>call</x:v>
      </x:c>
      <x:c r="D137" s="11" t="n">
        <x:v>5200</x:v>
      </x:c>
      <x:c r="E137" s="11" t="n">
        <x:f>'Option source'!B114</x:f>
        <x:v>1998.09</x:v>
      </x:c>
      <x:c r="F137" s="11" t="n">
        <x:v>6840</x:v>
      </x:c>
      <x:c r="G137" s="18" t="n">
        <x:v>32</x:v>
      </x:c>
      <x:c r="H137" s="11" t="n">
        <x:f>MAX(IF(C137="call",F137-D137,D137-F137),0)</x:f>
        <x:v>1640</x:v>
      </x:c>
      <x:c r="I137" s="11" t="n">
        <x:f>E137-H137</x:f>
        <x:v>358.0899999999999</x:v>
      </x:c>
      <x:c r="J137" s="13" t="n">
        <x:f>D137/F137</x:f>
        <x:v>0.7602339181286549</x:v>
      </x:c>
      <x:c r="K137" s="13"/>
      <x:c r="L137" s="17"/>
      <x:c r="M137" s="17"/>
      <x:c r="N137" s="11" t="n">
        <x:f>'Option source'!C114</x:f>
        <x:v>0</x:v>
      </x:c>
      <x:c r="O137" s="11" t="n">
        <x:f>'Option source'!G114</x:f>
        <x:v>1998.09</x:v>
      </x:c>
      <x:c r="P137" s="11" t="n">
        <x:f>'Option source'!F114</x:f>
        <x:v>1998.09</x:v>
      </x:c>
      <x:c r="Q137" s="1" t="str">
        <x:v>Zero reported volume</x:v>
      </x:c>
      <x:c r="R137" s="1" t="n">
        <x:v>109</x:v>
      </x:c>
    </x:row>
    <x:row r="138" ht="21" customHeight="1">
      <x:c r="A138" s="12" t="n">
        <x:v>46279</x:v>
      </x:c>
      <x:c r="B138" s="1" t="str">
        <x:v>GFGV5200OC</x:v>
      </x:c>
      <x:c r="C138" s="1" t="str">
        <x:v>put</x:v>
      </x:c>
      <x:c r="D138" s="11" t="n">
        <x:v>5200</x:v>
      </x:c>
      <x:c r="E138" s="11" t="n">
        <x:f>'Option source'!B598</x:f>
        <x:v>4.05</x:v>
      </x:c>
      <x:c r="F138" s="11" t="n">
        <x:v>6840</x:v>
      </x:c>
      <x:c r="G138" s="18" t="n">
        <x:v>32</x:v>
      </x:c>
      <x:c r="H138" s="11" t="n">
        <x:f>MAX(IF(C138="call",F138-D138,D138-F138),0)</x:f>
        <x:v>0</x:v>
      </x:c>
      <x:c r="I138" s="11" t="n">
        <x:f>E138-H138</x:f>
        <x:v>4.05</x:v>
      </x:c>
      <x:c r="J138" s="13" t="n">
        <x:f>D138/F138</x:f>
        <x:v>0.7602339181286549</x:v>
      </x:c>
      <x:c r="K138" s="13" t="n">
        <x:v>0.4623684828892899</x:v>
      </x:c>
      <x:c r="L138" s="17" t="n">
        <x:v>-0.011820626290888758</x:v>
      </x:c>
      <x:c r="M138" s="17" t="n">
        <x:v>0.6243608911051165</x:v>
      </x:c>
      <x:c r="N138" s="11" t="n">
        <x:f>'Option source'!C598</x:f>
        <x:v>1428637.25</x:v>
      </x:c>
      <x:c r="O138" s="11" t="n">
        <x:f>'Option source'!G598</x:f>
        <x:v>3</x:v>
      </x:c>
      <x:c r="P138" s="11" t="n">
        <x:f>'Option source'!F598</x:f>
        <x:v>4.2</x:v>
      </x:c>
      <x:c r="Q138" s="1" t="str">
        <x:v>Screen passed; indicative</x:v>
      </x:c>
      <x:c r="R138" s="1" t="n">
        <x:v>593</x:v>
      </x:c>
    </x:row>
    <x:row r="139" ht="21" customHeight="1">
      <x:c r="A139" s="12" t="n">
        <x:v>46279</x:v>
      </x:c>
      <x:c r="B139" s="1" t="str">
        <x:v>GFGC8600OC</x:v>
      </x:c>
      <x:c r="C139" s="1" t="str">
        <x:v>call</x:v>
      </x:c>
      <x:c r="D139" s="11" t="n">
        <x:v>8600</x:v>
      </x:c>
      <x:c r="E139" s="11" t="n">
        <x:f>'Option source'!B408</x:f>
        <x:v>27.59</x:v>
      </x:c>
      <x:c r="F139" s="11" t="n">
        <x:v>6840</x:v>
      </x:c>
      <x:c r="G139" s="18" t="n">
        <x:v>32</x:v>
      </x:c>
      <x:c r="H139" s="11" t="n">
        <x:f>MAX(IF(C139="call",F139-D139,D139-F139),0)</x:f>
        <x:v>0</x:v>
      </x:c>
      <x:c r="I139" s="11" t="n">
        <x:f>E139-H139</x:f>
        <x:v>27.59</x:v>
      </x:c>
      <x:c r="J139" s="13" t="n">
        <x:f>D139/F139</x:f>
        <x:v>1.2573099415204678</x:v>
      </x:c>
      <x:c r="K139" s="13" t="n">
        <x:v>0.44810042455273813</x:v>
      </x:c>
      <x:c r="L139" s="17" t="n">
        <x:v>0.07198043704599755</x:v>
      </x:c>
      <x:c r="M139" s="17" t="n">
        <x:v>2.7781979626038464</x:v>
      </x:c>
      <x:c r="N139" s="11" t="n">
        <x:f>'Option source'!C408</x:f>
        <x:v>41967176</x:v>
      </x:c>
      <x:c r="O139" s="11" t="n">
        <x:f>'Option source'!G408</x:f>
        <x:v>26.6</x:v>
      </x:c>
      <x:c r="P139" s="11" t="n">
        <x:f>'Option source'!F408</x:f>
        <x:v>35.5</x:v>
      </x:c>
      <x:c r="Q139" s="1" t="str">
        <x:v>Screen passed; indicative</x:v>
      </x:c>
      <x:c r="R139" s="1" t="n">
        <x:v>403</x:v>
      </x:c>
    </x:row>
    <x:row r="140" ht="21" customHeight="1">
      <x:c r="A140" s="12" t="n">
        <x:v>46279</x:v>
      </x:c>
      <x:c r="B140" s="1" t="str">
        <x:v>GFGV8600OC</x:v>
      </x:c>
      <x:c r="C140" s="1" t="str">
        <x:v>put</x:v>
      </x:c>
      <x:c r="D140" s="11" t="n">
        <x:v>8600</x:v>
      </x:c>
      <x:c r="E140" s="11" t="n">
        <x:f>'Option source'!B902</x:f>
        <x:v>1789.44</x:v>
      </x:c>
      <x:c r="F140" s="11" t="n">
        <x:v>6840</x:v>
      </x:c>
      <x:c r="G140" s="18" t="n">
        <x:v>32</x:v>
      </x:c>
      <x:c r="H140" s="11" t="n">
        <x:f>MAX(IF(C140="call",F140-D140,D140-F140),0)</x:f>
        <x:v>1760</x:v>
      </x:c>
      <x:c r="I140" s="11" t="n">
        <x:f>E140-H140</x:f>
        <x:v>29.440000000000055</x:v>
      </x:c>
      <x:c r="J140" s="13" t="n">
        <x:f>D140/F140</x:f>
        <x:v>1.2573099415204678</x:v>
      </x:c>
      <x:c r="K140" s="13"/>
      <x:c r="L140" s="17"/>
      <x:c r="M140" s="17"/>
      <x:c r="N140" s="11" t="n">
        <x:f>'Option source'!C902</x:f>
        <x:v>178944.09</x:v>
      </x:c>
      <x:c r="O140" s="11" t="n">
        <x:f>'Option source'!G902</x:f>
        <x:v>0</x:v>
      </x:c>
      <x:c r="P140" s="11" t="n">
        <x:f>'Option source'!F902</x:f>
        <x:v>0</x:v>
      </x:c>
      <x:c r="Q140" s="1" t="str">
        <x:v>Price outside daily range</x:v>
      </x:c>
      <x:c r="R140" s="1" t="n">
        <x:v>897</x:v>
      </x:c>
    </x:row>
    <x:row r="141" ht="21" customHeight="1">
      <x:c r="A141" s="12" t="n">
        <x:v>46279</x:v>
      </x:c>
      <x:c r="B141" s="1" t="str">
        <x:v>GFGC5000OC</x:v>
      </x:c>
      <x:c r="C141" s="1" t="str">
        <x:v>call</x:v>
      </x:c>
      <x:c r="D141" s="11" t="n">
        <x:v>5000</x:v>
      </x:c>
      <x:c r="E141" s="11" t="n">
        <x:f>'Option source'!B95</x:f>
        <x:v>2248.2</x:v>
      </x:c>
      <x:c r="F141" s="11" t="n">
        <x:v>6840</x:v>
      </x:c>
      <x:c r="G141" s="18" t="n">
        <x:v>32</x:v>
      </x:c>
      <x:c r="H141" s="11" t="n">
        <x:f>MAX(IF(C141="call",F141-D141,D141-F141),0)</x:f>
        <x:v>1840</x:v>
      </x:c>
      <x:c r="I141" s="11" t="n">
        <x:f>E141-H141</x:f>
        <x:v>408.1999999999998</x:v>
      </x:c>
      <x:c r="J141" s="13" t="n">
        <x:f>D141/F141</x:f>
        <x:v>0.7309941520467836</x:v>
      </x:c>
      <x:c r="K141" s="13"/>
      <x:c r="L141" s="17"/>
      <x:c r="M141" s="17"/>
      <x:c r="N141" s="11" t="n">
        <x:f>'Option source'!C95</x:f>
        <x:v>0</x:v>
      </x:c>
      <x:c r="O141" s="11" t="n">
        <x:f>'Option source'!G95</x:f>
        <x:v>2154.75</x:v>
      </x:c>
      <x:c r="P141" s="11" t="n">
        <x:f>'Option source'!F95</x:f>
        <x:v>2225.61</x:v>
      </x:c>
      <x:c r="Q141" s="1" t="str">
        <x:v>Zero reported volume; Price outside daily range</x:v>
      </x:c>
      <x:c r="R141" s="1" t="n">
        <x:v>90</x:v>
      </x:c>
    </x:row>
    <x:row r="142" ht="21" customHeight="1">
      <x:c r="A142" s="12" t="n">
        <x:v>46279</x:v>
      </x:c>
      <x:c r="B142" s="1" t="str">
        <x:v>GFGV5000OC</x:v>
      </x:c>
      <x:c r="C142" s="1" t="str">
        <x:v>put</x:v>
      </x:c>
      <x:c r="D142" s="11" t="n">
        <x:v>5000</x:v>
      </x:c>
      <x:c r="E142" s="11" t="n">
        <x:f>'Option source'!B579</x:f>
        <x:v>2.5</x:v>
      </x:c>
      <x:c r="F142" s="11" t="n">
        <x:v>6840</x:v>
      </x:c>
      <x:c r="G142" s="18" t="n">
        <x:v>32</x:v>
      </x:c>
      <x:c r="H142" s="11" t="n">
        <x:f>MAX(IF(C142="call",F142-D142,D142-F142),0)</x:f>
        <x:v>0</x:v>
      </x:c>
      <x:c r="I142" s="11" t="n">
        <x:f>E142-H142</x:f>
        <x:v>2.5</x:v>
      </x:c>
      <x:c r="J142" s="13" t="n">
        <x:f>D142/F142</x:f>
        <x:v>0.7309941520467836</x:v>
      </x:c>
      <x:c r="K142" s="13" t="n">
        <x:v>0.4840116563513035</x:v>
      </x:c>
      <x:c r="L142" s="17" t="n">
        <x:v>-0.007309983134076492</x:v>
      </x:c>
      <x:c r="M142" s="17" t="n">
        <x:v>0.4100423974702912</x:v>
      </x:c>
      <x:c r="N142" s="11" t="n">
        <x:f>'Option source'!C579</x:f>
        <x:v>627987.81</x:v>
      </x:c>
      <x:c r="O142" s="11" t="n">
        <x:f>'Option source'!G579</x:f>
        <x:v>2</x:v>
      </x:c>
      <x:c r="P142" s="11" t="n">
        <x:f>'Option source'!F579</x:f>
        <x:v>3.75</x:v>
      </x:c>
      <x:c r="Q142" s="1" t="str">
        <x:v>Screen passed; indicative</x:v>
      </x:c>
      <x:c r="R142" s="1" t="n">
        <x:v>574</x:v>
      </x:c>
    </x:row>
    <x:row r="143" ht="21" customHeight="1">
      <x:c r="A143" s="12" t="n">
        <x:v>46279</x:v>
      </x:c>
      <x:c r="B143" s="1" t="str">
        <x:v>GFGC4800OC</x:v>
      </x:c>
      <x:c r="C143" s="1" t="str">
        <x:v>call</x:v>
      </x:c>
      <x:c r="D143" s="11" t="n">
        <x:v>4800</x:v>
      </x:c>
      <x:c r="E143" s="11" t="n">
        <x:f>'Option source'!B78</x:f>
        <x:v>2235.08</x:v>
      </x:c>
      <x:c r="F143" s="11" t="n">
        <x:v>6840</x:v>
      </x:c>
      <x:c r="G143" s="18" t="n">
        <x:v>32</x:v>
      </x:c>
      <x:c r="H143" s="11" t="n">
        <x:f>MAX(IF(C143="call",F143-D143,D143-F143),0)</x:f>
        <x:v>2040</x:v>
      </x:c>
      <x:c r="I143" s="11" t="n">
        <x:f>E143-H143</x:f>
        <x:v>195.07999999999993</x:v>
      </x:c>
      <x:c r="J143" s="13" t="n">
        <x:f>D143/F143</x:f>
        <x:v>0.7017543859649122</x:v>
      </x:c>
      <x:c r="K143" s="13"/>
      <x:c r="L143" s="17"/>
      <x:c r="M143" s="17"/>
      <x:c r="N143" s="11" t="n">
        <x:f>'Option source'!C78</x:f>
        <x:v>1341046</x:v>
      </x:c>
      <x:c r="O143" s="11" t="n">
        <x:f>'Option source'!G78</x:f>
        <x:v>2233.42</x:v>
      </x:c>
      <x:c r="P143" s="11" t="n">
        <x:f>'Option source'!F78</x:f>
        <x:v>2233.42</x:v>
      </x:c>
      <x:c r="Q143" s="1" t="str">
        <x:v>Price outside daily range</x:v>
      </x:c>
      <x:c r="R143" s="1" t="n">
        <x:v>73</x:v>
      </x:c>
    </x:row>
    <x:row r="144" ht="21" customHeight="1">
      <x:c r="A144" s="12" t="n">
        <x:v>46279</x:v>
      </x:c>
      <x:c r="B144" s="1" t="str">
        <x:v>GFGV4800OC</x:v>
      </x:c>
      <x:c r="C144" s="1" t="str">
        <x:v>put</x:v>
      </x:c>
      <x:c r="D144" s="11" t="n">
        <x:v>4800</x:v>
      </x:c>
      <x:c r="E144" s="11" t="n">
        <x:f>'Option source'!B560</x:f>
        <x:v>1.61</x:v>
      </x:c>
      <x:c r="F144" s="11" t="n">
        <x:v>6840</x:v>
      </x:c>
      <x:c r="G144" s="18" t="n">
        <x:v>32</x:v>
      </x:c>
      <x:c r="H144" s="11" t="n">
        <x:f>MAX(IF(C144="call",F144-D144,D144-F144),0)</x:f>
        <x:v>0</x:v>
      </x:c>
      <x:c r="I144" s="11" t="n">
        <x:f>E144-H144</x:f>
        <x:v>1.61</x:v>
      </x:c>
      <x:c r="J144" s="13" t="n">
        <x:f>D144/F144</x:f>
        <x:v>0.7017543859649122</x:v>
      </x:c>
      <x:c r="K144" s="13" t="n">
        <x:v>0.509410753508434</x:v>
      </x:c>
      <x:c r="L144" s="17" t="n">
        <x:v>-0.004689864689470968</x:v>
      </x:c>
      <x:c r="M144" s="17" t="n">
        <x:v>0.27660231801971125</x:v>
      </x:c>
      <x:c r="N144" s="11" t="n">
        <x:f>'Option source'!C560</x:f>
        <x:v>97580.9</x:v>
      </x:c>
      <x:c r="O144" s="11" t="n">
        <x:f>'Option source'!G560</x:f>
        <x:v>1.03</x:v>
      </x:c>
      <x:c r="P144" s="11" t="n">
        <x:f>'Option source'!F560</x:f>
        <x:v>1.8</x:v>
      </x:c>
      <x:c r="Q144" s="1" t="str">
        <x:v>Screen passed; indicative</x:v>
      </x:c>
      <x:c r="R144" s="1" t="n">
        <x:v>555</x:v>
      </x:c>
    </x:row>
    <x:row r="145" ht="21" customHeight="1">
      <x:c r="A145" s="12" t="n">
        <x:v>46279</x:v>
      </x:c>
      <x:c r="B145" s="1" t="str">
        <x:v>GFGC8900OC</x:v>
      </x:c>
      <x:c r="C145" s="1" t="str">
        <x:v>call</x:v>
      </x:c>
      <x:c r="D145" s="11" t="n">
        <x:v>8900</x:v>
      </x:c>
      <x:c r="E145" s="11" t="n">
        <x:f>'Option source'!B427</x:f>
        <x:v>14.97</x:v>
      </x:c>
      <x:c r="F145" s="11" t="n">
        <x:v>6840</x:v>
      </x:c>
      <x:c r="G145" s="18" t="n">
        <x:v>32</x:v>
      </x:c>
      <x:c r="H145" s="11" t="n">
        <x:f>MAX(IF(C145="call",F145-D145,D145-F145),0)</x:f>
        <x:v>0</x:v>
      </x:c>
      <x:c r="I145" s="11" t="n">
        <x:f>E145-H145</x:f>
        <x:v>14.97</x:v>
      </x:c>
      <x:c r="J145" s="13" t="n">
        <x:f>D145/F145</x:f>
        <x:v>1.3011695906432748</x:v>
      </x:c>
      <x:c r="K145" s="13" t="n">
        <x:v>0.4474872501065944</x:v>
      </x:c>
      <x:c r="L145" s="17" t="n">
        <x:v>0.04251916479670034</x:v>
      </x:c>
      <x:c r="M145" s="17" t="n">
        <x:v>1.8338453136360438</x:v>
      </x:c>
      <x:c r="N145" s="11" t="n">
        <x:f>'Option source'!C427</x:f>
        <x:v>6218210</x:v>
      </x:c>
      <x:c r="O145" s="11" t="n">
        <x:f>'Option source'!G427</x:f>
        <x:v>14.2</x:v>
      </x:c>
      <x:c r="P145" s="11" t="n">
        <x:f>'Option source'!F427</x:f>
        <x:v>21.9</x:v>
      </x:c>
      <x:c r="Q145" s="1" t="str">
        <x:v>Screen passed; indicative</x:v>
      </x:c>
      <x:c r="R145" s="1" t="n">
        <x:v>422</x:v>
      </x:c>
    </x:row>
    <x:row r="146" ht="21" customHeight="1">
      <x:c r="A146" s="12" t="n">
        <x:v>46279</x:v>
      </x:c>
      <x:c r="B146" s="1" t="str">
        <x:v>GFGV8900OC</x:v>
      </x:c>
      <x:c r="C146" s="1" t="str">
        <x:v>put</x:v>
      </x:c>
      <x:c r="D146" s="11" t="n">
        <x:v>8900</x:v>
      </x:c>
      <x:c r="E146" s="11" t="n">
        <x:f>'Option source'!B917</x:f>
        <x:v>2022.5</x:v>
      </x:c>
      <x:c r="F146" s="11" t="n">
        <x:v>6840</x:v>
      </x:c>
      <x:c r="G146" s="18" t="n">
        <x:v>32</x:v>
      </x:c>
      <x:c r="H146" s="11" t="n">
        <x:f>MAX(IF(C146="call",F146-D146,D146-F146),0)</x:f>
        <x:v>2060</x:v>
      </x:c>
      <x:c r="I146" s="11" t="n">
        <x:f>E146-H146</x:f>
        <x:v>-37.5</x:v>
      </x:c>
      <x:c r="J146" s="13" t="n">
        <x:f>D146/F146</x:f>
        <x:v>1.3011695906432748</x:v>
      </x:c>
      <x:c r="K146" s="13"/>
      <x:c r="L146" s="17"/>
      <x:c r="M146" s="17"/>
      <x:c r="N146" s="11" t="n">
        <x:f>'Option source'!C917</x:f>
        <x:v>0</x:v>
      </x:c>
      <x:c r="O146" s="11" t="n">
        <x:f>'Option source'!G917</x:f>
        <x:v>2022.5</x:v>
      </x:c>
      <x:c r="P146" s="11" t="n">
        <x:f>'Option source'!F917</x:f>
        <x:v>2037.67</x:v>
      </x:c>
      <x:c r="Q146" s="1" t="str">
        <x:v>Zero reported volume; Below intrinsic value</x:v>
      </x:c>
      <x:c r="R146" s="1" t="n">
        <x:v>912</x:v>
      </x:c>
    </x:row>
    <x:row r="147" ht="21" customHeight="1">
      <x:c r="A147" s="12" t="n">
        <x:v>46279</x:v>
      </x:c>
      <x:c r="B147" s="1" t="str">
        <x:v>GFGC4600OC</x:v>
      </x:c>
      <x:c r="C147" s="1" t="str">
        <x:v>call</x:v>
      </x:c>
      <x:c r="D147" s="11" t="n">
        <x:v>4600</x:v>
      </x:c>
      <x:c r="E147" s="11" t="n">
        <x:f>'Option source'!B61</x:f>
        <x:v>2400</x:v>
      </x:c>
      <x:c r="F147" s="11" t="n">
        <x:v>6840</x:v>
      </x:c>
      <x:c r="G147" s="18" t="n">
        <x:v>32</x:v>
      </x:c>
      <x:c r="H147" s="11" t="n">
        <x:f>MAX(IF(C147="call",F147-D147,D147-F147),0)</x:f>
        <x:v>2240</x:v>
      </x:c>
      <x:c r="I147" s="11" t="n">
        <x:f>E147-H147</x:f>
        <x:v>160</x:v>
      </x:c>
      <x:c r="J147" s="13" t="n">
        <x:f>D147/F147</x:f>
        <x:v>0.672514619883041</x:v>
      </x:c>
      <x:c r="K147" s="13"/>
      <x:c r="L147" s="17"/>
      <x:c r="M147" s="17"/>
      <x:c r="N147" s="11" t="n">
        <x:f>'Option source'!C61</x:f>
        <x:v>480000</x:v>
      </x:c>
      <x:c r="O147" s="11" t="n">
        <x:f>'Option source'!G61</x:f>
        <x:v>0</x:v>
      </x:c>
      <x:c r="P147" s="11" t="n">
        <x:f>'Option source'!F61</x:f>
        <x:v>0</x:v>
      </x:c>
      <x:c r="Q147" s="1" t="str">
        <x:v>Price outside daily range</x:v>
      </x:c>
      <x:c r="R147" s="1" t="n">
        <x:v>56</x:v>
      </x:c>
    </x:row>
    <x:row r="148" ht="21" customHeight="1">
      <x:c r="A148" s="12" t="n">
        <x:v>46279</x:v>
      </x:c>
      <x:c r="B148" s="1" t="str">
        <x:v>GFGV4600OC</x:v>
      </x:c>
      <x:c r="C148" s="1" t="str">
        <x:v>put</x:v>
      </x:c>
      <x:c r="D148" s="11" t="n">
        <x:v>4600</x:v>
      </x:c>
      <x:c r="E148" s="11" t="n">
        <x:f>'Option source'!B541</x:f>
        <x:v>1.3</x:v>
      </x:c>
      <x:c r="F148" s="11" t="n">
        <x:v>6840</x:v>
      </x:c>
      <x:c r="G148" s="18" t="n">
        <x:v>32</x:v>
      </x:c>
      <x:c r="H148" s="11" t="n">
        <x:f>MAX(IF(C148="call",F148-D148,D148-F148),0)</x:f>
        <x:v>0</x:v>
      </x:c>
      <x:c r="I148" s="11" t="n">
        <x:f>E148-H148</x:f>
        <x:v>1.3</x:v>
      </x:c>
      <x:c r="J148" s="13" t="n">
        <x:f>D148/F148</x:f>
        <x:v>0.672514619883041</x:v>
      </x:c>
      <x:c r="K148" s="13" t="n">
        <x:v>0.5487345807963335</x:v>
      </x:c>
      <x:c r="L148" s="17" t="n">
        <x:v>-0.0036276665732779545</x:v>
      </x:c>
      <x:c r="M148" s="17" t="n">
        <x:v>0.21981523879480971</x:v>
      </x:c>
      <x:c r="N148" s="11" t="n">
        <x:f>'Option source'!C541</x:f>
        <x:v>74022.3</x:v>
      </x:c>
      <x:c r="O148" s="11" t="n">
        <x:f>'Option source'!G541</x:f>
        <x:v>0.69</x:v>
      </x:c>
      <x:c r="P148" s="11" t="n">
        <x:f>'Option source'!F541</x:f>
        <x:v>1.58</x:v>
      </x:c>
      <x:c r="Q148" s="1" t="str">
        <x:v>Screen passed; indicative</x:v>
      </x:c>
      <x:c r="R148" s="1" t="n">
        <x:v>536</x:v>
      </x:c>
    </x:row>
    <x:row r="149" ht="21" customHeight="1">
      <x:c r="A149" s="12" t="n">
        <x:v>46279</x:v>
      </x:c>
      <x:c r="B149" s="1" t="str">
        <x:v>GFGC9200OC</x:v>
      </x:c>
      <x:c r="C149" s="1" t="str">
        <x:v>call</x:v>
      </x:c>
      <x:c r="D149" s="11" t="n">
        <x:v>9200</x:v>
      </x:c>
      <x:c r="E149" s="11" t="n">
        <x:f>'Option source'!B446</x:f>
        <x:v>9.07</x:v>
      </x:c>
      <x:c r="F149" s="11" t="n">
        <x:v>6840</x:v>
      </x:c>
      <x:c r="G149" s="18" t="n">
        <x:v>32</x:v>
      </x:c>
      <x:c r="H149" s="11" t="n">
        <x:f>MAX(IF(C149="call",F149-D149,D149-F149),0)</x:f>
        <x:v>0</x:v>
      </x:c>
      <x:c r="I149" s="11" t="n">
        <x:f>E149-H149</x:f>
        <x:v>9.07</x:v>
      </x:c>
      <x:c r="J149" s="13" t="n">
        <x:f>D149/F149</x:f>
        <x:v>1.345029239766082</x:v>
      </x:c>
      <x:c r="K149" s="13" t="n">
        <x:v>0.45699404914439845</x:v>
      </x:c>
      <x:c r="L149" s="17" t="n">
        <x:v>0.02689247434048702</x:v>
      </x:c>
      <x:c r="M149" s="17" t="n">
        <x:v>1.2581885584894132</x:v>
      </x:c>
      <x:c r="N149" s="11" t="n">
        <x:f>'Option source'!C446</x:f>
        <x:v>1123139</x:v>
      </x:c>
      <x:c r="O149" s="11" t="n">
        <x:f>'Option source'!G446</x:f>
        <x:v>8.9</x:v>
      </x:c>
      <x:c r="P149" s="11" t="n">
        <x:f>'Option source'!F446</x:f>
        <x:v>13.8</x:v>
      </x:c>
      <x:c r="Q149" s="1" t="str">
        <x:v>Screen passed; indicative</x:v>
      </x:c>
      <x:c r="R149" s="1" t="n">
        <x:v>441</x:v>
      </x:c>
    </x:row>
    <x:row r="150" ht="21" customHeight="1">
      <x:c r="A150" s="12" t="n">
        <x:v>46279</x:v>
      </x:c>
      <x:c r="B150" s="1" t="str">
        <x:v>GFGV9200OC</x:v>
      </x:c>
      <x:c r="C150" s="1" t="str">
        <x:v>put</x:v>
      </x:c>
      <x:c r="D150" s="11" t="n">
        <x:v>9200</x:v>
      </x:c>
      <x:c r="E150" s="11" t="n">
        <x:f>'Option source'!B924</x:f>
        <x:v>2041.57</x:v>
      </x:c>
      <x:c r="F150" s="11" t="n">
        <x:v>6840</x:v>
      </x:c>
      <x:c r="G150" s="18" t="n">
        <x:v>32</x:v>
      </x:c>
      <x:c r="H150" s="11" t="n">
        <x:f>MAX(IF(C150="call",F150-D150,D150-F150),0)</x:f>
        <x:v>2360</x:v>
      </x:c>
      <x:c r="I150" s="11" t="n">
        <x:f>E150-H150</x:f>
        <x:v>-318.43000000000006</x:v>
      </x:c>
      <x:c r="J150" s="13" t="n">
        <x:f>D150/F150</x:f>
        <x:v>1.345029239766082</x:v>
      </x:c>
      <x:c r="K150" s="13"/>
      <x:c r="L150" s="17"/>
      <x:c r="M150" s="17"/>
      <x:c r="N150" s="11" t="n">
        <x:f>'Option source'!C924</x:f>
        <x:v>408314</x:v>
      </x:c>
      <x:c r="O150" s="11" t="n">
        <x:f>'Option source'!G924</x:f>
        <x:v>0</x:v>
      </x:c>
      <x:c r="P150" s="11" t="n">
        <x:f>'Option source'!F924</x:f>
        <x:v>0</x:v>
      </x:c>
      <x:c r="Q150" s="1" t="str">
        <x:v>Price outside daily range; Below intrinsic value</x:v>
      </x:c>
      <x:c r="R150" s="1" t="n">
        <x:v>919</x:v>
      </x:c>
    </x:row>
    <x:row r="151" ht="21" customHeight="1">
      <x:c r="A151" s="12" t="n">
        <x:v>46279</x:v>
      </x:c>
      <x:c r="B151" s="1" t="str">
        <x:v>GFGC4400OC</x:v>
      </x:c>
      <x:c r="C151" s="1" t="str">
        <x:v>call</x:v>
      </x:c>
      <x:c r="D151" s="11" t="n">
        <x:v>4400</x:v>
      </x:c>
      <x:c r="E151" s="11" t="n">
        <x:f>'Option source'!B42</x:f>
        <x:v>2624.82</x:v>
      </x:c>
      <x:c r="F151" s="11" t="n">
        <x:v>6840</x:v>
      </x:c>
      <x:c r="G151" s="18" t="n">
        <x:v>32</x:v>
      </x:c>
      <x:c r="H151" s="11" t="n">
        <x:f>MAX(IF(C151="call",F151-D151,D151-F151),0)</x:f>
        <x:v>2440</x:v>
      </x:c>
      <x:c r="I151" s="11" t="n">
        <x:f>E151-H151</x:f>
        <x:v>184.82000000000016</x:v>
      </x:c>
      <x:c r="J151" s="13" t="n">
        <x:f>D151/F151</x:f>
        <x:v>0.6432748538011696</x:v>
      </x:c>
      <x:c r="K151" s="13"/>
      <x:c r="L151" s="17"/>
      <x:c r="M151" s="17"/>
      <x:c r="N151" s="11" t="n">
        <x:f>'Option source'!C42</x:f>
        <x:v>524963.19</x:v>
      </x:c>
      <x:c r="O151" s="11" t="n">
        <x:f>'Option source'!G42</x:f>
        <x:v>0</x:v>
      </x:c>
      <x:c r="P151" s="11" t="n">
        <x:f>'Option source'!F42</x:f>
        <x:v>0</x:v>
      </x:c>
      <x:c r="Q151" s="1" t="str">
        <x:v>Price outside daily range</x:v>
      </x:c>
      <x:c r="R151" s="1" t="n">
        <x:v>37</x:v>
      </x:c>
    </x:row>
    <x:row r="152" ht="21" customHeight="1">
      <x:c r="A152" s="12" t="n">
        <x:v>46279</x:v>
      </x:c>
      <x:c r="B152" s="1" t="str">
        <x:v>GFGV4400OC</x:v>
      </x:c>
      <x:c r="C152" s="1" t="str">
        <x:v>put</x:v>
      </x:c>
      <x:c r="D152" s="11" t="n">
        <x:v>4400</x:v>
      </x:c>
      <x:c r="E152" s="11" t="n">
        <x:f>'Option source'!B522</x:f>
        <x:v>1.17</x:v>
      </x:c>
      <x:c r="F152" s="11" t="n">
        <x:v>6840</x:v>
      </x:c>
      <x:c r="G152" s="18" t="n">
        <x:v>32</x:v>
      </x:c>
      <x:c r="H152" s="11" t="n">
        <x:f>MAX(IF(C152="call",F152-D152,D152-F152),0)</x:f>
        <x:v>0</x:v>
      </x:c>
      <x:c r="I152" s="11" t="n">
        <x:f>E152-H152</x:f>
        <x:v>1.17</x:v>
      </x:c>
      <x:c r="J152" s="13" t="n">
        <x:f>D152/F152</x:f>
        <x:v>0.6432748538011696</x:v>
      </x:c>
      <x:c r="K152" s="13" t="n">
        <x:v>0.5947615538896989</x:v>
      </x:c>
      <x:c r="L152" s="17" t="n">
        <x:v>-0.0030474426484016215</x:v>
      </x:c>
      <x:c r="M152" s="17" t="n">
        <x:v>0.18793427503383847</x:v>
      </x:c>
      <x:c r="N152" s="11" t="n">
        <x:f>'Option source'!C522</x:f>
        <x:v>47118.7</x:v>
      </x:c>
      <x:c r="O152" s="11" t="n">
        <x:f>'Option source'!G522</x:f>
        <x:v>0.7</x:v>
      </x:c>
      <x:c r="P152" s="11" t="n">
        <x:f>'Option source'!F522</x:f>
        <x:v>1.3</x:v>
      </x:c>
      <x:c r="Q152" s="1" t="str">
        <x:v>Screen passed; indicative</x:v>
      </x:c>
      <x:c r="R152" s="1" t="n">
        <x:v>517</x:v>
      </x:c>
    </x:row>
    <x:row r="153" ht="21" customHeight="1">
      <x:c r="A153" s="12" t="n">
        <x:v>46279</x:v>
      </x:c>
      <x:c r="B153" s="1" t="str">
        <x:v>GFGC4200OC</x:v>
      </x:c>
      <x:c r="C153" s="1" t="str">
        <x:v>call</x:v>
      </x:c>
      <x:c r="D153" s="11" t="n">
        <x:v>4200</x:v>
      </x:c>
      <x:c r="E153" s="11" t="n">
        <x:f>'Option source'!B23</x:f>
        <x:v>2956.52</x:v>
      </x:c>
      <x:c r="F153" s="11" t="n">
        <x:v>6840</x:v>
      </x:c>
      <x:c r="G153" s="18" t="n">
        <x:v>32</x:v>
      </x:c>
      <x:c r="H153" s="11" t="n">
        <x:f>MAX(IF(C153="call",F153-D153,D153-F153),0)</x:f>
        <x:v>2640</x:v>
      </x:c>
      <x:c r="I153" s="11" t="n">
        <x:f>E153-H153</x:f>
        <x:v>316.52</x:v>
      </x:c>
      <x:c r="J153" s="13" t="n">
        <x:f>D153/F153</x:f>
        <x:v>0.6140350877192983</x:v>
      </x:c>
      <x:c r="K153" s="13"/>
      <x:c r="L153" s="17"/>
      <x:c r="M153" s="17"/>
      <x:c r="N153" s="11" t="n">
        <x:f>'Option source'!C23</x:f>
        <x:v>0</x:v>
      </x:c>
      <x:c r="O153" s="11" t="n">
        <x:f>'Option source'!G23</x:f>
        <x:v>2950</x:v>
      </x:c>
      <x:c r="P153" s="11" t="n">
        <x:f>'Option source'!F23</x:f>
        <x:v>2956.52</x:v>
      </x:c>
      <x:c r="Q153" s="1" t="str">
        <x:v>Zero reported volume</x:v>
      </x:c>
      <x:c r="R153" s="1" t="n">
        <x:v>18</x:v>
      </x:c>
    </x:row>
    <x:row r="154" ht="21" customHeight="1">
      <x:c r="A154" s="12" t="n">
        <x:v>46279</x:v>
      </x:c>
      <x:c r="B154" s="1" t="str">
        <x:v>GFGV4200OC</x:v>
      </x:c>
      <x:c r="C154" s="1" t="str">
        <x:v>put</x:v>
      </x:c>
      <x:c r="D154" s="11" t="n">
        <x:v>4200</x:v>
      </x:c>
      <x:c r="E154" s="11" t="n">
        <x:f>'Option source'!B503</x:f>
        <x:v>0.76</x:v>
      </x:c>
      <x:c r="F154" s="11" t="n">
        <x:v>6840</x:v>
      </x:c>
      <x:c r="G154" s="18" t="n">
        <x:v>32</x:v>
      </x:c>
      <x:c r="H154" s="11" t="n">
        <x:f>MAX(IF(C154="call",F154-D154,D154-F154),0)</x:f>
        <x:v>0</x:v>
      </x:c>
      <x:c r="I154" s="11" t="n">
        <x:f>E154-H154</x:f>
        <x:v>0.76</x:v>
      </x:c>
      <x:c r="J154" s="13" t="n">
        <x:f>D154/F154</x:f>
        <x:v>0.6140350877192983</x:v>
      </x:c>
      <x:c r="K154" s="13" t="n">
        <x:v>0.6221120157969358</x:v>
      </x:c>
      <x:c r="L154" s="17" t="n">
        <x:v>-0.001972519888450819</x:v>
      </x:c>
      <x:c r="M154" s="17" t="n">
        <x:v>0.1268034946053266</x:v>
      </x:c>
      <x:c r="N154" s="11" t="n">
        <x:f>'Option source'!C503</x:f>
        <x:v>88567.6</x:v>
      </x:c>
      <x:c r="O154" s="11" t="n">
        <x:f>'Option source'!G503</x:f>
        <x:v>0.5</x:v>
      </x:c>
      <x:c r="P154" s="11" t="n">
        <x:f>'Option source'!F503</x:f>
        <x:v>1</x:v>
      </x:c>
      <x:c r="Q154" s="1" t="str">
        <x:v>Screen passed; indicative</x:v>
      </x:c>
      <x:c r="R154" s="1" t="n">
        <x:v>498</x:v>
      </x:c>
    </x:row>
    <x:row r="155" ht="21" customHeight="1">
      <x:c r="A155" s="12" t="n">
        <x:v>46279</x:v>
      </x:c>
      <x:c r="B155" s="1" t="str">
        <x:v>GFGC9500OC</x:v>
      </x:c>
      <x:c r="C155" s="1" t="str">
        <x:v>call</x:v>
      </x:c>
      <x:c r="D155" s="11" t="n">
        <x:v>9500</x:v>
      </x:c>
      <x:c r="E155" s="11" t="n">
        <x:f>'Option source'!B465</x:f>
        <x:v>5.26</x:v>
      </x:c>
      <x:c r="F155" s="11" t="n">
        <x:v>6840</x:v>
      </x:c>
      <x:c r="G155" s="18" t="n">
        <x:v>32</x:v>
      </x:c>
      <x:c r="H155" s="11" t="n">
        <x:f>MAX(IF(C155="call",F155-D155,D155-F155),0)</x:f>
        <x:v>0</x:v>
      </x:c>
      <x:c r="I155" s="11" t="n">
        <x:f>E155-H155</x:f>
        <x:v>5.26</x:v>
      </x:c>
      <x:c r="J155" s="13" t="n">
        <x:f>D155/F155</x:f>
        <x:v>1.3888888888888888</x:v>
      </x:c>
      <x:c r="K155" s="13" t="n">
        <x:v>0.463074365531555</x:v>
      </x:c>
      <x:c r="L155" s="17" t="n">
        <x:v>0.016360862272868298</x:v>
      </x:c>
      <x:c r="M155" s="17" t="n">
        <x:v>0.8263090660377808</x:v>
      </x:c>
      <x:c r="N155" s="11" t="n">
        <x:f>'Option source'!C465</x:f>
        <x:v>878742.62</x:v>
      </x:c>
      <x:c r="O155" s="11" t="n">
        <x:f>'Option source'!G465</x:f>
        <x:v>5.18</x:v>
      </x:c>
      <x:c r="P155" s="11" t="n">
        <x:f>'Option source'!F465</x:f>
        <x:v>7.5</x:v>
      </x:c>
      <x:c r="Q155" s="1" t="str">
        <x:v>Screen passed; indicative</x:v>
      </x:c>
      <x:c r="R155" s="1" t="n">
        <x:v>460</x:v>
      </x:c>
    </x:row>
    <x:row r="156" ht="21" customHeight="1">
      <x:c r="A156" s="12" t="n">
        <x:v>46279</x:v>
      </x:c>
      <x:c r="B156" s="1" t="str">
        <x:v>GFGC9900OC</x:v>
      </x:c>
      <x:c r="C156" s="1" t="str">
        <x:v>call</x:v>
      </x:c>
      <x:c r="D156" s="11" t="n">
        <x:v>9900</x:v>
      </x:c>
      <x:c r="E156" s="11" t="n">
        <x:f>'Option source'!B484</x:f>
        <x:v>3.27</x:v>
      </x:c>
      <x:c r="F156" s="11" t="n">
        <x:v>6840</x:v>
      </x:c>
      <x:c r="G156" s="18" t="n">
        <x:v>32</x:v>
      </x:c>
      <x:c r="H156" s="11" t="n">
        <x:f>MAX(IF(C156="call",F156-D156,D156-F156),0)</x:f>
        <x:v>0</x:v>
      </x:c>
      <x:c r="I156" s="11" t="n">
        <x:f>E156-H156</x:f>
        <x:v>3.27</x:v>
      </x:c>
      <x:c r="J156" s="13" t="n">
        <x:f>D156/F156</x:f>
        <x:v>1.4473684210526316</x:v>
      </x:c>
      <x:c r="K156" s="13" t="n">
        <x:v>0.4854150781772282</x:v>
      </x:c>
      <x:c r="L156" s="17" t="n">
        <x:v>0.010233185393364886</x:v>
      </x:c>
      <x:c r="M156" s="17" t="n">
        <x:v>0.5507460011435633</x:v>
      </x:c>
      <x:c r="N156" s="11" t="n">
        <x:f>'Option source'!C484</x:f>
        <x:v>944135.88</x:v>
      </x:c>
      <x:c r="O156" s="11" t="n">
        <x:f>'Option source'!G484</x:f>
        <x:v>3.2</x:v>
      </x:c>
      <x:c r="P156" s="11" t="n">
        <x:f>'Option source'!F484</x:f>
        <x:v>5</x:v>
      </x:c>
      <x:c r="Q156" s="1" t="str">
        <x:v>Screen passed; indicative</x:v>
      </x:c>
      <x:c r="R156" s="1" t="n">
        <x:v>479</x:v>
      </x:c>
    </x:row>
    <x:row r="157" ht="21" customHeight="1">
      <x:c r="A157" s="12" t="n">
        <x:v>46276</x:v>
      </x:c>
      <x:c r="B157" s="1" t="str">
        <x:v>GFGC7000OC</x:v>
      </x:c>
      <x:c r="C157" s="1" t="str">
        <x:v>call</x:v>
      </x:c>
      <x:c r="D157" s="11" t="n">
        <x:v>7000</x:v>
      </x:c>
      <x:c r="E157" s="11" t="n">
        <x:f>'Option source'!B274</x:f>
        <x:v>438.34</x:v>
      </x:c>
      <x:c r="F157" s="11" t="n">
        <x:v>7000</x:v>
      </x:c>
      <x:c r="G157" s="18" t="n">
        <x:v>35</x:v>
      </x:c>
      <x:c r="H157" s="11" t="n">
        <x:f>MAX(IF(C157="call",F157-D157,D157-F157),0)</x:f>
        <x:v>0</x:v>
      </x:c>
      <x:c r="I157" s="11" t="n">
        <x:f>E157-H157</x:f>
        <x:v>438.34</x:v>
      </x:c>
      <x:c r="J157" s="13" t="n">
        <x:f>D157/F157</x:f>
        <x:v>1</x:v>
      </x:c>
      <x:c r="K157" s="13" t="n">
        <x:v>0.38691220729691345</x:v>
      </x:c>
      <x:c r="L157" s="17" t="n">
        <x:v>0.6179145915883818</x:v>
      </x:c>
      <x:c r="M157" s="17" t="n">
        <x:v>8.26706517263486</x:v>
      </x:c>
      <x:c r="N157" s="11" t="n">
        <x:f>'Option source'!C274</x:f>
        <x:v>352488384</x:v>
      </x:c>
      <x:c r="O157" s="11" t="n">
        <x:f>'Option source'!G274</x:f>
        <x:v>406</x:v>
      </x:c>
      <x:c r="P157" s="11" t="n">
        <x:f>'Option source'!F274</x:f>
        <x:v>527.49</x:v>
      </x:c>
      <x:c r="Q157" s="1" t="str">
        <x:v>Screen passed; indicative</x:v>
      </x:c>
      <x:c r="R157" s="1" t="n">
        <x:v>269</x:v>
      </x:c>
    </x:row>
    <x:row r="158" ht="21" customHeight="1">
      <x:c r="A158" s="12" t="n">
        <x:v>46276</x:v>
      </x:c>
      <x:c r="B158" s="1" t="str">
        <x:v>GFGV7000OC</x:v>
      </x:c>
      <x:c r="C158" s="1" t="str">
        <x:v>put</x:v>
      </x:c>
      <x:c r="D158" s="11" t="n">
        <x:v>7000</x:v>
      </x:c>
      <x:c r="E158" s="11" t="n">
        <x:f>'Option source'!B768</x:f>
        <x:v>308.63</x:v>
      </x:c>
      <x:c r="F158" s="11" t="n">
        <x:v>7000</x:v>
      </x:c>
      <x:c r="G158" s="18" t="n">
        <x:v>35</x:v>
      </x:c>
      <x:c r="H158" s="11" t="n">
        <x:f>MAX(IF(C158="call",F158-D158,D158-F158),0)</x:f>
        <x:v>0</x:v>
      </x:c>
      <x:c r="I158" s="11" t="n">
        <x:f>E158-H158</x:f>
        <x:v>308.63</x:v>
      </x:c>
      <x:c r="J158" s="13" t="n">
        <x:f>D158/F158</x:f>
        <x:v>1</x:v>
      </x:c>
      <x:c r="K158" s="13" t="n">
        <x:v>0.4465461807843888</x:v>
      </x:c>
      <x:c r="L158" s="17" t="n">
        <x:v>-0.3908220835279551</x:v>
      </x:c>
      <x:c r="M158" s="17" t="n">
        <x:v>8.32171619065921</x:v>
      </x:c>
      <x:c r="N158" s="11" t="n">
        <x:f>'Option source'!C768</x:f>
        <x:v>148897408</x:v>
      </x:c>
      <x:c r="O158" s="11" t="n">
        <x:f>'Option source'!G768</x:f>
        <x:v>209.72</x:v>
      </x:c>
      <x:c r="P158" s="11" t="n">
        <x:f>'Option source'!F768</x:f>
        <x:v>343</x:v>
      </x:c>
      <x:c r="Q158" s="1" t="str">
        <x:v>Screen passed; indicative</x:v>
      </x:c>
      <x:c r="R158" s="1" t="n">
        <x:v>763</x:v>
      </x:c>
    </x:row>
    <x:row r="159" ht="21" customHeight="1">
      <x:c r="A159" s="12" t="n">
        <x:v>46276</x:v>
      </x:c>
      <x:c r="B159" s="1" t="str">
        <x:v>GFGC6800OC</x:v>
      </x:c>
      <x:c r="C159" s="1" t="str">
        <x:v>call</x:v>
      </x:c>
      <x:c r="D159" s="11" t="n">
        <x:v>6800</x:v>
      </x:c>
      <x:c r="E159" s="11" t="n">
        <x:f>'Option source'!B255</x:f>
        <x:v>544.29</x:v>
      </x:c>
      <x:c r="F159" s="11" t="n">
        <x:v>7000</x:v>
      </x:c>
      <x:c r="G159" s="18" t="n">
        <x:v>35</x:v>
      </x:c>
      <x:c r="H159" s="11" t="n">
        <x:f>MAX(IF(C159="call",F159-D159,D159-F159),0)</x:f>
        <x:v>200</x:v>
      </x:c>
      <x:c r="I159" s="11" t="n">
        <x:f>E159-H159</x:f>
        <x:v>344.28999999999996</x:v>
      </x:c>
      <x:c r="J159" s="13" t="n">
        <x:f>D159/F159</x:f>
        <x:v>0.9714285714285714</x:v>
      </x:c>
      <x:c r="K159" s="13" t="n">
        <x:v>0.3678932513572961</x:v>
      </x:c>
      <x:c r="L159" s="17" t="n">
        <x:v>0.7135976921370375</x:v>
      </x:c>
      <x:c r="M159" s="17" t="n">
        <x:v>7.376327576497001</x:v>
      </x:c>
      <x:c r="N159" s="11" t="n">
        <x:f>'Option source'!C255</x:f>
        <x:v>119737312</x:v>
      </x:c>
      <x:c r="O159" s="11" t="n">
        <x:f>'Option source'!G255</x:f>
        <x:v>505</x:v>
      </x:c>
      <x:c r="P159" s="11" t="n">
        <x:f>'Option source'!F255</x:f>
        <x:v>641</x:v>
      </x:c>
      <x:c r="Q159" s="1" t="str">
        <x:v>Screen passed; indicative</x:v>
      </x:c>
      <x:c r="R159" s="1" t="n">
        <x:v>250</x:v>
      </x:c>
    </x:row>
    <x:row r="160" ht="21" customHeight="1">
      <x:c r="A160" s="12" t="n">
        <x:v>46276</x:v>
      </x:c>
      <x:c r="B160" s="1" t="str">
        <x:v>GFGC7200OC</x:v>
      </x:c>
      <x:c r="C160" s="1" t="str">
        <x:v>call</x:v>
      </x:c>
      <x:c r="D160" s="11" t="n">
        <x:v>7200</x:v>
      </x:c>
      <x:c r="E160" s="11" t="n">
        <x:f>'Option source'!B293</x:f>
        <x:v>345.7</x:v>
      </x:c>
      <x:c r="F160" s="11" t="n">
        <x:v>7000</x:v>
      </x:c>
      <x:c r="G160" s="18" t="n">
        <x:v>35</x:v>
      </x:c>
      <x:c r="H160" s="11" t="n">
        <x:f>MAX(IF(C160="call",F160-D160,D160-F160),0)</x:f>
        <x:v>0</x:v>
      </x:c>
      <x:c r="I160" s="11" t="n">
        <x:f>E160-H160</x:f>
        <x:v>345.7</x:v>
      </x:c>
      <x:c r="J160" s="13" t="n">
        <x:f>D160/F160</x:f>
        <x:v>1.0285714285714285</x:v>
      </x:c>
      <x:c r="K160" s="13" t="n">
        <x:v>0.39771651161065913</x:v>
      </x:c>
      <x:c r="L160" s="17" t="n">
        <x:v>0.5264783267748429</x:v>
      </x:c>
      <x:c r="M160" s="17" t="n">
        <x:v>8.62854804749189</x:v>
      </x:c>
      <x:c r="N160" s="11" t="n">
        <x:f>'Option source'!C293</x:f>
        <x:v>276915808</x:v>
      </x:c>
      <x:c r="O160" s="11" t="n">
        <x:f>'Option source'!G293</x:f>
        <x:v>313</x:v>
      </x:c>
      <x:c r="P160" s="11" t="n">
        <x:f>'Option source'!F293</x:f>
        <x:v>450</x:v>
      </x:c>
      <x:c r="Q160" s="1" t="str">
        <x:v>Screen passed; indicative</x:v>
      </x:c>
      <x:c r="R160" s="1" t="n">
        <x:v>288</x:v>
      </x:c>
    </x:row>
    <x:row r="161" ht="21" customHeight="1">
      <x:c r="A161" s="12" t="n">
        <x:v>46276</x:v>
      </x:c>
      <x:c r="B161" s="1" t="str">
        <x:v>GFGV6800OC</x:v>
      </x:c>
      <x:c r="C161" s="1" t="str">
        <x:v>put</x:v>
      </x:c>
      <x:c r="D161" s="11" t="n">
        <x:v>6800</x:v>
      </x:c>
      <x:c r="E161" s="11" t="n">
        <x:f>'Option source'!B749</x:f>
        <x:v>222.83</x:v>
      </x:c>
      <x:c r="F161" s="11" t="n">
        <x:v>7000</x:v>
      </x:c>
      <x:c r="G161" s="18" t="n">
        <x:v>35</x:v>
      </x:c>
      <x:c r="H161" s="11" t="n">
        <x:f>MAX(IF(C161="call",F161-D161,D161-F161),0)</x:f>
        <x:v>0</x:v>
      </x:c>
      <x:c r="I161" s="11" t="n">
        <x:f>E161-H161</x:f>
        <x:v>222.83</x:v>
      </x:c>
      <x:c r="J161" s="13" t="n">
        <x:f>D161/F161</x:f>
        <x:v>0.9714285714285714</x:v>
      </x:c>
      <x:c r="K161" s="13" t="n">
        <x:v>0.4451342737300529</x:v>
      </x:c>
      <x:c r="L161" s="17" t="n">
        <x:v>-0.31280498349875496</x:v>
      </x:c>
      <x:c r="M161" s="17" t="n">
        <x:v>7.677173783646548</x:v>
      </x:c>
      <x:c r="N161" s="11" t="n">
        <x:f>'Option source'!C749</x:f>
        <x:v>133711784</x:v>
      </x:c>
      <x:c r="O161" s="11" t="n">
        <x:f>'Option source'!G749</x:f>
        <x:v>169.99</x:v>
      </x:c>
      <x:c r="P161" s="11" t="n">
        <x:f>'Option source'!F749</x:f>
        <x:v>250</x:v>
      </x:c>
      <x:c r="Q161" s="1" t="str">
        <x:v>Screen passed; indicative</x:v>
      </x:c>
      <x:c r="R161" s="1" t="n">
        <x:v>744</x:v>
      </x:c>
    </x:row>
    <x:row r="162" ht="21" customHeight="1">
      <x:c r="A162" s="12" t="n">
        <x:v>46276</x:v>
      </x:c>
      <x:c r="B162" s="1" t="str">
        <x:v>GFGV7200OC</x:v>
      </x:c>
      <x:c r="C162" s="1" t="str">
        <x:v>put</x:v>
      </x:c>
      <x:c r="D162" s="11" t="n">
        <x:v>7200</x:v>
      </x:c>
      <x:c r="E162" s="11" t="n">
        <x:f>'Option source'!B787</x:f>
        <x:v>409.22</x:v>
      </x:c>
      <x:c r="F162" s="11" t="n">
        <x:v>7000</x:v>
      </x:c>
      <x:c r="G162" s="18" t="n">
        <x:v>35</x:v>
      </x:c>
      <x:c r="H162" s="11" t="n">
        <x:f>MAX(IF(C162="call",F162-D162,D162-F162),0)</x:f>
        <x:v>200</x:v>
      </x:c>
      <x:c r="I162" s="11" t="n">
        <x:f>E162-H162</x:f>
        <x:v>209.22000000000003</x:v>
      </x:c>
      <x:c r="J162" s="13" t="n">
        <x:f>D162/F162</x:f>
        <x:v>1.0285714285714285</x:v>
      </x:c>
      <x:c r="K162" s="13" t="n">
        <x:v>0.4421581747094522</x:v>
      </x:c>
      <x:c r="L162" s="17" t="n">
        <x:v>-0.4709768806573388</x:v>
      </x:c>
      <x:c r="M162" s="17" t="n">
        <x:v>8.624707848896136</x:v>
      </x:c>
      <x:c r="N162" s="11" t="n">
        <x:f>'Option source'!C787</x:f>
        <x:v>42598912</x:v>
      </x:c>
      <x:c r="O162" s="11" t="n">
        <x:f>'Option source'!G787</x:f>
        <x:v>323.01</x:v>
      </x:c>
      <x:c r="P162" s="11" t="n">
        <x:f>'Option source'!F787</x:f>
        <x:v>450</x:v>
      </x:c>
      <x:c r="Q162" s="1" t="str">
        <x:v>Screen passed; indicative</x:v>
      </x:c>
      <x:c r="R162" s="1" t="n">
        <x:v>782</x:v>
      </x:c>
    </x:row>
    <x:row r="163" ht="21" customHeight="1">
      <x:c r="A163" s="12" t="n">
        <x:v>46276</x:v>
      </x:c>
      <x:c r="B163" s="1" t="str">
        <x:v>GFGC6600OC</x:v>
      </x:c>
      <x:c r="C163" s="1" t="str">
        <x:v>call</x:v>
      </x:c>
      <x:c r="D163" s="11" t="n">
        <x:v>6600</x:v>
      </x:c>
      <x:c r="E163" s="11" t="n">
        <x:f>'Option source'!B236</x:f>
        <x:v>663.81</x:v>
      </x:c>
      <x:c r="F163" s="11" t="n">
        <x:v>7000</x:v>
      </x:c>
      <x:c r="G163" s="18" t="n">
        <x:v>35</x:v>
      </x:c>
      <x:c r="H163" s="11" t="n">
        <x:f>MAX(IF(C163="call",F163-D163,D163-F163),0)</x:f>
        <x:v>400</x:v>
      </x:c>
      <x:c r="I163" s="11" t="n">
        <x:f>E163-H163</x:f>
        <x:v>263.80999999999995</x:v>
      </x:c>
      <x:c r="J163" s="13" t="n">
        <x:f>D163/F163</x:f>
        <x:v>0.9428571428571428</x:v>
      </x:c>
      <x:c r="K163" s="13" t="n">
        <x:v>0.33417690866752126</x:v>
      </x:c>
      <x:c r="L163" s="17" t="n">
        <x:v>0.8154978807381916</x:v>
      </x:c>
      <x:c r="M163" s="17" t="n">
        <x:v>5.77636480606614</x:v>
      </x:c>
      <x:c r="N163" s="11" t="n">
        <x:f>'Option source'!C236</x:f>
        <x:v>89392912</x:v>
      </x:c>
      <x:c r="O163" s="11" t="n">
        <x:f>'Option source'!G236</x:f>
        <x:v>598.07</x:v>
      </x:c>
      <x:c r="P163" s="11" t="n">
        <x:f>'Option source'!F236</x:f>
        <x:v>777.95</x:v>
      </x:c>
      <x:c r="Q163" s="1" t="str">
        <x:v>Screen passed; indicative</x:v>
      </x:c>
      <x:c r="R163" s="1" t="n">
        <x:v>231</x:v>
      </x:c>
    </x:row>
    <x:row r="164" ht="21" customHeight="1">
      <x:c r="A164" s="12" t="n">
        <x:v>46276</x:v>
      </x:c>
      <x:c r="B164" s="1" t="str">
        <x:v>GFGC7400OC</x:v>
      </x:c>
      <x:c r="C164" s="1" t="str">
        <x:v>call</x:v>
      </x:c>
      <x:c r="D164" s="11" t="n">
        <x:v>7400</x:v>
      </x:c>
      <x:c r="E164" s="11" t="n">
        <x:f>'Option source'!B312</x:f>
        <x:v>262.49</x:v>
      </x:c>
      <x:c r="F164" s="11" t="n">
        <x:v>7000</x:v>
      </x:c>
      <x:c r="G164" s="18" t="n">
        <x:v>35</x:v>
      </x:c>
      <x:c r="H164" s="11" t="n">
        <x:f>MAX(IF(C164="call",F164-D164,D164-F164),0)</x:f>
        <x:v>0</x:v>
      </x:c>
      <x:c r="I164" s="11" t="n">
        <x:f>E164-H164</x:f>
        <x:v>262.49</x:v>
      </x:c>
      <x:c r="J164" s="13" t="n">
        <x:f>D164/F164</x:f>
        <x:v>1.0571428571428572</x:v>
      </x:c>
      <x:c r="K164" s="13" t="n">
        <x:v>0.39886435460009695</x:v>
      </x:c>
      <x:c r="L164" s="17" t="n">
        <x:v>0.4383134164514493</x:v>
      </x:c>
      <x:c r="M164" s="17" t="n">
        <x:v>8.54401718692345</x:v>
      </x:c>
      <x:c r="N164" s="11" t="n">
        <x:f>'Option source'!C312</x:f>
        <x:v>238090352</x:v>
      </x:c>
      <x:c r="O164" s="11" t="n">
        <x:f>'Option source'!G312</x:f>
        <x:v>241</x:v>
      </x:c>
      <x:c r="P164" s="11" t="n">
        <x:f>'Option source'!F312</x:f>
        <x:v>380</x:v>
      </x:c>
      <x:c r="Q164" s="1" t="str">
        <x:v>Screen passed; indicative</x:v>
      </x:c>
      <x:c r="R164" s="1" t="n">
        <x:v>307</x:v>
      </x:c>
    </x:row>
    <x:row r="165" ht="21" customHeight="1">
      <x:c r="A165" s="12" t="n">
        <x:v>46276</x:v>
      </x:c>
      <x:c r="B165" s="1" t="str">
        <x:v>GFGV6600OC</x:v>
      </x:c>
      <x:c r="C165" s="1" t="str">
        <x:v>put</x:v>
      </x:c>
      <x:c r="D165" s="11" t="n">
        <x:v>6600</x:v>
      </x:c>
      <x:c r="E165" s="11" t="n">
        <x:f>'Option source'!B730</x:f>
        <x:v>152.55</x:v>
      </x:c>
      <x:c r="F165" s="11" t="n">
        <x:v>7000</x:v>
      </x:c>
      <x:c r="G165" s="18" t="n">
        <x:v>35</x:v>
      </x:c>
      <x:c r="H165" s="11" t="n">
        <x:f>MAX(IF(C165="call",F165-D165,D165-F165),0)</x:f>
        <x:v>0</x:v>
      </x:c>
      <x:c r="I165" s="11" t="n">
        <x:f>E165-H165</x:f>
        <x:v>152.55</x:v>
      </x:c>
      <x:c r="J165" s="13" t="n">
        <x:f>D165/F165</x:f>
        <x:v>0.9428571428571428</x:v>
      </x:c>
      <x:c r="K165" s="13" t="n">
        <x:v>0.44216901034876066</x:v>
      </x:c>
      <x:c r="L165" s="17" t="n">
        <x:v>-0.23938150851260787</x:v>
      </x:c>
      <x:c r="M165" s="17" t="n">
        <x:v>6.729105527575017</x:v>
      </x:c>
      <x:c r="N165" s="11" t="n">
        <x:f>'Option source'!C730</x:f>
        <x:v>134174904</x:v>
      </x:c>
      <x:c r="O165" s="11" t="n">
        <x:f>'Option source'!G730</x:f>
        <x:v>90</x:v>
      </x:c>
      <x:c r="P165" s="11" t="n">
        <x:f>'Option source'!F730</x:f>
        <x:v>174</x:v>
      </x:c>
      <x:c r="Q165" s="1" t="str">
        <x:v>Screen passed; indicative</x:v>
      </x:c>
      <x:c r="R165" s="1" t="n">
        <x:v>725</x:v>
      </x:c>
    </x:row>
    <x:row r="166" ht="21" customHeight="1">
      <x:c r="A166" s="12" t="n">
        <x:v>46276</x:v>
      </x:c>
      <x:c r="B166" s="1" t="str">
        <x:v>GFGV7400OC</x:v>
      </x:c>
      <x:c r="C166" s="1" t="str">
        <x:v>put</x:v>
      </x:c>
      <x:c r="D166" s="11" t="n">
        <x:v>7400</x:v>
      </x:c>
      <x:c r="E166" s="11" t="n">
        <x:f>'Option source'!B806</x:f>
        <x:v>528.03</x:v>
      </x:c>
      <x:c r="F166" s="11" t="n">
        <x:v>7000</x:v>
      </x:c>
      <x:c r="G166" s="18" t="n">
        <x:v>35</x:v>
      </x:c>
      <x:c r="H166" s="11" t="n">
        <x:f>MAX(IF(C166="call",F166-D166,D166-F166),0)</x:f>
        <x:v>400</x:v>
      </x:c>
      <x:c r="I166" s="11" t="n">
        <x:f>E166-H166</x:f>
        <x:v>128.02999999999997</x:v>
      </x:c>
      <x:c r="J166" s="13" t="n">
        <x:f>D166/F166</x:f>
        <x:v>1.0571428571428572</x:v>
      </x:c>
      <x:c r="K166" s="13" t="n">
        <x:v>0.43792772720094064</x:v>
      </x:c>
      <x:c r="L166" s="17" t="n">
        <x:v>-0.5516541600645359</x:v>
      </x:c>
      <x:c r="M166" s="17" t="n">
        <x:v>8.57501404400555</x:v>
      </x:c>
      <x:c r="N166" s="11" t="n">
        <x:f>'Option source'!C806</x:f>
        <x:v>75105792</x:v>
      </x:c>
      <x:c r="O166" s="11" t="n">
        <x:f>'Option source'!G806</x:f>
        <x:v>450</x:v>
      </x:c>
      <x:c r="P166" s="11" t="n">
        <x:f>'Option source'!F806</x:f>
        <x:v>579.9</x:v>
      </x:c>
      <x:c r="Q166" s="1" t="str">
        <x:v>Screen passed; indicative</x:v>
      </x:c>
      <x:c r="R166" s="1" t="n">
        <x:v>801</x:v>
      </x:c>
    </x:row>
    <x:row r="167" ht="21" customHeight="1">
      <x:c r="A167" s="12" t="n">
        <x:v>46276</x:v>
      </x:c>
      <x:c r="B167" s="1" t="str">
        <x:v>GFGC6400OC</x:v>
      </x:c>
      <x:c r="C167" s="1" t="str">
        <x:v>call</x:v>
      </x:c>
      <x:c r="D167" s="11" t="n">
        <x:v>6400</x:v>
      </x:c>
      <x:c r="E167" s="11" t="n">
        <x:f>'Option source'!B217</x:f>
        <x:v>830</x:v>
      </x:c>
      <x:c r="F167" s="11" t="n">
        <x:v>7000</x:v>
      </x:c>
      <x:c r="G167" s="18" t="n">
        <x:v>35</x:v>
      </x:c>
      <x:c r="H167" s="11" t="n">
        <x:f>MAX(IF(C167="call",F167-D167,D167-F167),0)</x:f>
        <x:v>600</x:v>
      </x:c>
      <x:c r="I167" s="11" t="n">
        <x:f>E167-H167</x:f>
        <x:v>230</x:v>
      </x:c>
      <x:c r="J167" s="13" t="n">
        <x:f>D167/F167</x:f>
        <x:v>0.9142857142857143</x:v>
      </x:c>
      <x:c r="K167" s="13" t="n">
        <x:v>0.34716724043014546</x:v>
      </x:c>
      <x:c r="L167" s="17" t="n">
        <x:v>0.8759362640747129</x:v>
      </x:c>
      <x:c r="M167" s="17" t="n">
        <x:v>4.438755474915796</x:v>
      </x:c>
      <x:c r="N167" s="11" t="n">
        <x:f>'Option source'!C217</x:f>
        <x:v>27462252</x:v>
      </x:c>
      <x:c r="O167" s="11" t="n">
        <x:f>'Option source'!G217</x:f>
        <x:v>770</x:v>
      </x:c>
      <x:c r="P167" s="11" t="n">
        <x:f>'Option source'!F217</x:f>
        <x:v>919.98</x:v>
      </x:c>
      <x:c r="Q167" s="1" t="str">
        <x:v>Screen passed; indicative</x:v>
      </x:c>
      <x:c r="R167" s="1" t="n">
        <x:v>212</x:v>
      </x:c>
    </x:row>
    <x:row r="168" ht="21" customHeight="1">
      <x:c r="A168" s="12" t="n">
        <x:v>46276</x:v>
      </x:c>
      <x:c r="B168" s="1" t="str">
        <x:v>GFGC7600OC</x:v>
      </x:c>
      <x:c r="C168" s="1" t="str">
        <x:v>call</x:v>
      </x:c>
      <x:c r="D168" s="11" t="n">
        <x:v>7600</x:v>
      </x:c>
      <x:c r="E168" s="11" t="n">
        <x:f>'Option source'!B331</x:f>
        <x:v>198.58</x:v>
      </x:c>
      <x:c r="F168" s="11" t="n">
        <x:v>7000</x:v>
      </x:c>
      <x:c r="G168" s="18" t="n">
        <x:v>35</x:v>
      </x:c>
      <x:c r="H168" s="11" t="n">
        <x:f>MAX(IF(C168="call",F168-D168,D168-F168),0)</x:f>
        <x:v>0</x:v>
      </x:c>
      <x:c r="I168" s="11" t="n">
        <x:f>E168-H168</x:f>
        <x:v>198.58</x:v>
      </x:c>
      <x:c r="J168" s="13" t="n">
        <x:f>D168/F168</x:f>
        <x:v>1.0857142857142856</x:v>
      </x:c>
      <x:c r="K168" s="13" t="n">
        <x:v>0.40384380056171587</x:v>
      </x:c>
      <x:c r="L168" s="17" t="n">
        <x:v>0.3575362125985607</x:v>
      </x:c>
      <x:c r="M168" s="17" t="n">
        <x:v>8.090176118124639</x:v>
      </x:c>
      <x:c r="N168" s="11" t="n">
        <x:f>'Option source'!C331</x:f>
        <x:v>419532128</x:v>
      </x:c>
      <x:c r="O168" s="11" t="n">
        <x:f>'Option source'!G331</x:f>
        <x:v>180.11</x:v>
      </x:c>
      <x:c r="P168" s="11" t="n">
        <x:f>'Option source'!F331</x:f>
        <x:v>295</x:v>
      </x:c>
      <x:c r="Q168" s="1" t="str">
        <x:v>Screen passed; indicative</x:v>
      </x:c>
      <x:c r="R168" s="1" t="n">
        <x:v>326</x:v>
      </x:c>
    </x:row>
    <x:row r="169" ht="21" customHeight="1">
      <x:c r="A169" s="12" t="n">
        <x:v>46276</x:v>
      </x:c>
      <x:c r="B169" s="1" t="str">
        <x:v>GFGV6400OC</x:v>
      </x:c>
      <x:c r="C169" s="1" t="str">
        <x:v>put</x:v>
      </x:c>
      <x:c r="D169" s="11" t="n">
        <x:v>6400</x:v>
      </x:c>
      <x:c r="E169" s="11" t="n">
        <x:f>'Option source'!B711</x:f>
        <x:v>95.07</x:v>
      </x:c>
      <x:c r="F169" s="11" t="n">
        <x:v>7000</x:v>
      </x:c>
      <x:c r="G169" s="18" t="n">
        <x:v>35</x:v>
      </x:c>
      <x:c r="H169" s="11" t="n">
        <x:f>MAX(IF(C169="call",F169-D169,D169-F169),0)</x:f>
        <x:v>0</x:v>
      </x:c>
      <x:c r="I169" s="11" t="n">
        <x:f>E169-H169</x:f>
        <x:v>95.07</x:v>
      </x:c>
      <x:c r="J169" s="13" t="n">
        <x:f>D169/F169</x:f>
        <x:v>0.9142857142857143</x:v>
      </x:c>
      <x:c r="K169" s="13" t="n">
        <x:v>0.43079406313502255</x:v>
      </x:c>
      <x:c r="L169" s="17" t="n">
        <x:v>-0.1700169846220806</x:v>
      </x:c>
      <x:c r="M169" s="17" t="n">
        <x:v>5.485621715742968</x:v>
      </x:c>
      <x:c r="N169" s="11" t="n">
        <x:f>'Option source'!C711</x:f>
        <x:v>61645404</x:v>
      </x:c>
      <x:c r="O169" s="11" t="n">
        <x:f>'Option source'!G711</x:f>
        <x:v>75</x:v>
      </x:c>
      <x:c r="P169" s="11" t="n">
        <x:f>'Option source'!F711</x:f>
        <x:v>115.51</x:v>
      </x:c>
      <x:c r="Q169" s="1" t="str">
        <x:v>Screen passed; indicative</x:v>
      </x:c>
      <x:c r="R169" s="1" t="n">
        <x:v>706</x:v>
      </x:c>
    </x:row>
    <x:row r="170" ht="21" customHeight="1">
      <x:c r="A170" s="12" t="n">
        <x:v>46276</x:v>
      </x:c>
      <x:c r="B170" s="1" t="str">
        <x:v>GFGV7600OC</x:v>
      </x:c>
      <x:c r="C170" s="1" t="str">
        <x:v>put</x:v>
      </x:c>
      <x:c r="D170" s="11" t="n">
        <x:v>7600</x:v>
      </x:c>
      <x:c r="E170" s="11" t="n">
        <x:f>'Option source'!B825</x:f>
        <x:v>658.65</x:v>
      </x:c>
      <x:c r="F170" s="11" t="n">
        <x:v>7000</x:v>
      </x:c>
      <x:c r="G170" s="18" t="n">
        <x:v>35</x:v>
      </x:c>
      <x:c r="H170" s="11" t="n">
        <x:f>MAX(IF(C170="call",F170-D170,D170-F170),0)</x:f>
        <x:v>600</x:v>
      </x:c>
      <x:c r="I170" s="11" t="n">
        <x:f>E170-H170</x:f>
        <x:v>58.64999999999998</x:v>
      </x:c>
      <x:c r="J170" s="13" t="n">
        <x:f>D170/F170</x:f>
        <x:v>1.0857142857142856</x:v>
      </x:c>
      <x:c r="K170" s="13" t="n">
        <x:v>0.4206390414898127</x:v>
      </x:c>
      <x:c r="L170" s="17" t="n">
        <x:v>-0.6350954309723821</x:v>
      </x:c>
      <x:c r="M170" s="17" t="n">
        <x:v>8.146908962281023</x:v>
      </x:c>
      <x:c r="N170" s="11" t="n">
        <x:f>'Option source'!C825</x:f>
        <x:v>1715158.62</x:v>
      </x:c>
      <x:c r="O170" s="11" t="n">
        <x:f>'Option source'!G825</x:f>
        <x:v>600</x:v>
      </x:c>
      <x:c r="P170" s="11" t="n">
        <x:f>'Option source'!F825</x:f>
        <x:v>689</x:v>
      </x:c>
      <x:c r="Q170" s="1" t="str">
        <x:v>Screen passed; indicative</x:v>
      </x:c>
      <x:c r="R170" s="1" t="n">
        <x:v>820</x:v>
      </x:c>
    </x:row>
    <x:row r="171" ht="21" customHeight="1">
      <x:c r="A171" s="12" t="n">
        <x:v>46276</x:v>
      </x:c>
      <x:c r="B171" s="1" t="str">
        <x:v>GFGC6200OC</x:v>
      </x:c>
      <x:c r="C171" s="1" t="str">
        <x:v>call</x:v>
      </x:c>
      <x:c r="D171" s="11" t="n">
        <x:v>6200</x:v>
      </x:c>
      <x:c r="E171" s="11" t="n">
        <x:f>'Option source'!B198</x:f>
        <x:v>941.05</x:v>
      </x:c>
      <x:c r="F171" s="11" t="n">
        <x:v>7000</x:v>
      </x:c>
      <x:c r="G171" s="18" t="n">
        <x:v>35</x:v>
      </x:c>
      <x:c r="H171" s="11" t="n">
        <x:f>MAX(IF(C171="call",F171-D171,D171-F171),0)</x:f>
        <x:v>800</x:v>
      </x:c>
      <x:c r="I171" s="11" t="n">
        <x:f>E171-H171</x:f>
        <x:v>141.04999999999995</x:v>
      </x:c>
      <x:c r="J171" s="13" t="n">
        <x:f>D171/F171</x:f>
        <x:v>0.8857142857142857</x:v>
      </x:c>
      <x:c r="K171" s="13"/>
      <x:c r="L171" s="17"/>
      <x:c r="M171" s="17"/>
      <x:c r="N171" s="11" t="n">
        <x:f>'Option source'!C198</x:f>
        <x:v>7676950</x:v>
      </x:c>
      <x:c r="O171" s="11" t="n">
        <x:f>'Option source'!G198</x:f>
        <x:v>893.51</x:v>
      </x:c>
      <x:c r="P171" s="11" t="n">
        <x:f>'Option source'!F198</x:f>
        <x:v>1104.76</x:v>
      </x:c>
      <x:c r="Q171" s="1" t="str">
        <x:v>No stable model IV</x:v>
      </x:c>
      <x:c r="R171" s="1" t="n">
        <x:v>193</x:v>
      </x:c>
    </x:row>
    <x:row r="172" ht="21" customHeight="1">
      <x:c r="A172" s="12" t="n">
        <x:v>46276</x:v>
      </x:c>
      <x:c r="B172" s="1" t="str">
        <x:v>GFGC7800OC</x:v>
      </x:c>
      <x:c r="C172" s="1" t="str">
        <x:v>call</x:v>
      </x:c>
      <x:c r="D172" s="11" t="n">
        <x:v>7800</x:v>
      </x:c>
      <x:c r="E172" s="11" t="n">
        <x:f>'Option source'!B350</x:f>
        <x:v>147.07</x:v>
      </x:c>
      <x:c r="F172" s="11" t="n">
        <x:v>7000</x:v>
      </x:c>
      <x:c r="G172" s="18" t="n">
        <x:v>35</x:v>
      </x:c>
      <x:c r="H172" s="11" t="n">
        <x:f>MAX(IF(C172="call",F172-D172,D172-F172),0)</x:f>
        <x:v>0</x:v>
      </x:c>
      <x:c r="I172" s="11" t="n">
        <x:f>E172-H172</x:f>
        <x:v>147.07</x:v>
      </x:c>
      <x:c r="J172" s="13" t="n">
        <x:f>D172/F172</x:f>
        <x:v>1.1142857142857143</x:v>
      </x:c>
      <x:c r="K172" s="13" t="n">
        <x:v>0.4068599030884673</x:v>
      </x:c>
      <x:c r="L172" s="17" t="n">
        <x:v>0.2851572911514946</x:v>
      </x:c>
      <x:c r="M172" s="17" t="n">
        <x:v>7.361059290297518</x:v>
      </x:c>
      <x:c r="N172" s="11" t="n">
        <x:f>'Option source'!C350</x:f>
        <x:v>114438280</x:v>
      </x:c>
      <x:c r="O172" s="11" t="n">
        <x:f>'Option source'!G350</x:f>
        <x:v>137.5</x:v>
      </x:c>
      <x:c r="P172" s="11" t="n">
        <x:f>'Option source'!F350</x:f>
        <x:v>240</x:v>
      </x:c>
      <x:c r="Q172" s="1" t="str">
        <x:v>Screen passed; indicative</x:v>
      </x:c>
      <x:c r="R172" s="1" t="n">
        <x:v>345</x:v>
      </x:c>
    </x:row>
    <x:row r="173" ht="21" customHeight="1">
      <x:c r="A173" s="12" t="n">
        <x:v>46276</x:v>
      </x:c>
      <x:c r="B173" s="1" t="str">
        <x:v>GFGV6200OC</x:v>
      </x:c>
      <x:c r="C173" s="1" t="str">
        <x:v>put</x:v>
      </x:c>
      <x:c r="D173" s="11" t="n">
        <x:v>6200</x:v>
      </x:c>
      <x:c r="E173" s="11" t="n">
        <x:f>'Option source'!B692</x:f>
        <x:v>62.2</x:v>
      </x:c>
      <x:c r="F173" s="11" t="n">
        <x:v>7000</x:v>
      </x:c>
      <x:c r="G173" s="18" t="n">
        <x:v>35</x:v>
      </x:c>
      <x:c r="H173" s="11" t="n">
        <x:f>MAX(IF(C173="call",F173-D173,D173-F173),0)</x:f>
        <x:v>0</x:v>
      </x:c>
      <x:c r="I173" s="11" t="n">
        <x:f>E173-H173</x:f>
        <x:v>62.2</x:v>
      </x:c>
      <x:c r="J173" s="13" t="n">
        <x:f>D173/F173</x:f>
        <x:v>0.8857142857142857</x:v>
      </x:c>
      <x:c r="K173" s="13" t="n">
        <x:v>0.43776389977537933</x:v>
      </x:c>
      <x:c r="L173" s="17" t="n">
        <x:v>-0.11994639182843636</x:v>
      </x:c>
      <x:c r="M173" s="17" t="n">
        <x:v>4.334776777359013</x:v>
      </x:c>
      <x:c r="N173" s="11" t="n">
        <x:f>'Option source'!C692</x:f>
        <x:v>29853540</x:v>
      </x:c>
      <x:c r="O173" s="11" t="n">
        <x:f>'Option source'!G692</x:f>
        <x:v>47.78</x:v>
      </x:c>
      <x:c r="P173" s="11" t="n">
        <x:f>'Option source'!F692</x:f>
        <x:v>78</x:v>
      </x:c>
      <x:c r="Q173" s="1" t="str">
        <x:v>Screen passed; indicative</x:v>
      </x:c>
      <x:c r="R173" s="1" t="n">
        <x:v>687</x:v>
      </x:c>
    </x:row>
    <x:row r="174" ht="21" customHeight="1">
      <x:c r="A174" s="12" t="n">
        <x:v>46276</x:v>
      </x:c>
      <x:c r="B174" s="1" t="str">
        <x:v>GFGV7800OC</x:v>
      </x:c>
      <x:c r="C174" s="1" t="str">
        <x:v>put</x:v>
      </x:c>
      <x:c r="D174" s="11" t="n">
        <x:v>7800</x:v>
      </x:c>
      <x:c r="E174" s="11" t="n">
        <x:f>'Option source'!B844</x:f>
        <x:v>720</x:v>
      </x:c>
      <x:c r="F174" s="11" t="n">
        <x:v>7000</x:v>
      </x:c>
      <x:c r="G174" s="18" t="n">
        <x:v>35</x:v>
      </x:c>
      <x:c r="H174" s="11" t="n">
        <x:f>MAX(IF(C174="call",F174-D174,D174-F174),0)</x:f>
        <x:v>800</x:v>
      </x:c>
      <x:c r="I174" s="11" t="n">
        <x:f>E174-H174</x:f>
        <x:v>-80</x:v>
      </x:c>
      <x:c r="J174" s="13" t="n">
        <x:f>D174/F174</x:f>
        <x:v>1.1142857142857143</x:v>
      </x:c>
      <x:c r="K174" s="13"/>
      <x:c r="L174" s="17"/>
      <x:c r="M174" s="17"/>
      <x:c r="N174" s="11" t="n">
        <x:f>'Option source'!C844</x:f>
        <x:v>0</x:v>
      </x:c>
      <x:c r="O174" s="11" t="n">
        <x:f>'Option source'!G844</x:f>
        <x:v>720</x:v>
      </x:c>
      <x:c r="P174" s="11" t="n">
        <x:f>'Option source'!F844</x:f>
        <x:v>720</x:v>
      </x:c>
      <x:c r="Q174" s="1" t="str">
        <x:v>Zero reported volume; Below intrinsic value</x:v>
      </x:c>
      <x:c r="R174" s="1" t="n">
        <x:v>839</x:v>
      </x:c>
    </x:row>
    <x:row r="175" ht="21" customHeight="1">
      <x:c r="A175" s="12" t="n">
        <x:v>46276</x:v>
      </x:c>
      <x:c r="B175" s="1" t="str">
        <x:v>GFGC6000OC</x:v>
      </x:c>
      <x:c r="C175" s="1" t="str">
        <x:v>call</x:v>
      </x:c>
      <x:c r="D175" s="11" t="n">
        <x:v>6000</x:v>
      </x:c>
      <x:c r="E175" s="11" t="n">
        <x:f>'Option source'!B179</x:f>
        <x:v>1130</x:v>
      </x:c>
      <x:c r="F175" s="11" t="n">
        <x:v>7000</x:v>
      </x:c>
      <x:c r="G175" s="18" t="n">
        <x:v>35</x:v>
      </x:c>
      <x:c r="H175" s="11" t="n">
        <x:f>MAX(IF(C175="call",F175-D175,D175-F175),0)</x:f>
        <x:v>1000</x:v>
      </x:c>
      <x:c r="I175" s="11" t="n">
        <x:f>E175-H175</x:f>
        <x:v>130</x:v>
      </x:c>
      <x:c r="J175" s="13" t="n">
        <x:f>D175/F175</x:f>
        <x:v>0.8571428571428571</x:v>
      </x:c>
      <x:c r="K175" s="13"/>
      <x:c r="L175" s="17"/>
      <x:c r="M175" s="17"/>
      <x:c r="N175" s="11" t="n">
        <x:f>'Option source'!C179</x:f>
        <x:v>686932.81</x:v>
      </x:c>
      <x:c r="O175" s="11" t="n">
        <x:f>'Option source'!G179</x:f>
        <x:v>1130</x:v>
      </x:c>
      <x:c r="P175" s="11" t="n">
        <x:f>'Option source'!F179</x:f>
        <x:v>1185</x:v>
      </x:c>
      <x:c r="Q175" s="1" t="str">
        <x:v>No stable model IV</x:v>
      </x:c>
      <x:c r="R175" s="1" t="n">
        <x:v>174</x:v>
      </x:c>
    </x:row>
    <x:row r="176" ht="21" customHeight="1">
      <x:c r="A176" s="12" t="n">
        <x:v>46276</x:v>
      </x:c>
      <x:c r="B176" s="1" t="str">
        <x:v>GFGC8000OC</x:v>
      </x:c>
      <x:c r="C176" s="1" t="str">
        <x:v>call</x:v>
      </x:c>
      <x:c r="D176" s="11" t="n">
        <x:v>8000</x:v>
      </x:c>
      <x:c r="E176" s="11" t="n">
        <x:f>'Option source'!B369</x:f>
        <x:v>109.14</x:v>
      </x:c>
      <x:c r="F176" s="11" t="n">
        <x:v>7000</x:v>
      </x:c>
      <x:c r="G176" s="18" t="n">
        <x:v>35</x:v>
      </x:c>
      <x:c r="H176" s="11" t="n">
        <x:f>MAX(IF(C176="call",F176-D176,D176-F176),0)</x:f>
        <x:v>0</x:v>
      </x:c>
      <x:c r="I176" s="11" t="n">
        <x:f>E176-H176</x:f>
        <x:v>109.14</x:v>
      </x:c>
      <x:c r="J176" s="13" t="n">
        <x:f>D176/F176</x:f>
        <x:v>1.1428571428571428</x:v>
      </x:c>
      <x:c r="K176" s="13" t="n">
        <x:v>0.41246823467398397</x:v>
      </x:c>
      <x:c r="L176" s="17" t="n">
        <x:v>0.22471485684012119</x:v>
      </x:c>
      <x:c r="M176" s="17" t="n">
        <x:v>6.496328733661694</x:v>
      </x:c>
      <x:c r="N176" s="11" t="n">
        <x:f>'Option source'!C369</x:f>
        <x:v>350712736</x:v>
      </x:c>
      <x:c r="O176" s="11" t="n">
        <x:f>'Option source'!G369</x:f>
        <x:v>98</x:v>
      </x:c>
      <x:c r="P176" s="11" t="n">
        <x:f>'Option source'!F369</x:f>
        <x:v>160.99</x:v>
      </x:c>
      <x:c r="Q176" s="1" t="str">
        <x:v>Screen passed; indicative</x:v>
      </x:c>
      <x:c r="R176" s="1" t="n">
        <x:v>364</x:v>
      </x:c>
    </x:row>
    <x:row r="177" ht="21" customHeight="1">
      <x:c r="A177" s="12" t="n">
        <x:v>46276</x:v>
      </x:c>
      <x:c r="B177" s="1" t="str">
        <x:v>GFGV6000OC</x:v>
      </x:c>
      <x:c r="C177" s="1" t="str">
        <x:v>put</x:v>
      </x:c>
      <x:c r="D177" s="11" t="n">
        <x:v>6000</x:v>
      </x:c>
      <x:c r="E177" s="11" t="n">
        <x:f>'Option source'!B673</x:f>
        <x:v>35.59</x:v>
      </x:c>
      <x:c r="F177" s="11" t="n">
        <x:v>7000</x:v>
      </x:c>
      <x:c r="G177" s="18" t="n">
        <x:v>35</x:v>
      </x:c>
      <x:c r="H177" s="11" t="n">
        <x:f>MAX(IF(C177="call",F177-D177,D177-F177),0)</x:f>
        <x:v>0</x:v>
      </x:c>
      <x:c r="I177" s="11" t="n">
        <x:f>E177-H177</x:f>
        <x:v>35.59</x:v>
      </x:c>
      <x:c r="J177" s="13" t="n">
        <x:f>D177/F177</x:f>
        <x:v>0.8571428571428571</x:v>
      </x:c>
      <x:c r="K177" s="13" t="n">
        <x:v>0.43423619695664395</x:v>
      </x:c>
      <x:c r="L177" s="17" t="n">
        <x:v>-0.07670967695500885</x:v>
      </x:c>
      <x:c r="M177" s="17" t="n">
        <x:v>3.12152698891381</x:v>
      </x:c>
      <x:c r="N177" s="11" t="n">
        <x:f>'Option source'!C673</x:f>
        <x:v>22134246</x:v>
      </x:c>
      <x:c r="O177" s="11" t="n">
        <x:f>'Option source'!G673</x:f>
        <x:v>26</x:v>
      </x:c>
      <x:c r="P177" s="11" t="n">
        <x:f>'Option source'!F673</x:f>
        <x:v>44</x:v>
      </x:c>
      <x:c r="Q177" s="1" t="str">
        <x:v>Screen passed; indicative</x:v>
      </x:c>
      <x:c r="R177" s="1" t="n">
        <x:v>668</x:v>
      </x:c>
    </x:row>
    <x:row r="178" ht="21" customHeight="1">
      <x:c r="A178" s="12" t="n">
        <x:v>46276</x:v>
      </x:c>
      <x:c r="B178" s="1" t="str">
        <x:v>GFGV8000OC</x:v>
      </x:c>
      <x:c r="C178" s="1" t="str">
        <x:v>put</x:v>
      </x:c>
      <x:c r="D178" s="11" t="n">
        <x:v>8000</x:v>
      </x:c>
      <x:c r="E178" s="11" t="n">
        <x:f>'Option source'!B863</x:f>
        <x:v>1017.5</x:v>
      </x:c>
      <x:c r="F178" s="11" t="n">
        <x:v>7000</x:v>
      </x:c>
      <x:c r="G178" s="18" t="n">
        <x:v>35</x:v>
      </x:c>
      <x:c r="H178" s="11" t="n">
        <x:f>MAX(IF(C178="call",F178-D178,D178-F178),0)</x:f>
        <x:v>1000</x:v>
      </x:c>
      <x:c r="I178" s="11" t="n">
        <x:f>E178-H178</x:f>
        <x:v>17.5</x:v>
      </x:c>
      <x:c r="J178" s="13" t="n">
        <x:f>D178/F178</x:f>
        <x:v>1.1428571428571428</x:v>
      </x:c>
      <x:c r="K178" s="13"/>
      <x:c r="L178" s="17"/>
      <x:c r="M178" s="17"/>
      <x:c r="N178" s="11" t="n">
        <x:f>'Option source'!C863</x:f>
        <x:v>393500</x:v>
      </x:c>
      <x:c r="O178" s="11" t="n">
        <x:f>'Option source'!G863</x:f>
        <x:v>900</x:v>
      </x:c>
      <x:c r="P178" s="11" t="n">
        <x:f>'Option source'!F863</x:f>
        <x:v>1000</x:v>
      </x:c>
      <x:c r="Q178" s="1" t="str">
        <x:v>Price outside daily range</x:v>
      </x:c>
      <x:c r="R178" s="1" t="n">
        <x:v>858</x:v>
      </x:c>
    </x:row>
    <x:row r="179" ht="21" customHeight="1">
      <x:c r="A179" s="12" t="n">
        <x:v>46276</x:v>
      </x:c>
      <x:c r="B179" s="1" t="str">
        <x:v>GFGC5800OC</x:v>
      </x:c>
      <x:c r="C179" s="1" t="str">
        <x:v>call</x:v>
      </x:c>
      <x:c r="D179" s="11" t="n">
        <x:v>5800</x:v>
      </x:c>
      <x:c r="E179" s="11" t="n">
        <x:f>'Option source'!B160</x:f>
        <x:v>1343.33</x:v>
      </x:c>
      <x:c r="F179" s="11" t="n">
        <x:v>7000</x:v>
      </x:c>
      <x:c r="G179" s="18" t="n">
        <x:v>35</x:v>
      </x:c>
      <x:c r="H179" s="11" t="n">
        <x:f>MAX(IF(C179="call",F179-D179,D179-F179),0)</x:f>
        <x:v>1200</x:v>
      </x:c>
      <x:c r="I179" s="11" t="n">
        <x:f>E179-H179</x:f>
        <x:v>143.32999999999993</x:v>
      </x:c>
      <x:c r="J179" s="13" t="n">
        <x:f>D179/F179</x:f>
        <x:v>0.8285714285714286</x:v>
      </x:c>
      <x:c r="K179" s="13"/>
      <x:c r="L179" s="17"/>
      <x:c r="M179" s="17"/>
      <x:c r="N179" s="11" t="n">
        <x:f>'Option source'!C160</x:f>
        <x:v>14677796</x:v>
      </x:c>
      <x:c r="O179" s="11" t="n">
        <x:f>'Option source'!G160</x:f>
        <x:v>1330</x:v>
      </x:c>
      <x:c r="P179" s="11" t="n">
        <x:f>'Option source'!F160</x:f>
        <x:v>1459.88</x:v>
      </x:c>
      <x:c r="Q179" s="1" t="str">
        <x:v>No stable model IV</x:v>
      </x:c>
      <x:c r="R179" s="1" t="n">
        <x:v>155</x:v>
      </x:c>
    </x:row>
    <x:row r="180" ht="21" customHeight="1">
      <x:c r="A180" s="12" t="n">
        <x:v>46276</x:v>
      </x:c>
      <x:c r="B180" s="1" t="str">
        <x:v>GFGV5800OC</x:v>
      </x:c>
      <x:c r="C180" s="1" t="str">
        <x:v>put</x:v>
      </x:c>
      <x:c r="D180" s="11" t="n">
        <x:v>5800</x:v>
      </x:c>
      <x:c r="E180" s="11" t="n">
        <x:f>'Option source'!B654</x:f>
        <x:v>20.5</x:v>
      </x:c>
      <x:c r="F180" s="11" t="n">
        <x:v>7000</x:v>
      </x:c>
      <x:c r="G180" s="18" t="n">
        <x:v>35</x:v>
      </x:c>
      <x:c r="H180" s="11" t="n">
        <x:f>MAX(IF(C180="call",F180-D180,D180-F180),0)</x:f>
        <x:v>0</x:v>
      </x:c>
      <x:c r="I180" s="11" t="n">
        <x:f>E180-H180</x:f>
        <x:v>20.5</x:v>
      </x:c>
      <x:c r="J180" s="13" t="n">
        <x:f>D180/F180</x:f>
        <x:v>0.8285714285714286</x:v>
      </x:c>
      <x:c r="K180" s="13" t="n">
        <x:v>0.43781680373794285</x:v>
      </x:c>
      <x:c r="L180" s="17" t="n">
        <x:v>-0.04775285577806532</x:v>
      </x:c>
      <x:c r="M180" s="17" t="n">
        <x:v>2.15494387484613</x:v>
      </x:c>
      <x:c r="N180" s="11" t="n">
        <x:f>'Option source'!C654</x:f>
        <x:v>7313211</x:v>
      </x:c>
      <x:c r="O180" s="11" t="n">
        <x:f>'Option source'!G654</x:f>
        <x:v>16</x:v>
      </x:c>
      <x:c r="P180" s="11" t="n">
        <x:f>'Option source'!F654</x:f>
        <x:v>24</x:v>
      </x:c>
      <x:c r="Q180" s="1" t="str">
        <x:v>Screen passed; indicative</x:v>
      </x:c>
      <x:c r="R180" s="1" t="n">
        <x:v>649</x:v>
      </x:c>
    </x:row>
    <x:row r="181" ht="21" customHeight="1">
      <x:c r="A181" s="12" t="n">
        <x:v>46276</x:v>
      </x:c>
      <x:c r="B181" s="1" t="str">
        <x:v>GFGC8300OC</x:v>
      </x:c>
      <x:c r="C181" s="1" t="str">
        <x:v>call</x:v>
      </x:c>
      <x:c r="D181" s="11" t="n">
        <x:v>8300</x:v>
      </x:c>
      <x:c r="E181" s="11" t="n">
        <x:f>'Option source'!B388</x:f>
        <x:v>66.81</x:v>
      </x:c>
      <x:c r="F181" s="11" t="n">
        <x:v>7000</x:v>
      </x:c>
      <x:c r="G181" s="18" t="n">
        <x:v>35</x:v>
      </x:c>
      <x:c r="H181" s="11" t="n">
        <x:f>MAX(IF(C181="call",F181-D181,D181-F181),0)</x:f>
        <x:v>0</x:v>
      </x:c>
      <x:c r="I181" s="11" t="n">
        <x:f>E181-H181</x:f>
        <x:v>66.81</x:v>
      </x:c>
      <x:c r="J181" s="13" t="n">
        <x:f>D181/F181</x:f>
        <x:v>1.1857142857142857</x:v>
      </x:c>
      <x:c r="K181" s="13" t="n">
        <x:v>0.4167088295494358</x:v>
      </x:c>
      <x:c r="L181" s="17" t="n">
        <x:v>0.1508823588465936</x:v>
      </x:c>
      <x:c r="M181" s="17" t="n">
        <x:v>5.073812098937479</x:v>
      </x:c>
      <x:c r="N181" s="11" t="n">
        <x:f>'Option source'!C388</x:f>
        <x:v>51353796</x:v>
      </x:c>
      <x:c r="O181" s="11" t="n">
        <x:f>'Option source'!G388</x:f>
        <x:v>61</x:v>
      </x:c>
      <x:c r="P181" s="11" t="n">
        <x:f>'Option source'!F388</x:f>
        <x:v>104.99</x:v>
      </x:c>
      <x:c r="Q181" s="1" t="str">
        <x:v>Screen passed; indicative</x:v>
      </x:c>
      <x:c r="R181" s="1" t="n">
        <x:v>383</x:v>
      </x:c>
    </x:row>
    <x:row r="182" ht="21" customHeight="1">
      <x:c r="A182" s="12" t="n">
        <x:v>46276</x:v>
      </x:c>
      <x:c r="B182" s="1" t="str">
        <x:v>GFGV8300OC</x:v>
      </x:c>
      <x:c r="C182" s="1" t="str">
        <x:v>put</x:v>
      </x:c>
      <x:c r="D182" s="11" t="n">
        <x:v>8300</x:v>
      </x:c>
      <x:c r="E182" s="11" t="n">
        <x:f>'Option source'!B882</x:f>
        <x:v>1264.67</x:v>
      </x:c>
      <x:c r="F182" s="11" t="n">
        <x:v>7000</x:v>
      </x:c>
      <x:c r="G182" s="18" t="n">
        <x:v>35</x:v>
      </x:c>
      <x:c r="H182" s="11" t="n">
        <x:f>MAX(IF(C182="call",F182-D182,D182-F182),0)</x:f>
        <x:v>1300</x:v>
      </x:c>
      <x:c r="I182" s="11" t="n">
        <x:f>E182-H182</x:f>
        <x:v>-35.32999999999993</x:v>
      </x:c>
      <x:c r="J182" s="13" t="n">
        <x:f>D182/F182</x:f>
        <x:v>1.1857142857142857</x:v>
      </x:c>
      <x:c r="K182" s="13"/>
      <x:c r="L182" s="17"/>
      <x:c r="M182" s="17"/>
      <x:c r="N182" s="11" t="n">
        <x:f>'Option source'!C882</x:f>
        <x:v>7291063.5</x:v>
      </x:c>
      <x:c r="O182" s="11" t="n">
        <x:f>'Option source'!G882</x:f>
        <x:v>1200</x:v>
      </x:c>
      <x:c r="P182" s="11" t="n">
        <x:f>'Option source'!F882</x:f>
        <x:v>1369.89</x:v>
      </x:c>
      <x:c r="Q182" s="1" t="str">
        <x:v>Below intrinsic value</x:v>
      </x:c>
      <x:c r="R182" s="1" t="n">
        <x:v>877</x:v>
      </x:c>
    </x:row>
    <x:row r="183" ht="21" customHeight="1">
      <x:c r="A183" s="12" t="n">
        <x:v>46276</x:v>
      </x:c>
      <x:c r="B183" s="1" t="str">
        <x:v>GFGC5600OC</x:v>
      </x:c>
      <x:c r="C183" s="1" t="str">
        <x:v>call</x:v>
      </x:c>
      <x:c r="D183" s="11" t="n">
        <x:v>5600</x:v>
      </x:c>
      <x:c r="E183" s="11" t="n">
        <x:f>'Option source'!B150</x:f>
        <x:v>1490</x:v>
      </x:c>
      <x:c r="F183" s="11" t="n">
        <x:v>7000</x:v>
      </x:c>
      <x:c r="G183" s="18" t="n">
        <x:v>35</x:v>
      </x:c>
      <x:c r="H183" s="11" t="n">
        <x:f>MAX(IF(C183="call",F183-D183,D183-F183),0)</x:f>
        <x:v>1400</x:v>
      </x:c>
      <x:c r="I183" s="11" t="n">
        <x:f>E183-H183</x:f>
        <x:v>90</x:v>
      </x:c>
      <x:c r="J183" s="13" t="n">
        <x:f>D183/F183</x:f>
        <x:v>0.8</x:v>
      </x:c>
      <x:c r="K183" s="13"/>
      <x:c r="L183" s="17"/>
      <x:c r="M183" s="17"/>
      <x:c r="N183" s="11" t="n">
        <x:f>'Option source'!C150</x:f>
        <x:v>5163728.5</x:v>
      </x:c>
      <x:c r="O183" s="11" t="n">
        <x:f>'Option source'!G150</x:f>
        <x:v>1450</x:v>
      </x:c>
      <x:c r="P183" s="11" t="n">
        <x:f>'Option source'!F150</x:f>
        <x:v>1647.76</x:v>
      </x:c>
      <x:c r="Q183" s="1" t="str">
        <x:v>No stable model IV</x:v>
      </x:c>
      <x:c r="R183" s="1" t="n">
        <x:v>145</x:v>
      </x:c>
    </x:row>
    <x:row r="184" ht="21" customHeight="1">
      <x:c r="A184" s="12" t="n">
        <x:v>46276</x:v>
      </x:c>
      <x:c r="B184" s="1" t="str">
        <x:v>GFGV5600OC</x:v>
      </x:c>
      <x:c r="C184" s="1" t="str">
        <x:v>put</x:v>
      </x:c>
      <x:c r="D184" s="11" t="n">
        <x:v>5600</x:v>
      </x:c>
      <x:c r="E184" s="11" t="n">
        <x:f>'Option source'!B635</x:f>
        <x:v>10.74</x:v>
      </x:c>
      <x:c r="F184" s="11" t="n">
        <x:v>7000</x:v>
      </x:c>
      <x:c r="G184" s="18" t="n">
        <x:v>35</x:v>
      </x:c>
      <x:c r="H184" s="11" t="n">
        <x:f>MAX(IF(C184="call",F184-D184,D184-F184),0)</x:f>
        <x:v>0</x:v>
      </x:c>
      <x:c r="I184" s="11" t="n">
        <x:f>E184-H184</x:f>
        <x:v>10.74</x:v>
      </x:c>
      <x:c r="J184" s="13" t="n">
        <x:f>D184/F184</x:f>
        <x:v>0.8</x:v>
      </x:c>
      <x:c r="K184" s="13" t="n">
        <x:v>0.4385434333390873</x:v>
      </x:c>
      <x:c r="L184" s="17" t="n">
        <x:v>-0.02724564215368208</x:v>
      </x:c>
      <x:c r="M184" s="17" t="n">
        <x:v>1.3613673061041982</x:v>
      </x:c>
      <x:c r="N184" s="11" t="n">
        <x:f>'Option source'!C635</x:f>
        <x:v>2070999.62</x:v>
      </x:c>
      <x:c r="O184" s="11" t="n">
        <x:f>'Option source'!G635</x:f>
        <x:v>8.3</x:v>
      </x:c>
      <x:c r="P184" s="11" t="n">
        <x:f>'Option source'!F635</x:f>
        <x:v>12.8</x:v>
      </x:c>
      <x:c r="Q184" s="1" t="str">
        <x:v>Screen passed; indicative</x:v>
      </x:c>
      <x:c r="R184" s="1" t="n">
        <x:v>630</x:v>
      </x:c>
    </x:row>
    <x:row r="185" ht="21" customHeight="1">
      <x:c r="A185" s="12" t="n">
        <x:v>46276</x:v>
      </x:c>
      <x:c r="B185" s="1" t="str">
        <x:v>GFGC5400OC</x:v>
      </x:c>
      <x:c r="C185" s="1" t="str">
        <x:v>call</x:v>
      </x:c>
      <x:c r="D185" s="11" t="n">
        <x:v>5400</x:v>
      </x:c>
      <x:c r="E185" s="11" t="n">
        <x:f>'Option source'!B132</x:f>
        <x:v>1801.16</x:v>
      </x:c>
      <x:c r="F185" s="11" t="n">
        <x:v>7000</x:v>
      </x:c>
      <x:c r="G185" s="18" t="n">
        <x:v>35</x:v>
      </x:c>
      <x:c r="H185" s="11" t="n">
        <x:f>MAX(IF(C185="call",F185-D185,D185-F185),0)</x:f>
        <x:v>1600</x:v>
      </x:c>
      <x:c r="I185" s="11" t="n">
        <x:f>E185-H185</x:f>
        <x:v>201.16000000000008</x:v>
      </x:c>
      <x:c r="J185" s="13" t="n">
        <x:f>D185/F185</x:f>
        <x:v>0.7714285714285715</x:v>
      </x:c>
      <x:c r="K185" s="13"/>
      <x:c r="L185" s="17"/>
      <x:c r="M185" s="17"/>
      <x:c r="N185" s="11" t="n">
        <x:f>'Option source'!C132</x:f>
        <x:v>720464.62</x:v>
      </x:c>
      <x:c r="O185" s="11" t="n">
        <x:f>'Option source'!G132</x:f>
        <x:v>1800</x:v>
      </x:c>
      <x:c r="P185" s="11" t="n">
        <x:f>'Option source'!F132</x:f>
        <x:v>1800</x:v>
      </x:c>
      <x:c r="Q185" s="1" t="str">
        <x:v>Price outside daily range</x:v>
      </x:c>
      <x:c r="R185" s="1" t="n">
        <x:v>127</x:v>
      </x:c>
    </x:row>
    <x:row r="186" ht="21" customHeight="1">
      <x:c r="A186" s="12" t="n">
        <x:v>46276</x:v>
      </x:c>
      <x:c r="B186" s="1" t="str">
        <x:v>GFGC8600OC</x:v>
      </x:c>
      <x:c r="C186" s="1" t="str">
        <x:v>call</x:v>
      </x:c>
      <x:c r="D186" s="11" t="n">
        <x:v>8600</x:v>
      </x:c>
      <x:c r="E186" s="11" t="n">
        <x:f>'Option source'!B407</x:f>
        <x:v>38.76</x:v>
      </x:c>
      <x:c r="F186" s="11" t="n">
        <x:v>7000</x:v>
      </x:c>
      <x:c r="G186" s="18" t="n">
        <x:v>35</x:v>
      </x:c>
      <x:c r="H186" s="11" t="n">
        <x:f>MAX(IF(C186="call",F186-D186,D186-F186),0)</x:f>
        <x:v>0</x:v>
      </x:c>
      <x:c r="I186" s="11" t="n">
        <x:f>E186-H186</x:f>
        <x:v>38.76</x:v>
      </x:c>
      <x:c r="J186" s="13" t="n">
        <x:f>D186/F186</x:f>
        <x:v>1.2285714285714286</x:v>
      </x:c>
      <x:c r="K186" s="13" t="n">
        <x:v>0.41770397838391493</x:v>
      </x:c>
      <x:c r="L186" s="17" t="n">
        <x:v>0.09604934382446093</x:v>
      </x:c>
      <x:c r="M186" s="17" t="n">
        <x:v>3.693438778265933</x:v>
      </x:c>
      <x:c r="N186" s="11" t="n">
        <x:f>'Option source'!C407</x:f>
        <x:v>81070872</x:v>
      </x:c>
      <x:c r="O186" s="11" t="n">
        <x:f>'Option source'!G407</x:f>
        <x:v>32</x:v>
      </x:c>
      <x:c r="P186" s="11" t="n">
        <x:f>'Option source'!F407</x:f>
        <x:v>61</x:v>
      </x:c>
      <x:c r="Q186" s="1" t="str">
        <x:v>Screen passed; indicative</x:v>
      </x:c>
      <x:c r="R186" s="1" t="n">
        <x:v>402</x:v>
      </x:c>
    </x:row>
    <x:row r="187" ht="21" customHeight="1">
      <x:c r="A187" s="12" t="n">
        <x:v>46276</x:v>
      </x:c>
      <x:c r="B187" s="1" t="str">
        <x:v>GFGV5400OC</x:v>
      </x:c>
      <x:c r="C187" s="1" t="str">
        <x:v>put</x:v>
      </x:c>
      <x:c r="D187" s="11" t="n">
        <x:v>5400</x:v>
      </x:c>
      <x:c r="E187" s="11" t="n">
        <x:f>'Option source'!B616</x:f>
        <x:v>5.84</x:v>
      </x:c>
      <x:c r="F187" s="11" t="n">
        <x:v>7000</x:v>
      </x:c>
      <x:c r="G187" s="18" t="n">
        <x:v>35</x:v>
      </x:c>
      <x:c r="H187" s="11" t="n">
        <x:f>MAX(IF(C187="call",F187-D187,D187-F187),0)</x:f>
        <x:v>0</x:v>
      </x:c>
      <x:c r="I187" s="11" t="n">
        <x:f>E187-H187</x:f>
        <x:v>5.84</x:v>
      </x:c>
      <x:c r="J187" s="13" t="n">
        <x:f>D187/F187</x:f>
        <x:v>0.7714285714285715</x:v>
      </x:c>
      <x:c r="K187" s="13" t="n">
        <x:v>0.4472673228085444</x:v>
      </x:c>
      <x:c r="L187" s="17" t="n">
        <x:v>-0.015751570222708344</x:v>
      </x:c>
      <x:c r="M187" s="17" t="n">
        <x:v>0.8560858834257867</x:v>
      </x:c>
      <x:c r="N187" s="11" t="n">
        <x:f>'Option source'!C616</x:f>
        <x:v>396816.81</x:v>
      </x:c>
      <x:c r="O187" s="11" t="n">
        <x:f>'Option source'!G616</x:f>
        <x:v>4</x:v>
      </x:c>
      <x:c r="P187" s="11" t="n">
        <x:f>'Option source'!F616</x:f>
        <x:v>7.55</x:v>
      </x:c>
      <x:c r="Q187" s="1" t="str">
        <x:v>Screen passed; indicative</x:v>
      </x:c>
      <x:c r="R187" s="1" t="n">
        <x:v>611</x:v>
      </x:c>
    </x:row>
    <x:row r="188" ht="21" customHeight="1">
      <x:c r="A188" s="12" t="n">
        <x:v>46276</x:v>
      </x:c>
      <x:c r="B188" s="1" t="str">
        <x:v>GFGV8600OC</x:v>
      </x:c>
      <x:c r="C188" s="1" t="str">
        <x:v>put</x:v>
      </x:c>
      <x:c r="D188" s="11" t="n">
        <x:v>8600</x:v>
      </x:c>
      <x:c r="E188" s="11" t="n">
        <x:f>'Option source'!B901</x:f>
        <x:v>1600</x:v>
      </x:c>
      <x:c r="F188" s="11" t="n">
        <x:v>7000</x:v>
      </x:c>
      <x:c r="G188" s="18" t="n">
        <x:v>35</x:v>
      </x:c>
      <x:c r="H188" s="11" t="n">
        <x:f>MAX(IF(C188="call",F188-D188,D188-F188),0)</x:f>
        <x:v>1600</x:v>
      </x:c>
      <x:c r="I188" s="11" t="n">
        <x:f>E188-H188</x:f>
        <x:v>0</x:v>
      </x:c>
      <x:c r="J188" s="13" t="n">
        <x:f>D188/F188</x:f>
        <x:v>1.2285714285714286</x:v>
      </x:c>
      <x:c r="K188" s="13"/>
      <x:c r="L188" s="17"/>
      <x:c r="M188" s="17"/>
      <x:c r="N188" s="11" t="n">
        <x:f>'Option source'!C901</x:f>
        <x:v>160000</x:v>
      </x:c>
      <x:c r="O188" s="11" t="n">
        <x:f>'Option source'!G901</x:f>
        <x:v>0</x:v>
      </x:c>
      <x:c r="P188" s="11" t="n">
        <x:f>'Option source'!F901</x:f>
        <x:v>0</x:v>
      </x:c>
      <x:c r="Q188" s="1" t="str">
        <x:v>Price outside daily range</x:v>
      </x:c>
      <x:c r="R188" s="1" t="n">
        <x:v>896</x:v>
      </x:c>
    </x:row>
    <x:row r="189" ht="21" customHeight="1">
      <x:c r="A189" s="12" t="n">
        <x:v>46276</x:v>
      </x:c>
      <x:c r="B189" s="1" t="str">
        <x:v>GFGC5200OC</x:v>
      </x:c>
      <x:c r="C189" s="1" t="str">
        <x:v>call</x:v>
      </x:c>
      <x:c r="D189" s="11" t="n">
        <x:v>5200</x:v>
      </x:c>
      <x:c r="E189" s="11" t="n">
        <x:f>'Option source'!B113</x:f>
        <x:v>1998.09</x:v>
      </x:c>
      <x:c r="F189" s="11" t="n">
        <x:v>7000</x:v>
      </x:c>
      <x:c r="G189" s="18" t="n">
        <x:v>35</x:v>
      </x:c>
      <x:c r="H189" s="11" t="n">
        <x:f>MAX(IF(C189="call",F189-D189,D189-F189),0)</x:f>
        <x:v>1800</x:v>
      </x:c>
      <x:c r="I189" s="11" t="n">
        <x:f>E189-H189</x:f>
        <x:v>198.08999999999992</x:v>
      </x:c>
      <x:c r="J189" s="13" t="n">
        <x:f>D189/F189</x:f>
        <x:v>0.7428571428571429</x:v>
      </x:c>
      <x:c r="K189" s="13"/>
      <x:c r="L189" s="17"/>
      <x:c r="M189" s="17"/>
      <x:c r="N189" s="11" t="n">
        <x:f>'Option source'!C113</x:f>
        <x:v>399617.81</x:v>
      </x:c>
      <x:c r="O189" s="11" t="n">
        <x:f>'Option source'!G113</x:f>
        <x:v>0</x:v>
      </x:c>
      <x:c r="P189" s="11" t="n">
        <x:f>'Option source'!F113</x:f>
        <x:v>0</x:v>
      </x:c>
      <x:c r="Q189" s="1" t="str">
        <x:v>Price outside daily range</x:v>
      </x:c>
      <x:c r="R189" s="1" t="n">
        <x:v>108</x:v>
      </x:c>
    </x:row>
    <x:row r="190" ht="21" customHeight="1">
      <x:c r="A190" s="12" t="n">
        <x:v>46276</x:v>
      </x:c>
      <x:c r="B190" s="1" t="str">
        <x:v>GFGV5200OC</x:v>
      </x:c>
      <x:c r="C190" s="1" t="str">
        <x:v>put</x:v>
      </x:c>
      <x:c r="D190" s="11" t="n">
        <x:v>5200</x:v>
      </x:c>
      <x:c r="E190" s="11" t="n">
        <x:f>'Option source'!B597</x:f>
        <x:v>3.1</x:v>
      </x:c>
      <x:c r="F190" s="11" t="n">
        <x:v>7000</x:v>
      </x:c>
      <x:c r="G190" s="18" t="n">
        <x:v>35</x:v>
      </x:c>
      <x:c r="H190" s="11" t="n">
        <x:f>MAX(IF(C190="call",F190-D190,D190-F190),0)</x:f>
        <x:v>0</x:v>
      </x:c>
      <x:c r="I190" s="11" t="n">
        <x:f>E190-H190</x:f>
        <x:v>3.1</x:v>
      </x:c>
      <x:c r="J190" s="13" t="n">
        <x:f>D190/F190</x:f>
        <x:v>0.7428571428571429</x:v>
      </x:c>
      <x:c r="K190" s="13" t="n">
        <x:v>0.4571731619535716</x:v>
      </x:c>
      <x:c r="L190" s="17" t="n">
        <x:v>-0.0088059163184806</x:v>
      </x:c>
      <x:c r="M190" s="17" t="n">
        <x:v>0.516905603664058</x:v>
      </x:c>
      <x:c r="N190" s="11" t="n">
        <x:f>'Option source'!C597</x:f>
        <x:v>988455.12</x:v>
      </x:c>
      <x:c r="O190" s="11" t="n">
        <x:f>'Option source'!G597</x:f>
        <x:v>2.03</x:v>
      </x:c>
      <x:c r="P190" s="11" t="n">
        <x:f>'Option source'!F597</x:f>
        <x:v>3.99</x:v>
      </x:c>
      <x:c r="Q190" s="1" t="str">
        <x:v>Screen passed; indicative</x:v>
      </x:c>
      <x:c r="R190" s="1" t="n">
        <x:v>592</x:v>
      </x:c>
    </x:row>
    <x:row r="191" ht="21" customHeight="1">
      <x:c r="A191" s="12" t="n">
        <x:v>46276</x:v>
      </x:c>
      <x:c r="B191" s="1" t="str">
        <x:v>GFGC8900OC</x:v>
      </x:c>
      <x:c r="C191" s="1" t="str">
        <x:v>call</x:v>
      </x:c>
      <x:c r="D191" s="11" t="n">
        <x:v>8900</x:v>
      </x:c>
      <x:c r="E191" s="11" t="n">
        <x:f>'Option source'!B426</x:f>
        <x:v>22.19</x:v>
      </x:c>
      <x:c r="F191" s="11" t="n">
        <x:v>7000</x:v>
      </x:c>
      <x:c r="G191" s="18" t="n">
        <x:v>35</x:v>
      </x:c>
      <x:c r="H191" s="11" t="n">
        <x:f>MAX(IF(C191="call",F191-D191,D191-F191),0)</x:f>
        <x:v>0</x:v>
      </x:c>
      <x:c r="I191" s="11" t="n">
        <x:f>E191-H191</x:f>
        <x:v>22.19</x:v>
      </x:c>
      <x:c r="J191" s="13" t="n">
        <x:f>D191/F191</x:f>
        <x:v>1.2714285714285714</x:v>
      </x:c>
      <x:c r="K191" s="13" t="n">
        <x:v>0.4202734386486655</x:v>
      </x:c>
      <x:c r="L191" s="17" t="n">
        <x:v>0.05948626501449272</x:v>
      </x:c>
      <x:c r="M191" s="17" t="n">
        <x:v>2.5648101183374012</x:v>
      </x:c>
      <x:c r="N191" s="11" t="n">
        <x:f>'Option source'!C426</x:f>
        <x:v>13448505</x:v>
      </x:c>
      <x:c r="O191" s="11" t="n">
        <x:f>'Option source'!G426</x:f>
        <x:v>18.7</x:v>
      </x:c>
      <x:c r="P191" s="11" t="n">
        <x:f>'Option source'!F426</x:f>
        <x:v>33</x:v>
      </x:c>
      <x:c r="Q191" s="1" t="str">
        <x:v>Screen passed; indicative</x:v>
      </x:c>
      <x:c r="R191" s="1" t="n">
        <x:v>421</x:v>
      </x:c>
    </x:row>
    <x:row r="192" ht="21" customHeight="1">
      <x:c r="A192" s="12" t="n">
        <x:v>46276</x:v>
      </x:c>
      <x:c r="B192" s="1" t="str">
        <x:v>GFGV8900OC</x:v>
      </x:c>
      <x:c r="C192" s="1" t="str">
        <x:v>put</x:v>
      </x:c>
      <x:c r="D192" s="11" t="n">
        <x:v>8900</x:v>
      </x:c>
      <x:c r="E192" s="11" t="n">
        <x:f>'Option source'!B916</x:f>
        <x:v>2022.5</x:v>
      </x:c>
      <x:c r="F192" s="11" t="n">
        <x:v>7000</x:v>
      </x:c>
      <x:c r="G192" s="18" t="n">
        <x:v>35</x:v>
      </x:c>
      <x:c r="H192" s="11" t="n">
        <x:f>MAX(IF(C192="call",F192-D192,D192-F192),0)</x:f>
        <x:v>1900</x:v>
      </x:c>
      <x:c r="I192" s="11" t="n">
        <x:f>E192-H192</x:f>
        <x:v>122.5</x:v>
      </x:c>
      <x:c r="J192" s="13" t="n">
        <x:f>D192/F192</x:f>
        <x:v>1.2714285714285714</x:v>
      </x:c>
      <x:c r="K192" s="13"/>
      <x:c r="L192" s="17"/>
      <x:c r="M192" s="17"/>
      <x:c r="N192" s="11" t="n">
        <x:f>'Option source'!C916</x:f>
        <x:v>0</x:v>
      </x:c>
      <x:c r="O192" s="11" t="n">
        <x:f>'Option source'!G916</x:f>
        <x:v>2022.5</x:v>
      </x:c>
      <x:c r="P192" s="11" t="n">
        <x:f>'Option source'!F916</x:f>
        <x:v>2037.67</x:v>
      </x:c>
      <x:c r="Q192" s="1" t="str">
        <x:v>Zero reported volume</x:v>
      </x:c>
      <x:c r="R192" s="1" t="n">
        <x:v>911</x:v>
      </x:c>
    </x:row>
    <x:row r="193" ht="21" customHeight="1">
      <x:c r="A193" s="12" t="n">
        <x:v>46276</x:v>
      </x:c>
      <x:c r="B193" s="1" t="str">
        <x:v>GFGC5000OC</x:v>
      </x:c>
      <x:c r="C193" s="1" t="str">
        <x:v>call</x:v>
      </x:c>
      <x:c r="D193" s="11" t="n">
        <x:v>5000</x:v>
      </x:c>
      <x:c r="E193" s="11" t="n">
        <x:f>'Option source'!B94</x:f>
        <x:v>2248.2</x:v>
      </x:c>
      <x:c r="F193" s="11" t="n">
        <x:v>7000</x:v>
      </x:c>
      <x:c r="G193" s="18" t="n">
        <x:v>35</x:v>
      </x:c>
      <x:c r="H193" s="11" t="n">
        <x:f>MAX(IF(C193="call",F193-D193,D193-F193),0)</x:f>
        <x:v>2000</x:v>
      </x:c>
      <x:c r="I193" s="11" t="n">
        <x:f>E193-H193</x:f>
        <x:v>248.19999999999982</x:v>
      </x:c>
      <x:c r="J193" s="13" t="n">
        <x:f>D193/F193</x:f>
        <x:v>0.7142857142857143</x:v>
      </x:c>
      <x:c r="K193" s="13"/>
      <x:c r="L193" s="17"/>
      <x:c r="M193" s="17"/>
      <x:c r="N193" s="11" t="n">
        <x:f>'Option source'!C94</x:f>
        <x:v>0</x:v>
      </x:c>
      <x:c r="O193" s="11" t="n">
        <x:f>'Option source'!G94</x:f>
        <x:v>2154.75</x:v>
      </x:c>
      <x:c r="P193" s="11" t="n">
        <x:f>'Option source'!F94</x:f>
        <x:v>2225.61</x:v>
      </x:c>
      <x:c r="Q193" s="1" t="str">
        <x:v>Zero reported volume; Price outside daily range</x:v>
      </x:c>
      <x:c r="R193" s="1" t="n">
        <x:v>89</x:v>
      </x:c>
    </x:row>
    <x:row r="194" ht="21" customHeight="1">
      <x:c r="A194" s="12" t="n">
        <x:v>46276</x:v>
      </x:c>
      <x:c r="B194" s="1" t="str">
        <x:v>GFGV5000OC</x:v>
      </x:c>
      <x:c r="C194" s="1" t="str">
        <x:v>put</x:v>
      </x:c>
      <x:c r="D194" s="11" t="n">
        <x:v>5000</x:v>
      </x:c>
      <x:c r="E194" s="11" t="n">
        <x:f>'Option source'!B578</x:f>
        <x:v>2.15</x:v>
      </x:c>
      <x:c r="F194" s="11" t="n">
        <x:v>7000</x:v>
      </x:c>
      <x:c r="G194" s="18" t="n">
        <x:v>35</x:v>
      </x:c>
      <x:c r="H194" s="11" t="n">
        <x:f>MAX(IF(C194="call",F194-D194,D194-F194),0)</x:f>
        <x:v>0</x:v>
      </x:c>
      <x:c r="I194" s="11" t="n">
        <x:f>E194-H194</x:f>
        <x:v>2.15</x:v>
      </x:c>
      <x:c r="J194" s="13" t="n">
        <x:f>D194/F194</x:f>
        <x:v>0.7142857142857143</x:v>
      </x:c>
      <x:c r="K194" s="13" t="n">
        <x:v>0.48425705167704525</x:v>
      </x:c>
      <x:c r="L194" s="17" t="n">
        <x:v>-0.006025913473377664</x:v>
      </x:c>
      <x:c r="M194" s="17" t="n">
        <x:v>0.36997039306913804</x:v>
      </x:c>
      <x:c r="N194" s="11" t="n">
        <x:f>'Option source'!C578</x:f>
        <x:v>765919.88</x:v>
      </x:c>
      <x:c r="O194" s="11" t="n">
        <x:f>'Option source'!G578</x:f>
        <x:v>1.4</x:v>
      </x:c>
      <x:c r="P194" s="11" t="n">
        <x:f>'Option source'!F578</x:f>
        <x:v>2.5</x:v>
      </x:c>
      <x:c r="Q194" s="1" t="str">
        <x:v>Screen passed; indicative</x:v>
      </x:c>
      <x:c r="R194" s="1" t="n">
        <x:v>573</x:v>
      </x:c>
    </x:row>
    <x:row r="195" ht="21" customHeight="1">
      <x:c r="A195" s="12" t="n">
        <x:v>46276</x:v>
      </x:c>
      <x:c r="B195" s="1" t="str">
        <x:v>GFGC4800OC</x:v>
      </x:c>
      <x:c r="C195" s="1" t="str">
        <x:v>call</x:v>
      </x:c>
      <x:c r="D195" s="11" t="n">
        <x:v>4800</x:v>
      </x:c>
      <x:c r="E195" s="11" t="n">
        <x:f>'Option source'!B77</x:f>
        <x:v>2425.74</x:v>
      </x:c>
      <x:c r="F195" s="11" t="n">
        <x:v>7000</x:v>
      </x:c>
      <x:c r="G195" s="18" t="n">
        <x:v>35</x:v>
      </x:c>
      <x:c r="H195" s="11" t="n">
        <x:f>MAX(IF(C195="call",F195-D195,D195-F195),0)</x:f>
        <x:v>2200</x:v>
      </x:c>
      <x:c r="I195" s="11" t="n">
        <x:f>E195-H195</x:f>
        <x:v>225.73999999999978</x:v>
      </x:c>
      <x:c r="J195" s="13" t="n">
        <x:f>D195/F195</x:f>
        <x:v>0.6857142857142857</x:v>
      </x:c>
      <x:c r="K195" s="13"/>
      <x:c r="L195" s="17"/>
      <x:c r="M195" s="17"/>
      <x:c r="N195" s="11" t="n">
        <x:f>'Option source'!C77</x:f>
        <x:v>0</x:v>
      </x:c>
      <x:c r="O195" s="11" t="n">
        <x:f>'Option source'!G77</x:f>
        <x:v>2350.09</x:v>
      </x:c>
      <x:c r="P195" s="11" t="n">
        <x:f>'Option source'!F77</x:f>
        <x:v>2428.08</x:v>
      </x:c>
      <x:c r="Q195" s="1" t="str">
        <x:v>Zero reported volume</x:v>
      </x:c>
      <x:c r="R195" s="1" t="n">
        <x:v>72</x:v>
      </x:c>
    </x:row>
    <x:row r="196" ht="21" customHeight="1">
      <x:c r="A196" s="12" t="n">
        <x:v>46276</x:v>
      </x:c>
      <x:c r="B196" s="1" t="str">
        <x:v>GFGC9200OC</x:v>
      </x:c>
      <x:c r="C196" s="1" t="str">
        <x:v>call</x:v>
      </x:c>
      <x:c r="D196" s="11" t="n">
        <x:v>9200</x:v>
      </x:c>
      <x:c r="E196" s="11" t="n">
        <x:f>'Option source'!B445</x:f>
        <x:v>13.01</x:v>
      </x:c>
      <x:c r="F196" s="11" t="n">
        <x:v>7000</x:v>
      </x:c>
      <x:c r="G196" s="18" t="n">
        <x:v>35</x:v>
      </x:c>
      <x:c r="H196" s="11" t="n">
        <x:f>MAX(IF(C196="call",F196-D196,D196-F196),0)</x:f>
        <x:v>0</x:v>
      </x:c>
      <x:c r="I196" s="11" t="n">
        <x:f>E196-H196</x:f>
        <x:v>13.01</x:v>
      </x:c>
      <x:c r="J196" s="13" t="n">
        <x:f>D196/F196</x:f>
        <x:v>1.3142857142857143</x:v>
      </x:c>
      <x:c r="K196" s="13" t="n">
        <x:v>0.4261823406375228</x:v>
      </x:c>
      <x:c r="L196" s="17" t="n">
        <x:v>0.0369790211030424</x:v>
      </x:c>
      <x:c r="M196" s="17" t="n">
        <x:v>1.7521170141353857</x:v>
      </x:c>
      <x:c r="N196" s="11" t="n">
        <x:f>'Option source'!C445</x:f>
        <x:v>3273355</x:v>
      </x:c>
      <x:c r="O196" s="11" t="n">
        <x:f>'Option source'!G445</x:f>
        <x:v>11.67</x:v>
      </x:c>
      <x:c r="P196" s="11" t="n">
        <x:f>'Option source'!F445</x:f>
        <x:v>17</x:v>
      </x:c>
      <x:c r="Q196" s="1" t="str">
        <x:v>Screen passed; indicative</x:v>
      </x:c>
      <x:c r="R196" s="1" t="n">
        <x:v>440</x:v>
      </x:c>
    </x:row>
    <x:row r="197" ht="21" customHeight="1">
      <x:c r="A197" s="12" t="n">
        <x:v>46276</x:v>
      </x:c>
      <x:c r="B197" s="1" t="str">
        <x:v>GFGV4800OC</x:v>
      </x:c>
      <x:c r="C197" s="1" t="str">
        <x:v>put</x:v>
      </x:c>
      <x:c r="D197" s="11" t="n">
        <x:v>4800</x:v>
      </x:c>
      <x:c r="E197" s="11" t="n">
        <x:f>'Option source'!B559</x:f>
        <x:v>1.24</x:v>
      </x:c>
      <x:c r="F197" s="11" t="n">
        <x:v>7000</x:v>
      </x:c>
      <x:c r="G197" s="18" t="n">
        <x:v>35</x:v>
      </x:c>
      <x:c r="H197" s="11" t="n">
        <x:f>MAX(IF(C197="call",F197-D197,D197-F197),0)</x:f>
        <x:v>0</x:v>
      </x:c>
      <x:c r="I197" s="11" t="n">
        <x:f>E197-H197</x:f>
        <x:v>1.24</x:v>
      </x:c>
      <x:c r="J197" s="13" t="n">
        <x:f>D197/F197</x:f>
        <x:v>0.6857142857142857</x:v>
      </x:c>
      <x:c r="K197" s="13" t="n">
        <x:v>0.5016378356718061</x:v>
      </x:c>
      <x:c r="L197" s="17" t="n">
        <x:v>-0.0035542470503802104</x:v>
      </x:c>
      <x:c r="M197" s="17" t="n">
        <x:v>0.23098745537114979</x:v>
      </x:c>
      <x:c r="N197" s="11" t="n">
        <x:f>'Option source'!C559</x:f>
        <x:v>116816.3</x:v>
      </x:c>
      <x:c r="O197" s="11" t="n">
        <x:f>'Option source'!G559</x:f>
        <x:v>1.01</x:v>
      </x:c>
      <x:c r="P197" s="11" t="n">
        <x:f>'Option source'!F559</x:f>
        <x:v>1.89</x:v>
      </x:c>
      <x:c r="Q197" s="1" t="str">
        <x:v>Screen passed; indicative</x:v>
      </x:c>
      <x:c r="R197" s="1" t="n">
        <x:v>554</x:v>
      </x:c>
    </x:row>
    <x:row r="198" ht="21" customHeight="1">
      <x:c r="A198" s="12" t="n">
        <x:v>46276</x:v>
      </x:c>
      <x:c r="B198" s="1" t="str">
        <x:v>GFGV9200OC</x:v>
      </x:c>
      <x:c r="C198" s="1" t="str">
        <x:v>put</x:v>
      </x:c>
      <x:c r="D198" s="11" t="n">
        <x:v>9200</x:v>
      </x:c>
      <x:c r="E198" s="11" t="n">
        <x:f>'Option source'!B923</x:f>
        <x:v>1895</x:v>
      </x:c>
      <x:c r="F198" s="11" t="n">
        <x:v>7000</x:v>
      </x:c>
      <x:c r="G198" s="18" t="n">
        <x:v>35</x:v>
      </x:c>
      <x:c r="H198" s="11" t="n">
        <x:f>MAX(IF(C198="call",F198-D198,D198-F198),0)</x:f>
        <x:v>2200</x:v>
      </x:c>
      <x:c r="I198" s="11" t="n">
        <x:f>E198-H198</x:f>
        <x:v>-305</x:v>
      </x:c>
      <x:c r="J198" s="13" t="n">
        <x:f>D198/F198</x:f>
        <x:v>1.3142857142857143</x:v>
      </x:c>
      <x:c r="K198" s="13"/>
      <x:c r="L198" s="17"/>
      <x:c r="M198" s="17"/>
      <x:c r="N198" s="11" t="n">
        <x:f>'Option source'!C923</x:f>
        <x:v>189500</x:v>
      </x:c>
      <x:c r="O198" s="11" t="n">
        <x:f>'Option source'!G923</x:f>
        <x:v>0</x:v>
      </x:c>
      <x:c r="P198" s="11" t="n">
        <x:f>'Option source'!F923</x:f>
        <x:v>0</x:v>
      </x:c>
      <x:c r="Q198" s="1" t="str">
        <x:v>Price outside daily range; Below intrinsic value</x:v>
      </x:c>
      <x:c r="R198" s="1" t="n">
        <x:v>918</x:v>
      </x:c>
    </x:row>
    <x:row r="199" ht="21" customHeight="1">
      <x:c r="A199" s="12" t="n">
        <x:v>46276</x:v>
      </x:c>
      <x:c r="B199" s="1" t="str">
        <x:v>GFGC4600OC</x:v>
      </x:c>
      <x:c r="C199" s="1" t="str">
        <x:v>call</x:v>
      </x:c>
      <x:c r="D199" s="11" t="n">
        <x:v>4600</x:v>
      </x:c>
      <x:c r="E199" s="11" t="n">
        <x:f>'Option source'!B60</x:f>
        <x:v>2650</x:v>
      </x:c>
      <x:c r="F199" s="11" t="n">
        <x:v>7000</x:v>
      </x:c>
      <x:c r="G199" s="18" t="n">
        <x:v>35</x:v>
      </x:c>
      <x:c r="H199" s="11" t="n">
        <x:f>MAX(IF(C199="call",F199-D199,D199-F199),0)</x:f>
        <x:v>2400</x:v>
      </x:c>
      <x:c r="I199" s="11" t="n">
        <x:f>E199-H199</x:f>
        <x:v>250</x:v>
      </x:c>
      <x:c r="J199" s="13" t="n">
        <x:f>D199/F199</x:f>
        <x:v>0.6571428571428571</x:v>
      </x:c>
      <x:c r="K199" s="13"/>
      <x:c r="L199" s="17"/>
      <x:c r="M199" s="17"/>
      <x:c r="N199" s="11" t="n">
        <x:f>'Option source'!C60</x:f>
        <x:v>0</x:v>
      </x:c>
      <x:c r="O199" s="11" t="n">
        <x:f>'Option source'!G60</x:f>
        <x:v>2545.3</x:v>
      </x:c>
      <x:c r="P199" s="11" t="n">
        <x:f>'Option source'!F60</x:f>
        <x:v>2650</x:v>
      </x:c>
      <x:c r="Q199" s="1" t="str">
        <x:v>Zero reported volume</x:v>
      </x:c>
      <x:c r="R199" s="1" t="n">
        <x:v>55</x:v>
      </x:c>
    </x:row>
    <x:row r="200" ht="21" customHeight="1">
      <x:c r="A200" s="12" t="n">
        <x:v>46276</x:v>
      </x:c>
      <x:c r="B200" s="1" t="str">
        <x:v>GFGV4600OC</x:v>
      </x:c>
      <x:c r="C200" s="1" t="str">
        <x:v>put</x:v>
      </x:c>
      <x:c r="D200" s="11" t="n">
        <x:v>4600</x:v>
      </x:c>
      <x:c r="E200" s="11" t="n">
        <x:f>'Option source'!B540</x:f>
        <x:v>1.13</x:v>
      </x:c>
      <x:c r="F200" s="11" t="n">
        <x:v>7000</x:v>
      </x:c>
      <x:c r="G200" s="18" t="n">
        <x:v>35</x:v>
      </x:c>
      <x:c r="H200" s="11" t="n">
        <x:f>MAX(IF(C200="call",F200-D200,D200-F200),0)</x:f>
        <x:v>0</x:v>
      </x:c>
      <x:c r="I200" s="11" t="n">
        <x:f>E200-H200</x:f>
        <x:v>1.13</x:v>
      </x:c>
      <x:c r="J200" s="13" t="n">
        <x:f>D200/F200</x:f>
        <x:v>0.6571428571428571</x:v>
      </x:c>
      <x:c r="K200" s="13" t="n">
        <x:v>0.543936553451572</x:v>
      </x:c>
      <x:c r="L200" s="17" t="n">
        <x:v>-0.003001081635828573</x:v>
      </x:c>
      <x:c r="M200" s="17" t="n">
        <x:v>0.19838525235535154</x:v>
      </x:c>
      <x:c r="N200" s="11" t="n">
        <x:f>'Option source'!C540</x:f>
        <x:v>78715.2</x:v>
      </x:c>
      <x:c r="O200" s="11" t="n">
        <x:f>'Option source'!G540</x:f>
        <x:v>0.68</x:v>
      </x:c>
      <x:c r="P200" s="11" t="n">
        <x:f>'Option source'!F540</x:f>
        <x:v>1.3</x:v>
      </x:c>
      <x:c r="Q200" s="1" t="str">
        <x:v>Screen passed; indicative</x:v>
      </x:c>
      <x:c r="R200" s="1" t="n">
        <x:v>535</x:v>
      </x:c>
    </x:row>
    <x:row r="201" ht="21" customHeight="1">
      <x:c r="A201" s="12" t="n">
        <x:v>46276</x:v>
      </x:c>
      <x:c r="B201" s="1" t="str">
        <x:v>GFGC9500OC</x:v>
      </x:c>
      <x:c r="C201" s="1" t="str">
        <x:v>call</x:v>
      </x:c>
      <x:c r="D201" s="11" t="n">
        <x:v>9500</x:v>
      </x:c>
      <x:c r="E201" s="11" t="n">
        <x:f>'Option source'!B464</x:f>
        <x:v>7.92</x:v>
      </x:c>
      <x:c r="F201" s="11" t="n">
        <x:v>7000</x:v>
      </x:c>
      <x:c r="G201" s="18" t="n">
        <x:v>35</x:v>
      </x:c>
      <x:c r="H201" s="11" t="n">
        <x:f>MAX(IF(C201="call",F201-D201,D201-F201),0)</x:f>
        <x:v>0</x:v>
      </x:c>
      <x:c r="I201" s="11" t="n">
        <x:f>E201-H201</x:f>
        <x:v>7.92</x:v>
      </x:c>
      <x:c r="J201" s="13" t="n">
        <x:f>D201/F201</x:f>
        <x:v>1.3571428571428572</x:v>
      </x:c>
      <x:c r="K201" s="13" t="n">
        <x:v>0.4348186148947176</x:v>
      </x:c>
      <x:c r="L201" s="17" t="n">
        <x:v>0.023458456404594413</x:v>
      </x:c>
      <x:c r="M201" s="17" t="n">
        <x:v>1.2009335652254767</x:v>
      </x:c>
      <x:c r="N201" s="11" t="n">
        <x:f>'Option source'!C464</x:f>
        <x:v>2699418.75</x:v>
      </x:c>
      <x:c r="O201" s="11" t="n">
        <x:f>'Option source'!G464</x:f>
        <x:v>6.5</x:v>
      </x:c>
      <x:c r="P201" s="11" t="n">
        <x:f>'Option source'!F464</x:f>
        <x:v>10.55</x:v>
      </x:c>
      <x:c r="Q201" s="1" t="str">
        <x:v>Screen passed; indicative</x:v>
      </x:c>
      <x:c r="R201" s="1" t="n">
        <x:v>459</x:v>
      </x:c>
    </x:row>
    <x:row r="202" ht="21" customHeight="1">
      <x:c r="A202" s="12" t="n">
        <x:v>46276</x:v>
      </x:c>
      <x:c r="B202" s="1" t="str">
        <x:v>GFGC4400OC</x:v>
      </x:c>
      <x:c r="C202" s="1" t="str">
        <x:v>call</x:v>
      </x:c>
      <x:c r="D202" s="11" t="n">
        <x:v>4400</x:v>
      </x:c>
      <x:c r="E202" s="11" t="n">
        <x:f>'Option source'!B41</x:f>
        <x:v>2799.47</x:v>
      </x:c>
      <x:c r="F202" s="11" t="n">
        <x:v>7000</x:v>
      </x:c>
      <x:c r="G202" s="18" t="n">
        <x:v>35</x:v>
      </x:c>
      <x:c r="H202" s="11" t="n">
        <x:f>MAX(IF(C202="call",F202-D202,D202-F202),0)</x:f>
        <x:v>2600</x:v>
      </x:c>
      <x:c r="I202" s="11" t="n">
        <x:f>E202-H202</x:f>
        <x:v>199.4699999999998</x:v>
      </x:c>
      <x:c r="J202" s="13" t="n">
        <x:f>D202/F202</x:f>
        <x:v>0.6285714285714286</x:v>
      </x:c>
      <x:c r="K202" s="13"/>
      <x:c r="L202" s="17"/>
      <x:c r="M202" s="17"/>
      <x:c r="N202" s="11" t="n">
        <x:f>'Option source'!C41</x:f>
        <x:v>559893.38</x:v>
      </x:c>
      <x:c r="O202" s="11" t="n">
        <x:f>'Option source'!G41</x:f>
        <x:v>0</x:v>
      </x:c>
      <x:c r="P202" s="11" t="n">
        <x:f>'Option source'!F41</x:f>
        <x:v>0</x:v>
      </x:c>
      <x:c r="Q202" s="1" t="str">
        <x:v>Price outside daily range</x:v>
      </x:c>
      <x:c r="R202" s="1" t="n">
        <x:v>36</x:v>
      </x:c>
    </x:row>
    <x:row r="203" ht="21" customHeight="1">
      <x:c r="A203" s="12" t="n">
        <x:v>46276</x:v>
      </x:c>
      <x:c r="B203" s="1" t="str">
        <x:v>GFGV4400OC</x:v>
      </x:c>
      <x:c r="C203" s="1" t="str">
        <x:v>put</x:v>
      </x:c>
      <x:c r="D203" s="11" t="n">
        <x:v>4400</x:v>
      </x:c>
      <x:c r="E203" s="11" t="n">
        <x:f>'Option source'!B521</x:f>
        <x:v>0.89</x:v>
      </x:c>
      <x:c r="F203" s="11" t="n">
        <x:v>7000</x:v>
      </x:c>
      <x:c r="G203" s="18" t="n">
        <x:v>35</x:v>
      </x:c>
      <x:c r="H203" s="11" t="n">
        <x:f>MAX(IF(C203="call",F203-D203,D203-F203),0)</x:f>
        <x:v>0</x:v>
      </x:c>
      <x:c r="I203" s="11" t="n">
        <x:f>E203-H203</x:f>
        <x:v>0.89</x:v>
      </x:c>
      <x:c r="J203" s="13" t="n">
        <x:f>D203/F203</x:f>
        <x:v>0.6285714285714286</x:v>
      </x:c>
      <x:c r="K203" s="13" t="n">
        <x:v>0.5798862004611309</x:v>
      </x:c>
      <x:c r="L203" s="17" t="n">
        <x:v>-0.0022865665703397653</x:v>
      </x:c>
      <x:c r="M203" s="17" t="n">
        <x:v>0.15517570706351533</x:v>
      </x:c>
      <x:c r="N203" s="11" t="n">
        <x:f>'Option source'!C521</x:f>
        <x:v>64655.6</x:v>
      </x:c>
      <x:c r="O203" s="11" t="n">
        <x:f>'Option source'!G521</x:f>
        <x:v>0.63</x:v>
      </x:c>
      <x:c r="P203" s="11" t="n">
        <x:f>'Option source'!F521</x:f>
        <x:v>1.4</x:v>
      </x:c>
      <x:c r="Q203" s="1" t="str">
        <x:v>Screen passed; indicative</x:v>
      </x:c>
      <x:c r="R203" s="1" t="n">
        <x:v>516</x:v>
      </x:c>
    </x:row>
    <x:row r="204" ht="21" customHeight="1">
      <x:c r="A204" s="12" t="n">
        <x:v>46276</x:v>
      </x:c>
      <x:c r="B204" s="1" t="str">
        <x:v>GFGC4200OC</x:v>
      </x:c>
      <x:c r="C204" s="1" t="str">
        <x:v>call</x:v>
      </x:c>
      <x:c r="D204" s="11" t="n">
        <x:v>4200</x:v>
      </x:c>
      <x:c r="E204" s="11" t="n">
        <x:f>'Option source'!B22</x:f>
        <x:v>2956.52</x:v>
      </x:c>
      <x:c r="F204" s="11" t="n">
        <x:v>7000</x:v>
      </x:c>
      <x:c r="G204" s="18" t="n">
        <x:v>35</x:v>
      </x:c>
      <x:c r="H204" s="11" t="n">
        <x:f>MAX(IF(C204="call",F204-D204,D204-F204),0)</x:f>
        <x:v>2800</x:v>
      </x:c>
      <x:c r="I204" s="11" t="n">
        <x:f>E204-H204</x:f>
        <x:v>156.51999999999998</x:v>
      </x:c>
      <x:c r="J204" s="13" t="n">
        <x:f>D204/F204</x:f>
        <x:v>0.6</x:v>
      </x:c>
      <x:c r="K204" s="13" t="n">
        <x:v>1.0661577344641229</x:v>
      </x:c>
      <x:c r="L204" s="17" t="n">
        <x:v>0.9640277576837061</x:v>
      </x:c>
      <x:c r="M204" s="17" t="n">
        <x:v>1.7129846882634623</x:v>
      </x:c>
      <x:c r="N204" s="11" t="n">
        <x:f>'Option source'!C22</x:f>
        <x:v>2068912</x:v>
      </x:c>
      <x:c r="O204" s="11" t="n">
        <x:f>'Option source'!G22</x:f>
        <x:v>2950</x:v>
      </x:c>
      <x:c r="P204" s="11" t="n">
        <x:f>'Option source'!F22</x:f>
        <x:v>2956.52</x:v>
      </x:c>
      <x:c r="Q204" s="1" t="str">
        <x:v>Screen passed; indicative</x:v>
      </x:c>
      <x:c r="R204" s="1" t="n">
        <x:v>17</x:v>
      </x:c>
    </x:row>
    <x:row r="205" ht="21" customHeight="1">
      <x:c r="A205" s="12" t="n">
        <x:v>46276</x:v>
      </x:c>
      <x:c r="B205" s="1" t="str">
        <x:v>GFGV4200OC</x:v>
      </x:c>
      <x:c r="C205" s="1" t="str">
        <x:v>put</x:v>
      </x:c>
      <x:c r="D205" s="11" t="n">
        <x:v>4200</x:v>
      </x:c>
      <x:c r="E205" s="11" t="n">
        <x:f>'Option source'!B502</x:f>
        <x:v>0.59</x:v>
      </x:c>
      <x:c r="F205" s="11" t="n">
        <x:v>7000</x:v>
      </x:c>
      <x:c r="G205" s="18" t="n">
        <x:v>35</x:v>
      </x:c>
      <x:c r="H205" s="11" t="n">
        <x:f>MAX(IF(C205="call",F205-D205,D205-F205),0)</x:f>
        <x:v>0</x:v>
      </x:c>
      <x:c r="I205" s="11" t="n">
        <x:f>E205-H205</x:f>
        <x:v>0.59</x:v>
      </x:c>
      <x:c r="J205" s="13" t="n">
        <x:f>D205/F205</x:f>
        <x:v>0.6</x:v>
      </x:c>
      <x:c r="K205" s="13" t="n">
        <x:v>0.6067874933855456</x:v>
      </x:c>
      <x:c r="L205" s="17" t="n">
        <x:v>-0.0015101310913281374</x:v>
      </x:c>
      <x:c r="M205" s="17" t="n">
        <x:v>0.1064253330646564</x:v>
      </x:c>
      <x:c r="N205" s="11" t="n">
        <x:f>'Option source'!C502</x:f>
        <x:v>200943.59</x:v>
      </x:c>
      <x:c r="O205" s="11" t="n">
        <x:f>'Option source'!G502</x:f>
        <x:v>0.4</x:v>
      </x:c>
      <x:c r="P205" s="11" t="n">
        <x:f>'Option source'!F502</x:f>
        <x:v>0.95</x:v>
      </x:c>
      <x:c r="Q205" s="1" t="str">
        <x:v>Screen passed; indicative</x:v>
      </x:c>
      <x:c r="R205" s="1" t="n">
        <x:v>497</x:v>
      </x:c>
    </x:row>
    <x:row r="206" ht="21" customHeight="1">
      <x:c r="A206" s="12" t="n">
        <x:v>46276</x:v>
      </x:c>
      <x:c r="B206" s="1" t="str">
        <x:v>GFGC9900OC</x:v>
      </x:c>
      <x:c r="C206" s="1" t="str">
        <x:v>call</x:v>
      </x:c>
      <x:c r="D206" s="11" t="n">
        <x:v>9900</x:v>
      </x:c>
      <x:c r="E206" s="11" t="n">
        <x:f>'Option source'!B483</x:f>
        <x:v>4.41</x:v>
      </x:c>
      <x:c r="F206" s="11" t="n">
        <x:v>7000</x:v>
      </x:c>
      <x:c r="G206" s="18" t="n">
        <x:v>35</x:v>
      </x:c>
      <x:c r="H206" s="11" t="n">
        <x:f>MAX(IF(C206="call",F206-D206,D206-F206),0)</x:f>
        <x:v>0</x:v>
      </x:c>
      <x:c r="I206" s="11" t="n">
        <x:f>E206-H206</x:f>
        <x:v>4.41</x:v>
      </x:c>
      <x:c r="J206" s="13" t="n">
        <x:f>D206/F206</x:f>
        <x:v>1.4142857142857144</x:v>
      </x:c>
      <x:c r="K206" s="13" t="n">
        <x:v>0.44991223260640245</x:v>
      </x:c>
      <x:c r="L206" s="17" t="n">
        <x:v>0.013489493040706384</x:v>
      </x:c>
      <x:c r="M206" s="17" t="n">
        <x:v>0.7491653290851364</x:v>
      </x:c>
      <x:c r="N206" s="11" t="n">
        <x:f>'Option source'!C483</x:f>
        <x:v>2015890.88</x:v>
      </x:c>
      <x:c r="O206" s="11" t="n">
        <x:f>'Option source'!G483</x:f>
        <x:v>3.37</x:v>
      </x:c>
      <x:c r="P206" s="11" t="n">
        <x:f>'Option source'!F483</x:f>
        <x:v>6</x:v>
      </x:c>
      <x:c r="Q206" s="1" t="str">
        <x:v>Screen passed; indicative</x:v>
      </x:c>
      <x:c r="R206" s="1" t="n">
        <x:v>478</x:v>
      </x:c>
    </x:row>
    <x:row r="207" ht="21" customHeight="1">
      <x:c r="A207" s="12" t="n">
        <x:v>46275</x:v>
      </x:c>
      <x:c r="B207" s="1" t="str">
        <x:v>GFGC7200OC</x:v>
      </x:c>
      <x:c r="C207" s="1" t="str">
        <x:v>call</x:v>
      </x:c>
      <x:c r="D207" s="11" t="n">
        <x:v>7200</x:v>
      </x:c>
      <x:c r="E207" s="11" t="n">
        <x:f>'Option source'!B292</x:f>
        <x:v>423.4</x:v>
      </x:c>
      <x:c r="F207" s="11" t="n">
        <x:v>7145</x:v>
      </x:c>
      <x:c r="G207" s="18" t="n">
        <x:v>36</x:v>
      </x:c>
      <x:c r="H207" s="11" t="n">
        <x:f>MAX(IF(C207="call",F207-D207,D207-F207),0)</x:f>
        <x:v>0</x:v>
      </x:c>
      <x:c r="I207" s="11" t="n">
        <x:f>E207-H207</x:f>
        <x:v>423.4</x:v>
      </x:c>
      <x:c r="J207" s="13" t="n">
        <x:f>D207/F207</x:f>
        <x:v>1.0076976906927921</x:v>
      </x:c>
      <x:c r="K207" s="13" t="n">
        <x:v>0.38460584725382674</x:v>
      </x:c>
      <x:c r="L207" s="17" t="n">
        <x:v>0.5955621415959065</x:v>
      </x:c>
      <x:c r="M207" s="17" t="n">
        <x:v>8.693868424021671</x:v>
      </x:c>
      <x:c r="N207" s="11" t="n">
        <x:f>'Option source'!C292</x:f>
        <x:v>441164896</x:v>
      </x:c>
      <x:c r="O207" s="11" t="n">
        <x:f>'Option source'!G292</x:f>
        <x:v>376</x:v>
      </x:c>
      <x:c r="P207" s="11" t="n">
        <x:f>'Option source'!F292</x:f>
        <x:v>520</x:v>
      </x:c>
      <x:c r="Q207" s="1" t="str">
        <x:v>Screen passed; indicative</x:v>
      </x:c>
      <x:c r="R207" s="1" t="n">
        <x:v>287</x:v>
      </x:c>
    </x:row>
    <x:row r="208" ht="21" customHeight="1">
      <x:c r="A208" s="12" t="n">
        <x:v>46275</x:v>
      </x:c>
      <x:c r="B208" s="1" t="str">
        <x:v>GFGV7200OC</x:v>
      </x:c>
      <x:c r="C208" s="1" t="str">
        <x:v>put</x:v>
      </x:c>
      <x:c r="D208" s="11" t="n">
        <x:v>7200</x:v>
      </x:c>
      <x:c r="E208" s="11" t="n">
        <x:f>'Option source'!B786</x:f>
        <x:v>344.11</x:v>
      </x:c>
      <x:c r="F208" s="11" t="n">
        <x:v>7145</x:v>
      </x:c>
      <x:c r="G208" s="18" t="n">
        <x:v>36</x:v>
      </x:c>
      <x:c r="H208" s="11" t="n">
        <x:f>MAX(IF(C208="call",F208-D208,D208-F208),0)</x:f>
        <x:v>55</x:v>
      </x:c>
      <x:c r="I208" s="11" t="n">
        <x:f>E208-H208</x:f>
        <x:v>289.11</x:v>
      </x:c>
      <x:c r="J208" s="13" t="n">
        <x:f>D208/F208</x:f>
        <x:v>1.0076976906927921</x:v>
      </x:c>
      <x:c r="K208" s="13" t="n">
        <x:v>0.44467590041952987</x:v>
      </x:c>
      <x:c r="L208" s="17" t="n">
        <x:v>-0.41029225358532617</x:v>
      </x:c>
      <x:c r="M208" s="17" t="n">
        <x:v>8.724651921241168</x:v>
      </x:c>
      <x:c r="N208" s="11" t="n">
        <x:f>'Option source'!C786</x:f>
        <x:v>54197528</x:v>
      </x:c>
      <x:c r="O208" s="11" t="n">
        <x:f>'Option source'!G786</x:f>
        <x:v>301</x:v>
      </x:c>
      <x:c r="P208" s="11" t="n">
        <x:f>'Option source'!F786</x:f>
        <x:v>409.99</x:v>
      </x:c>
      <x:c r="Q208" s="1" t="str">
        <x:v>Screen passed; indicative</x:v>
      </x:c>
      <x:c r="R208" s="1" t="n">
        <x:v>781</x:v>
      </x:c>
    </x:row>
    <x:row r="209" ht="21" customHeight="1">
      <x:c r="A209" s="12" t="n">
        <x:v>46275</x:v>
      </x:c>
      <x:c r="B209" s="1" t="str">
        <x:v>GFGC7000OC</x:v>
      </x:c>
      <x:c r="C209" s="1" t="str">
        <x:v>call</x:v>
      </x:c>
      <x:c r="D209" s="11" t="n">
        <x:v>7000</x:v>
      </x:c>
      <x:c r="E209" s="11" t="n">
        <x:f>'Option source'!B273</x:f>
        <x:v>523.63</x:v>
      </x:c>
      <x:c r="F209" s="11" t="n">
        <x:v>7145</x:v>
      </x:c>
      <x:c r="G209" s="18" t="n">
        <x:v>36</x:v>
      </x:c>
      <x:c r="H209" s="11" t="n">
        <x:f>MAX(IF(C209="call",F209-D209,D209-F209),0)</x:f>
        <x:v>145</x:v>
      </x:c>
      <x:c r="I209" s="11" t="n">
        <x:f>E209-H209</x:f>
        <x:v>378.63</x:v>
      </x:c>
      <x:c r="J209" s="13" t="n">
        <x:f>D209/F209</x:f>
        <x:v>0.979706088173548</x:v>
      </x:c>
      <x:c r="K209" s="13" t="n">
        <x:v>0.36574869923644554</x:v>
      </x:c>
      <x:c r="L209" s="17" t="n">
        <x:v>0.6891790041560883</x:v>
      </x:c>
      <x:c r="M209" s="17" t="n">
        <x:v>7.925511963358023</x:v>
      </x:c>
      <x:c r="N209" s="11" t="n">
        <x:f>'Option source'!C273</x:f>
        <x:v>306754368</x:v>
      </x:c>
      <x:c r="O209" s="11" t="n">
        <x:f>'Option source'!G273</x:f>
        <x:v>467.75</x:v>
      </x:c>
      <x:c r="P209" s="11" t="n">
        <x:f>'Option source'!F273</x:f>
        <x:v>639</x:v>
      </x:c>
      <x:c r="Q209" s="1" t="str">
        <x:v>Screen passed; indicative</x:v>
      </x:c>
      <x:c r="R209" s="1" t="n">
        <x:v>268</x:v>
      </x:c>
    </x:row>
    <x:row r="210" ht="21" customHeight="1">
      <x:c r="A210" s="12" t="n">
        <x:v>46275</x:v>
      </x:c>
      <x:c r="B210" s="1" t="str">
        <x:v>GFGV7000OC</x:v>
      </x:c>
      <x:c r="C210" s="1" t="str">
        <x:v>put</x:v>
      </x:c>
      <x:c r="D210" s="11" t="n">
        <x:v>7000</x:v>
      </x:c>
      <x:c r="E210" s="11" t="n">
        <x:f>'Option source'!B767</x:f>
        <x:v>250.22</x:v>
      </x:c>
      <x:c r="F210" s="11" t="n">
        <x:v>7145</x:v>
      </x:c>
      <x:c r="G210" s="18" t="n">
        <x:v>36</x:v>
      </x:c>
      <x:c r="H210" s="11" t="n">
        <x:f>MAX(IF(C210="call",F210-D210,D210-F210),0)</x:f>
        <x:v>0</x:v>
      </x:c>
      <x:c r="I210" s="11" t="n">
        <x:f>E210-H210</x:f>
        <x:v>250.22</x:v>
      </x:c>
      <x:c r="J210" s="13" t="n">
        <x:f>D210/F210</x:f>
        <x:v>0.979706088173548</x:v>
      </x:c>
      <x:c r="K210" s="13" t="n">
        <x:v>0.44096168936355884</x:v>
      </x:c>
      <x:c r="L210" s="17" t="n">
        <x:v>-0.33325140278779</x:v>
      </x:c>
      <x:c r="M210" s="17" t="n">
        <x:v>8.158090007137334</x:v>
      </x:c>
      <x:c r="N210" s="11" t="n">
        <x:f>'Option source'!C767</x:f>
        <x:v>165734816</x:v>
      </x:c>
      <x:c r="O210" s="11" t="n">
        <x:f>'Option source'!G767</x:f>
        <x:v>211.08</x:v>
      </x:c>
      <x:c r="P210" s="11" t="n">
        <x:f>'Option source'!F767</x:f>
        <x:v>320</x:v>
      </x:c>
      <x:c r="Q210" s="1" t="str">
        <x:v>Screen passed; indicative</x:v>
      </x:c>
      <x:c r="R210" s="1" t="n">
        <x:v>762</x:v>
      </x:c>
    </x:row>
    <x:row r="211" ht="21" customHeight="1">
      <x:c r="A211" s="12" t="n">
        <x:v>46275</x:v>
      </x:c>
      <x:c r="B211" s="1" t="str">
        <x:v>GFGC7400OC</x:v>
      </x:c>
      <x:c r="C211" s="1" t="str">
        <x:v>call</x:v>
      </x:c>
      <x:c r="D211" s="11" t="n">
        <x:v>7400</x:v>
      </x:c>
      <x:c r="E211" s="11" t="n">
        <x:f>'Option source'!B311</x:f>
        <x:v>328.35</x:v>
      </x:c>
      <x:c r="F211" s="11" t="n">
        <x:v>7145</x:v>
      </x:c>
      <x:c r="G211" s="18" t="n">
        <x:v>36</x:v>
      </x:c>
      <x:c r="H211" s="11" t="n">
        <x:f>MAX(IF(C211="call",F211-D211,D211-F211),0)</x:f>
        <x:v>0</x:v>
      </x:c>
      <x:c r="I211" s="11" t="n">
        <x:f>E211-H211</x:f>
        <x:v>328.35</x:v>
      </x:c>
      <x:c r="J211" s="13" t="n">
        <x:f>D211/F211</x:f>
        <x:v>1.0356892932120363</x:v>
      </x:c>
      <x:c r="K211" s="13" t="n">
        <x:v>0.3874964348937107</x:v>
      </x:c>
      <x:c r="L211" s="17" t="n">
        <x:v>0.5063158147203141</x:v>
      </x:c>
      <x:c r="M211" s="17" t="n">
        <x:v>8.950817210268278</x:v>
      </x:c>
      <x:c r="N211" s="11" t="n">
        <x:f>'Option source'!C311</x:f>
        <x:v>352982912</x:v>
      </x:c>
      <x:c r="O211" s="11" t="n">
        <x:f>'Option source'!G311</x:f>
        <x:v>290</x:v>
      </x:c>
      <x:c r="P211" s="11" t="n">
        <x:f>'Option source'!F311</x:f>
        <x:v>410</x:v>
      </x:c>
      <x:c r="Q211" s="1" t="str">
        <x:v>Screen passed; indicative</x:v>
      </x:c>
      <x:c r="R211" s="1" t="n">
        <x:v>306</x:v>
      </x:c>
    </x:row>
    <x:row r="212" ht="21" customHeight="1">
      <x:c r="A212" s="12" t="n">
        <x:v>46275</x:v>
      </x:c>
      <x:c r="B212" s="1" t="str">
        <x:v>GFGV7400OC</x:v>
      </x:c>
      <x:c r="C212" s="1" t="str">
        <x:v>put</x:v>
      </x:c>
      <x:c r="D212" s="11" t="n">
        <x:v>7400</x:v>
      </x:c>
      <x:c r="E212" s="11" t="n">
        <x:f>'Option source'!B805</x:f>
        <x:v>451.44</x:v>
      </x:c>
      <x:c r="F212" s="11" t="n">
        <x:v>7145</x:v>
      </x:c>
      <x:c r="G212" s="18" t="n">
        <x:v>36</x:v>
      </x:c>
      <x:c r="H212" s="11" t="n">
        <x:f>MAX(IF(C212="call",F212-D212,D212-F212),0)</x:f>
        <x:v>255</x:v>
      </x:c>
      <x:c r="I212" s="11" t="n">
        <x:f>E212-H212</x:f>
        <x:v>196.44</x:v>
      </x:c>
      <x:c r="J212" s="13" t="n">
        <x:f>D212/F212</x:f>
        <x:v>1.0356892932120363</x:v>
      </x:c>
      <x:c r="K212" s="13" t="n">
        <x:v>0.4438628334162221</x:v>
      </x:c>
      <x:c r="L212" s="17" t="n">
        <x:v>-0.4878741617667317</x:v>
      </x:c>
      <x:c r="M212" s="17" t="n">
        <x:v>8.947803598948957</x:v>
      </x:c>
      <x:c r="N212" s="11" t="n">
        <x:f>'Option source'!C805</x:f>
        <x:v>67544864</x:v>
      </x:c>
      <x:c r="O212" s="11" t="n">
        <x:f>'Option source'!G805</x:f>
        <x:v>400</x:v>
      </x:c>
      <x:c r="P212" s="11" t="n">
        <x:f>'Option source'!F805</x:f>
        <x:v>483.86</x:v>
      </x:c>
      <x:c r="Q212" s="1" t="str">
        <x:v>Screen passed; indicative</x:v>
      </x:c>
      <x:c r="R212" s="1" t="n">
        <x:v>800</x:v>
      </x:c>
    </x:row>
    <x:row r="213" ht="21" customHeight="1">
      <x:c r="A213" s="12" t="n">
        <x:v>46275</x:v>
      </x:c>
      <x:c r="B213" s="1" t="str">
        <x:v>GFGC6800OC</x:v>
      </x:c>
      <x:c r="C213" s="1" t="str">
        <x:v>call</x:v>
      </x:c>
      <x:c r="D213" s="11" t="n">
        <x:v>6800</x:v>
      </x:c>
      <x:c r="E213" s="11" t="n">
        <x:f>'Option source'!B254</x:f>
        <x:v>648.79</x:v>
      </x:c>
      <x:c r="F213" s="11" t="n">
        <x:v>7145</x:v>
      </x:c>
      <x:c r="G213" s="18" t="n">
        <x:v>36</x:v>
      </x:c>
      <x:c r="H213" s="11" t="n">
        <x:f>MAX(IF(C213="call",F213-D213,D213-F213),0)</x:f>
        <x:v>345</x:v>
      </x:c>
      <x:c r="I213" s="11" t="n">
        <x:f>E213-H213</x:f>
        <x:v>303.78999999999996</x:v>
      </x:c>
      <x:c r="J213" s="13" t="n">
        <x:f>D213/F213</x:f>
        <x:v>0.9517144856543037</x:v>
      </x:c>
      <x:c r="K213" s="13" t="n">
        <x:v>0.3519030849503851</x:v>
      </x:c>
      <x:c r="L213" s="17" t="n">
        <x:v>0.7795870985582277</x:v>
      </x:c>
      <x:c r="M213" s="17" t="n">
        <x:v>6.651246322250708</x:v>
      </x:c>
      <x:c r="N213" s="11" t="n">
        <x:f>'Option source'!C254</x:f>
        <x:v>107303256</x:v>
      </x:c>
      <x:c r="O213" s="11" t="n">
        <x:f>'Option source'!G254</x:f>
        <x:v>593.36</x:v>
      </x:c>
      <x:c r="P213" s="11" t="n">
        <x:f>'Option source'!F254</x:f>
        <x:v>760</x:v>
      </x:c>
      <x:c r="Q213" s="1" t="str">
        <x:v>Screen passed; indicative</x:v>
      </x:c>
      <x:c r="R213" s="1" t="n">
        <x:v>249</x:v>
      </x:c>
    </x:row>
    <x:row r="214" ht="21" customHeight="1">
      <x:c r="A214" s="12" t="n">
        <x:v>46275</x:v>
      </x:c>
      <x:c r="B214" s="1" t="str">
        <x:v>GFGV6800OC</x:v>
      </x:c>
      <x:c r="C214" s="1" t="str">
        <x:v>put</x:v>
      </x:c>
      <x:c r="D214" s="11" t="n">
        <x:v>6800</x:v>
      </x:c>
      <x:c r="E214" s="11" t="n">
        <x:f>'Option source'!B748</x:f>
        <x:v>180.26</x:v>
      </x:c>
      <x:c r="F214" s="11" t="n">
        <x:v>7145</x:v>
      </x:c>
      <x:c r="G214" s="18" t="n">
        <x:v>36</x:v>
      </x:c>
      <x:c r="H214" s="11" t="n">
        <x:f>MAX(IF(C214="call",F214-D214,D214-F214),0)</x:f>
        <x:v>0</x:v>
      </x:c>
      <x:c r="I214" s="11" t="n">
        <x:f>E214-H214</x:f>
        <x:v>180.26</x:v>
      </x:c>
      <x:c r="J214" s="13" t="n">
        <x:f>D214/F214</x:f>
        <x:v>0.9517144856543037</x:v>
      </x:c>
      <x:c r="K214" s="13" t="n">
        <x:v>0.44388046774100587</x:v>
      </x:c>
      <x:c r="L214" s="17" t="n">
        <x:v>-0.26207099642880216</x:v>
      </x:c>
      <x:c r="M214" s="17" t="n">
        <x:v>7.308239673479715</x:v>
      </x:c>
      <x:c r="N214" s="11" t="n">
        <x:f>'Option source'!C748</x:f>
        <x:v>181138896</x:v>
      </x:c>
      <x:c r="O214" s="11" t="n">
        <x:f>'Option source'!G748</x:f>
        <x:v>148</x:v>
      </x:c>
      <x:c r="P214" s="11" t="n">
        <x:f>'Option source'!F748</x:f>
        <x:v>224</x:v>
      </x:c>
      <x:c r="Q214" s="1" t="str">
        <x:v>Screen passed; indicative</x:v>
      </x:c>
      <x:c r="R214" s="1" t="n">
        <x:v>743</x:v>
      </x:c>
    </x:row>
    <x:row r="215" ht="21" customHeight="1">
      <x:c r="A215" s="12" t="n">
        <x:v>46275</x:v>
      </x:c>
      <x:c r="B215" s="1" t="str">
        <x:v>GFGC7600OC</x:v>
      </x:c>
      <x:c r="C215" s="1" t="str">
        <x:v>call</x:v>
      </x:c>
      <x:c r="D215" s="11" t="n">
        <x:v>7600</x:v>
      </x:c>
      <x:c r="E215" s="11" t="n">
        <x:f>'Option source'!B330</x:f>
        <x:v>254.8</x:v>
      </x:c>
      <x:c r="F215" s="11" t="n">
        <x:v>7145</x:v>
      </x:c>
      <x:c r="G215" s="18" t="n">
        <x:v>36</x:v>
      </x:c>
      <x:c r="H215" s="11" t="n">
        <x:f>MAX(IF(C215="call",F215-D215,D215-F215),0)</x:f>
        <x:v>0</x:v>
      </x:c>
      <x:c r="I215" s="11" t="n">
        <x:f>E215-H215</x:f>
        <x:v>254.8</x:v>
      </x:c>
      <x:c r="J215" s="13" t="n">
        <x:f>D215/F215</x:f>
        <x:v>1.0636808957312807</x:v>
      </x:c>
      <x:c r="K215" s="13" t="n">
        <x:v>0.39544032617662644</x:v>
      </x:c>
      <x:c r="L215" s="17" t="n">
        <x:v>0.4220099752048865</x:v>
      </x:c>
      <x:c r="M215" s="17" t="n">
        <x:v>8.78033068430149</x:v>
      </x:c>
      <x:c r="N215" s="11" t="n">
        <x:f>'Option source'!C330</x:f>
        <x:v>737521280</x:v>
      </x:c>
      <x:c r="O215" s="11" t="n">
        <x:f>'Option source'!G330</x:f>
        <x:v>210</x:v>
      </x:c>
      <x:c r="P215" s="11" t="n">
        <x:f>'Option source'!F330</x:f>
        <x:v>325</x:v>
      </x:c>
      <x:c r="Q215" s="1" t="str">
        <x:v>Screen passed; indicative</x:v>
      </x:c>
      <x:c r="R215" s="1" t="n">
        <x:v>325</x:v>
      </x:c>
    </x:row>
    <x:row r="216" ht="21" customHeight="1">
      <x:c r="A216" s="12" t="n">
        <x:v>46275</x:v>
      </x:c>
      <x:c r="B216" s="1" t="str">
        <x:v>GFGV7600OC</x:v>
      </x:c>
      <x:c r="C216" s="1" t="str">
        <x:v>put</x:v>
      </x:c>
      <x:c r="D216" s="11" t="n">
        <x:v>7600</x:v>
      </x:c>
      <x:c r="E216" s="11" t="n">
        <x:f>'Option source'!B824</x:f>
        <x:v>569.29</x:v>
      </x:c>
      <x:c r="F216" s="11" t="n">
        <x:v>7145</x:v>
      </x:c>
      <x:c r="G216" s="18" t="n">
        <x:v>36</x:v>
      </x:c>
      <x:c r="H216" s="11" t="n">
        <x:f>MAX(IF(C216="call",F216-D216,D216-F216),0)</x:f>
        <x:v>455</x:v>
      </x:c>
      <x:c r="I216" s="11" t="n">
        <x:f>E216-H216</x:f>
        <x:v>114.28999999999996</x:v>
      </x:c>
      <x:c r="J216" s="13" t="n">
        <x:f>D216/F216</x:f>
        <x:v>1.0636808957312807</x:v>
      </x:c>
      <x:c r="K216" s="13" t="n">
        <x:v>0.43282914056803046</x:v>
      </x:c>
      <x:c r="L216" s="17" t="n">
        <x:v>-0.5669141029444723</x:v>
      </x:c>
      <x:c r="M216" s="17" t="n">
        <x:v>8.825719688930675</x:v>
      </x:c>
      <x:c r="N216" s="11" t="n">
        <x:f>'Option source'!C824</x:f>
        <x:v>3364062.75</x:v>
      </x:c>
      <x:c r="O216" s="11" t="n">
        <x:f>'Option source'!G824</x:f>
        <x:v>475.14</x:v>
      </x:c>
      <x:c r="P216" s="11" t="n">
        <x:f>'Option source'!F824</x:f>
        <x:v>615</x:v>
      </x:c>
      <x:c r="Q216" s="1" t="str">
        <x:v>Screen passed; indicative</x:v>
      </x:c>
      <x:c r="R216" s="1" t="n">
        <x:v>819</x:v>
      </x:c>
    </x:row>
    <x:row r="217" ht="21" customHeight="1">
      <x:c r="A217" s="12" t="n">
        <x:v>46275</x:v>
      </x:c>
      <x:c r="B217" s="1" t="str">
        <x:v>GFGC6600OC</x:v>
      </x:c>
      <x:c r="C217" s="1" t="str">
        <x:v>call</x:v>
      </x:c>
      <x:c r="D217" s="11" t="n">
        <x:v>6600</x:v>
      </x:c>
      <x:c r="E217" s="11" t="n">
        <x:f>'Option source'!B235</x:f>
        <x:v>763.51</x:v>
      </x:c>
      <x:c r="F217" s="11" t="n">
        <x:v>7145</x:v>
      </x:c>
      <x:c r="G217" s="18" t="n">
        <x:v>36</x:v>
      </x:c>
      <x:c r="H217" s="11" t="n">
        <x:f>MAX(IF(C217="call",F217-D217,D217-F217),0)</x:f>
        <x:v>545</x:v>
      </x:c>
      <x:c r="I217" s="11" t="n">
        <x:f>E217-H217</x:f>
        <x:v>218.51</x:v>
      </x:c>
      <x:c r="J217" s="13" t="n">
        <x:f>D217/F217</x:f>
        <x:v>0.9237228831350595</x:v>
      </x:c>
      <x:c r="K217" s="13" t="n">
        <x:v>0.267597424009058</x:v>
      </x:c>
      <x:c r="L217" s="17" t="n">
        <x:v>0.909586441664995</x:v>
      </x:c>
      <x:c r="M217" s="17" t="n">
        <x:v>3.6563433911222023</x:v>
      </x:c>
      <x:c r="N217" s="11" t="n">
        <x:f>'Option source'!C235</x:f>
        <x:v>74862256</x:v>
      </x:c>
      <x:c r="O217" s="11" t="n">
        <x:f>'Option source'!G235</x:f>
        <x:v>725</x:v>
      </x:c>
      <x:c r="P217" s="11" t="n">
        <x:f>'Option source'!F235</x:f>
        <x:v>910</x:v>
      </x:c>
      <x:c r="Q217" s="1" t="str">
        <x:v>Screen passed; indicative</x:v>
      </x:c>
      <x:c r="R217" s="1" t="n">
        <x:v>230</x:v>
      </x:c>
    </x:row>
    <x:row r="218" ht="21" customHeight="1">
      <x:c r="A218" s="12" t="n">
        <x:v>46275</x:v>
      </x:c>
      <x:c r="B218" s="1" t="str">
        <x:v>GFGV6600OC</x:v>
      </x:c>
      <x:c r="C218" s="1" t="str">
        <x:v>put</x:v>
      </x:c>
      <x:c r="D218" s="11" t="n">
        <x:v>6600</x:v>
      </x:c>
      <x:c r="E218" s="11" t="n">
        <x:f>'Option source'!B729</x:f>
        <x:v>119.26</x:v>
      </x:c>
      <x:c r="F218" s="11" t="n">
        <x:v>7145</x:v>
      </x:c>
      <x:c r="G218" s="18" t="n">
        <x:v>36</x:v>
      </x:c>
      <x:c r="H218" s="11" t="n">
        <x:f>MAX(IF(C218="call",F218-D218,D218-F218),0)</x:f>
        <x:v>0</x:v>
      </x:c>
      <x:c r="I218" s="11" t="n">
        <x:f>E218-H218</x:f>
        <x:v>119.26</x:v>
      </x:c>
      <x:c r="J218" s="13" t="n">
        <x:f>D218/F218</x:f>
        <x:v>0.9237228831350595</x:v>
      </x:c>
      <x:c r="K218" s="13" t="n">
        <x:v>0.4380841879551995</x:v>
      </x:c>
      <x:c r="L218" s="17" t="n">
        <x:v>-0.1947424894455998</x:v>
      </x:c>
      <x:c r="M218" s="17" t="n">
        <x:v>6.181713635860686</x:v>
      </x:c>
      <x:c r="N218" s="11" t="n">
        <x:f>'Option source'!C729</x:f>
        <x:v>110005104</x:v>
      </x:c>
      <x:c r="O218" s="11" t="n">
        <x:f>'Option source'!G729</x:f>
        <x:v>101</x:v>
      </x:c>
      <x:c r="P218" s="11" t="n">
        <x:f>'Option source'!F729</x:f>
        <x:v>163</x:v>
      </x:c>
      <x:c r="Q218" s="1" t="str">
        <x:v>Screen passed; indicative</x:v>
      </x:c>
      <x:c r="R218" s="1" t="n">
        <x:v>724</x:v>
      </x:c>
    </x:row>
    <x:row r="219" ht="21" customHeight="1">
      <x:c r="A219" s="12" t="n">
        <x:v>46275</x:v>
      </x:c>
      <x:c r="B219" s="1" t="str">
        <x:v>GFGC7800OC</x:v>
      </x:c>
      <x:c r="C219" s="1" t="str">
        <x:v>call</x:v>
      </x:c>
      <x:c r="D219" s="11" t="n">
        <x:v>7800</x:v>
      </x:c>
      <x:c r="E219" s="11" t="n">
        <x:f>'Option source'!B349</x:f>
        <x:v>197.85</x:v>
      </x:c>
      <x:c r="F219" s="11" t="n">
        <x:v>7145</x:v>
      </x:c>
      <x:c r="G219" s="18" t="n">
        <x:v>36</x:v>
      </x:c>
      <x:c r="H219" s="11" t="n">
        <x:f>MAX(IF(C219="call",F219-D219,D219-F219),0)</x:f>
        <x:v>0</x:v>
      </x:c>
      <x:c r="I219" s="11" t="n">
        <x:f>E219-H219</x:f>
        <x:v>197.85</x:v>
      </x:c>
      <x:c r="J219" s="13" t="n">
        <x:f>D219/F219</x:f>
        <x:v>1.0916724982505248</x:v>
      </x:c>
      <x:c r="K219" s="13" t="n">
        <x:v>0.4053167850624924</x:v>
      </x:c>
      <x:c r="L219" s="17" t="n">
        <x:v>0.3471749479870395</x:v>
      </x:c>
      <x:c r="M219" s="17" t="n">
        <x:v>8.286783084546123</x:v>
      </x:c>
      <x:c r="N219" s="11" t="n">
        <x:f>'Option source'!C349</x:f>
        <x:v>189548272</x:v>
      </x:c>
      <x:c r="O219" s="11" t="n">
        <x:f>'Option source'!G349</x:f>
        <x:v>164.99</x:v>
      </x:c>
      <x:c r="P219" s="11" t="n">
        <x:f>'Option source'!F349</x:f>
        <x:v>249.89</x:v>
      </x:c>
      <x:c r="Q219" s="1" t="str">
        <x:v>Screen passed; indicative</x:v>
      </x:c>
      <x:c r="R219" s="1" t="n">
        <x:v>344</x:v>
      </x:c>
    </x:row>
    <x:row r="220" ht="21" customHeight="1">
      <x:c r="A220" s="12" t="n">
        <x:v>46275</x:v>
      </x:c>
      <x:c r="B220" s="1" t="str">
        <x:v>GFGV7800OC</x:v>
      </x:c>
      <x:c r="C220" s="1" t="str">
        <x:v>put</x:v>
      </x:c>
      <x:c r="D220" s="11" t="n">
        <x:v>7800</x:v>
      </x:c>
      <x:c r="E220" s="11" t="n">
        <x:f>'Option source'!B843</x:f>
        <x:v>720</x:v>
      </x:c>
      <x:c r="F220" s="11" t="n">
        <x:v>7145</x:v>
      </x:c>
      <x:c r="G220" s="18" t="n">
        <x:v>36</x:v>
      </x:c>
      <x:c r="H220" s="11" t="n">
        <x:f>MAX(IF(C220="call",F220-D220,D220-F220),0)</x:f>
        <x:v>655</x:v>
      </x:c>
      <x:c r="I220" s="11" t="n">
        <x:f>E220-H220</x:f>
        <x:v>65</x:v>
      </x:c>
      <x:c r="J220" s="13" t="n">
        <x:f>D220/F220</x:f>
        <x:v>1.0916724982505248</x:v>
      </x:c>
      <x:c r="K220" s="13"/>
      <x:c r="L220" s="17"/>
      <x:c r="M220" s="17"/>
      <x:c r="N220" s="11" t="n">
        <x:f>'Option source'!C843</x:f>
        <x:v>144000</x:v>
      </x:c>
      <x:c r="O220" s="11" t="n">
        <x:f>'Option source'!G843</x:f>
        <x:v>0</x:v>
      </x:c>
      <x:c r="P220" s="11" t="n">
        <x:f>'Option source'!F843</x:f>
        <x:v>0</x:v>
      </x:c>
      <x:c r="Q220" s="1" t="str">
        <x:v>Price outside daily range</x:v>
      </x:c>
      <x:c r="R220" s="1" t="n">
        <x:v>838</x:v>
      </x:c>
    </x:row>
    <x:row r="221" ht="21" customHeight="1">
      <x:c r="A221" s="12" t="n">
        <x:v>46275</x:v>
      </x:c>
      <x:c r="B221" s="1" t="str">
        <x:v>GFGC6400OC</x:v>
      </x:c>
      <x:c r="C221" s="1" t="str">
        <x:v>call</x:v>
      </x:c>
      <x:c r="D221" s="11" t="n">
        <x:v>6400</x:v>
      </x:c>
      <x:c r="E221" s="11" t="n">
        <x:f>'Option source'!B216</x:f>
        <x:v>945</x:v>
      </x:c>
      <x:c r="F221" s="11" t="n">
        <x:v>7145</x:v>
      </x:c>
      <x:c r="G221" s="18" t="n">
        <x:v>36</x:v>
      </x:c>
      <x:c r="H221" s="11" t="n">
        <x:f>MAX(IF(C221="call",F221-D221,D221-F221),0)</x:f>
        <x:v>745</x:v>
      </x:c>
      <x:c r="I221" s="11" t="n">
        <x:f>E221-H221</x:f>
        <x:v>200</x:v>
      </x:c>
      <x:c r="J221" s="13" t="n">
        <x:f>D221/F221</x:f>
        <x:v>0.8957312806158153</x:v>
      </x:c>
      <x:c r="K221" s="13" t="n">
        <x:v>0.27755926427757954</x:v>
      </x:c>
      <x:c r="L221" s="17" t="n">
        <x:v>0.950145725257593</x:v>
      </x:c>
      <x:c r="M221" s="17" t="n">
        <x:v>2.3088986555143323</x:v>
      </x:c>
      <x:c r="N221" s="11" t="n">
        <x:f>'Option source'!C216</x:f>
        <x:v>4725870</x:v>
      </x:c>
      <x:c r="O221" s="11" t="n">
        <x:f>'Option source'!G216</x:f>
        <x:v>889.84</x:v>
      </x:c>
      <x:c r="P221" s="11" t="n">
        <x:f>'Option source'!F216</x:f>
        <x:v>1031.95</x:v>
      </x:c>
      <x:c r="Q221" s="1" t="str">
        <x:v>Screen passed; indicative</x:v>
      </x:c>
      <x:c r="R221" s="1" t="n">
        <x:v>211</x:v>
      </x:c>
    </x:row>
    <x:row r="222" ht="21" customHeight="1">
      <x:c r="A222" s="12" t="n">
        <x:v>46275</x:v>
      </x:c>
      <x:c r="B222" s="1" t="str">
        <x:v>GFGV6400OC</x:v>
      </x:c>
      <x:c r="C222" s="1" t="str">
        <x:v>put</x:v>
      </x:c>
      <x:c r="D222" s="11" t="n">
        <x:v>6400</x:v>
      </x:c>
      <x:c r="E222" s="11" t="n">
        <x:f>'Option source'!B710</x:f>
        <x:v>79.55</x:v>
      </x:c>
      <x:c r="F222" s="11" t="n">
        <x:v>7145</x:v>
      </x:c>
      <x:c r="G222" s="18" t="n">
        <x:v>36</x:v>
      </x:c>
      <x:c r="H222" s="11" t="n">
        <x:f>MAX(IF(C222="call",F222-D222,D222-F222),0)</x:f>
        <x:v>0</x:v>
      </x:c>
      <x:c r="I222" s="11" t="n">
        <x:f>E222-H222</x:f>
        <x:v>79.55</x:v>
      </x:c>
      <x:c r="J222" s="13" t="n">
        <x:f>D222/F222</x:f>
        <x:v>0.8957312806158153</x:v>
      </x:c>
      <x:c r="K222" s="13" t="n">
        <x:v>0.44149844807537086</x:v>
      </x:c>
      <x:c r="L222" s="17" t="n">
        <x:v>-0.14076350732728304</x:v>
      </x:c>
      <x:c r="M222" s="17" t="n">
        <x:v>5.01291885654781</x:v>
      </x:c>
      <x:c r="N222" s="11" t="n">
        <x:f>'Option source'!C710</x:f>
        <x:v>62363836</x:v>
      </x:c>
      <x:c r="O222" s="11" t="n">
        <x:f>'Option source'!G710</x:f>
        <x:v>65.39</x:v>
      </x:c>
      <x:c r="P222" s="11" t="n">
        <x:f>'Option source'!F710</x:f>
        <x:v>101</x:v>
      </x:c>
      <x:c r="Q222" s="1" t="str">
        <x:v>Screen passed; indicative</x:v>
      </x:c>
      <x:c r="R222" s="1" t="n">
        <x:v>705</x:v>
      </x:c>
    </x:row>
    <x:row r="223" ht="21" customHeight="1">
      <x:c r="A223" s="12" t="n">
        <x:v>46275</x:v>
      </x:c>
      <x:c r="B223" s="1" t="str">
        <x:v>GFGC8000OC</x:v>
      </x:c>
      <x:c r="C223" s="1" t="str">
        <x:v>call</x:v>
      </x:c>
      <x:c r="D223" s="11" t="n">
        <x:v>8000</x:v>
      </x:c>
      <x:c r="E223" s="11" t="n">
        <x:f>'Option source'!B368</x:f>
        <x:v>146.4</x:v>
      </x:c>
      <x:c r="F223" s="11" t="n">
        <x:v>7145</x:v>
      </x:c>
      <x:c r="G223" s="18" t="n">
        <x:v>36</x:v>
      </x:c>
      <x:c r="H223" s="11" t="n">
        <x:f>MAX(IF(C223="call",F223-D223,D223-F223),0)</x:f>
        <x:v>0</x:v>
      </x:c>
      <x:c r="I223" s="11" t="n">
        <x:f>E223-H223</x:f>
        <x:v>146.4</x:v>
      </x:c>
      <x:c r="J223" s="13" t="n">
        <x:f>D223/F223</x:f>
        <x:v>1.119664100769769</x:v>
      </x:c>
      <x:c r="K223" s="13" t="n">
        <x:v>0.40607893946355</x:v>
      </x:c>
      <x:c r="L223" s="17" t="n">
        <x:v>0.27742601624131824</x:v>
      </x:c>
      <x:c r="M223" s="17" t="n">
        <x:v>7.519668060562026</x:v>
      </x:c>
      <x:c r="N223" s="11" t="n">
        <x:f>'Option source'!C368</x:f>
        <x:v>427703968</x:v>
      </x:c>
      <x:c r="O223" s="11" t="n">
        <x:f>'Option source'!G368</x:f>
        <x:v>120</x:v>
      </x:c>
      <x:c r="P223" s="11" t="n">
        <x:f>'Option source'!F368</x:f>
        <x:v>185</x:v>
      </x:c>
      <x:c r="Q223" s="1" t="str">
        <x:v>Screen passed; indicative</x:v>
      </x:c>
      <x:c r="R223" s="1" t="n">
        <x:v>363</x:v>
      </x:c>
    </x:row>
    <x:row r="224" ht="21" customHeight="1">
      <x:c r="A224" s="12" t="n">
        <x:v>46275</x:v>
      </x:c>
      <x:c r="B224" s="1" t="str">
        <x:v>GFGV8000OC</x:v>
      </x:c>
      <x:c r="C224" s="1" t="str">
        <x:v>put</x:v>
      </x:c>
      <x:c r="D224" s="11" t="n">
        <x:v>8000</x:v>
      </x:c>
      <x:c r="E224" s="11" t="n">
        <x:f>'Option source'!B862</x:f>
        <x:v>835</x:v>
      </x:c>
      <x:c r="F224" s="11" t="n">
        <x:v>7145</x:v>
      </x:c>
      <x:c r="G224" s="18" t="n">
        <x:v>36</x:v>
      </x:c>
      <x:c r="H224" s="11" t="n">
        <x:f>MAX(IF(C224="call",F224-D224,D224-F224),0)</x:f>
        <x:v>855</x:v>
      </x:c>
      <x:c r="I224" s="11" t="n">
        <x:f>E224-H224</x:f>
        <x:v>-20</x:v>
      </x:c>
      <x:c r="J224" s="13" t="n">
        <x:f>D224/F224</x:f>
        <x:v>1.119664100769769</x:v>
      </x:c>
      <x:c r="K224" s="13"/>
      <x:c r="L224" s="17"/>
      <x:c r="M224" s="17"/>
      <x:c r="N224" s="11" t="n">
        <x:f>'Option source'!C862</x:f>
        <x:v>167000</x:v>
      </x:c>
      <x:c r="O224" s="11" t="n">
        <x:f>'Option source'!G862</x:f>
        <x:v>850</x:v>
      </x:c>
      <x:c r="P224" s="11" t="n">
        <x:f>'Option source'!F862</x:f>
        <x:v>850</x:v>
      </x:c>
      <x:c r="Q224" s="1" t="str">
        <x:v>Price outside daily range; Below intrinsic value</x:v>
      </x:c>
      <x:c r="R224" s="1" t="n">
        <x:v>857</x:v>
      </x:c>
    </x:row>
    <x:row r="225" ht="21" customHeight="1">
      <x:c r="A225" s="12" t="n">
        <x:v>46275</x:v>
      </x:c>
      <x:c r="B225" s="1" t="str">
        <x:v>GFGC6200OC</x:v>
      </x:c>
      <x:c r="C225" s="1" t="str">
        <x:v>call</x:v>
      </x:c>
      <x:c r="D225" s="11" t="n">
        <x:v>6200</x:v>
      </x:c>
      <x:c r="E225" s="11" t="n">
        <x:f>'Option source'!B197</x:f>
        <x:v>1112.5</x:v>
      </x:c>
      <x:c r="F225" s="11" t="n">
        <x:v>7145</x:v>
      </x:c>
      <x:c r="G225" s="18" t="n">
        <x:v>36</x:v>
      </x:c>
      <x:c r="H225" s="11" t="n">
        <x:f>MAX(IF(C225="call",F225-D225,D225-F225),0)</x:f>
        <x:v>945</x:v>
      </x:c>
      <x:c r="I225" s="11" t="n">
        <x:f>E225-H225</x:f>
        <x:v>167.5</x:v>
      </x:c>
      <x:c r="J225" s="13" t="n">
        <x:f>D225/F225</x:f>
        <x:v>0.867739678096571</x:v>
      </x:c>
      <x:c r="K225" s="13"/>
      <x:c r="L225" s="17"/>
      <x:c r="M225" s="17"/>
      <x:c r="N225" s="11" t="n">
        <x:f>'Option source'!C197</x:f>
        <x:v>2148986.75</x:v>
      </x:c>
      <x:c r="O225" s="11" t="n">
        <x:f>'Option source'!G197</x:f>
        <x:v>1036.93</x:v>
      </x:c>
      <x:c r="P225" s="11" t="n">
        <x:f>'Option source'!F197</x:f>
        <x:v>1180.1</x:v>
      </x:c>
      <x:c r="Q225" s="1" t="str">
        <x:v>No stable model IV</x:v>
      </x:c>
      <x:c r="R225" s="1" t="n">
        <x:v>192</x:v>
      </x:c>
    </x:row>
    <x:row r="226" ht="21" customHeight="1">
      <x:c r="A226" s="12" t="n">
        <x:v>46275</x:v>
      </x:c>
      <x:c r="B226" s="1" t="str">
        <x:v>GFGV6200OC</x:v>
      </x:c>
      <x:c r="C226" s="1" t="str">
        <x:v>put</x:v>
      </x:c>
      <x:c r="D226" s="11" t="n">
        <x:v>6200</x:v>
      </x:c>
      <x:c r="E226" s="11" t="n">
        <x:f>'Option source'!B691</x:f>
        <x:v>50.26</x:v>
      </x:c>
      <x:c r="F226" s="11" t="n">
        <x:v>7145</x:v>
      </x:c>
      <x:c r="G226" s="18" t="n">
        <x:v>36</x:v>
      </x:c>
      <x:c r="H226" s="11" t="n">
        <x:f>MAX(IF(C226="call",F226-D226,D226-F226),0)</x:f>
        <x:v>0</x:v>
      </x:c>
      <x:c r="I226" s="11" t="n">
        <x:f>E226-H226</x:f>
        <x:v>50.26</x:v>
      </x:c>
      <x:c r="J226" s="13" t="n">
        <x:f>D226/F226</x:f>
        <x:v>0.867739678096571</x:v>
      </x:c>
      <x:c r="K226" s="13" t="n">
        <x:v>0.4441128483342139</x:v>
      </x:c>
      <x:c r="L226" s="17" t="n">
        <x:v>-0.09697133928970558</x:v>
      </x:c>
      <x:c r="M226" s="17" t="n">
        <x:v>3.8503533753677703</x:v>
      </x:c>
      <x:c r="N226" s="11" t="n">
        <x:f>'Option source'!C691</x:f>
        <x:v>22889404</x:v>
      </x:c>
      <x:c r="O226" s="11" t="n">
        <x:f>'Option source'!G691</x:f>
        <x:v>40</x:v>
      </x:c>
      <x:c r="P226" s="11" t="n">
        <x:f>'Option source'!F691</x:f>
        <x:v>64.47</x:v>
      </x:c>
      <x:c r="Q226" s="1" t="str">
        <x:v>Screen passed; indicative</x:v>
      </x:c>
      <x:c r="R226" s="1" t="n">
        <x:v>686</x:v>
      </x:c>
    </x:row>
    <x:row r="227" ht="21" customHeight="1">
      <x:c r="A227" s="12" t="n">
        <x:v>46275</x:v>
      </x:c>
      <x:c r="B227" s="1" t="str">
        <x:v>GFGC6000OC</x:v>
      </x:c>
      <x:c r="C227" s="1" t="str">
        <x:v>call</x:v>
      </x:c>
      <x:c r="D227" s="11" t="n">
        <x:v>6000</x:v>
      </x:c>
      <x:c r="E227" s="11" t="n">
        <x:f>'Option source'!B178</x:f>
        <x:v>1269.8</x:v>
      </x:c>
      <x:c r="F227" s="11" t="n">
        <x:v>7145</x:v>
      </x:c>
      <x:c r="G227" s="18" t="n">
        <x:v>36</x:v>
      </x:c>
      <x:c r="H227" s="11" t="n">
        <x:f>MAX(IF(C227="call",F227-D227,D227-F227),0)</x:f>
        <x:v>1145</x:v>
      </x:c>
      <x:c r="I227" s="11" t="n">
        <x:f>E227-H227</x:f>
        <x:v>124.79999999999995</x:v>
      </x:c>
      <x:c r="J227" s="13" t="n">
        <x:f>D227/F227</x:f>
        <x:v>0.8397480755773268</x:v>
      </x:c>
      <x:c r="K227" s="13"/>
      <x:c r="L227" s="17"/>
      <x:c r="M227" s="17"/>
      <x:c r="N227" s="11" t="n">
        <x:f>'Option source'!C178</x:f>
        <x:v>3449371.75</x:v>
      </x:c>
      <x:c r="O227" s="11" t="n">
        <x:f>'Option source'!G178</x:f>
        <x:v>1207.2</x:v>
      </x:c>
      <x:c r="P227" s="11" t="n">
        <x:f>'Option source'!F178</x:f>
        <x:v>1304.01</x:v>
      </x:c>
      <x:c r="Q227" s="1" t="str">
        <x:v>No stable model IV</x:v>
      </x:c>
      <x:c r="R227" s="1" t="n">
        <x:v>173</x:v>
      </x:c>
    </x:row>
    <x:row r="228" ht="21" customHeight="1">
      <x:c r="A228" s="12" t="n">
        <x:v>46275</x:v>
      </x:c>
      <x:c r="B228" s="1" t="str">
        <x:v>GFGV6000OC</x:v>
      </x:c>
      <x:c r="C228" s="1" t="str">
        <x:v>put</x:v>
      </x:c>
      <x:c r="D228" s="11" t="n">
        <x:v>6000</x:v>
      </x:c>
      <x:c r="E228" s="11" t="n">
        <x:f>'Option source'!B672</x:f>
        <x:v>29.33</x:v>
      </x:c>
      <x:c r="F228" s="11" t="n">
        <x:v>7145</x:v>
      </x:c>
      <x:c r="G228" s="18" t="n">
        <x:v>36</x:v>
      </x:c>
      <x:c r="H228" s="11" t="n">
        <x:f>MAX(IF(C228="call",F228-D228,D228-F228),0)</x:f>
        <x:v>0</x:v>
      </x:c>
      <x:c r="I228" s="11" t="n">
        <x:f>E228-H228</x:f>
        <x:v>29.33</x:v>
      </x:c>
      <x:c r="J228" s="13" t="n">
        <x:f>D228/F228</x:f>
        <x:v>0.8397480755773268</x:v>
      </x:c>
      <x:c r="K228" s="13" t="n">
        <x:v>0.44319534260042254</x:v>
      </x:c>
      <x:c r="L228" s="17" t="n">
        <x:v>-0.062148521296609416</x:v>
      </x:c>
      <x:c r="M228" s="17" t="n">
        <x:v>2.7475485965212867</x:v>
      </x:c>
      <x:c r="N228" s="11" t="n">
        <x:f>'Option source'!C672</x:f>
        <x:v>20069304</x:v>
      </x:c>
      <x:c r="O228" s="11" t="n">
        <x:f>'Option source'!G672</x:f>
        <x:v>23.1</x:v>
      </x:c>
      <x:c r="P228" s="11" t="n">
        <x:f>'Option source'!F672</x:f>
        <x:v>38</x:v>
      </x:c>
      <x:c r="Q228" s="1" t="str">
        <x:v>Screen passed; indicative</x:v>
      </x:c>
      <x:c r="R228" s="1" t="n">
        <x:v>667</x:v>
      </x:c>
    </x:row>
    <x:row r="229" ht="21" customHeight="1">
      <x:c r="A229" s="12" t="n">
        <x:v>46275</x:v>
      </x:c>
      <x:c r="B229" s="1" t="str">
        <x:v>GFGC8300OC</x:v>
      </x:c>
      <x:c r="C229" s="1" t="str">
        <x:v>call</x:v>
      </x:c>
      <x:c r="D229" s="11" t="n">
        <x:v>8300</x:v>
      </x:c>
      <x:c r="E229" s="11" t="n">
        <x:f>'Option source'!B387</x:f>
        <x:v>92.56</x:v>
      </x:c>
      <x:c r="F229" s="11" t="n">
        <x:v>7145</x:v>
      </x:c>
      <x:c r="G229" s="18" t="n">
        <x:v>36</x:v>
      </x:c>
      <x:c r="H229" s="11" t="n">
        <x:f>MAX(IF(C229="call",F229-D229,D229-F229),0)</x:f>
        <x:v>0</x:v>
      </x:c>
      <x:c r="I229" s="11" t="n">
        <x:f>E229-H229</x:f>
        <x:v>92.56</x:v>
      </x:c>
      <x:c r="J229" s="13" t="n">
        <x:f>D229/F229</x:f>
        <x:v>1.1616515045486353</x:v>
      </x:c>
      <x:c r="K229" s="13" t="n">
        <x:v>0.4108258374126596</x:v>
      </x:c>
      <x:c r="L229" s="17" t="n">
        <x:v>0.1928253645841611</x:v>
      </x:c>
      <x:c r="M229" s="17" t="n">
        <x:v>6.144543820113693</x:v>
      </x:c>
      <x:c r="N229" s="11" t="n">
        <x:f>'Option source'!C387</x:f>
        <x:v>119365384</x:v>
      </x:c>
      <x:c r="O229" s="11" t="n">
        <x:f>'Option source'!G387</x:f>
        <x:v>76</x:v>
      </x:c>
      <x:c r="P229" s="11" t="n">
        <x:f>'Option source'!F387</x:f>
        <x:v>120</x:v>
      </x:c>
      <x:c r="Q229" s="1" t="str">
        <x:v>Screen passed; indicative</x:v>
      </x:c>
      <x:c r="R229" s="1" t="n">
        <x:v>382</x:v>
      </x:c>
    </x:row>
    <x:row r="230" ht="21" customHeight="1">
      <x:c r="A230" s="12" t="n">
        <x:v>46275</x:v>
      </x:c>
      <x:c r="B230" s="1" t="str">
        <x:v>GFGV8300OC</x:v>
      </x:c>
      <x:c r="C230" s="1" t="str">
        <x:v>put</x:v>
      </x:c>
      <x:c r="D230" s="11" t="n">
        <x:v>8300</x:v>
      </x:c>
      <x:c r="E230" s="11" t="n">
        <x:f>'Option source'!B881</x:f>
        <x:v>1160</x:v>
      </x:c>
      <x:c r="F230" s="11" t="n">
        <x:v>7145</x:v>
      </x:c>
      <x:c r="G230" s="18" t="n">
        <x:v>36</x:v>
      </x:c>
      <x:c r="H230" s="11" t="n">
        <x:f>MAX(IF(C230="call",F230-D230,D230-F230),0)</x:f>
        <x:v>1155</x:v>
      </x:c>
      <x:c r="I230" s="11" t="n">
        <x:f>E230-H230</x:f>
        <x:v>5</x:v>
      </x:c>
      <x:c r="J230" s="13" t="n">
        <x:f>D230/F230</x:f>
        <x:v>1.1616515045486353</x:v>
      </x:c>
      <x:c r="K230" s="13" t="n">
        <x:v>0.46317113554345885</x:v>
      </x:c>
      <x:c r="L230" s="17" t="n">
        <x:v>-0.7745685708440486</x:v>
      </x:c>
      <x:c r="M230" s="17" t="n">
        <x:v>6.7370981220687245</x:v>
      </x:c>
      <x:c r="N230" s="11" t="n">
        <x:f>'Option source'!C881</x:f>
        <x:v>458000</x:v>
      </x:c>
      <x:c r="O230" s="11" t="n">
        <x:f>'Option source'!G881</x:f>
        <x:v>1100</x:v>
      </x:c>
      <x:c r="P230" s="11" t="n">
        <x:f>'Option source'!F881</x:f>
        <x:v>1160</x:v>
      </x:c>
      <x:c r="Q230" s="1" t="str">
        <x:v>Screen passed; indicative</x:v>
      </x:c>
      <x:c r="R230" s="1" t="n">
        <x:v>876</x:v>
      </x:c>
    </x:row>
    <x:row r="231" ht="21" customHeight="1">
      <x:c r="A231" s="12" t="n">
        <x:v>46275</x:v>
      </x:c>
      <x:c r="B231" s="1" t="str">
        <x:v>GFGC5800OC</x:v>
      </x:c>
      <x:c r="C231" s="1" t="str">
        <x:v>call</x:v>
      </x:c>
      <x:c r="D231" s="11" t="n">
        <x:v>5800</x:v>
      </x:c>
      <x:c r="E231" s="11" t="n">
        <x:f>'Option source'!B159</x:f>
        <x:v>1483.43</x:v>
      </x:c>
      <x:c r="F231" s="11" t="n">
        <x:v>7145</x:v>
      </x:c>
      <x:c r="G231" s="18" t="n">
        <x:v>36</x:v>
      </x:c>
      <x:c r="H231" s="11" t="n">
        <x:f>MAX(IF(C231="call",F231-D231,D231-F231),0)</x:f>
        <x:v>1345</x:v>
      </x:c>
      <x:c r="I231" s="11" t="n">
        <x:f>E231-H231</x:f>
        <x:v>138.43000000000006</x:v>
      </x:c>
      <x:c r="J231" s="13" t="n">
        <x:f>D231/F231</x:f>
        <x:v>0.8117564730580826</x:v>
      </x:c>
      <x:c r="K231" s="13"/>
      <x:c r="L231" s="17"/>
      <x:c r="M231" s="17"/>
      <x:c r="N231" s="11" t="n">
        <x:f>'Option source'!C159</x:f>
        <x:v>12320064</x:v>
      </x:c>
      <x:c r="O231" s="11" t="n">
        <x:f>'Option source'!G159</x:f>
        <x:v>1384</x:v>
      </x:c>
      <x:c r="P231" s="11" t="n">
        <x:f>'Option source'!F159</x:f>
        <x:v>1510</x:v>
      </x:c>
      <x:c r="Q231" s="1" t="str">
        <x:v>No stable model IV</x:v>
      </x:c>
      <x:c r="R231" s="1" t="n">
        <x:v>154</x:v>
      </x:c>
    </x:row>
    <x:row r="232" ht="21" customHeight="1">
      <x:c r="A232" s="12" t="n">
        <x:v>46275</x:v>
      </x:c>
      <x:c r="B232" s="1" t="str">
        <x:v>GFGV5800OC</x:v>
      </x:c>
      <x:c r="C232" s="1" t="str">
        <x:v>put</x:v>
      </x:c>
      <x:c r="D232" s="11" t="n">
        <x:v>5800</x:v>
      </x:c>
      <x:c r="E232" s="11" t="n">
        <x:f>'Option source'!B653</x:f>
        <x:v>15.97</x:v>
      </x:c>
      <x:c r="F232" s="11" t="n">
        <x:v>7145</x:v>
      </x:c>
      <x:c r="G232" s="18" t="n">
        <x:v>36</x:v>
      </x:c>
      <x:c r="H232" s="11" t="n">
        <x:f>MAX(IF(C232="call",F232-D232,D232-F232),0)</x:f>
        <x:v>0</x:v>
      </x:c>
      <x:c r="I232" s="11" t="n">
        <x:f>E232-H232</x:f>
        <x:v>15.97</x:v>
      </x:c>
      <x:c r="J232" s="13" t="n">
        <x:f>D232/F232</x:f>
        <x:v>0.8117564730580826</x:v>
      </x:c>
      <x:c r="K232" s="13" t="n">
        <x:v>0.4416141500797537</x:v>
      </x:c>
      <x:c r="L232" s="17" t="n">
        <x:v>-0.03701481830969611</x:v>
      </x:c>
      <x:c r="M232" s="17" t="n">
        <x:v>1.8152148095260867</x:v>
      </x:c>
      <x:c r="N232" s="11" t="n">
        <x:f>'Option source'!C653</x:f>
        <x:v>7904150.5</x:v>
      </x:c>
      <x:c r="O232" s="11" t="n">
        <x:f>'Option source'!G653</x:f>
        <x:v>13</x:v>
      </x:c>
      <x:c r="P232" s="11" t="n">
        <x:f>'Option source'!F653</x:f>
        <x:v>21.99</x:v>
      </x:c>
      <x:c r="Q232" s="1" t="str">
        <x:v>Screen passed; indicative</x:v>
      </x:c>
      <x:c r="R232" s="1" t="n">
        <x:v>648</x:v>
      </x:c>
    </x:row>
    <x:row r="233" ht="21" customHeight="1">
      <x:c r="A233" s="12" t="n">
        <x:v>46275</x:v>
      </x:c>
      <x:c r="B233" s="1" t="str">
        <x:v>GFGC8600OC</x:v>
      </x:c>
      <x:c r="C233" s="1" t="str">
        <x:v>call</x:v>
      </x:c>
      <x:c r="D233" s="11" t="n">
        <x:v>8600</x:v>
      </x:c>
      <x:c r="E233" s="11" t="n">
        <x:f>'Option source'!B406</x:f>
        <x:v>53.67</x:v>
      </x:c>
      <x:c r="F233" s="11" t="n">
        <x:v>7145</x:v>
      </x:c>
      <x:c r="G233" s="18" t="n">
        <x:v>36</x:v>
      </x:c>
      <x:c r="H233" s="11" t="n">
        <x:f>MAX(IF(C233="call",F233-D233,D233-F233),0)</x:f>
        <x:v>0</x:v>
      </x:c>
      <x:c r="I233" s="11" t="n">
        <x:f>E233-H233</x:f>
        <x:v>53.67</x:v>
      </x:c>
      <x:c r="J233" s="13" t="n">
        <x:f>D233/F233</x:f>
        <x:v>1.2036389083275016</x:v>
      </x:c>
      <x:c r="K233" s="13" t="n">
        <x:v>0.40794669906275904</x:v>
      </x:c>
      <x:c r="L233" s="17" t="n">
        <x:v>0.12472144828156437</x:v>
      </x:c>
      <x:c r="M233" s="17" t="n">
        <x:v>4.611990691261386</x:v>
      </x:c>
      <x:c r="N233" s="11" t="n">
        <x:f>'Option source'!C406</x:f>
        <x:v>113294240</x:v>
      </x:c>
      <x:c r="O233" s="11" t="n">
        <x:f>'Option source'!G406</x:f>
        <x:v>45</x:v>
      </x:c>
      <x:c r="P233" s="11" t="n">
        <x:f>'Option source'!F406</x:f>
        <x:v>72</x:v>
      </x:c>
      <x:c r="Q233" s="1" t="str">
        <x:v>Screen passed; indicative</x:v>
      </x:c>
      <x:c r="R233" s="1" t="n">
        <x:v>401</x:v>
      </x:c>
    </x:row>
    <x:row r="234" ht="21" customHeight="1">
      <x:c r="A234" s="12" t="n">
        <x:v>46275</x:v>
      </x:c>
      <x:c r="B234" s="1" t="str">
        <x:v>GFGV8600OC</x:v>
      </x:c>
      <x:c r="C234" s="1" t="str">
        <x:v>put</x:v>
      </x:c>
      <x:c r="D234" s="11" t="n">
        <x:v>8600</x:v>
      </x:c>
      <x:c r="E234" s="11" t="n">
        <x:f>'Option source'!B900</x:f>
        <x:v>1483.75</x:v>
      </x:c>
      <x:c r="F234" s="11" t="n">
        <x:v>7145</x:v>
      </x:c>
      <x:c r="G234" s="18" t="n">
        <x:v>36</x:v>
      </x:c>
      <x:c r="H234" s="11" t="n">
        <x:f>MAX(IF(C234="call",F234-D234,D234-F234),0)</x:f>
        <x:v>1455</x:v>
      </x:c>
      <x:c r="I234" s="11" t="n">
        <x:f>E234-H234</x:f>
        <x:v>28.75</x:v>
      </x:c>
      <x:c r="J234" s="13" t="n">
        <x:f>D234/F234</x:f>
        <x:v>1.2036389083275016</x:v>
      </x:c>
      <x:c r="K234" s="13" t="n">
        <x:v>0.6100214030172177</x:v>
      </x:c>
      <x:c r="L234" s="17" t="n">
        <x:v>-0.7633872705122428</x:v>
      </x:c>
      <x:c r="M234" s="17" t="n">
        <x:v>6.921641138845806</x:v>
      </x:c>
      <x:c r="N234" s="11" t="n">
        <x:f>'Option source'!C900</x:f>
        <x:v>5957463</x:v>
      </x:c>
      <x:c r="O234" s="11" t="n">
        <x:f>'Option source'!G900</x:f>
        <x:v>1357.53</x:v>
      </x:c>
      <x:c r="P234" s="11" t="n">
        <x:f>'Option source'!F900</x:f>
        <x:v>1488.24</x:v>
      </x:c>
      <x:c r="Q234" s="1" t="str">
        <x:v>Screen passed; indicative</x:v>
      </x:c>
      <x:c r="R234" s="1" t="n">
        <x:v>895</x:v>
      </x:c>
    </x:row>
    <x:row r="235" ht="21" customHeight="1">
      <x:c r="A235" s="12" t="n">
        <x:v>46275</x:v>
      </x:c>
      <x:c r="B235" s="1" t="str">
        <x:v>GFGC5600OC</x:v>
      </x:c>
      <x:c r="C235" s="1" t="str">
        <x:v>call</x:v>
      </x:c>
      <x:c r="D235" s="11" t="n">
        <x:v>5600</x:v>
      </x:c>
      <x:c r="E235" s="11" t="n">
        <x:f>'Option source'!B149</x:f>
        <x:v>1600</x:v>
      </x:c>
      <x:c r="F235" s="11" t="n">
        <x:v>7145</x:v>
      </x:c>
      <x:c r="G235" s="18" t="n">
        <x:v>36</x:v>
      </x:c>
      <x:c r="H235" s="11" t="n">
        <x:f>MAX(IF(C235="call",F235-D235,D235-F235),0)</x:f>
        <x:v>1545</x:v>
      </x:c>
      <x:c r="I235" s="11" t="n">
        <x:f>E235-H235</x:f>
        <x:v>55</x:v>
      </x:c>
      <x:c r="J235" s="13" t="n">
        <x:f>D235/F235</x:f>
        <x:v>0.7837648705388384</x:v>
      </x:c>
      <x:c r="K235" s="13"/>
      <x:c r="L235" s="17"/>
      <x:c r="M235" s="17"/>
      <x:c r="N235" s="11" t="n">
        <x:f>'Option source'!C149</x:f>
        <x:v>4385161</x:v>
      </x:c>
      <x:c r="O235" s="11" t="n">
        <x:f>'Option source'!G149</x:f>
        <x:v>1575.8</x:v>
      </x:c>
      <x:c r="P235" s="11" t="n">
        <x:f>'Option source'!F149</x:f>
        <x:v>1700</x:v>
      </x:c>
      <x:c r="Q235" s="1" t="str">
        <x:v>No stable model IV</x:v>
      </x:c>
      <x:c r="R235" s="1" t="n">
        <x:v>144</x:v>
      </x:c>
    </x:row>
    <x:row r="236" ht="21" customHeight="1">
      <x:c r="A236" s="12" t="n">
        <x:v>46275</x:v>
      </x:c>
      <x:c r="B236" s="1" t="str">
        <x:v>GFGV5600OC</x:v>
      </x:c>
      <x:c r="C236" s="1" t="str">
        <x:v>put</x:v>
      </x:c>
      <x:c r="D236" s="11" t="n">
        <x:v>5600</x:v>
      </x:c>
      <x:c r="E236" s="11" t="n">
        <x:f>'Option source'!B634</x:f>
        <x:v>8.45</x:v>
      </x:c>
      <x:c r="F236" s="11" t="n">
        <x:v>7145</x:v>
      </x:c>
      <x:c r="G236" s="18" t="n">
        <x:v>36</x:v>
      </x:c>
      <x:c r="H236" s="11" t="n">
        <x:f>MAX(IF(C236="call",F236-D236,D236-F236),0)</x:f>
        <x:v>0</x:v>
      </x:c>
      <x:c r="I236" s="11" t="n">
        <x:f>E236-H236</x:f>
        <x:v>8.45</x:v>
      </x:c>
      <x:c r="J236" s="13" t="n">
        <x:f>D236/F236</x:f>
        <x:v>0.7837648705388384</x:v>
      </x:c>
      <x:c r="K236" s="13" t="n">
        <x:v>0.443967197740272</x:v>
      </x:c>
      <x:c r="L236" s="17" t="n">
        <x:v>-0.021209989116867112</x:v>
      </x:c>
      <x:c r="M236" s="17" t="n">
        <x:v>1.141891503893948</x:v>
      </x:c>
      <x:c r="N236" s="11" t="n">
        <x:f>'Option source'!C634</x:f>
        <x:v>2190676.5</x:v>
      </x:c>
      <x:c r="O236" s="11" t="n">
        <x:f>'Option source'!G634</x:f>
        <x:v>6</x:v>
      </x:c>
      <x:c r="P236" s="11" t="n">
        <x:f>'Option source'!F634</x:f>
        <x:v>12</x:v>
      </x:c>
      <x:c r="Q236" s="1" t="str">
        <x:v>Screen passed; indicative</x:v>
      </x:c>
      <x:c r="R236" s="1" t="n">
        <x:v>629</x:v>
      </x:c>
    </x:row>
    <x:row r="237" ht="21" customHeight="1">
      <x:c r="A237" s="12" t="n">
        <x:v>46275</x:v>
      </x:c>
      <x:c r="B237" s="1" t="str">
        <x:v>GFGC5400OC</x:v>
      </x:c>
      <x:c r="C237" s="1" t="str">
        <x:v>call</x:v>
      </x:c>
      <x:c r="D237" s="11" t="n">
        <x:v>5400</x:v>
      </x:c>
      <x:c r="E237" s="11" t="n">
        <x:f>'Option source'!B131</x:f>
        <x:v>1846.26</x:v>
      </x:c>
      <x:c r="F237" s="11" t="n">
        <x:v>7145</x:v>
      </x:c>
      <x:c r="G237" s="18" t="n">
        <x:v>36</x:v>
      </x:c>
      <x:c r="H237" s="11" t="n">
        <x:f>MAX(IF(C237="call",F237-D237,D237-F237),0)</x:f>
        <x:v>1745</x:v>
      </x:c>
      <x:c r="I237" s="11" t="n">
        <x:f>E237-H237</x:f>
        <x:v>101.25999999999999</x:v>
      </x:c>
      <x:c r="J237" s="13" t="n">
        <x:f>D237/F237</x:f>
        <x:v>0.7557732680195941</x:v>
      </x:c>
      <x:c r="K237" s="13"/>
      <x:c r="L237" s="17"/>
      <x:c r="M237" s="17"/>
      <x:c r="N237" s="11" t="n">
        <x:f>'Option source'!C131</x:f>
        <x:v>6062021.5</x:v>
      </x:c>
      <x:c r="O237" s="11" t="n">
        <x:f>'Option source'!G131</x:f>
        <x:v>1768.14</x:v>
      </x:c>
      <x:c r="P237" s="11" t="n">
        <x:f>'Option source'!F131</x:f>
        <x:v>1899.43</x:v>
      </x:c>
      <x:c r="Q237" s="1" t="str">
        <x:v>No stable model IV</x:v>
      </x:c>
      <x:c r="R237" s="1" t="n">
        <x:v>126</x:v>
      </x:c>
    </x:row>
    <x:row r="238" ht="21" customHeight="1">
      <x:c r="A238" s="12" t="n">
        <x:v>46275</x:v>
      </x:c>
      <x:c r="B238" s="1" t="str">
        <x:v>GFGV5400OC</x:v>
      </x:c>
      <x:c r="C238" s="1" t="str">
        <x:v>put</x:v>
      </x:c>
      <x:c r="D238" s="11" t="n">
        <x:v>5400</x:v>
      </x:c>
      <x:c r="E238" s="11" t="n">
        <x:f>'Option source'!B615</x:f>
        <x:v>4.52</x:v>
      </x:c>
      <x:c r="F238" s="11" t="n">
        <x:v>7145</x:v>
      </x:c>
      <x:c r="G238" s="18" t="n">
        <x:v>36</x:v>
      </x:c>
      <x:c r="H238" s="11" t="n">
        <x:f>MAX(IF(C238="call",F238-D238,D238-F238),0)</x:f>
        <x:v>0</x:v>
      </x:c>
      <x:c r="I238" s="11" t="n">
        <x:f>E238-H238</x:f>
        <x:v>4.52</x:v>
      </x:c>
      <x:c r="J238" s="13" t="n">
        <x:f>D238/F238</x:f>
        <x:v>0.7557732680195941</x:v>
      </x:c>
      <x:c r="K238" s="13" t="n">
        <x:v>0.451764694364909</x:v>
      </x:c>
      <x:c r="L238" s="17" t="n">
        <x:v>-0.01212623384546907</x:v>
      </x:c>
      <x:c r="M238" s="17" t="n">
        <x:v>0.7072485572688061</x:v>
      </x:c>
      <x:c r="N238" s="11" t="n">
        <x:f>'Option source'!C615</x:f>
        <x:v>1991011</x:v>
      </x:c>
      <x:c r="O238" s="11" t="n">
        <x:f>'Option source'!G615</x:f>
        <x:v>3.8</x:v>
      </x:c>
      <x:c r="P238" s="11" t="n">
        <x:f>'Option source'!F615</x:f>
        <x:v>6.49</x:v>
      </x:c>
      <x:c r="Q238" s="1" t="str">
        <x:v>Screen passed; indicative</x:v>
      </x:c>
      <x:c r="R238" s="1" t="n">
        <x:v>610</x:v>
      </x:c>
    </x:row>
    <x:row r="239" ht="21" customHeight="1">
      <x:c r="A239" s="12" t="n">
        <x:v>46275</x:v>
      </x:c>
      <x:c r="B239" s="1" t="str">
        <x:v>GFGC8900OC</x:v>
      </x:c>
      <x:c r="C239" s="1" t="str">
        <x:v>call</x:v>
      </x:c>
      <x:c r="D239" s="11" t="n">
        <x:v>8900</x:v>
      </x:c>
      <x:c r="E239" s="11" t="n">
        <x:f>'Option source'!B425</x:f>
        <x:v>31.79</x:v>
      </x:c>
      <x:c r="F239" s="11" t="n">
        <x:v>7145</x:v>
      </x:c>
      <x:c r="G239" s="18" t="n">
        <x:v>36</x:v>
      </x:c>
      <x:c r="H239" s="11" t="n">
        <x:f>MAX(IF(C239="call",F239-D239,D239-F239),0)</x:f>
        <x:v>0</x:v>
      </x:c>
      <x:c r="I239" s="11" t="n">
        <x:f>E239-H239</x:f>
        <x:v>31.79</x:v>
      </x:c>
      <x:c r="J239" s="13" t="n">
        <x:f>D239/F239</x:f>
        <x:v>1.245626312106368</x:v>
      </x:c>
      <x:c r="K239" s="13" t="n">
        <x:v>0.4115787747167443</x:v>
      </x:c>
      <x:c r="L239" s="17" t="n">
        <x:v>0.07990951437059604</x:v>
      </x:c>
      <x:c r="M239" s="17" t="n">
        <x:v>3.3330952318646867</x:v>
      </x:c>
      <x:c r="N239" s="11" t="n">
        <x:f>'Option source'!C425</x:f>
        <x:v>48369652</x:v>
      </x:c>
      <x:c r="O239" s="11" t="n">
        <x:f>'Option source'!G425</x:f>
        <x:v>25.09</x:v>
      </x:c>
      <x:c r="P239" s="11" t="n">
        <x:f>'Option source'!F425</x:f>
        <x:v>90.01</x:v>
      </x:c>
      <x:c r="Q239" s="1" t="str">
        <x:v>Screen passed; indicative</x:v>
      </x:c>
      <x:c r="R239" s="1" t="n">
        <x:v>420</x:v>
      </x:c>
    </x:row>
    <x:row r="240" ht="21" customHeight="1">
      <x:c r="A240" s="12" t="n">
        <x:v>46275</x:v>
      </x:c>
      <x:c r="B240" s="1" t="str">
        <x:v>GFGV8900OC</x:v>
      </x:c>
      <x:c r="C240" s="1" t="str">
        <x:v>put</x:v>
      </x:c>
      <x:c r="D240" s="11" t="n">
        <x:v>8900</x:v>
      </x:c>
      <x:c r="E240" s="11" t="n">
        <x:f>'Option source'!B915</x:f>
        <x:v>2022.5</x:v>
      </x:c>
      <x:c r="F240" s="11" t="n">
        <x:v>7145</x:v>
      </x:c>
      <x:c r="G240" s="18" t="n">
        <x:v>36</x:v>
      </x:c>
      <x:c r="H240" s="11" t="n">
        <x:f>MAX(IF(C240="call",F240-D240,D240-F240),0)</x:f>
        <x:v>1755</x:v>
      </x:c>
      <x:c r="I240" s="11" t="n">
        <x:f>E240-H240</x:f>
        <x:v>267.5</x:v>
      </x:c>
      <x:c r="J240" s="13" t="n">
        <x:f>D240/F240</x:f>
        <x:v>1.245626312106368</x:v>
      </x:c>
      <x:c r="K240" s="13"/>
      <x:c r="L240" s="17"/>
      <x:c r="M240" s="17"/>
      <x:c r="N240" s="11" t="n">
        <x:f>'Option source'!C915</x:f>
        <x:v>0</x:v>
      </x:c>
      <x:c r="O240" s="11" t="n">
        <x:f>'Option source'!G915</x:f>
        <x:v>2022.5</x:v>
      </x:c>
      <x:c r="P240" s="11" t="n">
        <x:f>'Option source'!F915</x:f>
        <x:v>2037.67</x:v>
      </x:c>
      <x:c r="Q240" s="1" t="str">
        <x:v>Zero reported volume</x:v>
      </x:c>
      <x:c r="R240" s="1" t="n">
        <x:v>910</x:v>
      </x:c>
    </x:row>
    <x:row r="241" ht="21" customHeight="1">
      <x:c r="A241" s="12" t="n">
        <x:v>46275</x:v>
      </x:c>
      <x:c r="B241" s="1" t="str">
        <x:v>GFGC5200OC</x:v>
      </x:c>
      <x:c r="C241" s="1" t="str">
        <x:v>call</x:v>
      </x:c>
      <x:c r="D241" s="11" t="n">
        <x:v>5200</x:v>
      </x:c>
      <x:c r="E241" s="11" t="n">
        <x:f>'Option source'!B112</x:f>
        <x:v>1992.7</x:v>
      </x:c>
      <x:c r="F241" s="11" t="n">
        <x:v>7145</x:v>
      </x:c>
      <x:c r="G241" s="18" t="n">
        <x:v>36</x:v>
      </x:c>
      <x:c r="H241" s="11" t="n">
        <x:f>MAX(IF(C241="call",F241-D241,D241-F241),0)</x:f>
        <x:v>1945</x:v>
      </x:c>
      <x:c r="I241" s="11" t="n">
        <x:f>E241-H241</x:f>
        <x:v>47.700000000000045</x:v>
      </x:c>
      <x:c r="J241" s="13" t="n">
        <x:f>D241/F241</x:f>
        <x:v>0.72778166550035</x:v>
      </x:c>
      <x:c r="K241" s="13"/>
      <x:c r="L241" s="17"/>
      <x:c r="M241" s="17"/>
      <x:c r="N241" s="11" t="n">
        <x:f>'Option source'!C112</x:f>
        <x:v>2208809.5</x:v>
      </x:c>
      <x:c r="O241" s="11" t="n">
        <x:f>'Option source'!G112</x:f>
        <x:v>1960.86</x:v>
      </x:c>
      <x:c r="P241" s="11" t="n">
        <x:f>'Option source'!F112</x:f>
        <x:v>2047.51</x:v>
      </x:c>
      <x:c r="Q241" s="1" t="str">
        <x:v>No stable model IV</x:v>
      </x:c>
      <x:c r="R241" s="1" t="n">
        <x:v>107</x:v>
      </x:c>
    </x:row>
    <x:row r="242" ht="21" customHeight="1">
      <x:c r="A242" s="12" t="n">
        <x:v>46275</x:v>
      </x:c>
      <x:c r="B242" s="1" t="str">
        <x:v>GFGV5200OC</x:v>
      </x:c>
      <x:c r="C242" s="1" t="str">
        <x:v>put</x:v>
      </x:c>
      <x:c r="D242" s="11" t="n">
        <x:v>5200</x:v>
      </x:c>
      <x:c r="E242" s="11" t="n">
        <x:f>'Option source'!B596</x:f>
        <x:v>2.66</x:v>
      </x:c>
      <x:c r="F242" s="11" t="n">
        <x:v>7145</x:v>
      </x:c>
      <x:c r="G242" s="18" t="n">
        <x:v>36</x:v>
      </x:c>
      <x:c r="H242" s="11" t="n">
        <x:f>MAX(IF(C242="call",F242-D242,D242-F242),0)</x:f>
        <x:v>0</x:v>
      </x:c>
      <x:c r="I242" s="11" t="n">
        <x:f>E242-H242</x:f>
        <x:v>2.66</x:v>
      </x:c>
      <x:c r="J242" s="13" t="n">
        <x:f>D242/F242</x:f>
        <x:v>0.72778166550035</x:v>
      </x:c>
      <x:c r="K242" s="13" t="n">
        <x:v>0.46662172460487766</x:v>
      </x:c>
      <x:c r="L242" s="17" t="n">
        <x:v>-0.007272895756074149</x:v>
      </x:c>
      <x:c r="M242" s="17" t="n">
        <x:v>0.4522760706603257</x:v>
      </x:c>
      <x:c r="N242" s="11" t="n">
        <x:f>'Option source'!C596</x:f>
        <x:v>521320.19</x:v>
      </x:c>
      <x:c r="O242" s="11" t="n">
        <x:f>'Option source'!G596</x:f>
        <x:v>2.2</x:v>
      </x:c>
      <x:c r="P242" s="11" t="n">
        <x:f>'Option source'!F596</x:f>
        <x:v>4.32</x:v>
      </x:c>
      <x:c r="Q242" s="1" t="str">
        <x:v>Screen passed; indicative</x:v>
      </x:c>
      <x:c r="R242" s="1" t="n">
        <x:v>591</x:v>
      </x:c>
    </x:row>
    <x:row r="243" ht="21" customHeight="1">
      <x:c r="A243" s="12" t="n">
        <x:v>46275</x:v>
      </x:c>
      <x:c r="B243" s="1" t="str">
        <x:v>GFGC9200OC</x:v>
      </x:c>
      <x:c r="C243" s="1" t="str">
        <x:v>call</x:v>
      </x:c>
      <x:c r="D243" s="11" t="n">
        <x:v>9200</x:v>
      </x:c>
      <x:c r="E243" s="11" t="n">
        <x:f>'Option source'!B444</x:f>
        <x:v>18.48</x:v>
      </x:c>
      <x:c r="F243" s="11" t="n">
        <x:v>7145</x:v>
      </x:c>
      <x:c r="G243" s="18" t="n">
        <x:v>36</x:v>
      </x:c>
      <x:c r="H243" s="11" t="n">
        <x:f>MAX(IF(C243="call",F243-D243,D243-F243),0)</x:f>
        <x:v>0</x:v>
      </x:c>
      <x:c r="I243" s="11" t="n">
        <x:f>E243-H243</x:f>
        <x:v>18.48</x:v>
      </x:c>
      <x:c r="J243" s="13" t="n">
        <x:f>D243/F243</x:f>
        <x:v>1.2876137158852343</x:v>
      </x:c>
      <x:c r="K243" s="13" t="n">
        <x:v>0.4151891143912887</x:v>
      </x:c>
      <x:c r="L243" s="17" t="n">
        <x:v>0.049822339179406774</x:v>
      </x:c>
      <x:c r="M243" s="17" t="n">
        <x:v>2.307718815378458</x:v>
      </x:c>
      <x:c r="N243" s="11" t="n">
        <x:f>'Option source'!C444</x:f>
        <x:v>6900684.5</x:v>
      </x:c>
      <x:c r="O243" s="11" t="n">
        <x:f>'Option source'!G444</x:f>
        <x:v>14.71</x:v>
      </x:c>
      <x:c r="P243" s="11" t="n">
        <x:f>'Option source'!F444</x:f>
        <x:v>28.79</x:v>
      </x:c>
      <x:c r="Q243" s="1" t="str">
        <x:v>Screen passed; indicative</x:v>
      </x:c>
      <x:c r="R243" s="1" t="n">
        <x:v>439</x:v>
      </x:c>
    </x:row>
    <x:row r="244" ht="21" customHeight="1">
      <x:c r="A244" s="12" t="n">
        <x:v>46275</x:v>
      </x:c>
      <x:c r="B244" s="1" t="str">
        <x:v>GFGV9200OC</x:v>
      </x:c>
      <x:c r="C244" s="1" t="str">
        <x:v>put</x:v>
      </x:c>
      <x:c r="D244" s="11" t="n">
        <x:v>9200</x:v>
      </x:c>
      <x:c r="E244" s="11" t="n">
        <x:f>'Option source'!B922</x:f>
        <x:v>2000</x:v>
      </x:c>
      <x:c r="F244" s="11" t="n">
        <x:v>7145</x:v>
      </x:c>
      <x:c r="G244" s="18" t="n">
        <x:v>36</x:v>
      </x:c>
      <x:c r="H244" s="11" t="n">
        <x:f>MAX(IF(C244="call",F244-D244,D244-F244),0)</x:f>
        <x:v>2055</x:v>
      </x:c>
      <x:c r="I244" s="11" t="n">
        <x:f>E244-H244</x:f>
        <x:v>-55</x:v>
      </x:c>
      <x:c r="J244" s="13" t="n">
        <x:f>D244/F244</x:f>
        <x:v>1.2876137158852343</x:v>
      </x:c>
      <x:c r="K244" s="13"/>
      <x:c r="L244" s="17"/>
      <x:c r="M244" s="17"/>
      <x:c r="N244" s="11" t="n">
        <x:f>'Option source'!C922</x:f>
        <x:v>0</x:v>
      </x:c>
      <x:c r="O244" s="11" t="n">
        <x:f>'Option source'!G922</x:f>
        <x:v>2000</x:v>
      </x:c>
      <x:c r="P244" s="11" t="n">
        <x:f>'Option source'!F922</x:f>
        <x:v>2000</x:v>
      </x:c>
      <x:c r="Q244" s="1" t="str">
        <x:v>Zero reported volume; Below intrinsic value</x:v>
      </x:c>
      <x:c r="R244" s="1" t="n">
        <x:v>917</x:v>
      </x:c>
    </x:row>
    <x:row r="245" ht="21" customHeight="1">
      <x:c r="A245" s="12" t="n">
        <x:v>46275</x:v>
      </x:c>
      <x:c r="B245" s="1" t="str">
        <x:v>GFGC5000OC</x:v>
      </x:c>
      <x:c r="C245" s="1" t="str">
        <x:v>call</x:v>
      </x:c>
      <x:c r="D245" s="11" t="n">
        <x:v>5000</x:v>
      </x:c>
      <x:c r="E245" s="11" t="n">
        <x:f>'Option source'!B93</x:f>
        <x:v>2248.2</x:v>
      </x:c>
      <x:c r="F245" s="11" t="n">
        <x:v>7145</x:v>
      </x:c>
      <x:c r="G245" s="18" t="n">
        <x:v>36</x:v>
      </x:c>
      <x:c r="H245" s="11" t="n">
        <x:f>MAX(IF(C245="call",F245-D245,D245-F245),0)</x:f>
        <x:v>2145</x:v>
      </x:c>
      <x:c r="I245" s="11" t="n">
        <x:f>E245-H245</x:f>
        <x:v>103.19999999999982</x:v>
      </x:c>
      <x:c r="J245" s="13" t="n">
        <x:f>D245/F245</x:f>
        <x:v>0.6997900629811057</x:v>
      </x:c>
      <x:c r="K245" s="13"/>
      <x:c r="L245" s="17"/>
      <x:c r="M245" s="17"/>
      <x:c r="N245" s="11" t="n">
        <x:f>'Option source'!C93</x:f>
        <x:v>878331.69</x:v>
      </x:c>
      <x:c r="O245" s="11" t="n">
        <x:f>'Option source'!G93</x:f>
        <x:v>2154.75</x:v>
      </x:c>
      <x:c r="P245" s="11" t="n">
        <x:f>'Option source'!F93</x:f>
        <x:v>2225.61</x:v>
      </x:c>
      <x:c r="Q245" s="1" t="str">
        <x:v>Price outside daily range</x:v>
      </x:c>
      <x:c r="R245" s="1" t="n">
        <x:v>88</x:v>
      </x:c>
    </x:row>
    <x:row r="246" ht="21" customHeight="1">
      <x:c r="A246" s="12" t="n">
        <x:v>46275</x:v>
      </x:c>
      <x:c r="B246" s="1" t="str">
        <x:v>GFGV5000OC</x:v>
      </x:c>
      <x:c r="C246" s="1" t="str">
        <x:v>put</x:v>
      </x:c>
      <x:c r="D246" s="11" t="n">
        <x:v>5000</x:v>
      </x:c>
      <x:c r="E246" s="11" t="n">
        <x:f>'Option source'!B577</x:f>
        <x:v>1.75</x:v>
      </x:c>
      <x:c r="F246" s="11" t="n">
        <x:v>7145</x:v>
      </x:c>
      <x:c r="G246" s="18" t="n">
        <x:v>36</x:v>
      </x:c>
      <x:c r="H246" s="11" t="n">
        <x:f>MAX(IF(C246="call",F246-D246,D246-F246),0)</x:f>
        <x:v>0</x:v>
      </x:c>
      <x:c r="I246" s="11" t="n">
        <x:f>E246-H246</x:f>
        <x:v>1.75</x:v>
      </x:c>
      <x:c r="J246" s="13" t="n">
        <x:f>D246/F246</x:f>
        <x:v>0.6997900629811057</x:v>
      </x:c>
      <x:c r="K246" s="13" t="n">
        <x:v>0.48932091393130384</x:v>
      </x:c>
      <x:c r="L246" s="17" t="n">
        <x:v>-0.0047664482264367924</x:v>
      </x:c>
      <x:c r="M246" s="17" t="n">
        <x:v>0.3109227266916945</x:v>
      </x:c>
      <x:c r="N246" s="11" t="n">
        <x:f>'Option source'!C577</x:f>
        <x:v>768593.62</x:v>
      </x:c>
      <x:c r="O246" s="11" t="n">
        <x:f>'Option source'!G577</x:f>
        <x:v>1.29</x:v>
      </x:c>
      <x:c r="P246" s="11" t="n">
        <x:f>'Option source'!F577</x:f>
        <x:v>2.28</x:v>
      </x:c>
      <x:c r="Q246" s="1" t="str">
        <x:v>Screen passed; indicative</x:v>
      </x:c>
      <x:c r="R246" s="1" t="n">
        <x:v>572</x:v>
      </x:c>
    </x:row>
    <x:row r="247" ht="21" customHeight="1">
      <x:c r="A247" s="12" t="n">
        <x:v>46275</x:v>
      </x:c>
      <x:c r="B247" s="1" t="str">
        <x:v>GFGC4800OC</x:v>
      </x:c>
      <x:c r="C247" s="1" t="str">
        <x:v>call</x:v>
      </x:c>
      <x:c r="D247" s="11" t="n">
        <x:v>4800</x:v>
      </x:c>
      <x:c r="E247" s="11" t="n">
        <x:f>'Option source'!B76</x:f>
        <x:v>2425.74</x:v>
      </x:c>
      <x:c r="F247" s="11" t="n">
        <x:v>7145</x:v>
      </x:c>
      <x:c r="G247" s="18" t="n">
        <x:v>36</x:v>
      </x:c>
      <x:c r="H247" s="11" t="n">
        <x:f>MAX(IF(C247="call",F247-D247,D247-F247),0)</x:f>
        <x:v>2345</x:v>
      </x:c>
      <x:c r="I247" s="11" t="n">
        <x:f>E247-H247</x:f>
        <x:v>80.73999999999978</x:v>
      </x:c>
      <x:c r="J247" s="13" t="n">
        <x:f>D247/F247</x:f>
        <x:v>0.6717984604618614</x:v>
      </x:c>
      <x:c r="K247" s="13"/>
      <x:c r="L247" s="17"/>
      <x:c r="M247" s="17"/>
      <x:c r="N247" s="11" t="n">
        <x:f>'Option source'!C76</x:f>
        <x:v>8959734</x:v>
      </x:c>
      <x:c r="O247" s="11" t="n">
        <x:f>'Option source'!G76</x:f>
        <x:v>2350.09</x:v>
      </x:c>
      <x:c r="P247" s="11" t="n">
        <x:f>'Option source'!F76</x:f>
        <x:v>2428.08</x:v>
      </x:c>
      <x:c r="Q247" s="1" t="str">
        <x:v>No stable model IV</x:v>
      </x:c>
      <x:c r="R247" s="1" t="n">
        <x:v>71</x:v>
      </x:c>
    </x:row>
    <x:row r="248" ht="21" customHeight="1">
      <x:c r="A248" s="12" t="n">
        <x:v>46275</x:v>
      </x:c>
      <x:c r="B248" s="1" t="str">
        <x:v>GFGV4800OC</x:v>
      </x:c>
      <x:c r="C248" s="1" t="str">
        <x:v>put</x:v>
      </x:c>
      <x:c r="D248" s="11" t="n">
        <x:v>4800</x:v>
      </x:c>
      <x:c r="E248" s="11" t="n">
        <x:f>'Option source'!B558</x:f>
        <x:v>1.29</x:v>
      </x:c>
      <x:c r="F248" s="11" t="n">
        <x:v>7145</x:v>
      </x:c>
      <x:c r="G248" s="18" t="n">
        <x:v>36</x:v>
      </x:c>
      <x:c r="H248" s="11" t="n">
        <x:f>MAX(IF(C248="call",F248-D248,D248-F248),0)</x:f>
        <x:v>0</x:v>
      </x:c>
      <x:c r="I248" s="11" t="n">
        <x:f>E248-H248</x:f>
        <x:v>1.29</x:v>
      </x:c>
      <x:c r="J248" s="13" t="n">
        <x:f>D248/F248</x:f>
        <x:v>0.6717984604618614</x:v>
      </x:c>
      <x:c r="K248" s="13" t="n">
        <x:v>0.5192498043869032</x:v>
      </x:c>
      <x:c r="L248" s="17" t="n">
        <x:v>-0.0034423796739818657</x:v>
      </x:c>
      <x:c r="M248" s="17" t="n">
        <x:v>0.23234656168985818</x:v>
      </x:c>
      <x:c r="N248" s="11" t="n">
        <x:f>'Option source'!C558</x:f>
        <x:v>152137.59</x:v>
      </x:c>
      <x:c r="O248" s="11" t="n">
        <x:f>'Option source'!G558</x:f>
        <x:v>1</x:v>
      </x:c>
      <x:c r="P248" s="11" t="n">
        <x:f>'Option source'!F558</x:f>
        <x:v>1.7</x:v>
      </x:c>
      <x:c r="Q248" s="1" t="str">
        <x:v>Screen passed; indicative</x:v>
      </x:c>
      <x:c r="R248" s="1" t="n">
        <x:v>553</x:v>
      </x:c>
    </x:row>
    <x:row r="249" ht="21" customHeight="1">
      <x:c r="A249" s="12" t="n">
        <x:v>46275</x:v>
      </x:c>
      <x:c r="B249" s="1" t="str">
        <x:v>GFGC9500OC</x:v>
      </x:c>
      <x:c r="C249" s="1" t="str">
        <x:v>call</x:v>
      </x:c>
      <x:c r="D249" s="11" t="n">
        <x:v>9500</x:v>
      </x:c>
      <x:c r="E249" s="11" t="n">
        <x:f>'Option source'!B463</x:f>
        <x:v>10.5</x:v>
      </x:c>
      <x:c r="F249" s="11" t="n">
        <x:v>7145</x:v>
      </x:c>
      <x:c r="G249" s="18" t="n">
        <x:v>36</x:v>
      </x:c>
      <x:c r="H249" s="11" t="n">
        <x:f>MAX(IF(C249="call",F249-D249,D249-F249),0)</x:f>
        <x:v>0</x:v>
      </x:c>
      <x:c r="I249" s="11" t="n">
        <x:f>E249-H249</x:f>
        <x:v>10.5</x:v>
      </x:c>
      <x:c r="J249" s="13" t="n">
        <x:f>D249/F249</x:f>
        <x:v>1.3296011196641007</x:v>
      </x:c>
      <x:c r="K249" s="13" t="n">
        <x:v>0.4182440100383615</x:v>
      </x:c>
      <x:c r="L249" s="17" t="n">
        <x:v>0.030198124792715535</x:v>
      </x:c>
      <x:c r="M249" s="17" t="n">
        <x:v>1.5351609312463634</x:v>
      </x:c>
      <x:c r="N249" s="11" t="n">
        <x:f>'Option source'!C463</x:f>
        <x:v>4837963.5</x:v>
      </x:c>
      <x:c r="O249" s="11" t="n">
        <x:f>'Option source'!G463</x:f>
        <x:v>9.1</x:v>
      </x:c>
      <x:c r="P249" s="11" t="n">
        <x:f>'Option source'!F463</x:f>
        <x:v>14.78</x:v>
      </x:c>
      <x:c r="Q249" s="1" t="str">
        <x:v>Screen passed; indicative</x:v>
      </x:c>
      <x:c r="R249" s="1" t="n">
        <x:v>458</x:v>
      </x:c>
    </x:row>
    <x:row r="250" ht="21" customHeight="1">
      <x:c r="A250" s="12" t="n">
        <x:v>46275</x:v>
      </x:c>
      <x:c r="B250" s="1" t="str">
        <x:v>GFGC4600OC</x:v>
      </x:c>
      <x:c r="C250" s="1" t="str">
        <x:v>call</x:v>
      </x:c>
      <x:c r="D250" s="11" t="n">
        <x:v>4600</x:v>
      </x:c>
      <x:c r="E250" s="11" t="n">
        <x:f>'Option source'!B59</x:f>
        <x:v>2650</x:v>
      </x:c>
      <x:c r="F250" s="11" t="n">
        <x:v>7145</x:v>
      </x:c>
      <x:c r="G250" s="18" t="n">
        <x:v>36</x:v>
      </x:c>
      <x:c r="H250" s="11" t="n">
        <x:f>MAX(IF(C250="call",F250-D250,D250-F250),0)</x:f>
        <x:v>2545</x:v>
      </x:c>
      <x:c r="I250" s="11" t="n">
        <x:f>E250-H250</x:f>
        <x:v>105</x:v>
      </x:c>
      <x:c r="J250" s="13" t="n">
        <x:f>D250/F250</x:f>
        <x:v>0.6438068579426172</x:v>
      </x:c>
      <x:c r="K250" s="13"/>
      <x:c r="L250" s="17"/>
      <x:c r="M250" s="17"/>
      <x:c r="N250" s="11" t="n">
        <x:f>'Option source'!C59</x:f>
        <x:v>2099060.5</x:v>
      </x:c>
      <x:c r="O250" s="11" t="n">
        <x:f>'Option source'!G59</x:f>
        <x:v>2545.3</x:v>
      </x:c>
      <x:c r="P250" s="11" t="n">
        <x:f>'Option source'!F59</x:f>
        <x:v>2650</x:v>
      </x:c>
      <x:c r="Q250" s="1" t="str">
        <x:v>No stable model IV</x:v>
      </x:c>
      <x:c r="R250" s="1" t="n">
        <x:v>54</x:v>
      </x:c>
    </x:row>
    <x:row r="251" ht="21" customHeight="1">
      <x:c r="A251" s="12" t="n">
        <x:v>46275</x:v>
      </x:c>
      <x:c r="B251" s="1" t="str">
        <x:v>GFGV4600OC</x:v>
      </x:c>
      <x:c r="C251" s="1" t="str">
        <x:v>put</x:v>
      </x:c>
      <x:c r="D251" s="11" t="n">
        <x:v>4600</x:v>
      </x:c>
      <x:c r="E251" s="11" t="n">
        <x:f>'Option source'!B539</x:f>
        <x:v>1.09</x:v>
      </x:c>
      <x:c r="F251" s="11" t="n">
        <x:v>7145</x:v>
      </x:c>
      <x:c r="G251" s="18" t="n">
        <x:v>36</x:v>
      </x:c>
      <x:c r="H251" s="11" t="n">
        <x:f>MAX(IF(C251="call",F251-D251,D251-F251),0)</x:f>
        <x:v>0</x:v>
      </x:c>
      <x:c r="I251" s="11" t="n">
        <x:f>E251-H251</x:f>
        <x:v>1.09</x:v>
      </x:c>
      <x:c r="J251" s="13" t="n">
        <x:f>D251/F251</x:f>
        <x:v>0.6438068579426172</x:v>
      </x:c>
      <x:c r="K251" s="13" t="n">
        <x:v>0.556914824760957</x:v>
      </x:c>
      <x:c r="L251" s="17" t="n">
        <x:v>-0.00276547189823928</x:v>
      </x:c>
      <x:c r="M251" s="17" t="n">
        <x:v>0.19077075609685162</x:v>
      </x:c>
      <x:c r="N251" s="11" t="n">
        <x:f>'Option source'!C539</x:f>
        <x:v>97706.8</x:v>
      </x:c>
      <x:c r="O251" s="11" t="n">
        <x:f>'Option source'!G539</x:f>
        <x:v>0.75</x:v>
      </x:c>
      <x:c r="P251" s="11" t="n">
        <x:f>'Option source'!F539</x:f>
        <x:v>1.3</x:v>
      </x:c>
      <x:c r="Q251" s="1" t="str">
        <x:v>Screen passed; indicative</x:v>
      </x:c>
      <x:c r="R251" s="1" t="n">
        <x:v>534</x:v>
      </x:c>
    </x:row>
    <x:row r="252" ht="21" customHeight="1">
      <x:c r="A252" s="12" t="n">
        <x:v>46275</x:v>
      </x:c>
      <x:c r="B252" s="1" t="str">
        <x:v>GFGC4400OC</x:v>
      </x:c>
      <x:c r="C252" s="1" t="str">
        <x:v>call</x:v>
      </x:c>
      <x:c r="D252" s="11" t="n">
        <x:v>4400</x:v>
      </x:c>
      <x:c r="E252" s="11" t="n">
        <x:f>'Option source'!B40</x:f>
        <x:v>2828.59</x:v>
      </x:c>
      <x:c r="F252" s="11" t="n">
        <x:v>7145</x:v>
      </x:c>
      <x:c r="G252" s="18" t="n">
        <x:v>36</x:v>
      </x:c>
      <x:c r="H252" s="11" t="n">
        <x:f>MAX(IF(C252="call",F252-D252,D252-F252),0)</x:f>
        <x:v>2745</x:v>
      </x:c>
      <x:c r="I252" s="11" t="n">
        <x:f>E252-H252</x:f>
        <x:v>83.59000000000015</x:v>
      </x:c>
      <x:c r="J252" s="13" t="n">
        <x:f>D252/F252</x:f>
        <x:v>0.615815255423373</x:v>
      </x:c>
      <x:c r="K252" s="13"/>
      <x:c r="L252" s="17"/>
      <x:c r="M252" s="17"/>
      <x:c r="N252" s="11" t="n">
        <x:f>'Option source'!C40</x:f>
        <x:v>2525594.5</x:v>
      </x:c>
      <x:c r="O252" s="11" t="n">
        <x:f>'Option source'!G40</x:f>
        <x:v>2792.55</x:v>
      </x:c>
      <x:c r="P252" s="11" t="n">
        <x:f>'Option source'!F40</x:f>
        <x:v>2828.59</x:v>
      </x:c>
      <x:c r="Q252" s="1" t="str">
        <x:v>No stable model IV</x:v>
      </x:c>
      <x:c r="R252" s="1" t="n">
        <x:v>35</x:v>
      </x:c>
    </x:row>
    <x:row r="253" ht="21" customHeight="1">
      <x:c r="A253" s="12" t="n">
        <x:v>46275</x:v>
      </x:c>
      <x:c r="B253" s="1" t="str">
        <x:v>GFGV4400OC</x:v>
      </x:c>
      <x:c r="C253" s="1" t="str">
        <x:v>put</x:v>
      </x:c>
      <x:c r="D253" s="11" t="n">
        <x:v>4400</x:v>
      </x:c>
      <x:c r="E253" s="11" t="n">
        <x:f>'Option source'!B520</x:f>
        <x:v>1</x:v>
      </x:c>
      <x:c r="F253" s="11" t="n">
        <x:v>7145</x:v>
      </x:c>
      <x:c r="G253" s="18" t="n">
        <x:v>36</x:v>
      </x:c>
      <x:c r="H253" s="11" t="n">
        <x:f>MAX(IF(C253="call",F253-D253,D253-F253),0)</x:f>
        <x:v>0</x:v>
      </x:c>
      <x:c r="I253" s="11" t="n">
        <x:f>E253-H253</x:f>
        <x:v>1</x:v>
      </x:c>
      <x:c r="J253" s="13" t="n">
        <x:f>D253/F253</x:f>
        <x:v>0.615815255423373</x:v>
      </x:c>
      <x:c r="K253" s="13" t="n">
        <x:v>0.6007158274938136</x:v>
      </x:c>
      <x:c r="L253" s="17" t="n">
        <x:v>-0.002394084392686735</x:v>
      </x:c>
      <x:c r="M253" s="17" t="n">
        <x:v>0.1674603186294002</x:v>
      </x:c>
      <x:c r="N253" s="11" t="n">
        <x:f>'Option source'!C520</x:f>
        <x:v>109712.9</x:v>
      </x:c>
      <x:c r="O253" s="11" t="n">
        <x:f>'Option source'!G520</x:f>
        <x:v>0.5</x:v>
      </x:c>
      <x:c r="P253" s="11" t="n">
        <x:f>'Option source'!F520</x:f>
        <x:v>1.43</x:v>
      </x:c>
      <x:c r="Q253" s="1" t="str">
        <x:v>Screen passed; indicative</x:v>
      </x:c>
      <x:c r="R253" s="1" t="n">
        <x:v>515</x:v>
      </x:c>
    </x:row>
    <x:row r="254" ht="21" customHeight="1">
      <x:c r="A254" s="12" t="n">
        <x:v>46275</x:v>
      </x:c>
      <x:c r="B254" s="1" t="str">
        <x:v>GFGC9900OC</x:v>
      </x:c>
      <x:c r="C254" s="1" t="str">
        <x:v>call</x:v>
      </x:c>
      <x:c r="D254" s="11" t="n">
        <x:v>9900</x:v>
      </x:c>
      <x:c r="E254" s="11" t="n">
        <x:f>'Option source'!B482</x:f>
        <x:v>6.25</x:v>
      </x:c>
      <x:c r="F254" s="11" t="n">
        <x:v>7145</x:v>
      </x:c>
      <x:c r="G254" s="18" t="n">
        <x:v>36</x:v>
      </x:c>
      <x:c r="H254" s="11" t="n">
        <x:f>MAX(IF(C254="call",F254-D254,D254-F254),0)</x:f>
        <x:v>0</x:v>
      </x:c>
      <x:c r="I254" s="11" t="n">
        <x:f>E254-H254</x:f>
        <x:v>6.25</x:v>
      </x:c>
      <x:c r="J254" s="13" t="n">
        <x:f>D254/F254</x:f>
        <x:v>1.3855843247025892</x:v>
      </x:c>
      <x:c r="K254" s="13" t="n">
        <x:v>0.4374918197350107</x:v>
      </x:c>
      <x:c r="L254" s="17" t="n">
        <x:v>0.01832984303733065</x:v>
      </x:c>
      <x:c r="M254" s="17" t="n">
        <x:v>1.0088329027148597</x:v>
      </x:c>
      <x:c r="N254" s="11" t="n">
        <x:f>'Option source'!C482</x:f>
        <x:v>2608293</x:v>
      </x:c>
      <x:c r="O254" s="11" t="n">
        <x:f>'Option source'!G482</x:f>
        <x:v>5.01</x:v>
      </x:c>
      <x:c r="P254" s="11" t="n">
        <x:f>'Option source'!F482</x:f>
        <x:v>8.99</x:v>
      </x:c>
      <x:c r="Q254" s="1" t="str">
        <x:v>Screen passed; indicative</x:v>
      </x:c>
      <x:c r="R254" s="1" t="n">
        <x:v>477</x:v>
      </x:c>
    </x:row>
    <x:row r="255" ht="21" customHeight="1">
      <x:c r="A255" s="12" t="n">
        <x:v>46275</x:v>
      </x:c>
      <x:c r="B255" s="1" t="str">
        <x:v>GFGC4200OC</x:v>
      </x:c>
      <x:c r="C255" s="1" t="str">
        <x:v>call</x:v>
      </x:c>
      <x:c r="D255" s="11" t="n">
        <x:v>4200</x:v>
      </x:c>
      <x:c r="E255" s="11" t="n">
        <x:f>'Option source'!B21</x:f>
        <x:v>3000</x:v>
      </x:c>
      <x:c r="F255" s="11" t="n">
        <x:v>7145</x:v>
      </x:c>
      <x:c r="G255" s="18" t="n">
        <x:v>36</x:v>
      </x:c>
      <x:c r="H255" s="11" t="n">
        <x:f>MAX(IF(C255="call",F255-D255,D255-F255),0)</x:f>
        <x:v>2945</x:v>
      </x:c>
      <x:c r="I255" s="11" t="n">
        <x:f>E255-H255</x:f>
        <x:v>55</x:v>
      </x:c>
      <x:c r="J255" s="13" t="n">
        <x:f>D255/F255</x:f>
        <x:v>0.5878236529041287</x:v>
      </x:c>
      <x:c r="K255" s="13"/>
      <x:c r="L255" s="17"/>
      <x:c r="M255" s="17"/>
      <x:c r="N255" s="11" t="n">
        <x:f>'Option source'!C21</x:f>
        <x:v>4212306</x:v>
      </x:c>
      <x:c r="O255" s="11" t="n">
        <x:f>'Option source'!G21</x:f>
        <x:v>2935.98</x:v>
      </x:c>
      <x:c r="P255" s="11" t="n">
        <x:f>'Option source'!F21</x:f>
        <x:v>3050</x:v>
      </x:c>
      <x:c r="Q255" s="1" t="str">
        <x:v>No stable model IV</x:v>
      </x:c>
      <x:c r="R255" s="1" t="n">
        <x:v>16</x:v>
      </x:c>
    </x:row>
    <x:row r="256" ht="21" customHeight="1">
      <x:c r="A256" s="12" t="n">
        <x:v>46275</x:v>
      </x:c>
      <x:c r="B256" s="1" t="str">
        <x:v>GFGV4200OC</x:v>
      </x:c>
      <x:c r="C256" s="1" t="str">
        <x:v>put</x:v>
      </x:c>
      <x:c r="D256" s="11" t="n">
        <x:v>4200</x:v>
      </x:c>
      <x:c r="E256" s="11" t="n">
        <x:f>'Option source'!B501</x:f>
        <x:v>0.76</x:v>
      </x:c>
      <x:c r="F256" s="11" t="n">
        <x:v>7145</x:v>
      </x:c>
      <x:c r="G256" s="18" t="n">
        <x:v>36</x:v>
      </x:c>
      <x:c r="H256" s="11" t="n">
        <x:f>MAX(IF(C256="call",F256-D256,D256-F256),0)</x:f>
        <x:v>0</x:v>
      </x:c>
      <x:c r="I256" s="11" t="n">
        <x:f>E256-H256</x:f>
        <x:v>0.76</x:v>
      </x:c>
      <x:c r="J256" s="13" t="n">
        <x:f>D256/F256</x:f>
        <x:v>0.5878236529041287</x:v>
      </x:c>
      <x:c r="K256" s="13" t="n">
        <x:v>0.6340380698617183</x:v>
      </x:c>
      <x:c r="L256" s="17" t="n">
        <x:v>-0.0017698660677235578</x:v>
      </x:c>
      <x:c r="M256" s="17" t="n">
        <x:v>0.12730870378841164</x:v>
      </x:c>
      <x:c r="N256" s="11" t="n">
        <x:f>'Option source'!C501</x:f>
        <x:v>34430.7</x:v>
      </x:c>
      <x:c r="O256" s="11" t="n">
        <x:f>'Option source'!G501</x:f>
        <x:v>0.5</x:v>
      </x:c>
      <x:c r="P256" s="11" t="n">
        <x:f>'Option source'!F501</x:f>
        <x:v>1.15</x:v>
      </x:c>
      <x:c r="Q256" s="1" t="str">
        <x:v>Screen passed; indicative</x:v>
      </x:c>
      <x:c r="R256" s="1" t="n">
        <x:v>496</x:v>
      </x:c>
    </x:row>
    <x:row r="257" ht="21" customHeight="1">
      <x:c r="A257" s="12" t="n">
        <x:v>46274</x:v>
      </x:c>
      <x:c r="B257" s="1" t="str">
        <x:v>GFGC7000OC</x:v>
      </x:c>
      <x:c r="C257" s="1" t="str">
        <x:v>call</x:v>
      </x:c>
      <x:c r="D257" s="11" t="n">
        <x:v>7000</x:v>
      </x:c>
      <x:c r="E257" s="11" t="n">
        <x:f>'Option source'!B272</x:f>
        <x:v>521.43</x:v>
      </x:c>
      <x:c r="F257" s="11" t="n">
        <x:v>7085</x:v>
      </x:c>
      <x:c r="G257" s="18" t="n">
        <x:v>37</x:v>
      </x:c>
      <x:c r="H257" s="11" t="n">
        <x:f>MAX(IF(C257="call",F257-D257,D257-F257),0)</x:f>
        <x:v>85</x:v>
      </x:c>
      <x:c r="I257" s="11" t="n">
        <x:f>E257-H257</x:f>
        <x:v>436.42999999999995</x:v>
      </x:c>
      <x:c r="J257" s="13" t="n">
        <x:f>D257/F257</x:f>
        <x:v>0.9880028228652082</x:v>
      </x:c>
      <x:c r="K257" s="13" t="n">
        <x:v>0.4029601238944973</x:v>
      </x:c>
      <x:c r="L257" s="17" t="n">
        <x:v>0.6536746956670747</x:v>
      </x:c>
      <x:c r="M257" s="17" t="n">
        <x:v>8.322987461570545</x:v>
      </x:c>
      <x:c r="N257" s="11" t="n">
        <x:f>'Option source'!C272</x:f>
        <x:v>399605344</x:v>
      </x:c>
      <x:c r="O257" s="11" t="n">
        <x:f>'Option source'!G272</x:f>
        <x:v>410</x:v>
      </x:c>
      <x:c r="P257" s="11" t="n">
        <x:f>'Option source'!F272</x:f>
        <x:v>550</x:v>
      </x:c>
      <x:c r="Q257" s="1" t="str">
        <x:v>Screen passed; indicative</x:v>
      </x:c>
      <x:c r="R257" s="1" t="n">
        <x:v>267</x:v>
      </x:c>
    </x:row>
    <x:row r="258" ht="21" customHeight="1">
      <x:c r="A258" s="12" t="n">
        <x:v>46274</x:v>
      </x:c>
      <x:c r="B258" s="1" t="str">
        <x:v>GFGV7000OC</x:v>
      </x:c>
      <x:c r="C258" s="1" t="str">
        <x:v>put</x:v>
      </x:c>
      <x:c r="D258" s="11" t="n">
        <x:v>7000</x:v>
      </x:c>
      <x:c r="E258" s="11" t="n">
        <x:f>'Option source'!B766</x:f>
        <x:v>279.23</x:v>
      </x:c>
      <x:c r="F258" s="11" t="n">
        <x:v>7085</x:v>
      </x:c>
      <x:c r="G258" s="18" t="n">
        <x:v>37</x:v>
      </x:c>
      <x:c r="H258" s="11" t="n">
        <x:f>MAX(IF(C258="call",F258-D258,D258-F258),0)</x:f>
        <x:v>0</x:v>
      </x:c>
      <x:c r="I258" s="11" t="n">
        <x:f>E258-H258</x:f>
        <x:v>279.23</x:v>
      </x:c>
      <x:c r="J258" s="13" t="n">
        <x:f>D258/F258</x:f>
        <x:v>0.9880028228652082</x:v>
      </x:c>
      <x:c r="K258" s="13" t="n">
        <x:v>0.44401835364440734</x:v>
      </x:c>
      <x:c r="L258" s="17" t="n">
        <x:v>-0.35525213614329865</x:v>
      </x:c>
      <x:c r="M258" s="17" t="n">
        <x:v>8.400152133932155</x:v>
      </x:c>
      <x:c r="N258" s="11" t="n">
        <x:f>'Option source'!C766</x:f>
        <x:v>193098256</x:v>
      </x:c>
      <x:c r="O258" s="11" t="n">
        <x:f>'Option source'!G766</x:f>
        <x:v>265.01</x:v>
      </x:c>
      <x:c r="P258" s="11" t="n">
        <x:f>'Option source'!F766</x:f>
        <x:v>367</x:v>
      </x:c>
      <x:c r="Q258" s="1" t="str">
        <x:v>Screen passed; indicative</x:v>
      </x:c>
      <x:c r="R258" s="1" t="n">
        <x:v>761</x:v>
      </x:c>
    </x:row>
    <x:row r="259" ht="21" customHeight="1">
      <x:c r="A259" s="12" t="n">
        <x:v>46274</x:v>
      </x:c>
      <x:c r="B259" s="1" t="str">
        <x:v>GFGC7200OC</x:v>
      </x:c>
      <x:c r="C259" s="1" t="str">
        <x:v>call</x:v>
      </x:c>
      <x:c r="D259" s="11" t="n">
        <x:v>7200</x:v>
      </x:c>
      <x:c r="E259" s="11" t="n">
        <x:f>'Option source'!B291</x:f>
        <x:v>418.29</x:v>
      </x:c>
      <x:c r="F259" s="11" t="n">
        <x:v>7085</x:v>
      </x:c>
      <x:c r="G259" s="18" t="n">
        <x:v>37</x:v>
      </x:c>
      <x:c r="H259" s="11" t="n">
        <x:f>MAX(IF(C259="call",F259-D259,D259-F259),0)</x:f>
        <x:v>0</x:v>
      </x:c>
      <x:c r="I259" s="11" t="n">
        <x:f>E259-H259</x:f>
        <x:v>418.29</x:v>
      </x:c>
      <x:c r="J259" s="13" t="n">
        <x:f>D259/F259</x:f>
        <x:v>1.0162314749470713</x:v>
      </x:c>
      <x:c r="K259" s="13" t="n">
        <x:v>0.40963638788781864</x:v>
      </x:c>
      <x:c r="L259" s="17" t="n">
        <x:v>0.5694327010537729</x:v>
      </x:c>
      <x:c r="M259" s="17" t="n">
        <x:v>8.86256699562248</x:v>
      </x:c>
      <x:c r="N259" s="11" t="n">
        <x:f>'Option source'!C291</x:f>
        <x:v>233066080</x:v>
      </x:c>
      <x:c r="O259" s="11" t="n">
        <x:f>'Option source'!G291</x:f>
        <x:v>320</x:v>
      </x:c>
      <x:c r="P259" s="11" t="n">
        <x:f>'Option source'!F291</x:f>
        <x:v>444</x:v>
      </x:c>
      <x:c r="Q259" s="1" t="str">
        <x:v>Screen passed; indicative</x:v>
      </x:c>
      <x:c r="R259" s="1" t="n">
        <x:v>286</x:v>
      </x:c>
    </x:row>
    <x:row r="260" ht="21" customHeight="1">
      <x:c r="A260" s="12" t="n">
        <x:v>46274</x:v>
      </x:c>
      <x:c r="B260" s="1" t="str">
        <x:v>GFGV7200OC</x:v>
      </x:c>
      <x:c r="C260" s="1" t="str">
        <x:v>put</x:v>
      </x:c>
      <x:c r="D260" s="11" t="n">
        <x:v>7200</x:v>
      </x:c>
      <x:c r="E260" s="11" t="n">
        <x:f>'Option source'!B785</x:f>
        <x:v>369.17</x:v>
      </x:c>
      <x:c r="F260" s="11" t="n">
        <x:v>7085</x:v>
      </x:c>
      <x:c r="G260" s="18" t="n">
        <x:v>37</x:v>
      </x:c>
      <x:c r="H260" s="11" t="n">
        <x:f>MAX(IF(C260="call",F260-D260,D260-F260),0)</x:f>
        <x:v>115</x:v>
      </x:c>
      <x:c r="I260" s="11" t="n">
        <x:f>E260-H260</x:f>
        <x:v>254.17000000000002</x:v>
      </x:c>
      <x:c r="J260" s="13" t="n">
        <x:f>D260/F260</x:f>
        <x:v>1.0162314749470713</x:v>
      </x:c>
      <x:c r="K260" s="13" t="n">
        <x:v>0.43792157488276096</x:v>
      </x:c>
      <x:c r="L260" s="17" t="n">
        <x:v>-0.4315826954679691</x:v>
      </x:c>
      <x:c r="M260" s="17" t="n">
        <x:v>8.866544171172652</x:v>
      </x:c>
      <x:c r="N260" s="11" t="n">
        <x:f>'Option source'!C785</x:f>
        <x:v>66294692</x:v>
      </x:c>
      <x:c r="O260" s="11" t="n">
        <x:f>'Option source'!G785</x:f>
        <x:v>360</x:v>
      </x:c>
      <x:c r="P260" s="11" t="n">
        <x:f>'Option source'!F785</x:f>
        <x:v>477.99</x:v>
      </x:c>
      <x:c r="Q260" s="1" t="str">
        <x:v>Screen passed; indicative</x:v>
      </x:c>
      <x:c r="R260" s="1" t="n">
        <x:v>780</x:v>
      </x:c>
    </x:row>
    <x:row r="261" ht="21" customHeight="1">
      <x:c r="A261" s="12" t="n">
        <x:v>46274</x:v>
      </x:c>
      <x:c r="B261" s="1" t="str">
        <x:v>GFGC6800OC</x:v>
      </x:c>
      <x:c r="C261" s="1" t="str">
        <x:v>call</x:v>
      </x:c>
      <x:c r="D261" s="11" t="n">
        <x:v>6800</x:v>
      </x:c>
      <x:c r="E261" s="11" t="n">
        <x:f>'Option source'!B253</x:f>
        <x:v>630.86</x:v>
      </x:c>
      <x:c r="F261" s="11" t="n">
        <x:v>7085</x:v>
      </x:c>
      <x:c r="G261" s="18" t="n">
        <x:v>37</x:v>
      </x:c>
      <x:c r="H261" s="11" t="n">
        <x:f>MAX(IF(C261="call",F261-D261,D261-F261),0)</x:f>
        <x:v>285</x:v>
      </x:c>
      <x:c r="I261" s="11" t="n">
        <x:f>E261-H261</x:f>
        <x:v>345.86</x:v>
      </x:c>
      <x:c r="J261" s="13" t="n">
        <x:f>D261/F261</x:f>
        <x:v>0.9597741707833451</x:v>
      </x:c>
      <x:c r="K261" s="13" t="n">
        <x:v>0.38094547938513457</x:v>
      </x:c>
      <x:c r="L261" s="17" t="n">
        <x:v>0.7421179261988932</x:v>
      </x:c>
      <x:c r="M261" s="17" t="n">
        <x:v>7.286031931728814</x:v>
      </x:c>
      <x:c r="N261" s="11" t="n">
        <x:f>'Option source'!C253</x:f>
        <x:v>103997440</x:v>
      </x:c>
      <x:c r="O261" s="11" t="n">
        <x:f>'Option source'!G253</x:f>
        <x:v>520</x:v>
      </x:c>
      <x:c r="P261" s="11" t="n">
        <x:f>'Option source'!F253</x:f>
        <x:v>685</x:v>
      </x:c>
      <x:c r="Q261" s="1" t="str">
        <x:v>Screen passed; indicative</x:v>
      </x:c>
      <x:c r="R261" s="1" t="n">
        <x:v>248</x:v>
      </x:c>
    </x:row>
    <x:row r="262" ht="21" customHeight="1">
      <x:c r="A262" s="12" t="n">
        <x:v>46274</x:v>
      </x:c>
      <x:c r="B262" s="1" t="str">
        <x:v>GFGV6800OC</x:v>
      </x:c>
      <x:c r="C262" s="1" t="str">
        <x:v>put</x:v>
      </x:c>
      <x:c r="D262" s="11" t="n">
        <x:v>6800</x:v>
      </x:c>
      <x:c r="E262" s="11" t="n">
        <x:f>'Option source'!B747</x:f>
        <x:v>195.89</x:v>
      </x:c>
      <x:c r="F262" s="11" t="n">
        <x:v>7085</x:v>
      </x:c>
      <x:c r="G262" s="18" t="n">
        <x:v>37</x:v>
      </x:c>
      <x:c r="H262" s="11" t="n">
        <x:f>MAX(IF(C262="call",F262-D262,D262-F262),0)</x:f>
        <x:v>0</x:v>
      </x:c>
      <x:c r="I262" s="11" t="n">
        <x:f>E262-H262</x:f>
        <x:v>195.89</x:v>
      </x:c>
      <x:c r="J262" s="13" t="n">
        <x:f>D262/F262</x:f>
        <x:v>0.9597741707833451</x:v>
      </x:c>
      <x:c r="K262" s="13" t="n">
        <x:v>0.43776606830115405</x:v>
      </x:c>
      <x:c r="L262" s="17" t="n">
        <x:v>-0.28013110368694316</x:v>
      </x:c>
      <x:c r="M262" s="17" t="n">
        <x:v>7.5951622390944</x:v>
      </x:c>
      <x:c r="N262" s="11" t="n">
        <x:f>'Option source'!C747</x:f>
        <x:v>161789408</x:v>
      </x:c>
      <x:c r="O262" s="11" t="n">
        <x:f>'Option source'!G747</x:f>
        <x:v>142</x:v>
      </x:c>
      <x:c r="P262" s="11" t="n">
        <x:f>'Option source'!F747</x:f>
        <x:v>275</x:v>
      </x:c>
      <x:c r="Q262" s="1" t="str">
        <x:v>Screen passed; indicative</x:v>
      </x:c>
      <x:c r="R262" s="1" t="n">
        <x:v>742</x:v>
      </x:c>
    </x:row>
    <x:row r="263" ht="21" customHeight="1">
      <x:c r="A263" s="12" t="n">
        <x:v>46274</x:v>
      </x:c>
      <x:c r="B263" s="1" t="str">
        <x:v>GFGC7400OC</x:v>
      </x:c>
      <x:c r="C263" s="1" t="str">
        <x:v>call</x:v>
      </x:c>
      <x:c r="D263" s="11" t="n">
        <x:v>7400</x:v>
      </x:c>
      <x:c r="E263" s="11" t="n">
        <x:f>'Option source'!B310</x:f>
        <x:v>324.41</x:v>
      </x:c>
      <x:c r="F263" s="11" t="n">
        <x:v>7085</x:v>
      </x:c>
      <x:c r="G263" s="18" t="n">
        <x:v>37</x:v>
      </x:c>
      <x:c r="H263" s="11" t="n">
        <x:f>MAX(IF(C263="call",F263-D263,D263-F263),0)</x:f>
        <x:v>0</x:v>
      </x:c>
      <x:c r="I263" s="11" t="n">
        <x:f>E263-H263</x:f>
        <x:v>324.41</x:v>
      </x:c>
      <x:c r="J263" s="13" t="n">
        <x:f>D263/F263</x:f>
        <x:v>1.0444601270289344</x:v>
      </x:c>
      <x:c r="K263" s="13" t="n">
        <x:v>0.40787294139226926</x:v>
      </x:c>
      <x:c r="L263" s="17" t="n">
        <x:v>0.485695815787238</x:v>
      </x:c>
      <x:c r="M263" s="17" t="n">
        <x:v>8.993423936676633</x:v>
      </x:c>
      <x:c r="N263" s="11" t="n">
        <x:f>'Option source'!C310</x:f>
        <x:v>186321136</x:v>
      </x:c>
      <x:c r="O263" s="11" t="n">
        <x:f>'Option source'!G310</x:f>
        <x:v>248</x:v>
      </x:c>
      <x:c r="P263" s="11" t="n">
        <x:f>'Option source'!F310</x:f>
        <x:v>350</x:v>
      </x:c>
      <x:c r="Q263" s="1" t="str">
        <x:v>Screen passed; indicative</x:v>
      </x:c>
      <x:c r="R263" s="1" t="n">
        <x:v>305</x:v>
      </x:c>
    </x:row>
    <x:row r="264" ht="21" customHeight="1">
      <x:c r="A264" s="12" t="n">
        <x:v>46274</x:v>
      </x:c>
      <x:c r="B264" s="1" t="str">
        <x:v>GFGV7400OC</x:v>
      </x:c>
      <x:c r="C264" s="1" t="str">
        <x:v>put</x:v>
      </x:c>
      <x:c r="D264" s="11" t="n">
        <x:v>7400</x:v>
      </x:c>
      <x:c r="E264" s="11" t="n">
        <x:f>'Option source'!B804</x:f>
        <x:v>480.11</x:v>
      </x:c>
      <x:c r="F264" s="11" t="n">
        <x:v>7085</x:v>
      </x:c>
      <x:c r="G264" s="18" t="n">
        <x:v>37</x:v>
      </x:c>
      <x:c r="H264" s="11" t="n">
        <x:f>MAX(IF(C264="call",F264-D264,D264-F264),0)</x:f>
        <x:v>315</x:v>
      </x:c>
      <x:c r="I264" s="11" t="n">
        <x:f>E264-H264</x:f>
        <x:v>165.11</x:v>
      </x:c>
      <x:c r="J264" s="13" t="n">
        <x:f>D264/F264</x:f>
        <x:v>1.0444601270289344</x:v>
      </x:c>
      <x:c r="K264" s="13" t="n">
        <x:v>0.43438047982526795</x:v>
      </x:c>
      <x:c r="L264" s="17" t="n">
        <x:v>-0.5101688694478634</x:v>
      </x:c>
      <x:c r="M264" s="17" t="n">
        <x:v>8.996285616344458</x:v>
      </x:c>
      <x:c r="N264" s="11" t="n">
        <x:f>'Option source'!C804</x:f>
        <x:v>11769648</x:v>
      </x:c>
      <x:c r="O264" s="11" t="n">
        <x:f>'Option source'!G804</x:f>
        <x:v>456.43</x:v>
      </x:c>
      <x:c r="P264" s="11" t="n">
        <x:f>'Option source'!F804</x:f>
        <x:v>610</x:v>
      </x:c>
      <x:c r="Q264" s="1" t="str">
        <x:v>Screen passed; indicative</x:v>
      </x:c>
      <x:c r="R264" s="1" t="n">
        <x:v>799</x:v>
      </x:c>
    </x:row>
    <x:row r="265" ht="21" customHeight="1">
      <x:c r="A265" s="12" t="n">
        <x:v>46274</x:v>
      </x:c>
      <x:c r="B265" s="1" t="str">
        <x:v>GFGC6600OC</x:v>
      </x:c>
      <x:c r="C265" s="1" t="str">
        <x:v>call</x:v>
      </x:c>
      <x:c r="D265" s="11" t="n">
        <x:v>6600</x:v>
      </x:c>
      <x:c r="E265" s="11" t="n">
        <x:f>'Option source'!B234</x:f>
        <x:v>773.75</x:v>
      </x:c>
      <x:c r="F265" s="11" t="n">
        <x:v>7085</x:v>
      </x:c>
      <x:c r="G265" s="18" t="n">
        <x:v>37</x:v>
      </x:c>
      <x:c r="H265" s="11" t="n">
        <x:f>MAX(IF(C265="call",F265-D265,D265-F265),0)</x:f>
        <x:v>485</x:v>
      </x:c>
      <x:c r="I265" s="11" t="n">
        <x:f>E265-H265</x:f>
        <x:v>288.75</x:v>
      </x:c>
      <x:c r="J265" s="13" t="n">
        <x:f>D265/F265</x:f>
        <x:v>0.9315455187014821</x:v>
      </x:c>
      <x:c r="K265" s="13" t="n">
        <x:v>0.37918598565855555</x:v>
      </x:c>
      <x:c r="L265" s="17" t="n">
        <x:v>0.8158382285750627</x:v>
      </x:c>
      <x:c r="M265" s="17" t="n">
        <x:v>6.004327057535169</x:v>
      </x:c>
      <x:c r="N265" s="11" t="n">
        <x:f>'Option source'!C234</x:f>
        <x:v>67822120</x:v>
      </x:c>
      <x:c r="O265" s="11" t="n">
        <x:f>'Option source'!G234</x:f>
        <x:v>639</x:v>
      </x:c>
      <x:c r="P265" s="11" t="n">
        <x:f>'Option source'!F234</x:f>
        <x:v>815</x:v>
      </x:c>
      <x:c r="Q265" s="1" t="str">
        <x:v>Screen passed; indicative</x:v>
      </x:c>
      <x:c r="R265" s="1" t="n">
        <x:v>229</x:v>
      </x:c>
    </x:row>
    <x:row r="266" ht="21" customHeight="1">
      <x:c r="A266" s="12" t="n">
        <x:v>46274</x:v>
      </x:c>
      <x:c r="B266" s="1" t="str">
        <x:v>GFGV6600OC</x:v>
      </x:c>
      <x:c r="C266" s="1" t="str">
        <x:v>put</x:v>
      </x:c>
      <x:c r="D266" s="11" t="n">
        <x:v>6600</x:v>
      </x:c>
      <x:c r="E266" s="11" t="n">
        <x:f>'Option source'!B728</x:f>
        <x:v>133.95</x:v>
      </x:c>
      <x:c r="F266" s="11" t="n">
        <x:v>7085</x:v>
      </x:c>
      <x:c r="G266" s="18" t="n">
        <x:v>37</x:v>
      </x:c>
      <x:c r="H266" s="11" t="n">
        <x:f>MAX(IF(C266="call",F266-D266,D266-F266),0)</x:f>
        <x:v>0</x:v>
      </x:c>
      <x:c r="I266" s="11" t="n">
        <x:f>E266-H266</x:f>
        <x:v>133.95</x:v>
      </x:c>
      <x:c r="J266" s="13" t="n">
        <x:f>D266/F266</x:f>
        <x:v>0.9315455187014821</x:v>
      </x:c>
      <x:c r="K266" s="13" t="n">
        <x:v>0.43563015006037775</x:v>
      </x:c>
      <x:c r="L266" s="17" t="n">
        <x:v>-0.21189530581137772</x:v>
      </x:c>
      <x:c r="M266" s="17" t="n">
        <x:v>6.535487241286555</x:v>
      </x:c>
      <x:c r="N266" s="11" t="n">
        <x:f>'Option source'!C728</x:f>
        <x:v>190944560</x:v>
      </x:c>
      <x:c r="O266" s="11" t="n">
        <x:f>'Option source'!G728</x:f>
        <x:v>132</x:v>
      </x:c>
      <x:c r="P266" s="11" t="n">
        <x:f>'Option source'!F728</x:f>
        <x:v>200</x:v>
      </x:c>
      <x:c r="Q266" s="1" t="str">
        <x:v>Screen passed; indicative</x:v>
      </x:c>
      <x:c r="R266" s="1" t="n">
        <x:v>723</x:v>
      </x:c>
    </x:row>
    <x:row r="267" ht="21" customHeight="1">
      <x:c r="A267" s="12" t="n">
        <x:v>46274</x:v>
      </x:c>
      <x:c r="B267" s="1" t="str">
        <x:v>GFGC7600OC</x:v>
      </x:c>
      <x:c r="C267" s="1" t="str">
        <x:v>call</x:v>
      </x:c>
      <x:c r="D267" s="11" t="n">
        <x:v>7600</x:v>
      </x:c>
      <x:c r="E267" s="11" t="n">
        <x:f>'Option source'!B329</x:f>
        <x:v>247.27</x:v>
      </x:c>
      <x:c r="F267" s="11" t="n">
        <x:v>7085</x:v>
      </x:c>
      <x:c r="G267" s="18" t="n">
        <x:v>37</x:v>
      </x:c>
      <x:c r="H267" s="11" t="n">
        <x:f>MAX(IF(C267="call",F267-D267,D267-F267),0)</x:f>
        <x:v>0</x:v>
      </x:c>
      <x:c r="I267" s="11" t="n">
        <x:f>E267-H267</x:f>
        <x:v>247.27</x:v>
      </x:c>
      <x:c r="J267" s="13" t="n">
        <x:f>D267/F267</x:f>
        <x:v>1.0726887791107975</x:v>
      </x:c>
      <x:c r="K267" s="13" t="n">
        <x:v>0.4071160930917401</x:v>
      </x:c>
      <x:c r="L267" s="17" t="n">
        <x:v>0.4044240745163781</x:v>
      </x:c>
      <x:c r="M267" s="17" t="n">
        <x:v>8.739700674820586</x:v>
      </x:c>
      <x:c r="N267" s="11" t="n">
        <x:f>'Option source'!C329</x:f>
        <x:v>318630720</x:v>
      </x:c>
      <x:c r="O267" s="11" t="n">
        <x:f>'Option source'!G329</x:f>
        <x:v>187</x:v>
      </x:c>
      <x:c r="P267" s="11" t="n">
        <x:f>'Option source'!F329</x:f>
        <x:v>275</x:v>
      </x:c>
      <x:c r="Q267" s="1" t="str">
        <x:v>Screen passed; indicative</x:v>
      </x:c>
      <x:c r="R267" s="1" t="n">
        <x:v>324</x:v>
      </x:c>
    </x:row>
    <x:row r="268" ht="21" customHeight="1">
      <x:c r="A268" s="12" t="n">
        <x:v>46274</x:v>
      </x:c>
      <x:c r="B268" s="1" t="str">
        <x:v>GFGV7600OC</x:v>
      </x:c>
      <x:c r="C268" s="1" t="str">
        <x:v>put</x:v>
      </x:c>
      <x:c r="D268" s="11" t="n">
        <x:v>7600</x:v>
      </x:c>
      <x:c r="E268" s="11" t="n">
        <x:f>'Option source'!B823</x:f>
        <x:v>593.01</x:v>
      </x:c>
      <x:c r="F268" s="11" t="n">
        <x:v>7085</x:v>
      </x:c>
      <x:c r="G268" s="18" t="n">
        <x:v>37</x:v>
      </x:c>
      <x:c r="H268" s="11" t="n">
        <x:f>MAX(IF(C268="call",F268-D268,D268-F268),0)</x:f>
        <x:v>515</x:v>
      </x:c>
      <x:c r="I268" s="11" t="n">
        <x:f>E268-H268</x:f>
        <x:v>78.00999999999999</x:v>
      </x:c>
      <x:c r="J268" s="13" t="n">
        <x:f>D268/F268</x:f>
        <x:v>1.0726887791107975</x:v>
      </x:c>
      <x:c r="K268" s="13" t="n">
        <x:v>0.4080662085433334</x:v>
      </x:c>
      <x:c r="L268" s="17" t="n">
        <x:v>-0.5952405996869348</x:v>
      </x:c>
      <x:c r="M268" s="17" t="n">
        <x:v>8.74152726701103</x:v>
      </x:c>
      <x:c r="N268" s="11" t="n">
        <x:f>'Option source'!C823</x:f>
        <x:v>3909676</x:v>
      </x:c>
      <x:c r="O268" s="11" t="n">
        <x:f>'Option source'!G823</x:f>
        <x:v>590</x:v>
      </x:c>
      <x:c r="P268" s="11" t="n">
        <x:f>'Option source'!F823</x:f>
        <x:v>747.99</x:v>
      </x:c>
      <x:c r="Q268" s="1" t="str">
        <x:v>Screen passed; indicative</x:v>
      </x:c>
      <x:c r="R268" s="1" t="n">
        <x:v>818</x:v>
      </x:c>
    </x:row>
    <x:row r="269" ht="21" customHeight="1">
      <x:c r="A269" s="12" t="n">
        <x:v>46274</x:v>
      </x:c>
      <x:c r="B269" s="1" t="str">
        <x:v>GFGC6400OC</x:v>
      </x:c>
      <x:c r="C269" s="1" t="str">
        <x:v>call</x:v>
      </x:c>
      <x:c r="D269" s="11" t="n">
        <x:v>6400</x:v>
      </x:c>
      <x:c r="E269" s="11" t="n">
        <x:f>'Option source'!B215</x:f>
        <x:v>875.61</x:v>
      </x:c>
      <x:c r="F269" s="11" t="n">
        <x:v>7085</x:v>
      </x:c>
      <x:c r="G269" s="18" t="n">
        <x:v>37</x:v>
      </x:c>
      <x:c r="H269" s="11" t="n">
        <x:f>MAX(IF(C269="call",F269-D269,D269-F269),0)</x:f>
        <x:v>685</x:v>
      </x:c>
      <x:c r="I269" s="11" t="n">
        <x:f>E269-H269</x:f>
        <x:v>190.61</x:v>
      </x:c>
      <x:c r="J269" s="13" t="n">
        <x:f>D269/F269</x:f>
        <x:v>0.903316866619619</x:v>
      </x:c>
      <x:c r="K269" s="13"/>
      <x:c r="L269" s="17"/>
      <x:c r="M269" s="17"/>
      <x:c r="N269" s="11" t="n">
        <x:f>'Option source'!C215</x:f>
        <x:v>21708370</x:v>
      </x:c>
      <x:c r="O269" s="11" t="n">
        <x:f>'Option source'!G215</x:f>
        <x:v>773.01</x:v>
      </x:c>
      <x:c r="P269" s="11" t="n">
        <x:f>'Option source'!F215</x:f>
        <x:v>983.13</x:v>
      </x:c>
      <x:c r="Q269" s="1" t="str">
        <x:v>No stable model IV</x:v>
      </x:c>
      <x:c r="R269" s="1" t="n">
        <x:v>210</x:v>
      </x:c>
    </x:row>
    <x:row r="270" ht="21" customHeight="1">
      <x:c r="A270" s="12" t="n">
        <x:v>46274</x:v>
      </x:c>
      <x:c r="B270" s="1" t="str">
        <x:v>GFGV6400OC</x:v>
      </x:c>
      <x:c r="C270" s="1" t="str">
        <x:v>put</x:v>
      </x:c>
      <x:c r="D270" s="11" t="n">
        <x:v>6400</x:v>
      </x:c>
      <x:c r="E270" s="11" t="n">
        <x:f>'Option source'!B709</x:f>
        <x:v>89.43</x:v>
      </x:c>
      <x:c r="F270" s="11" t="n">
        <x:v>7085</x:v>
      </x:c>
      <x:c r="G270" s="18" t="n">
        <x:v>37</x:v>
      </x:c>
      <x:c r="H270" s="11" t="n">
        <x:f>MAX(IF(C270="call",F270-D270,D270-F270),0)</x:f>
        <x:v>0</x:v>
      </x:c>
      <x:c r="I270" s="11" t="n">
        <x:f>E270-H270</x:f>
        <x:v>89.43</x:v>
      </x:c>
      <x:c r="J270" s="13" t="n">
        <x:f>D270/F270</x:f>
        <x:v>0.903316866619619</x:v>
      </x:c>
      <x:c r="K270" s="13" t="n">
        <x:v>0.43834915287775</x:v>
      </x:c>
      <x:c r="L270" s="17" t="n">
        <x:v>-0.1547557805053753</x:v>
      </x:c>
      <x:c r="M270" s="17" t="n">
        <x:v>5.369620642618267</x:v>
      </x:c>
      <x:c r="N270" s="11" t="n">
        <x:f>'Option source'!C709</x:f>
        <x:v>55405064</x:v>
      </x:c>
      <x:c r="O270" s="11" t="n">
        <x:f>'Option source'!G709</x:f>
        <x:v>80.18</x:v>
      </x:c>
      <x:c r="P270" s="11" t="n">
        <x:f>'Option source'!F709</x:f>
        <x:v>132</x:v>
      </x:c>
      <x:c r="Q270" s="1" t="str">
        <x:v>Screen passed; indicative</x:v>
      </x:c>
      <x:c r="R270" s="1" t="n">
        <x:v>704</x:v>
      </x:c>
    </x:row>
    <x:row r="271" ht="21" customHeight="1">
      <x:c r="A271" s="12" t="n">
        <x:v>46274</x:v>
      </x:c>
      <x:c r="B271" s="1" t="str">
        <x:v>GFGC7800OC</x:v>
      </x:c>
      <x:c r="C271" s="1" t="str">
        <x:v>call</x:v>
      </x:c>
      <x:c r="D271" s="11" t="n">
        <x:v>7800</x:v>
      </x:c>
      <x:c r="E271" s="11" t="n">
        <x:f>'Option source'!B348</x:f>
        <x:v>187.56</x:v>
      </x:c>
      <x:c r="F271" s="11" t="n">
        <x:v>7085</x:v>
      </x:c>
      <x:c r="G271" s="18" t="n">
        <x:v>37</x:v>
      </x:c>
      <x:c r="H271" s="11" t="n">
        <x:f>MAX(IF(C271="call",F271-D271,D271-F271),0)</x:f>
        <x:v>0</x:v>
      </x:c>
      <x:c r="I271" s="11" t="n">
        <x:f>E271-H271</x:f>
        <x:v>187.56</x:v>
      </x:c>
      <x:c r="J271" s="13" t="n">
        <x:f>D271/F271</x:f>
        <x:v>1.1009174311926606</x:v>
      </x:c>
      <x:c r="K271" s="13" t="n">
        <x:v>0.4097095094634522</x:v>
      </x:c>
      <x:c r="L271" s="17" t="n">
        <x:v>0.3304444301514169</x:v>
      </x:c>
      <x:c r="M271" s="17" t="n">
        <x:v>8.173636227966856</x:v>
      </x:c>
      <x:c r="N271" s="11" t="n">
        <x:f>'Option source'!C348</x:f>
        <x:v>143086560</x:v>
      </x:c>
      <x:c r="O271" s="11" t="n">
        <x:f>'Option source'!G348</x:f>
        <x:v>130</x:v>
      </x:c>
      <x:c r="P271" s="11" t="n">
        <x:f>'Option source'!F348</x:f>
        <x:v>215</x:v>
      </x:c>
      <x:c r="Q271" s="1" t="str">
        <x:v>Screen passed; indicative</x:v>
      </x:c>
      <x:c r="R271" s="1" t="n">
        <x:v>343</x:v>
      </x:c>
    </x:row>
    <x:row r="272" ht="21" customHeight="1">
      <x:c r="A272" s="12" t="n">
        <x:v>46274</x:v>
      </x:c>
      <x:c r="B272" s="1" t="str">
        <x:v>GFGV7800OC</x:v>
      </x:c>
      <x:c r="C272" s="1" t="str">
        <x:v>put</x:v>
      </x:c>
      <x:c r="D272" s="11" t="n">
        <x:v>7800</x:v>
      </x:c>
      <x:c r="E272" s="11" t="n">
        <x:f>'Option source'!B842</x:f>
        <x:v>780</x:v>
      </x:c>
      <x:c r="F272" s="11" t="n">
        <x:v>7085</x:v>
      </x:c>
      <x:c r="G272" s="18" t="n">
        <x:v>37</x:v>
      </x:c>
      <x:c r="H272" s="11" t="n">
        <x:f>MAX(IF(C272="call",F272-D272,D272-F272),0)</x:f>
        <x:v>715</x:v>
      </x:c>
      <x:c r="I272" s="11" t="n">
        <x:f>E272-H272</x:f>
        <x:v>65</x:v>
      </x:c>
      <x:c r="J272" s="13" t="n">
        <x:f>D272/F272</x:f>
        <x:v>1.1009174311926606</x:v>
      </x:c>
      <x:c r="K272" s="13"/>
      <x:c r="L272" s="17"/>
      <x:c r="M272" s="17"/>
      <x:c r="N272" s="11" t="n">
        <x:f>'Option source'!C842</x:f>
        <x:v>0</x:v>
      </x:c>
      <x:c r="O272" s="11" t="n">
        <x:f>'Option source'!G842</x:f>
        <x:v>790</x:v>
      </x:c>
      <x:c r="P272" s="11" t="n">
        <x:f>'Option source'!F842</x:f>
        <x:v>790</x:v>
      </x:c>
      <x:c r="Q272" s="1" t="str">
        <x:v>Zero reported volume; Price outside daily range</x:v>
      </x:c>
      <x:c r="R272" s="1" t="n">
        <x:v>837</x:v>
      </x:c>
    </x:row>
    <x:row r="273" ht="21" customHeight="1">
      <x:c r="A273" s="12" t="n">
        <x:v>46274</x:v>
      </x:c>
      <x:c r="B273" s="1" t="str">
        <x:v>GFGC6200OC</x:v>
      </x:c>
      <x:c r="C273" s="1" t="str">
        <x:v>call</x:v>
      </x:c>
      <x:c r="D273" s="11" t="n">
        <x:v>6200</x:v>
      </x:c>
      <x:c r="E273" s="11" t="n">
        <x:f>'Option source'!B196</x:f>
        <x:v>1070</x:v>
      </x:c>
      <x:c r="F273" s="11" t="n">
        <x:v>7085</x:v>
      </x:c>
      <x:c r="G273" s="18" t="n">
        <x:v>37</x:v>
      </x:c>
      <x:c r="H273" s="11" t="n">
        <x:f>MAX(IF(C273="call",F273-D273,D273-F273),0)</x:f>
        <x:v>885</x:v>
      </x:c>
      <x:c r="I273" s="11" t="n">
        <x:f>E273-H273</x:f>
        <x:v>185</x:v>
      </x:c>
      <x:c r="J273" s="13" t="n">
        <x:f>D273/F273</x:f>
        <x:v>0.8750882145377559</x:v>
      </x:c>
      <x:c r="K273" s="13"/>
      <x:c r="L273" s="17"/>
      <x:c r="M273" s="17"/>
      <x:c r="N273" s="11" t="n">
        <x:f>'Option source'!C196</x:f>
        <x:v>6157861</x:v>
      </x:c>
      <x:c r="O273" s="11" t="n">
        <x:f>'Option source'!G196</x:f>
        <x:v>918</x:v>
      </x:c>
      <x:c r="P273" s="11" t="n">
        <x:f>'Option source'!F196</x:f>
        <x:v>1100</x:v>
      </x:c>
      <x:c r="Q273" s="1" t="str">
        <x:v>No stable model IV</x:v>
      </x:c>
      <x:c r="R273" s="1" t="n">
        <x:v>191</x:v>
      </x:c>
    </x:row>
    <x:row r="274" ht="21" customHeight="1">
      <x:c r="A274" s="12" t="n">
        <x:v>46274</x:v>
      </x:c>
      <x:c r="B274" s="1" t="str">
        <x:v>GFGV6200OC</x:v>
      </x:c>
      <x:c r="C274" s="1" t="str">
        <x:v>put</x:v>
      </x:c>
      <x:c r="D274" s="11" t="n">
        <x:v>6200</x:v>
      </x:c>
      <x:c r="E274" s="11" t="n">
        <x:f>'Option source'!B690</x:f>
        <x:v>55.42</x:v>
      </x:c>
      <x:c r="F274" s="11" t="n">
        <x:v>7085</x:v>
      </x:c>
      <x:c r="G274" s="18" t="n">
        <x:v>37</x:v>
      </x:c>
      <x:c r="H274" s="11" t="n">
        <x:f>MAX(IF(C274="call",F274-D274,D274-F274),0)</x:f>
        <x:v>0</x:v>
      </x:c>
      <x:c r="I274" s="11" t="n">
        <x:f>E274-H274</x:f>
        <x:v>55.42</x:v>
      </x:c>
      <x:c r="J274" s="13" t="n">
        <x:f>D274/F274</x:f>
        <x:v>0.8750882145377559</x:v>
      </x:c>
      <x:c r="K274" s="13" t="n">
        <x:v>0.4362546410545163</x:v>
      </x:c>
      <x:c r="L274" s="17" t="n">
        <x:v>-0.10582621906693879</x:v>
      </x:c>
      <x:c r="M274" s="17" t="n">
        <x:v>4.125111549789978</x:v>
      </x:c>
      <x:c r="N274" s="11" t="n">
        <x:f>'Option source'!C690</x:f>
        <x:v>25460566</x:v>
      </x:c>
      <x:c r="O274" s="11" t="n">
        <x:f>'Option source'!G690</x:f>
        <x:v>50.1</x:v>
      </x:c>
      <x:c r="P274" s="11" t="n">
        <x:f>'Option source'!F690</x:f>
        <x:v>84</x:v>
      </x:c>
      <x:c r="Q274" s="1" t="str">
        <x:v>Screen passed; indicative</x:v>
      </x:c>
      <x:c r="R274" s="1" t="n">
        <x:v>685</x:v>
      </x:c>
    </x:row>
    <x:row r="275" ht="21" customHeight="1">
      <x:c r="A275" s="12" t="n">
        <x:v>46274</x:v>
      </x:c>
      <x:c r="B275" s="1" t="str">
        <x:v>GFGC8000OC</x:v>
      </x:c>
      <x:c r="C275" s="1" t="str">
        <x:v>call</x:v>
      </x:c>
      <x:c r="D275" s="11" t="n">
        <x:v>8000</x:v>
      </x:c>
      <x:c r="E275" s="11" t="n">
        <x:f>'Option source'!B367</x:f>
        <x:v>141.05</x:v>
      </x:c>
      <x:c r="F275" s="11" t="n">
        <x:v>7085</x:v>
      </x:c>
      <x:c r="G275" s="18" t="n">
        <x:v>37</x:v>
      </x:c>
      <x:c r="H275" s="11" t="n">
        <x:f>MAX(IF(C275="call",F275-D275,D275-F275),0)</x:f>
        <x:v>0</x:v>
      </x:c>
      <x:c r="I275" s="11" t="n">
        <x:f>E275-H275</x:f>
        <x:v>141.05</x:v>
      </x:c>
      <x:c r="J275" s="13" t="n">
        <x:f>D275/F275</x:f>
        <x:v>1.1291460832745237</x:v>
      </x:c>
      <x:c r="K275" s="13" t="n">
        <x:v>0.4131583980466599</x:v>
      </x:c>
      <x:c r="L275" s="17" t="n">
        <x:v>0.26552719522440155</x:v>
      </x:c>
      <x:c r="M275" s="17" t="n">
        <x:v>7.396078546785897</x:v>
      </x:c>
      <x:c r="N275" s="11" t="n">
        <x:f>'Option source'!C367</x:f>
        <x:v>270710112</x:v>
      </x:c>
      <x:c r="O275" s="11" t="n">
        <x:f>'Option source'!G367</x:f>
        <x:v>100.1</x:v>
      </x:c>
      <x:c r="P275" s="11" t="n">
        <x:f>'Option source'!F367</x:f>
        <x:v>156</x:v>
      </x:c>
      <x:c r="Q275" s="1" t="str">
        <x:v>Screen passed; indicative</x:v>
      </x:c>
      <x:c r="R275" s="1" t="n">
        <x:v>362</x:v>
      </x:c>
    </x:row>
    <x:row r="276" ht="21" customHeight="1">
      <x:c r="A276" s="12" t="n">
        <x:v>46274</x:v>
      </x:c>
      <x:c r="B276" s="1" t="str">
        <x:v>GFGV8000OC</x:v>
      </x:c>
      <x:c r="C276" s="1" t="str">
        <x:v>put</x:v>
      </x:c>
      <x:c r="D276" s="11" t="n">
        <x:v>8000</x:v>
      </x:c>
      <x:c r="E276" s="11" t="n">
        <x:f>'Option source'!B861</x:f>
        <x:v>900</x:v>
      </x:c>
      <x:c r="F276" s="11" t="n">
        <x:v>7085</x:v>
      </x:c>
      <x:c r="G276" s="18" t="n">
        <x:v>37</x:v>
      </x:c>
      <x:c r="H276" s="11" t="n">
        <x:f>MAX(IF(C276="call",F276-D276,D276-F276),0)</x:f>
        <x:v>915</x:v>
      </x:c>
      <x:c r="I276" s="11" t="n">
        <x:f>E276-H276</x:f>
        <x:v>-15</x:v>
      </x:c>
      <x:c r="J276" s="13" t="n">
        <x:f>D276/F276</x:f>
        <x:v>1.1291460832745237</x:v>
      </x:c>
      <x:c r="K276" s="13"/>
      <x:c r="L276" s="17"/>
      <x:c r="M276" s="17"/>
      <x:c r="N276" s="11" t="n">
        <x:f>'Option source'!C861</x:f>
        <x:v>200000</x:v>
      </x:c>
      <x:c r="O276" s="11" t="n">
        <x:f>'Option source'!G861</x:f>
        <x:v>1100</x:v>
      </x:c>
      <x:c r="P276" s="11" t="n">
        <x:f>'Option source'!F861</x:f>
        <x:v>1100</x:v>
      </x:c>
      <x:c r="Q276" s="1" t="str">
        <x:v>Price outside daily range; Below intrinsic value</x:v>
      </x:c>
      <x:c r="R276" s="1" t="n">
        <x:v>856</x:v>
      </x:c>
    </x:row>
    <x:row r="277" ht="21" customHeight="1">
      <x:c r="A277" s="12" t="n">
        <x:v>46274</x:v>
      </x:c>
      <x:c r="B277" s="1" t="str">
        <x:v>GFGC6000OC</x:v>
      </x:c>
      <x:c r="C277" s="1" t="str">
        <x:v>call</x:v>
      </x:c>
      <x:c r="D277" s="11" t="n">
        <x:v>6000</x:v>
      </x:c>
      <x:c r="E277" s="11" t="n">
        <x:f>'Option source'!B177</x:f>
        <x:v>1253.91</x:v>
      </x:c>
      <x:c r="F277" s="11" t="n">
        <x:v>7085</x:v>
      </x:c>
      <x:c r="G277" s="18" t="n">
        <x:v>37</x:v>
      </x:c>
      <x:c r="H277" s="11" t="n">
        <x:f>MAX(IF(C277="call",F277-D277,D277-F277),0)</x:f>
        <x:v>1085</x:v>
      </x:c>
      <x:c r="I277" s="11" t="n">
        <x:f>E277-H277</x:f>
        <x:v>168.91000000000008</x:v>
      </x:c>
      <x:c r="J277" s="13" t="n">
        <x:f>D277/F277</x:f>
        <x:v>0.8468595624558928</x:v>
      </x:c>
      <x:c r="K277" s="13"/>
      <x:c r="L277" s="17"/>
      <x:c r="M277" s="17"/>
      <x:c r="N277" s="11" t="n">
        <x:f>'Option source'!C177</x:f>
        <x:v>3520692.25</x:v>
      </x:c>
      <x:c r="O277" s="11" t="n">
        <x:f>'Option source'!G177</x:f>
        <x:v>1085</x:v>
      </x:c>
      <x:c r="P277" s="11" t="n">
        <x:f>'Option source'!F177</x:f>
        <x:v>1253.92</x:v>
      </x:c>
      <x:c r="Q277" s="1" t="str">
        <x:v>No stable model IV</x:v>
      </x:c>
      <x:c r="R277" s="1" t="n">
        <x:v>172</x:v>
      </x:c>
    </x:row>
    <x:row r="278" ht="21" customHeight="1">
      <x:c r="A278" s="12" t="n">
        <x:v>46274</x:v>
      </x:c>
      <x:c r="B278" s="1" t="str">
        <x:v>GFGV6000OC</x:v>
      </x:c>
      <x:c r="C278" s="1" t="str">
        <x:v>put</x:v>
      </x:c>
      <x:c r="D278" s="11" t="n">
        <x:v>6000</x:v>
      </x:c>
      <x:c r="E278" s="11" t="n">
        <x:f>'Option source'!B671</x:f>
        <x:v>32.38</x:v>
      </x:c>
      <x:c r="F278" s="11" t="n">
        <x:v>7085</x:v>
      </x:c>
      <x:c r="G278" s="18" t="n">
        <x:v>37</x:v>
      </x:c>
      <x:c r="H278" s="11" t="n">
        <x:f>MAX(IF(C278="call",F278-D278,D278-F278),0)</x:f>
        <x:v>0</x:v>
      </x:c>
      <x:c r="I278" s="11" t="n">
        <x:f>E278-H278</x:f>
        <x:v>32.38</x:v>
      </x:c>
      <x:c r="J278" s="13" t="n">
        <x:f>D278/F278</x:f>
        <x:v>0.8468595624558928</x:v>
      </x:c>
      <x:c r="K278" s="13" t="n">
        <x:v>0.4344740255906867</x:v>
      </x:c>
      <x:c r="L278" s="17" t="n">
        <x:v>-0.06802999297873358</x:v>
      </x:c>
      <x:c r="M278" s="17" t="n">
        <x:v>2.9628608902516835</x:v>
      </x:c>
      <x:c r="N278" s="11" t="n">
        <x:f>'Option source'!C671</x:f>
        <x:v>38441048</x:v>
      </x:c>
      <x:c r="O278" s="11" t="n">
        <x:f>'Option source'!G671</x:f>
        <x:v>32</x:v>
      </x:c>
      <x:c r="P278" s="11" t="n">
        <x:f>'Option source'!F671</x:f>
        <x:v>51</x:v>
      </x:c>
      <x:c r="Q278" s="1" t="str">
        <x:v>Screen passed; indicative</x:v>
      </x:c>
      <x:c r="R278" s="1" t="n">
        <x:v>666</x:v>
      </x:c>
    </x:row>
    <x:row r="279" ht="21" customHeight="1">
      <x:c r="A279" s="12" t="n">
        <x:v>46274</x:v>
      </x:c>
      <x:c r="B279" s="1" t="str">
        <x:v>GFGC8300OC</x:v>
      </x:c>
      <x:c r="C279" s="1" t="str">
        <x:v>call</x:v>
      </x:c>
      <x:c r="D279" s="11" t="n">
        <x:v>8300</x:v>
      </x:c>
      <x:c r="E279" s="11" t="n">
        <x:f>'Option source'!B386</x:f>
        <x:v>88.96</x:v>
      </x:c>
      <x:c r="F279" s="11" t="n">
        <x:v>7085</x:v>
      </x:c>
      <x:c r="G279" s="18" t="n">
        <x:v>37</x:v>
      </x:c>
      <x:c r="H279" s="11" t="n">
        <x:f>MAX(IF(C279="call",F279-D279,D279-F279),0)</x:f>
        <x:v>0</x:v>
      </x:c>
      <x:c r="I279" s="11" t="n">
        <x:f>E279-H279</x:f>
        <x:v>88.96</x:v>
      </x:c>
      <x:c r="J279" s="13" t="n">
        <x:f>D279/F279</x:f>
        <x:v>1.1714890613973183</x:v>
      </x:c>
      <x:c r="K279" s="13" t="n">
        <x:v>0.416162911691913</x:v>
      </x:c>
      <x:c r="L279" s="17" t="n">
        <x:v>0.18438974830406302</x:v>
      </x:c>
      <x:c r="M279" s="17" t="n">
        <x:v>6.008951256598206</x:v>
      </x:c>
      <x:c r="N279" s="11" t="n">
        <x:f>'Option source'!C386</x:f>
        <x:v>76354488</x:v>
      </x:c>
      <x:c r="O279" s="11" t="n">
        <x:f>'Option source'!G386</x:f>
        <x:v>62.4</x:v>
      </x:c>
      <x:c r="P279" s="11" t="n">
        <x:f>'Option source'!F386</x:f>
        <x:v>93</x:v>
      </x:c>
      <x:c r="Q279" s="1" t="str">
        <x:v>Screen passed; indicative</x:v>
      </x:c>
      <x:c r="R279" s="1" t="n">
        <x:v>381</x:v>
      </x:c>
    </x:row>
    <x:row r="280" ht="21" customHeight="1">
      <x:c r="A280" s="12" t="n">
        <x:v>46274</x:v>
      </x:c>
      <x:c r="B280" s="1" t="str">
        <x:v>GFGV8300OC</x:v>
      </x:c>
      <x:c r="C280" s="1" t="str">
        <x:v>put</x:v>
      </x:c>
      <x:c r="D280" s="11" t="n">
        <x:v>8300</x:v>
      </x:c>
      <x:c r="E280" s="11" t="n">
        <x:f>'Option source'!B880</x:f>
        <x:v>1234</x:v>
      </x:c>
      <x:c r="F280" s="11" t="n">
        <x:v>7085</x:v>
      </x:c>
      <x:c r="G280" s="18" t="n">
        <x:v>37</x:v>
      </x:c>
      <x:c r="H280" s="11" t="n">
        <x:f>MAX(IF(C280="call",F280-D280,D280-F280),0)</x:f>
        <x:v>1215</x:v>
      </x:c>
      <x:c r="I280" s="11" t="n">
        <x:f>E280-H280</x:f>
        <x:v>19</x:v>
      </x:c>
      <x:c r="J280" s="13" t="n">
        <x:f>D280/F280</x:f>
        <x:v>1.1714890613973183</x:v>
      </x:c>
      <x:c r="K280" s="13" t="n">
        <x:v>0.5231988358626024</x:v>
      </x:c>
      <x:c r="L280" s="17" t="n">
        <x:v>-0.7531072818623482</x:v>
      </x:c>
      <x:c r="M280" s="17" t="n">
        <x:v>7.120679317883679</x:v>
      </x:c>
      <x:c r="N280" s="11" t="n">
        <x:f>'Option source'!C880</x:f>
        <x:v>617000</x:v>
      </x:c>
      <x:c r="O280" s="11" t="n">
        <x:f>'Option source'!G880</x:f>
        <x:v>1234</x:v>
      </x:c>
      <x:c r="P280" s="11" t="n">
        <x:f>'Option source'!F880</x:f>
        <x:v>1234</x:v>
      </x:c>
      <x:c r="Q280" s="1" t="str">
        <x:v>Screen passed; indicative</x:v>
      </x:c>
      <x:c r="R280" s="1" t="n">
        <x:v>875</x:v>
      </x:c>
    </x:row>
    <x:row r="281" ht="21" customHeight="1">
      <x:c r="A281" s="12" t="n">
        <x:v>46274</x:v>
      </x:c>
      <x:c r="B281" s="1" t="str">
        <x:v>GFGC5800OC</x:v>
      </x:c>
      <x:c r="C281" s="1" t="str">
        <x:v>call</x:v>
      </x:c>
      <x:c r="D281" s="11" t="n">
        <x:v>5800</x:v>
      </x:c>
      <x:c r="E281" s="11" t="n">
        <x:f>'Option source'!B158</x:f>
        <x:v>1403.14</x:v>
      </x:c>
      <x:c r="F281" s="11" t="n">
        <x:v>7085</x:v>
      </x:c>
      <x:c r="G281" s="18" t="n">
        <x:v>37</x:v>
      </x:c>
      <x:c r="H281" s="11" t="n">
        <x:f>MAX(IF(C281="call",F281-D281,D281-F281),0)</x:f>
        <x:v>1285</x:v>
      </x:c>
      <x:c r="I281" s="11" t="n">
        <x:f>E281-H281</x:f>
        <x:v>118.1400000000001</x:v>
      </x:c>
      <x:c r="J281" s="13" t="n">
        <x:f>D281/F281</x:f>
        <x:v>0.8186309103740297</x:v>
      </x:c>
      <x:c r="K281" s="13"/>
      <x:c r="L281" s="17"/>
      <x:c r="M281" s="17"/>
      <x:c r="N281" s="11" t="n">
        <x:f>'Option source'!C158</x:f>
        <x:v>7112980</x:v>
      </x:c>
      <x:c r="O281" s="11" t="n">
        <x:f>'Option source'!G158</x:f>
        <x:v>1265</x:v>
      </x:c>
      <x:c r="P281" s="11" t="n">
        <x:f>'Option source'!F158</x:f>
        <x:v>1285</x:v>
      </x:c>
      <x:c r="Q281" s="1" t="str">
        <x:v>Price outside daily range</x:v>
      </x:c>
      <x:c r="R281" s="1" t="n">
        <x:v>153</x:v>
      </x:c>
    </x:row>
    <x:row r="282" ht="21" customHeight="1">
      <x:c r="A282" s="12" t="n">
        <x:v>46274</x:v>
      </x:c>
      <x:c r="B282" s="1" t="str">
        <x:v>GFGV5800OC</x:v>
      </x:c>
      <x:c r="C282" s="1" t="str">
        <x:v>put</x:v>
      </x:c>
      <x:c r="D282" s="11" t="n">
        <x:v>5800</x:v>
      </x:c>
      <x:c r="E282" s="11" t="n">
        <x:f>'Option source'!B652</x:f>
        <x:v>18.33</x:v>
      </x:c>
      <x:c r="F282" s="11" t="n">
        <x:v>7085</x:v>
      </x:c>
      <x:c r="G282" s="18" t="n">
        <x:v>37</x:v>
      </x:c>
      <x:c r="H282" s="11" t="n">
        <x:f>MAX(IF(C282="call",F282-D282,D282-F282),0)</x:f>
        <x:v>0</x:v>
      </x:c>
      <x:c r="I282" s="11" t="n">
        <x:f>E282-H282</x:f>
        <x:v>18.33</x:v>
      </x:c>
      <x:c r="J282" s="13" t="n">
        <x:f>D282/F282</x:f>
        <x:v>0.8186309103740297</x:v>
      </x:c>
      <x:c r="K282" s="13" t="n">
        <x:v>0.43663832006235315</x:v>
      </x:c>
      <x:c r="L282" s="17" t="n">
        <x:v>-0.042013365524496304</x:v>
      </x:c>
      <x:c r="M282" s="17" t="n">
        <x:v>2.0228668959055143</x:v>
      </x:c>
      <x:c r="N282" s="11" t="n">
        <x:f>'Option source'!C652</x:f>
        <x:v>10470408</x:v>
      </x:c>
      <x:c r="O282" s="11" t="n">
        <x:f>'Option source'!G652</x:f>
        <x:v>18</x:v>
      </x:c>
      <x:c r="P282" s="11" t="n">
        <x:f>'Option source'!F652</x:f>
        <x:v>29.9</x:v>
      </x:c>
      <x:c r="Q282" s="1" t="str">
        <x:v>Screen passed; indicative</x:v>
      </x:c>
      <x:c r="R282" s="1" t="n">
        <x:v>647</x:v>
      </x:c>
    </x:row>
    <x:row r="283" ht="21" customHeight="1">
      <x:c r="A283" s="12" t="n">
        <x:v>46274</x:v>
      </x:c>
      <x:c r="B283" s="1" t="str">
        <x:v>GFGC5600OC</x:v>
      </x:c>
      <x:c r="C283" s="1" t="str">
        <x:v>call</x:v>
      </x:c>
      <x:c r="D283" s="11" t="n">
        <x:v>5600</x:v>
      </x:c>
      <x:c r="E283" s="11" t="n">
        <x:f>'Option source'!B148</x:f>
        <x:v>1490</x:v>
      </x:c>
      <x:c r="F283" s="11" t="n">
        <x:v>7085</x:v>
      </x:c>
      <x:c r="G283" s="18" t="n">
        <x:v>37</x:v>
      </x:c>
      <x:c r="H283" s="11" t="n">
        <x:f>MAX(IF(C283="call",F283-D283,D283-F283),0)</x:f>
        <x:v>1485</x:v>
      </x:c>
      <x:c r="I283" s="11" t="n">
        <x:f>E283-H283</x:f>
        <x:v>5</x:v>
      </x:c>
      <x:c r="J283" s="13" t="n">
        <x:f>D283/F283</x:f>
        <x:v>0.7904022582921666</x:v>
      </x:c>
      <x:c r="K283" s="13"/>
      <x:c r="L283" s="17"/>
      <x:c r="M283" s="17"/>
      <x:c r="N283" s="11" t="n">
        <x:f>'Option source'!C148</x:f>
        <x:v>0</x:v>
      </x:c>
      <x:c r="O283" s="11" t="n">
        <x:f>'Option source'!G148</x:f>
        <x:v>1480</x:v>
      </x:c>
      <x:c r="P283" s="11" t="n">
        <x:f>'Option source'!F148</x:f>
        <x:v>1500</x:v>
      </x:c>
      <x:c r="Q283" s="1" t="str">
        <x:v>Zero reported volume</x:v>
      </x:c>
      <x:c r="R283" s="1" t="n">
        <x:v>143</x:v>
      </x:c>
    </x:row>
    <x:row r="284" ht="21" customHeight="1">
      <x:c r="A284" s="12" t="n">
        <x:v>46274</x:v>
      </x:c>
      <x:c r="B284" s="1" t="str">
        <x:v>GFGV5600OC</x:v>
      </x:c>
      <x:c r="C284" s="1" t="str">
        <x:v>put</x:v>
      </x:c>
      <x:c r="D284" s="11" t="n">
        <x:v>5600</x:v>
      </x:c>
      <x:c r="E284" s="11" t="n">
        <x:f>'Option source'!B633</x:f>
        <x:v>9.5</x:v>
      </x:c>
      <x:c r="F284" s="11" t="n">
        <x:v>7085</x:v>
      </x:c>
      <x:c r="G284" s="18" t="n">
        <x:v>37</x:v>
      </x:c>
      <x:c r="H284" s="11" t="n">
        <x:f>MAX(IF(C284="call",F284-D284,D284-F284),0)</x:f>
        <x:v>0</x:v>
      </x:c>
      <x:c r="I284" s="11" t="n">
        <x:f>E284-H284</x:f>
        <x:v>9.5</x:v>
      </x:c>
      <x:c r="J284" s="13" t="n">
        <x:f>D284/F284</x:f>
        <x:v>0.7904022582921666</x:v>
      </x:c>
      <x:c r="K284" s="13" t="n">
        <x:v>0.43678445160602586</x:v>
      </x:c>
      <x:c r="L284" s="17" t="n">
        <x:v>-0.023874860471398085</x:v>
      </x:c>
      <x:c r="M284" s="17" t="n">
        <x:v>1.268392369991688</x:v>
      </x:c>
      <x:c r="N284" s="11" t="n">
        <x:f>'Option source'!C633</x:f>
        <x:v>4603535.5</x:v>
      </x:c>
      <x:c r="O284" s="11" t="n">
        <x:f>'Option source'!G633</x:f>
        <x:v>7.09</x:v>
      </x:c>
      <x:c r="P284" s="11" t="n">
        <x:f>'Option source'!F633</x:f>
        <x:v>16</x:v>
      </x:c>
      <x:c r="Q284" s="1" t="str">
        <x:v>Screen passed; indicative</x:v>
      </x:c>
      <x:c r="R284" s="1" t="n">
        <x:v>628</x:v>
      </x:c>
    </x:row>
    <x:row r="285" ht="21" customHeight="1">
      <x:c r="A285" s="12" t="n">
        <x:v>46274</x:v>
      </x:c>
      <x:c r="B285" s="1" t="str">
        <x:v>GFGC8600OC</x:v>
      </x:c>
      <x:c r="C285" s="1" t="str">
        <x:v>call</x:v>
      </x:c>
      <x:c r="D285" s="11" t="n">
        <x:v>8600</x:v>
      </x:c>
      <x:c r="E285" s="11" t="n">
        <x:f>'Option source'!B405</x:f>
        <x:v>53.35</x:v>
      </x:c>
      <x:c r="F285" s="11" t="n">
        <x:v>7085</x:v>
      </x:c>
      <x:c r="G285" s="18" t="n">
        <x:v>37</x:v>
      </x:c>
      <x:c r="H285" s="11" t="n">
        <x:f>MAX(IF(C285="call",F285-D285,D285-F285),0)</x:f>
        <x:v>0</x:v>
      </x:c>
      <x:c r="I285" s="11" t="n">
        <x:f>E285-H285</x:f>
        <x:v>53.35</x:v>
      </x:c>
      <x:c r="J285" s="13" t="n">
        <x:f>D285/F285</x:f>
        <x:v>1.213832039520113</x:v>
      </x:c>
      <x:c r="K285" s="13" t="n">
        <x:v>0.4162508398750776</x:v>
      </x:c>
      <x:c r="L285" s="17" t="n">
        <x:v>0.1217139992918207</x:v>
      </x:c>
      <x:c r="M285" s="17" t="n">
        <x:v>4.557712097538577</x:v>
      </x:c>
      <x:c r="N285" s="11" t="n">
        <x:f>'Option source'!C405</x:f>
        <x:v>56535192</x:v>
      </x:c>
      <x:c r="O285" s="11" t="n">
        <x:f>'Option source'!G405</x:f>
        <x:v>38</x:v>
      </x:c>
      <x:c r="P285" s="11" t="n">
        <x:f>'Option source'!F405</x:f>
        <x:v>58</x:v>
      </x:c>
      <x:c r="Q285" s="1" t="str">
        <x:v>Screen passed; indicative</x:v>
      </x:c>
      <x:c r="R285" s="1" t="n">
        <x:v>400</x:v>
      </x:c>
    </x:row>
    <x:row r="286" ht="21" customHeight="1">
      <x:c r="A286" s="12" t="n">
        <x:v>46274</x:v>
      </x:c>
      <x:c r="B286" s="1" t="str">
        <x:v>GFGV8600OC</x:v>
      </x:c>
      <x:c r="C286" s="1" t="str">
        <x:v>put</x:v>
      </x:c>
      <x:c r="D286" s="11" t="n">
        <x:v>8600</x:v>
      </x:c>
      <x:c r="E286" s="11" t="n">
        <x:f>'Option source'!B899</x:f>
        <x:v>1559.27</x:v>
      </x:c>
      <x:c r="F286" s="11" t="n">
        <x:v>7085</x:v>
      </x:c>
      <x:c r="G286" s="18" t="n">
        <x:v>37</x:v>
      </x:c>
      <x:c r="H286" s="11" t="n">
        <x:f>MAX(IF(C286="call",F286-D286,D286-F286),0)</x:f>
        <x:v>1515</x:v>
      </x:c>
      <x:c r="I286" s="11" t="n">
        <x:f>E286-H286</x:f>
        <x:v>44.26999999999998</x:v>
      </x:c>
      <x:c r="J286" s="13" t="n">
        <x:f>D286/F286</x:f>
        <x:v>1.213832039520113</x:v>
      </x:c>
      <x:c r="K286" s="13"/>
      <x:c r="L286" s="17"/>
      <x:c r="M286" s="17"/>
      <x:c r="N286" s="11" t="n">
        <x:f>'Option source'!C899</x:f>
        <x:v>461754</x:v>
      </x:c>
      <x:c r="O286" s="11" t="n">
        <x:f>'Option source'!G899</x:f>
        <x:v>1499</x:v>
      </x:c>
      <x:c r="P286" s="11" t="n">
        <x:f>'Option source'!F899</x:f>
        <x:v>1499</x:v>
      </x:c>
      <x:c r="Q286" s="1" t="str">
        <x:v>Price outside daily range</x:v>
      </x:c>
      <x:c r="R286" s="1" t="n">
        <x:v>894</x:v>
      </x:c>
    </x:row>
    <x:row r="287" ht="21" customHeight="1">
      <x:c r="A287" s="12" t="n">
        <x:v>46274</x:v>
      </x:c>
      <x:c r="B287" s="1" t="str">
        <x:v>GFGC5400OC</x:v>
      </x:c>
      <x:c r="C287" s="1" t="str">
        <x:v>call</x:v>
      </x:c>
      <x:c r="D287" s="11" t="n">
        <x:v>5400</x:v>
      </x:c>
      <x:c r="E287" s="11" t="n">
        <x:f>'Option source'!B130</x:f>
        <x:v>1750</x:v>
      </x:c>
      <x:c r="F287" s="11" t="n">
        <x:v>7085</x:v>
      </x:c>
      <x:c r="G287" s="18" t="n">
        <x:v>37</x:v>
      </x:c>
      <x:c r="H287" s="11" t="n">
        <x:f>MAX(IF(C287="call",F287-D287,D287-F287),0)</x:f>
        <x:v>1685</x:v>
      </x:c>
      <x:c r="I287" s="11" t="n">
        <x:f>E287-H287</x:f>
        <x:v>65</x:v>
      </x:c>
      <x:c r="J287" s="13" t="n">
        <x:f>D287/F287</x:f>
        <x:v>0.7621736062103035</x:v>
      </x:c>
      <x:c r="K287" s="13"/>
      <x:c r="L287" s="17"/>
      <x:c r="M287" s="17"/>
      <x:c r="N287" s="11" t="n">
        <x:f>'Option source'!C130</x:f>
        <x:v>350000</x:v>
      </x:c>
      <x:c r="O287" s="11" t="n">
        <x:f>'Option source'!G130</x:f>
        <x:v>0</x:v>
      </x:c>
      <x:c r="P287" s="11" t="n">
        <x:f>'Option source'!F130</x:f>
        <x:v>0</x:v>
      </x:c>
      <x:c r="Q287" s="1" t="str">
        <x:v>Price outside daily range</x:v>
      </x:c>
      <x:c r="R287" s="1" t="n">
        <x:v>125</x:v>
      </x:c>
    </x:row>
    <x:row r="288" ht="21" customHeight="1">
      <x:c r="A288" s="12" t="n">
        <x:v>46274</x:v>
      </x:c>
      <x:c r="B288" s="1" t="str">
        <x:v>GFGV5400OC</x:v>
      </x:c>
      <x:c r="C288" s="1" t="str">
        <x:v>put</x:v>
      </x:c>
      <x:c r="D288" s="11" t="n">
        <x:v>5400</x:v>
      </x:c>
      <x:c r="E288" s="11" t="n">
        <x:f>'Option source'!B614</x:f>
        <x:v>5.7</x:v>
      </x:c>
      <x:c r="F288" s="11" t="n">
        <x:v>7085</x:v>
      </x:c>
      <x:c r="G288" s="18" t="n">
        <x:v>37</x:v>
      </x:c>
      <x:c r="H288" s="11" t="n">
        <x:f>MAX(IF(C288="call",F288-D288,D288-F288),0)</x:f>
        <x:v>0</x:v>
      </x:c>
      <x:c r="I288" s="11" t="n">
        <x:f>E288-H288</x:f>
        <x:v>5.7</x:v>
      </x:c>
      <x:c r="J288" s="13" t="n">
        <x:f>D288/F288</x:f>
        <x:v>0.7621736062103035</x:v>
      </x:c>
      <x:c r="K288" s="13" t="n">
        <x:v>0.45035721857905897</x:v>
      </x:c>
      <x:c r="L288" s="17" t="n">
        <x:v>-0.014709844133837802</x:v>
      </x:c>
      <x:c r="M288" s="17" t="n">
        <x:v>0.8400397951939073</x:v>
      </x:c>
      <x:c r="N288" s="11" t="n">
        <x:f>'Option source'!C614</x:f>
        <x:v>1120865.5</x:v>
      </x:c>
      <x:c r="O288" s="11" t="n">
        <x:f>'Option source'!G614</x:f>
        <x:v>5</x:v>
      </x:c>
      <x:c r="P288" s="11" t="n">
        <x:f>'Option source'!F614</x:f>
        <x:v>9.9</x:v>
      </x:c>
      <x:c r="Q288" s="1" t="str">
        <x:v>Screen passed; indicative</x:v>
      </x:c>
      <x:c r="R288" s="1" t="n">
        <x:v>609</x:v>
      </x:c>
    </x:row>
    <x:row r="289" ht="21" customHeight="1">
      <x:c r="A289" s="12" t="n">
        <x:v>46274</x:v>
      </x:c>
      <x:c r="B289" s="1" t="str">
        <x:v>GFGC8900OC</x:v>
      </x:c>
      <x:c r="C289" s="1" t="str">
        <x:v>call</x:v>
      </x:c>
      <x:c r="D289" s="11" t="n">
        <x:v>8900</x:v>
      </x:c>
      <x:c r="E289" s="11" t="n">
        <x:f>'Option source'!B424</x:f>
        <x:v>30.7</x:v>
      </x:c>
      <x:c r="F289" s="11" t="n">
        <x:v>7085</x:v>
      </x:c>
      <x:c r="G289" s="18" t="n">
        <x:v>37</x:v>
      </x:c>
      <x:c r="H289" s="11" t="n">
        <x:f>MAX(IF(C289="call",F289-D289,D289-F289),0)</x:f>
        <x:v>0</x:v>
      </x:c>
      <x:c r="I289" s="11" t="n">
        <x:f>E289-H289</x:f>
        <x:v>30.7</x:v>
      </x:c>
      <x:c r="J289" s="13" t="n">
        <x:f>D289/F289</x:f>
        <x:v>1.2561750176429076</x:v>
      </x:c>
      <x:c r="K289" s="13" t="n">
        <x:v>0.41556182109007833</x:v>
      </x:c>
      <x:c r="L289" s="17" t="n">
        <x:v>0.07667853128409008</x:v>
      </x:c>
      <x:c r="M289" s="17" t="n">
        <x:v>3.247443684538305</x:v>
      </x:c>
      <x:c r="N289" s="11" t="n">
        <x:f>'Option source'!C424</x:f>
        <x:v>11324418</x:v>
      </x:c>
      <x:c r="O289" s="11" t="n">
        <x:f>'Option source'!G424</x:f>
        <x:v>22.53</x:v>
      </x:c>
      <x:c r="P289" s="11" t="n">
        <x:f>'Option source'!F424</x:f>
        <x:v>33</x:v>
      </x:c>
      <x:c r="Q289" s="1" t="str">
        <x:v>Screen passed; indicative</x:v>
      </x:c>
      <x:c r="R289" s="1" t="n">
        <x:v>419</x:v>
      </x:c>
    </x:row>
    <x:row r="290" ht="21" customHeight="1">
      <x:c r="A290" s="12" t="n">
        <x:v>46274</x:v>
      </x:c>
      <x:c r="B290" s="1" t="str">
        <x:v>GFGV8900OC</x:v>
      </x:c>
      <x:c r="C290" s="1" t="str">
        <x:v>put</x:v>
      </x:c>
      <x:c r="D290" s="11" t="n">
        <x:v>8900</x:v>
      </x:c>
      <x:c r="E290" s="11" t="n">
        <x:f>'Option source'!B914</x:f>
        <x:v>2022.5</x:v>
      </x:c>
      <x:c r="F290" s="11" t="n">
        <x:v>7085</x:v>
      </x:c>
      <x:c r="G290" s="18" t="n">
        <x:v>37</x:v>
      </x:c>
      <x:c r="H290" s="11" t="n">
        <x:f>MAX(IF(C290="call",F290-D290,D290-F290),0)</x:f>
        <x:v>1815</x:v>
      </x:c>
      <x:c r="I290" s="11" t="n">
        <x:f>E290-H290</x:f>
        <x:v>207.5</x:v>
      </x:c>
      <x:c r="J290" s="13" t="n">
        <x:f>D290/F290</x:f>
        <x:v>1.2561750176429076</x:v>
      </x:c>
      <x:c r="K290" s="13"/>
      <x:c r="L290" s="17"/>
      <x:c r="M290" s="17"/>
      <x:c r="N290" s="11" t="n">
        <x:f>'Option source'!C914</x:f>
        <x:v>0</x:v>
      </x:c>
      <x:c r="O290" s="11" t="n">
        <x:f>'Option source'!G914</x:f>
        <x:v>2022.5</x:v>
      </x:c>
      <x:c r="P290" s="11" t="n">
        <x:f>'Option source'!F914</x:f>
        <x:v>2037.67</x:v>
      </x:c>
      <x:c r="Q290" s="1" t="str">
        <x:v>Zero reported volume</x:v>
      </x:c>
      <x:c r="R290" s="1" t="n">
        <x:v>909</x:v>
      </x:c>
    </x:row>
    <x:row r="291" ht="21" customHeight="1">
      <x:c r="A291" s="12" t="n">
        <x:v>46274</x:v>
      </x:c>
      <x:c r="B291" s="1" t="str">
        <x:v>GFGC5200OC</x:v>
      </x:c>
      <x:c r="C291" s="1" t="str">
        <x:v>call</x:v>
      </x:c>
      <x:c r="D291" s="11" t="n">
        <x:v>5200</x:v>
      </x:c>
      <x:c r="E291" s="11" t="n">
        <x:f>'Option source'!B111</x:f>
        <x:v>1895.85</x:v>
      </x:c>
      <x:c r="F291" s="11" t="n">
        <x:v>7085</x:v>
      </x:c>
      <x:c r="G291" s="18" t="n">
        <x:v>37</x:v>
      </x:c>
      <x:c r="H291" s="11" t="n">
        <x:f>MAX(IF(C291="call",F291-D291,D291-F291),0)</x:f>
        <x:v>1885</x:v>
      </x:c>
      <x:c r="I291" s="11" t="n">
        <x:f>E291-H291</x:f>
        <x:v>10.849999999999909</x:v>
      </x:c>
      <x:c r="J291" s="13" t="n">
        <x:f>D291/F291</x:f>
        <x:v>0.7339449541284404</x:v>
      </x:c>
      <x:c r="K291" s="13"/>
      <x:c r="L291" s="17"/>
      <x:c r="M291" s="17"/>
      <x:c r="N291" s="11" t="n">
        <x:f>'Option source'!C111</x:f>
        <x:v>745923.19</x:v>
      </x:c>
      <x:c r="O291" s="11" t="n">
        <x:f>'Option source'!G111</x:f>
        <x:v>1833.77</x:v>
      </x:c>
      <x:c r="P291" s="11" t="n">
        <x:f>'Option source'!F111</x:f>
        <x:v>1833.77</x:v>
      </x:c>
      <x:c r="Q291" s="1" t="str">
        <x:v>Price outside daily range</x:v>
      </x:c>
      <x:c r="R291" s="1" t="n">
        <x:v>106</x:v>
      </x:c>
    </x:row>
    <x:row r="292" ht="21" customHeight="1">
      <x:c r="A292" s="12" t="n">
        <x:v>46274</x:v>
      </x:c>
      <x:c r="B292" s="1" t="str">
        <x:v>GFGV5200OC</x:v>
      </x:c>
      <x:c r="C292" s="1" t="str">
        <x:v>put</x:v>
      </x:c>
      <x:c r="D292" s="11" t="n">
        <x:v>5200</x:v>
      </x:c>
      <x:c r="E292" s="11" t="n">
        <x:f>'Option source'!B595</x:f>
        <x:v>2.85</x:v>
      </x:c>
      <x:c r="F292" s="11" t="n">
        <x:v>7085</x:v>
      </x:c>
      <x:c r="G292" s="18" t="n">
        <x:v>37</x:v>
      </x:c>
      <x:c r="H292" s="11" t="n">
        <x:f>MAX(IF(C292="call",F292-D292,D292-F292),0)</x:f>
        <x:v>0</x:v>
      </x:c>
      <x:c r="I292" s="11" t="n">
        <x:f>E292-H292</x:f>
        <x:v>2.85</x:v>
      </x:c>
      <x:c r="J292" s="13" t="n">
        <x:f>D292/F292</x:f>
        <x:v>0.7339449541284404</x:v>
      </x:c>
      <x:c r="K292" s="13" t="n">
        <x:v>0.45614161698445943</x:v>
      </x:c>
      <x:c r="L292" s="17" t="n">
        <x:v>-0.00793488854043689</x:v>
      </x:c>
      <x:c r="M292" s="17" t="n">
        <x:v>0.49091409010894327</x:v>
      </x:c>
      <x:c r="N292" s="11" t="n">
        <x:f>'Option source'!C595</x:f>
        <x:v>820221.69</x:v>
      </x:c>
      <x:c r="O292" s="11" t="n">
        <x:f>'Option source'!G595</x:f>
        <x:v>2</x:v>
      </x:c>
      <x:c r="P292" s="11" t="n">
        <x:f>'Option source'!F595</x:f>
        <x:v>5</x:v>
      </x:c>
      <x:c r="Q292" s="1" t="str">
        <x:v>Screen passed; indicative</x:v>
      </x:c>
      <x:c r="R292" s="1" t="n">
        <x:v>590</x:v>
      </x:c>
    </x:row>
    <x:row r="293" ht="21" customHeight="1">
      <x:c r="A293" s="12" t="n">
        <x:v>46274</x:v>
      </x:c>
      <x:c r="B293" s="1" t="str">
        <x:v>GFGC5000OC</x:v>
      </x:c>
      <x:c r="C293" s="1" t="str">
        <x:v>call</x:v>
      </x:c>
      <x:c r="D293" s="11" t="n">
        <x:v>5000</x:v>
      </x:c>
      <x:c r="E293" s="11" t="n">
        <x:f>'Option source'!B92</x:f>
        <x:v>2047.78</x:v>
      </x:c>
      <x:c r="F293" s="11" t="n">
        <x:v>7085</x:v>
      </x:c>
      <x:c r="G293" s="18" t="n">
        <x:v>37</x:v>
      </x:c>
      <x:c r="H293" s="11" t="n">
        <x:f>MAX(IF(C293="call",F293-D293,D293-F293),0)</x:f>
        <x:v>2085</x:v>
      </x:c>
      <x:c r="I293" s="11" t="n">
        <x:f>E293-H293</x:f>
        <x:v>-37.22000000000003</x:v>
      </x:c>
      <x:c r="J293" s="13" t="n">
        <x:f>D293/F293</x:f>
        <x:v>0.7057163020465773</x:v>
      </x:c>
      <x:c r="K293" s="13"/>
      <x:c r="L293" s="17"/>
      <x:c r="M293" s="17"/>
      <x:c r="N293" s="11" t="n">
        <x:f>'Option source'!C92</x:f>
        <x:v>1842999.75</x:v>
      </x:c>
      <x:c r="O293" s="11" t="n">
        <x:f>'Option source'!G92</x:f>
        <x:v>2040</x:v>
      </x:c>
      <x:c r="P293" s="11" t="n">
        <x:f>'Option source'!F92</x:f>
        <x:v>2050</x:v>
      </x:c>
      <x:c r="Q293" s="1" t="str">
        <x:v>Below intrinsic value</x:v>
      </x:c>
      <x:c r="R293" s="1" t="n">
        <x:v>87</x:v>
      </x:c>
    </x:row>
    <x:row r="294" ht="21" customHeight="1">
      <x:c r="A294" s="12" t="n">
        <x:v>46274</x:v>
      </x:c>
      <x:c r="B294" s="1" t="str">
        <x:v>GFGV5000OC</x:v>
      </x:c>
      <x:c r="C294" s="1" t="str">
        <x:v>put</x:v>
      </x:c>
      <x:c r="D294" s="11" t="n">
        <x:v>5000</x:v>
      </x:c>
      <x:c r="E294" s="11" t="n">
        <x:f>'Option source'!B576</x:f>
        <x:v>1.66</x:v>
      </x:c>
      <x:c r="F294" s="11" t="n">
        <x:v>7085</x:v>
      </x:c>
      <x:c r="G294" s="18" t="n">
        <x:v>37</x:v>
      </x:c>
      <x:c r="H294" s="11" t="n">
        <x:f>MAX(IF(C294="call",F294-D294,D294-F294),0)</x:f>
        <x:v>0</x:v>
      </x:c>
      <x:c r="I294" s="11" t="n">
        <x:f>E294-H294</x:f>
        <x:v>1.66</x:v>
      </x:c>
      <x:c r="J294" s="13" t="n">
        <x:f>D294/F294</x:f>
        <x:v>0.7057163020465773</x:v>
      </x:c>
      <x:c r="K294" s="13" t="n">
        <x:v>0.47157165523744715</x:v>
      </x:c>
      <x:c r="L294" s="17" t="n">
        <x:v>-0.004674313928976104</x:v>
      </x:c>
      <x:c r="M294" s="17" t="n">
        <x:v>0.30716986033542265</x:v>
      </x:c>
      <x:c r="N294" s="11" t="n">
        <x:f>'Option source'!C576</x:f>
        <x:v>753124.12</x:v>
      </x:c>
      <x:c r="O294" s="11" t="n">
        <x:f>'Option source'!G576</x:f>
        <x:v>1.55</x:v>
      </x:c>
      <x:c r="P294" s="11" t="n">
        <x:f>'Option source'!F576</x:f>
        <x:v>2.99</x:v>
      </x:c>
      <x:c r="Q294" s="1" t="str">
        <x:v>Screen passed; indicative</x:v>
      </x:c>
      <x:c r="R294" s="1" t="n">
        <x:v>571</x:v>
      </x:c>
    </x:row>
    <x:row r="295" ht="21" customHeight="1">
      <x:c r="A295" s="12" t="n">
        <x:v>46274</x:v>
      </x:c>
      <x:c r="B295" s="1" t="str">
        <x:v>GFGC9200OC</x:v>
      </x:c>
      <x:c r="C295" s="1" t="str">
        <x:v>call</x:v>
      </x:c>
      <x:c r="D295" s="11" t="n">
        <x:v>9200</x:v>
      </x:c>
      <x:c r="E295" s="11" t="n">
        <x:f>'Option source'!B443</x:f>
        <x:v>17.58</x:v>
      </x:c>
      <x:c r="F295" s="11" t="n">
        <x:v>7085</x:v>
      </x:c>
      <x:c r="G295" s="18" t="n">
        <x:v>37</x:v>
      </x:c>
      <x:c r="H295" s="11" t="n">
        <x:f>MAX(IF(C295="call",F295-D295,D295-F295),0)</x:f>
        <x:v>0</x:v>
      </x:c>
      <x:c r="I295" s="11" t="n">
        <x:f>E295-H295</x:f>
        <x:v>17.58</x:v>
      </x:c>
      <x:c r="J295" s="13" t="n">
        <x:f>D295/F295</x:f>
        <x:v>1.2985179957657023</x:v>
      </x:c>
      <x:c r="K295" s="13" t="n">
        <x:v>0.417183256222317</x:v>
      </x:c>
      <x:c r="L295" s="17" t="n">
        <x:v>0.04733108784158417</x:v>
      </x:c>
      <x:c r="M295" s="17" t="n">
        <x:v>2.226682166602391</x:v>
      </x:c>
      <x:c r="N295" s="11" t="n">
        <x:f>'Option source'!C443</x:f>
        <x:v>2789457.25</x:v>
      </x:c>
      <x:c r="O295" s="11" t="n">
        <x:f>'Option source'!G443</x:f>
        <x:v>13.5</x:v>
      </x:c>
      <x:c r="P295" s="11" t="n">
        <x:f>'Option source'!F443</x:f>
        <x:v>20</x:v>
      </x:c>
      <x:c r="Q295" s="1" t="str">
        <x:v>Screen passed; indicative</x:v>
      </x:c>
      <x:c r="R295" s="1" t="n">
        <x:v>438</x:v>
      </x:c>
    </x:row>
    <x:row r="296" ht="21" customHeight="1">
      <x:c r="A296" s="12" t="n">
        <x:v>46274</x:v>
      </x:c>
      <x:c r="B296" s="1" t="str">
        <x:v>GFGV9200OC</x:v>
      </x:c>
      <x:c r="C296" s="1" t="str">
        <x:v>put</x:v>
      </x:c>
      <x:c r="D296" s="11" t="n">
        <x:v>9200</x:v>
      </x:c>
      <x:c r="E296" s="11" t="n">
        <x:f>'Option source'!B921</x:f>
        <x:v>2000</x:v>
      </x:c>
      <x:c r="F296" s="11" t="n">
        <x:v>7085</x:v>
      </x:c>
      <x:c r="G296" s="18" t="n">
        <x:v>37</x:v>
      </x:c>
      <x:c r="H296" s="11" t="n">
        <x:f>MAX(IF(C296="call",F296-D296,D296-F296),0)</x:f>
        <x:v>2115</x:v>
      </x:c>
      <x:c r="I296" s="11" t="n">
        <x:f>E296-H296</x:f>
        <x:v>-115</x:v>
      </x:c>
      <x:c r="J296" s="13" t="n">
        <x:f>D296/F296</x:f>
        <x:v>1.2985179957657023</x:v>
      </x:c>
      <x:c r="K296" s="13"/>
      <x:c r="L296" s="17"/>
      <x:c r="M296" s="17"/>
      <x:c r="N296" s="11" t="n">
        <x:f>'Option source'!C921</x:f>
        <x:v>0</x:v>
      </x:c>
      <x:c r="O296" s="11" t="n">
        <x:f>'Option source'!G921</x:f>
        <x:v>2000</x:v>
      </x:c>
      <x:c r="P296" s="11" t="n">
        <x:f>'Option source'!F921</x:f>
        <x:v>2000</x:v>
      </x:c>
      <x:c r="Q296" s="1" t="str">
        <x:v>Zero reported volume; Below intrinsic value</x:v>
      </x:c>
      <x:c r="R296" s="1" t="n">
        <x:v>916</x:v>
      </x:c>
    </x:row>
    <x:row r="297" ht="21" customHeight="1">
      <x:c r="A297" s="12" t="n">
        <x:v>46274</x:v>
      </x:c>
      <x:c r="B297" s="1" t="str">
        <x:v>GFGC4800OC</x:v>
      </x:c>
      <x:c r="C297" s="1" t="str">
        <x:v>call</x:v>
      </x:c>
      <x:c r="D297" s="11" t="n">
        <x:v>4800</x:v>
      </x:c>
      <x:c r="E297" s="11" t="n">
        <x:f>'Option source'!B75</x:f>
        <x:v>2347.98</x:v>
      </x:c>
      <x:c r="F297" s="11" t="n">
        <x:v>7085</x:v>
      </x:c>
      <x:c r="G297" s="18" t="n">
        <x:v>37</x:v>
      </x:c>
      <x:c r="H297" s="11" t="n">
        <x:f>MAX(IF(C297="call",F297-D297,D297-F297),0)</x:f>
        <x:v>2285</x:v>
      </x:c>
      <x:c r="I297" s="11" t="n">
        <x:f>E297-H297</x:f>
        <x:v>62.98000000000002</x:v>
      </x:c>
      <x:c r="J297" s="13" t="n">
        <x:f>D297/F297</x:f>
        <x:v>0.6774876499647142</x:v>
      </x:c>
      <x:c r="K297" s="13"/>
      <x:c r="L297" s="17"/>
      <x:c r="M297" s="17"/>
      <x:c r="N297" s="11" t="n">
        <x:f>'Option source'!C75</x:f>
        <x:v>0</x:v>
      </x:c>
      <x:c r="O297" s="11" t="n">
        <x:f>'Option source'!G75</x:f>
        <x:v>2343.55</x:v>
      </x:c>
      <x:c r="P297" s="11" t="n">
        <x:f>'Option source'!F75</x:f>
        <x:v>2353.51</x:v>
      </x:c>
      <x:c r="Q297" s="1" t="str">
        <x:v>Zero reported volume</x:v>
      </x:c>
      <x:c r="R297" s="1" t="n">
        <x:v>70</x:v>
      </x:c>
    </x:row>
    <x:row r="298" ht="21" customHeight="1">
      <x:c r="A298" s="12" t="n">
        <x:v>46274</x:v>
      </x:c>
      <x:c r="B298" s="1" t="str">
        <x:v>GFGV4800OC</x:v>
      </x:c>
      <x:c r="C298" s="1" t="str">
        <x:v>put</x:v>
      </x:c>
      <x:c r="D298" s="11" t="n">
        <x:v>4800</x:v>
      </x:c>
      <x:c r="E298" s="11" t="n">
        <x:f>'Option source'!B557</x:f>
        <x:v>1.39</x:v>
      </x:c>
      <x:c r="F298" s="11" t="n">
        <x:v>7085</x:v>
      </x:c>
      <x:c r="G298" s="18" t="n">
        <x:v>37</x:v>
      </x:c>
      <x:c r="H298" s="11" t="n">
        <x:f>MAX(IF(C298="call",F298-D298,D298-F298),0)</x:f>
        <x:v>0</x:v>
      </x:c>
      <x:c r="I298" s="11" t="n">
        <x:f>E298-H298</x:f>
        <x:v>1.39</x:v>
      </x:c>
      <x:c r="J298" s="13" t="n">
        <x:f>D298/F298</x:f>
        <x:v>0.6774876499647142</x:v>
      </x:c>
      <x:c r="K298" s="13" t="n">
        <x:v>0.5089119476964505</x:v>
      </x:c>
      <x:c r="L298" s="17" t="n">
        <x:v>-0.003773079242715749</x:v>
      </x:c>
      <x:c r="M298" s="17" t="n">
        <x:v>0.2536167625659388</x:v>
      </x:c>
      <x:c r="N298" s="11" t="n">
        <x:f>'Option source'!C557</x:f>
        <x:v>165984.7</x:v>
      </x:c>
      <x:c r="O298" s="11" t="n">
        <x:f>'Option source'!G557</x:f>
        <x:v>1.2</x:v>
      </x:c>
      <x:c r="P298" s="11" t="n">
        <x:f>'Option source'!F557</x:f>
        <x:v>2.06</x:v>
      </x:c>
      <x:c r="Q298" s="1" t="str">
        <x:v>Screen passed; indicative</x:v>
      </x:c>
      <x:c r="R298" s="1" t="n">
        <x:v>552</x:v>
      </x:c>
    </x:row>
    <x:row r="299" ht="21" customHeight="1">
      <x:c r="A299" s="12" t="n">
        <x:v>46274</x:v>
      </x:c>
      <x:c r="B299" s="1" t="str">
        <x:v>GFGC9500OC</x:v>
      </x:c>
      <x:c r="C299" s="1" t="str">
        <x:v>call</x:v>
      </x:c>
      <x:c r="D299" s="11" t="n">
        <x:v>9500</x:v>
      </x:c>
      <x:c r="E299" s="11" t="n">
        <x:f>'Option source'!B462</x:f>
        <x:v>10.59</x:v>
      </x:c>
      <x:c r="F299" s="11" t="n">
        <x:v>7085</x:v>
      </x:c>
      <x:c r="G299" s="18" t="n">
        <x:v>37</x:v>
      </x:c>
      <x:c r="H299" s="11" t="n">
        <x:f>MAX(IF(C299="call",F299-D299,D299-F299),0)</x:f>
        <x:v>0</x:v>
      </x:c>
      <x:c r="I299" s="11" t="n">
        <x:f>E299-H299</x:f>
        <x:v>10.59</x:v>
      </x:c>
      <x:c r="J299" s="13" t="n">
        <x:f>D299/F299</x:f>
        <x:v>1.340860973888497</x:v>
      </x:c>
      <x:c r="K299" s="13" t="n">
        <x:v>0.4237368076655351</x:v>
      </x:c>
      <x:c r="L299" s="17" t="n">
        <x:v>0.029970411912605122</x:v>
      </x:c>
      <x:c r="M299" s="17" t="n">
        <x:v>1.5336125876235787</x:v>
      </x:c>
      <x:c r="N299" s="11" t="n">
        <x:f>'Option source'!C462</x:f>
        <x:v>3283683.25</x:v>
      </x:c>
      <x:c r="O299" s="11" t="n">
        <x:f>'Option source'!G462</x:f>
        <x:v>6.5</x:v>
      </x:c>
      <x:c r="P299" s="11" t="n">
        <x:f>'Option source'!F462</x:f>
        <x:v>11.9</x:v>
      </x:c>
      <x:c r="Q299" s="1" t="str">
        <x:v>Screen passed; indicative</x:v>
      </x:c>
      <x:c r="R299" s="1" t="n">
        <x:v>457</x:v>
      </x:c>
    </x:row>
    <x:row r="300" ht="21" customHeight="1">
      <x:c r="A300" s="12" t="n">
        <x:v>46274</x:v>
      </x:c>
      <x:c r="B300" s="1" t="str">
        <x:v>GFGC4600OC</x:v>
      </x:c>
      <x:c r="C300" s="1" t="str">
        <x:v>call</x:v>
      </x:c>
      <x:c r="D300" s="11" t="n">
        <x:v>4600</x:v>
      </x:c>
      <x:c r="E300" s="11" t="n">
        <x:f>'Option source'!B58</x:f>
        <x:v>2550</x:v>
      </x:c>
      <x:c r="F300" s="11" t="n">
        <x:v>7085</x:v>
      </x:c>
      <x:c r="G300" s="18" t="n">
        <x:v>37</x:v>
      </x:c>
      <x:c r="H300" s="11" t="n">
        <x:f>MAX(IF(C300="call",F300-D300,D300-F300),0)</x:f>
        <x:v>2485</x:v>
      </x:c>
      <x:c r="I300" s="11" t="n">
        <x:f>E300-H300</x:f>
        <x:v>65</x:v>
      </x:c>
      <x:c r="J300" s="13" t="n">
        <x:f>D300/F300</x:f>
        <x:v>0.6492589978828511</x:v>
      </x:c>
      <x:c r="K300" s="13"/>
      <x:c r="L300" s="17"/>
      <x:c r="M300" s="17"/>
      <x:c r="N300" s="11" t="n">
        <x:f>'Option source'!C58</x:f>
        <x:v>3203120</x:v>
      </x:c>
      <x:c r="O300" s="11" t="n">
        <x:f>'Option source'!G58</x:f>
        <x:v>2400</x:v>
      </x:c>
      <x:c r="P300" s="11" t="n">
        <x:f>'Option source'!F58</x:f>
        <x:v>2483.73</x:v>
      </x:c>
      <x:c r="Q300" s="1" t="str">
        <x:v>Price outside daily range</x:v>
      </x:c>
      <x:c r="R300" s="1" t="n">
        <x:v>53</x:v>
      </x:c>
    </x:row>
    <x:row r="301" ht="21" customHeight="1">
      <x:c r="A301" s="12" t="n">
        <x:v>46274</x:v>
      </x:c>
      <x:c r="B301" s="1" t="str">
        <x:v>GFGV4600OC</x:v>
      </x:c>
      <x:c r="C301" s="1" t="str">
        <x:v>put</x:v>
      </x:c>
      <x:c r="D301" s="11" t="n">
        <x:v>4600</x:v>
      </x:c>
      <x:c r="E301" s="11" t="n">
        <x:f>'Option source'!B538</x:f>
        <x:v>1.22</x:v>
      </x:c>
      <x:c r="F301" s="11" t="n">
        <x:v>7085</x:v>
      </x:c>
      <x:c r="G301" s="18" t="n">
        <x:v>37</x:v>
      </x:c>
      <x:c r="H301" s="11" t="n">
        <x:f>MAX(IF(C301="call",F301-D301,D301-F301),0)</x:f>
        <x:v>0</x:v>
      </x:c>
      <x:c r="I301" s="11" t="n">
        <x:f>E301-H301</x:f>
        <x:v>1.22</x:v>
      </x:c>
      <x:c r="J301" s="13" t="n">
        <x:f>D301/F301</x:f>
        <x:v>0.6492589978828511</x:v>
      </x:c>
      <x:c r="K301" s="13" t="n">
        <x:v>0.5474802957197713</x:v>
      </x:c>
      <x:c r="L301" s="17" t="n">
        <x:v>-0.0030764406651774268</x:v>
      </x:c>
      <x:c r="M301" s="17" t="n">
        <x:v>0.21111537106352635</x:v>
      </x:c>
      <x:c r="N301" s="11" t="n">
        <x:f>'Option source'!C538</x:f>
        <x:v>117621.1</x:v>
      </x:c>
      <x:c r="O301" s="11" t="n">
        <x:f>'Option source'!G538</x:f>
        <x:v>1</x:v>
      </x:c>
      <x:c r="P301" s="11" t="n">
        <x:f>'Option source'!F538</x:f>
        <x:v>1.8</x:v>
      </x:c>
      <x:c r="Q301" s="1" t="str">
        <x:v>Screen passed; indicative</x:v>
      </x:c>
      <x:c r="R301" s="1" t="n">
        <x:v>533</x:v>
      </x:c>
    </x:row>
    <x:row r="302" ht="21" customHeight="1">
      <x:c r="A302" s="12" t="n">
        <x:v>46274</x:v>
      </x:c>
      <x:c r="B302" s="1" t="str">
        <x:v>GFGC4400OC</x:v>
      </x:c>
      <x:c r="C302" s="1" t="str">
        <x:v>call</x:v>
      </x:c>
      <x:c r="D302" s="11" t="n">
        <x:v>4400</x:v>
      </x:c>
      <x:c r="E302" s="11" t="n">
        <x:f>'Option source'!B39</x:f>
        <x:v>2762.2</x:v>
      </x:c>
      <x:c r="F302" s="11" t="n">
        <x:v>7085</x:v>
      </x:c>
      <x:c r="G302" s="18" t="n">
        <x:v>37</x:v>
      </x:c>
      <x:c r="H302" s="11" t="n">
        <x:f>MAX(IF(C302="call",F302-D302,D302-F302),0)</x:f>
        <x:v>2685</x:v>
      </x:c>
      <x:c r="I302" s="11" t="n">
        <x:f>E302-H302</x:f>
        <x:v>77.19999999999982</x:v>
      </x:c>
      <x:c r="J302" s="13" t="n">
        <x:f>D302/F302</x:f>
        <x:v>0.621030345800988</x:v>
      </x:c>
      <x:c r="K302" s="13"/>
      <x:c r="L302" s="17"/>
      <x:c r="M302" s="17"/>
      <x:c r="N302" s="11" t="n">
        <x:f>'Option source'!C39</x:f>
        <x:v>0</x:v>
      </x:c>
      <x:c r="O302" s="11" t="n">
        <x:f>'Option source'!G39</x:f>
        <x:v>2619.23</x:v>
      </x:c>
      <x:c r="P302" s="11" t="n">
        <x:f>'Option source'!F39</x:f>
        <x:v>3006.1</x:v>
      </x:c>
      <x:c r="Q302" s="1" t="str">
        <x:v>Zero reported volume</x:v>
      </x:c>
      <x:c r="R302" s="1" t="n">
        <x:v>34</x:v>
      </x:c>
    </x:row>
    <x:row r="303" ht="21" customHeight="1">
      <x:c r="A303" s="12" t="n">
        <x:v>46274</x:v>
      </x:c>
      <x:c r="B303" s="1" t="str">
        <x:v>GFGV4400OC</x:v>
      </x:c>
      <x:c r="C303" s="1" t="str">
        <x:v>put</x:v>
      </x:c>
      <x:c r="D303" s="11" t="n">
        <x:v>4400</x:v>
      </x:c>
      <x:c r="E303" s="11" t="n">
        <x:f>'Option source'!B519</x:f>
        <x:v>1</x:v>
      </x:c>
      <x:c r="F303" s="11" t="n">
        <x:v>7085</x:v>
      </x:c>
      <x:c r="G303" s="18" t="n">
        <x:v>37</x:v>
      </x:c>
      <x:c r="H303" s="11" t="n">
        <x:f>MAX(IF(C303="call",F303-D303,D303-F303),0)</x:f>
        <x:v>0</x:v>
      </x:c>
      <x:c r="I303" s="11" t="n">
        <x:f>E303-H303</x:f>
        <x:v>1</x:v>
      </x:c>
      <x:c r="J303" s="13" t="n">
        <x:f>D303/F303</x:f>
        <x:v>0.621030345800988</x:v>
      </x:c>
      <x:c r="K303" s="13" t="n">
        <x:v>0.5851911067910985</x:v>
      </x:c>
      <x:c r="L303" s="17" t="n">
        <x:v>-0.0024526918375776807</x:v>
      </x:c>
      <x:c r="M303" s="17" t="n">
        <x:v>0.17206885957410145</x:v>
      </x:c>
      <x:c r="N303" s="11" t="n">
        <x:f>'Option source'!C519</x:f>
        <x:v>14229</x:v>
      </x:c>
      <x:c r="O303" s="11" t="n">
        <x:f>'Option source'!G519</x:f>
        <x:v>1</x:v>
      </x:c>
      <x:c r="P303" s="11" t="n">
        <x:f>'Option source'!F519</x:f>
        <x:v>1.5</x:v>
      </x:c>
      <x:c r="Q303" s="1" t="str">
        <x:v>Screen passed; indicative</x:v>
      </x:c>
      <x:c r="R303" s="1" t="n">
        <x:v>514</x:v>
      </x:c>
    </x:row>
    <x:row r="304" ht="21" customHeight="1">
      <x:c r="A304" s="12" t="n">
        <x:v>46274</x:v>
      </x:c>
      <x:c r="B304" s="1" t="str">
        <x:v>GFGC9900OC</x:v>
      </x:c>
      <x:c r="C304" s="1" t="str">
        <x:v>call</x:v>
      </x:c>
      <x:c r="D304" s="11" t="n">
        <x:v>9900</x:v>
      </x:c>
      <x:c r="E304" s="11" t="n">
        <x:f>'Option source'!B481</x:f>
        <x:v>6.34</x:v>
      </x:c>
      <x:c r="F304" s="11" t="n">
        <x:v>7085</x:v>
      </x:c>
      <x:c r="G304" s="18" t="n">
        <x:v>37</x:v>
      </x:c>
      <x:c r="H304" s="11" t="n">
        <x:f>MAX(IF(C304="call",F304-D304,D304-F304),0)</x:f>
        <x:v>0</x:v>
      </x:c>
      <x:c r="I304" s="11" t="n">
        <x:f>E304-H304</x:f>
        <x:v>6.34</x:v>
      </x:c>
      <x:c r="J304" s="13" t="n">
        <x:f>D304/F304</x:f>
        <x:v>1.397318278052223</x:v>
      </x:c>
      <x:c r="K304" s="13" t="n">
        <x:v>0.44221976935787066</x:v>
      </x:c>
      <x:c r="L304" s="17" t="n">
        <x:v>0.018319465036988163</x:v>
      </x:c>
      <x:c r="M304" s="17" t="n">
        <x:v>1.013670791543907</x:v>
      </x:c>
      <x:c r="N304" s="11" t="n">
        <x:f>'Option source'!C481</x:f>
        <x:v>1272586.5</x:v>
      </x:c>
      <x:c r="O304" s="11" t="n">
        <x:f>'Option source'!G481</x:f>
        <x:v>5.3</x:v>
      </x:c>
      <x:c r="P304" s="11" t="n">
        <x:f>'Option source'!F481</x:f>
        <x:v>7.5</x:v>
      </x:c>
      <x:c r="Q304" s="1" t="str">
        <x:v>Screen passed; indicative</x:v>
      </x:c>
      <x:c r="R304" s="1" t="n">
        <x:v>476</x:v>
      </x:c>
    </x:row>
    <x:row r="305" ht="21" customHeight="1">
      <x:c r="A305" s="12" t="n">
        <x:v>46274</x:v>
      </x:c>
      <x:c r="B305" s="1" t="str">
        <x:v>GFGC4200OC</x:v>
      </x:c>
      <x:c r="C305" s="1" t="str">
        <x:v>call</x:v>
      </x:c>
      <x:c r="D305" s="11" t="n">
        <x:v>4200</x:v>
      </x:c>
      <x:c r="E305" s="11" t="n">
        <x:f>'Option source'!B20</x:f>
        <x:v>2845.62</x:v>
      </x:c>
      <x:c r="F305" s="11" t="n">
        <x:v>7085</x:v>
      </x:c>
      <x:c r="G305" s="18" t="n">
        <x:v>37</x:v>
      </x:c>
      <x:c r="H305" s="11" t="n">
        <x:f>MAX(IF(C305="call",F305-D305,D305-F305),0)</x:f>
        <x:v>2885</x:v>
      </x:c>
      <x:c r="I305" s="11" t="n">
        <x:f>E305-H305</x:f>
        <x:v>-39.38000000000011</x:v>
      </x:c>
      <x:c r="J305" s="13" t="n">
        <x:f>D305/F305</x:f>
        <x:v>0.592801693719125</x:v>
      </x:c>
      <x:c r="K305" s="13"/>
      <x:c r="L305" s="17"/>
      <x:c r="M305" s="17"/>
      <x:c r="N305" s="11" t="n">
        <x:f>'Option source'!C20</x:f>
        <x:v>0</x:v>
      </x:c>
      <x:c r="O305" s="11" t="n">
        <x:f>'Option source'!G20</x:f>
        <x:v>2839.03</x:v>
      </x:c>
      <x:c r="P305" s="11" t="n">
        <x:f>'Option source'!F20</x:f>
        <x:v>2938.68</x:v>
      </x:c>
      <x:c r="Q305" s="1" t="str">
        <x:v>Zero reported volume; Below intrinsic value</x:v>
      </x:c>
      <x:c r="R305" s="1" t="n">
        <x:v>15</x:v>
      </x:c>
    </x:row>
    <x:row r="306" ht="21" customHeight="1">
      <x:c r="A306" s="12" t="n">
        <x:v>46274</x:v>
      </x:c>
      <x:c r="B306" s="1" t="str">
        <x:v>GFGV4200OC</x:v>
      </x:c>
      <x:c r="C306" s="1" t="str">
        <x:v>put</x:v>
      </x:c>
      <x:c r="D306" s="11" t="n">
        <x:v>4200</x:v>
      </x:c>
      <x:c r="E306" s="11" t="n">
        <x:f>'Option source'!B500</x:f>
        <x:v>0.81</x:v>
      </x:c>
      <x:c r="F306" s="11" t="n">
        <x:v>7085</x:v>
      </x:c>
      <x:c r="G306" s="18" t="n">
        <x:v>37</x:v>
      </x:c>
      <x:c r="H306" s="11" t="n">
        <x:f>MAX(IF(C306="call",F306-D306,D306-F306),0)</x:f>
        <x:v>0</x:v>
      </x:c>
      <x:c r="I306" s="11" t="n">
        <x:f>E306-H306</x:f>
        <x:v>0.81</x:v>
      </x:c>
      <x:c r="J306" s="13" t="n">
        <x:f>D306/F306</x:f>
        <x:v>0.592801693719125</x:v>
      </x:c>
      <x:c r="K306" s="13" t="n">
        <x:v>0.6211389270978875</x:v>
      </x:c>
      <x:c r="L306" s="17" t="n">
        <x:v>-0.0018854409766202451</x:v>
      </x:c>
      <x:c r="M306" s="17" t="n">
        <x:v>0.13555853697616177</x:v>
      </x:c>
      <x:c r="N306" s="11" t="n">
        <x:f>'Option source'!C500</x:f>
        <x:v>37293.2</x:v>
      </x:c>
      <x:c r="O306" s="11" t="n">
        <x:f>'Option source'!G500</x:f>
        <x:v>0.78</x:v>
      </x:c>
      <x:c r="P306" s="11" t="n">
        <x:f>'Option source'!F500</x:f>
        <x:v>1.25</x:v>
      </x:c>
      <x:c r="Q306" s="1" t="str">
        <x:v>Screen passed; indicative</x:v>
      </x:c>
      <x:c r="R306" s="1" t="n">
        <x:v>495</x:v>
      </x:c>
    </x:row>
    <x:row r="307" ht="21" customHeight="1">
      <x:c r="A307" s="12" t="n">
        <x:v>46273</x:v>
      </x:c>
      <x:c r="B307" s="1" t="str">
        <x:v>GFGC7000OC</x:v>
      </x:c>
      <x:c r="C307" s="1" t="str">
        <x:v>call</x:v>
      </x:c>
      <x:c r="D307" s="11" t="n">
        <x:v>7000</x:v>
      </x:c>
      <x:c r="E307" s="11" t="n">
        <x:f>'Option source'!B271</x:f>
        <x:v>485.45</x:v>
      </x:c>
      <x:c r="F307" s="11" t="n">
        <x:v>7015</x:v>
      </x:c>
      <x:c r="G307" s="18" t="n">
        <x:v>38</x:v>
      </x:c>
      <x:c r="H307" s="11" t="n">
        <x:f>MAX(IF(C307="call",F307-D307,D307-F307),0)</x:f>
        <x:v>15</x:v>
      </x:c>
      <x:c r="I307" s="11" t="n">
        <x:f>E307-H307</x:f>
        <x:v>470.45</x:v>
      </x:c>
      <x:c r="J307" s="13" t="n">
        <x:f>D307/F307</x:f>
        <x:v>0.9978617248752673</x:v>
      </x:c>
      <x:c r="K307" s="13" t="n">
        <x:v>0.4041019936917703</x:v>
      </x:c>
      <x:c r="L307" s="17" t="n">
        <x:v>0.6259514149486867</x:v>
      </x:c>
      <x:c r="M307" s="17" t="n">
        <x:v>8.576048036037724</x:v>
      </x:c>
      <x:c r="N307" s="11" t="n">
        <x:f>'Option source'!C271</x:f>
        <x:v>448907360</x:v>
      </x:c>
      <x:c r="O307" s="11" t="n">
        <x:f>'Option source'!G271</x:f>
        <x:v>390</x:v>
      </x:c>
      <x:c r="P307" s="11" t="n">
        <x:f>'Option source'!F271</x:f>
        <x:v>535</x:v>
      </x:c>
      <x:c r="Q307" s="1" t="str">
        <x:v>Screen passed; indicative</x:v>
      </x:c>
      <x:c r="R307" s="1" t="n">
        <x:v>266</x:v>
      </x:c>
    </x:row>
    <x:row r="308" ht="21" customHeight="1">
      <x:c r="A308" s="12" t="n">
        <x:v>46273</x:v>
      </x:c>
      <x:c r="B308" s="1" t="str">
        <x:v>GFGV7000OC</x:v>
      </x:c>
      <x:c r="C308" s="1" t="str">
        <x:v>put</x:v>
      </x:c>
      <x:c r="D308" s="11" t="n">
        <x:v>7000</x:v>
      </x:c>
      <x:c r="E308" s="11" t="n">
        <x:f>'Option source'!B765</x:f>
        <x:v>317.07</x:v>
      </x:c>
      <x:c r="F308" s="11" t="n">
        <x:v>7015</x:v>
      </x:c>
      <x:c r="G308" s="18" t="n">
        <x:v>38</x:v>
      </x:c>
      <x:c r="H308" s="11" t="n">
        <x:f>MAX(IF(C308="call",F308-D308,D308-F308),0)</x:f>
        <x:v>0</x:v>
      </x:c>
      <x:c r="I308" s="11" t="n">
        <x:f>E308-H308</x:f>
        <x:v>317.07</x:v>
      </x:c>
      <x:c r="J308" s="13" t="n">
        <x:f>D308/F308</x:f>
        <x:v>0.9978617248752673</x:v>
      </x:c>
      <x:c r="K308" s="13" t="n">
        <x:v>0.45187481201290974</x:v>
      </x:c>
      <x:c r="L308" s="17" t="n">
        <x:v>-0.381403551097234</x:v>
      </x:c>
      <x:c r="M308" s="17" t="n">
        <x:v>8.627899448189575</x:v>
      </x:c>
      <x:c r="N308" s="11" t="n">
        <x:f>'Option source'!C765</x:f>
        <x:v>194390672</x:v>
      </x:c>
      <x:c r="O308" s="11" t="n">
        <x:f>'Option source'!G765</x:f>
        <x:v>300.11</x:v>
      </x:c>
      <x:c r="P308" s="11" t="n">
        <x:f>'Option source'!F765</x:f>
        <x:v>360</x:v>
      </x:c>
      <x:c r="Q308" s="1" t="str">
        <x:v>Screen passed; indicative</x:v>
      </x:c>
      <x:c r="R308" s="1" t="n">
        <x:v>760</x:v>
      </x:c>
    </x:row>
    <x:row r="309" ht="21" customHeight="1">
      <x:c r="A309" s="12" t="n">
        <x:v>46273</x:v>
      </x:c>
      <x:c r="B309" s="1" t="str">
        <x:v>GFGC7200OC</x:v>
      </x:c>
      <x:c r="C309" s="1" t="str">
        <x:v>call</x:v>
      </x:c>
      <x:c r="D309" s="11" t="n">
        <x:v>7200</x:v>
      </x:c>
      <x:c r="E309" s="11" t="n">
        <x:f>'Option source'!B290</x:f>
        <x:v>385.82</x:v>
      </x:c>
      <x:c r="F309" s="11" t="n">
        <x:v>7015</x:v>
      </x:c>
      <x:c r="G309" s="18" t="n">
        <x:v>38</x:v>
      </x:c>
      <x:c r="H309" s="11" t="n">
        <x:f>MAX(IF(C309="call",F309-D309,D309-F309),0)</x:f>
        <x:v>0</x:v>
      </x:c>
      <x:c r="I309" s="11" t="n">
        <x:f>E309-H309</x:f>
        <x:v>385.82</x:v>
      </x:c>
      <x:c r="J309" s="13" t="n">
        <x:f>D309/F309</x:f>
        <x:v>1.0263720598717034</x:v>
      </x:c>
      <x:c r="K309" s="13" t="n">
        <x:v>0.408149323039768</x:v>
      </x:c>
      <x:c r="L309" s="17" t="n">
        <x:v>0.5419516898811183</x:v>
      </x:c>
      <x:c r="M309" s="17" t="n">
        <x:v>8.97993074457644</x:v>
      </x:c>
      <x:c r="N309" s="11" t="n">
        <x:f>'Option source'!C290</x:f>
        <x:v>219621456</x:v>
      </x:c>
      <x:c r="O309" s="11" t="n">
        <x:f>'Option source'!G290</x:f>
        <x:v>316.22</x:v>
      </x:c>
      <x:c r="P309" s="11" t="n">
        <x:f>'Option source'!F290</x:f>
        <x:v>409</x:v>
      </x:c>
      <x:c r="Q309" s="1" t="str">
        <x:v>Screen passed; indicative</x:v>
      </x:c>
      <x:c r="R309" s="1" t="n">
        <x:v>285</x:v>
      </x:c>
    </x:row>
    <x:row r="310" ht="21" customHeight="1">
      <x:c r="A310" s="12" t="n">
        <x:v>46273</x:v>
      </x:c>
      <x:c r="B310" s="1" t="str">
        <x:v>GFGV7200OC</x:v>
      </x:c>
      <x:c r="C310" s="1" t="str">
        <x:v>put</x:v>
      </x:c>
      <x:c r="D310" s="11" t="n">
        <x:v>7200</x:v>
      </x:c>
      <x:c r="E310" s="11" t="n">
        <x:f>'Option source'!B784</x:f>
        <x:v>419.99</x:v>
      </x:c>
      <x:c r="F310" s="11" t="n">
        <x:v>7015</x:v>
      </x:c>
      <x:c r="G310" s="18" t="n">
        <x:v>38</x:v>
      </x:c>
      <x:c r="H310" s="11" t="n">
        <x:f>MAX(IF(C310="call",F310-D310,D310-F310),0)</x:f>
        <x:v>185</x:v>
      </x:c>
      <x:c r="I310" s="11" t="n">
        <x:f>E310-H310</x:f>
        <x:v>234.99</x:v>
      </x:c>
      <x:c r="J310" s="13" t="n">
        <x:f>D310/F310</x:f>
        <x:v>1.0263720598717034</x:v>
      </x:c>
      <x:c r="K310" s="13" t="n">
        <x:v>0.4527290410149318</x:v>
      </x:c>
      <x:c r="L310" s="17" t="n">
        <x:v>-0.45673851172964797</x:v>
      </x:c>
      <x:c r="M310" s="17" t="n">
        <x:v>8.976758457305593</x:v>
      </x:c>
      <x:c r="N310" s="11" t="n">
        <x:f>'Option source'!C784</x:f>
        <x:v>48001704</x:v>
      </x:c>
      <x:c r="O310" s="11" t="n">
        <x:f>'Option source'!G784</x:f>
        <x:v>398.07</x:v>
      </x:c>
      <x:c r="P310" s="11" t="n">
        <x:f>'Option source'!F784</x:f>
        <x:v>480</x:v>
      </x:c>
      <x:c r="Q310" s="1" t="str">
        <x:v>Screen passed; indicative</x:v>
      </x:c>
      <x:c r="R310" s="1" t="n">
        <x:v>779</x:v>
      </x:c>
    </x:row>
    <x:row r="311" ht="21" customHeight="1">
      <x:c r="A311" s="12" t="n">
        <x:v>46273</x:v>
      </x:c>
      <x:c r="B311" s="1" t="str">
        <x:v>GFGC6800OC</x:v>
      </x:c>
      <x:c r="C311" s="1" t="str">
        <x:v>call</x:v>
      </x:c>
      <x:c r="D311" s="11" t="n">
        <x:v>6800</x:v>
      </x:c>
      <x:c r="E311" s="11" t="n">
        <x:f>'Option source'!B252</x:f>
        <x:v>595.26</x:v>
      </x:c>
      <x:c r="F311" s="11" t="n">
        <x:v>7015</x:v>
      </x:c>
      <x:c r="G311" s="18" t="n">
        <x:v>38</x:v>
      </x:c>
      <x:c r="H311" s="11" t="n">
        <x:f>MAX(IF(C311="call",F311-D311,D311-F311),0)</x:f>
        <x:v>215</x:v>
      </x:c>
      <x:c r="I311" s="11" t="n">
        <x:f>E311-H311</x:f>
        <x:v>380.26</x:v>
      </x:c>
      <x:c r="J311" s="13" t="n">
        <x:f>D311/F311</x:f>
        <x:v>0.9693513898788311</x:v>
      </x:c>
      <x:c r="K311" s="13" t="n">
        <x:v>0.39118078488655805</x:v>
      </x:c>
      <x:c r="L311" s="17" t="n">
        <x:v>0.7112981145309456</x:v>
      </x:c>
      <x:c r="M311" s="17" t="n">
        <x:v>7.731603997207335</x:v>
      </x:c>
      <x:c r="N311" s="11" t="n">
        <x:f>'Option source'!C252</x:f>
        <x:v>118256008</x:v>
      </x:c>
      <x:c r="O311" s="11" t="n">
        <x:f>'Option source'!G252</x:f>
        <x:v>520</x:v>
      </x:c>
      <x:c r="P311" s="11" t="n">
        <x:f>'Option source'!F252</x:f>
        <x:v>624</x:v>
      </x:c>
      <x:c r="Q311" s="1" t="str">
        <x:v>Screen passed; indicative</x:v>
      </x:c>
      <x:c r="R311" s="1" t="n">
        <x:v>247</x:v>
      </x:c>
    </x:row>
    <x:row r="312" ht="21" customHeight="1">
      <x:c r="A312" s="12" t="n">
        <x:v>46273</x:v>
      </x:c>
      <x:c r="B312" s="1" t="str">
        <x:v>GFGV6800OC</x:v>
      </x:c>
      <x:c r="C312" s="1" t="str">
        <x:v>put</x:v>
      </x:c>
      <x:c r="D312" s="11" t="n">
        <x:v>6800</x:v>
      </x:c>
      <x:c r="E312" s="11" t="n">
        <x:f>'Option source'!B746</x:f>
        <x:v>224.24</x:v>
      </x:c>
      <x:c r="F312" s="11" t="n">
        <x:v>7015</x:v>
      </x:c>
      <x:c r="G312" s="18" t="n">
        <x:v>38</x:v>
      </x:c>
      <x:c r="H312" s="11" t="n">
        <x:f>MAX(IF(C312="call",F312-D312,D312-F312),0)</x:f>
        <x:v>0</x:v>
      </x:c>
      <x:c r="I312" s="11" t="n">
        <x:f>E312-H312</x:f>
        <x:v>224.24</x:v>
      </x:c>
      <x:c r="J312" s="13" t="n">
        <x:f>D312/F312</x:f>
        <x:v>0.9693513898788311</x:v>
      </x:c>
      <x:c r="K312" s="13" t="n">
        <x:v>0.4408909363261779</x:v>
      </x:c>
      <x:c r="L312" s="17" t="n">
        <x:v>-0.3052028305913693</x:v>
      </x:c>
      <x:c r="M312" s="17" t="n">
        <x:v>7.93076388848687</x:v>
      </x:c>
      <x:c r="N312" s="11" t="n">
        <x:f>'Option source'!C746</x:f>
        <x:v>105680440</x:v>
      </x:c>
      <x:c r="O312" s="11" t="n">
        <x:f>'Option source'!G746</x:f>
        <x:v>215</x:v>
      </x:c>
      <x:c r="P312" s="11" t="n">
        <x:f>'Option source'!F746</x:f>
        <x:v>284.99</x:v>
      </x:c>
      <x:c r="Q312" s="1" t="str">
        <x:v>Screen passed; indicative</x:v>
      </x:c>
      <x:c r="R312" s="1" t="n">
        <x:v>741</x:v>
      </x:c>
    </x:row>
    <x:row r="313" ht="21" customHeight="1">
      <x:c r="A313" s="12" t="n">
        <x:v>46273</x:v>
      </x:c>
      <x:c r="B313" s="1" t="str">
        <x:v>GFGC7400OC</x:v>
      </x:c>
      <x:c r="C313" s="1" t="str">
        <x:v>call</x:v>
      </x:c>
      <x:c r="D313" s="11" t="n">
        <x:v>7400</x:v>
      </x:c>
      <x:c r="E313" s="11" t="n">
        <x:f>'Option source'!B309</x:f>
        <x:v>298.68</x:v>
      </x:c>
      <x:c r="F313" s="11" t="n">
        <x:v>7015</x:v>
      </x:c>
      <x:c r="G313" s="18" t="n">
        <x:v>38</x:v>
      </x:c>
      <x:c r="H313" s="11" t="n">
        <x:f>MAX(IF(C313="call",F313-D313,D313-F313),0)</x:f>
        <x:v>0</x:v>
      </x:c>
      <x:c r="I313" s="11" t="n">
        <x:f>E313-H313</x:f>
        <x:v>298.68</x:v>
      </x:c>
      <x:c r="J313" s="13" t="n">
        <x:f>D313/F313</x:f>
        <x:v>1.0548823948681396</x:v>
      </x:c>
      <x:c r="K313" s="13" t="n">
        <x:v>0.40782996371271213</x:v>
      </x:c>
      <x:c r="L313" s="17" t="n">
        <x:v>0.4590280430780556</x:v>
      </x:c>
      <x:c r="M313" s="17" t="n">
        <x:v>8.982239634819221</x:v>
      </x:c>
      <x:c r="N313" s="11" t="n">
        <x:f>'Option source'!C309</x:f>
        <x:v>233745536</x:v>
      </x:c>
      <x:c r="O313" s="11" t="n">
        <x:f>'Option source'!G309</x:f>
        <x:v>250.5</x:v>
      </x:c>
      <x:c r="P313" s="11" t="n">
        <x:f>'Option source'!F309</x:f>
        <x:v>319</x:v>
      </x:c>
      <x:c r="Q313" s="1" t="str">
        <x:v>Screen passed; indicative</x:v>
      </x:c>
      <x:c r="R313" s="1" t="n">
        <x:v>304</x:v>
      </x:c>
    </x:row>
    <x:row r="314" ht="21" customHeight="1">
      <x:c r="A314" s="12" t="n">
        <x:v>46273</x:v>
      </x:c>
      <x:c r="B314" s="1" t="str">
        <x:v>GFGV7400OC</x:v>
      </x:c>
      <x:c r="C314" s="1" t="str">
        <x:v>put</x:v>
      </x:c>
      <x:c r="D314" s="11" t="n">
        <x:v>7400</x:v>
      </x:c>
      <x:c r="E314" s="11" t="n">
        <x:f>'Option source'!B803</x:f>
        <x:v>535.47</x:v>
      </x:c>
      <x:c r="F314" s="11" t="n">
        <x:v>7015</x:v>
      </x:c>
      <x:c r="G314" s="18" t="n">
        <x:v>38</x:v>
      </x:c>
      <x:c r="H314" s="11" t="n">
        <x:f>MAX(IF(C314="call",F314-D314,D314-F314),0)</x:f>
        <x:v>385</x:v>
      </x:c>
      <x:c r="I314" s="11" t="n">
        <x:f>E314-H314</x:f>
        <x:v>150.47000000000003</x:v>
      </x:c>
      <x:c r="J314" s="13" t="n">
        <x:f>D314/F314</x:f>
        <x:v>1.0548823948681396</x:v>
      </x:c>
      <x:c r="K314" s="13" t="n">
        <x:v>0.4478251854503455</x:v>
      </x:c>
      <x:c r="L314" s="17" t="n">
        <x:v>-0.5324244118305261</x:v>
      </x:c>
      <x:c r="M314" s="17" t="n">
        <x:v>9.000062241103308</x:v>
      </x:c>
      <x:c r="N314" s="11" t="n">
        <x:f>'Option source'!C803</x:f>
        <x:v>9589832</x:v>
      </x:c>
      <x:c r="O314" s="11" t="n">
        <x:f>'Option source'!G803</x:f>
        <x:v>511.69</x:v>
      </x:c>
      <x:c r="P314" s="11" t="n">
        <x:f>'Option source'!F803</x:f>
        <x:v>602.03</x:v>
      </x:c>
      <x:c r="Q314" s="1" t="str">
        <x:v>Screen passed; indicative</x:v>
      </x:c>
      <x:c r="R314" s="1" t="n">
        <x:v>798</x:v>
      </x:c>
    </x:row>
    <x:row r="315" ht="21" customHeight="1">
      <x:c r="A315" s="12" t="n">
        <x:v>46273</x:v>
      </x:c>
      <x:c r="B315" s="1" t="str">
        <x:v>GFGC6600OC</x:v>
      </x:c>
      <x:c r="C315" s="1" t="str">
        <x:v>call</x:v>
      </x:c>
      <x:c r="D315" s="11" t="n">
        <x:v>6600</x:v>
      </x:c>
      <x:c r="E315" s="11" t="n">
        <x:f>'Option source'!B233</x:f>
        <x:v>731.04</x:v>
      </x:c>
      <x:c r="F315" s="11" t="n">
        <x:v>7015</x:v>
      </x:c>
      <x:c r="G315" s="18" t="n">
        <x:v>38</x:v>
      </x:c>
      <x:c r="H315" s="11" t="n">
        <x:f>MAX(IF(C315="call",F315-D315,D315-F315),0)</x:f>
        <x:v>415</x:v>
      </x:c>
      <x:c r="I315" s="11" t="n">
        <x:f>E315-H315</x:f>
        <x:v>316.03999999999996</x:v>
      </x:c>
      <x:c r="J315" s="13" t="n">
        <x:f>D315/F315</x:f>
        <x:v>0.9408410548823949</x:v>
      </x:c>
      <x:c r="K315" s="13" t="n">
        <x:v>0.38897288267428326</x:v>
      </x:c>
      <x:c r="L315" s="17" t="n">
        <x:v>0.7874167455506773</x:v>
      </x:c>
      <x:c r="M315" s="17" t="n">
        <x:v>6.570214807827137</x:v>
      </x:c>
      <x:c r="N315" s="11" t="n">
        <x:f>'Option source'!C233</x:f>
        <x:v>70286280</x:v>
      </x:c>
      <x:c r="O315" s="11" t="n">
        <x:f>'Option source'!G233</x:f>
        <x:v>650</x:v>
      </x:c>
      <x:c r="P315" s="11" t="n">
        <x:f>'Option source'!F233</x:f>
        <x:v>750</x:v>
      </x:c>
      <x:c r="Q315" s="1" t="str">
        <x:v>Screen passed; indicative</x:v>
      </x:c>
      <x:c r="R315" s="1" t="n">
        <x:v>228</x:v>
      </x:c>
    </x:row>
    <x:row r="316" ht="21" customHeight="1">
      <x:c r="A316" s="12" t="n">
        <x:v>46273</x:v>
      </x:c>
      <x:c r="B316" s="1" t="str">
        <x:v>GFGV6600OC</x:v>
      </x:c>
      <x:c r="C316" s="1" t="str">
        <x:v>put</x:v>
      </x:c>
      <x:c r="D316" s="11" t="n">
        <x:v>6600</x:v>
      </x:c>
      <x:c r="E316" s="11" t="n">
        <x:f>'Option source'!B727</x:f>
        <x:v>164.7</x:v>
      </x:c>
      <x:c r="F316" s="11" t="n">
        <x:v>7015</x:v>
      </x:c>
      <x:c r="G316" s="18" t="n">
        <x:v>38</x:v>
      </x:c>
      <x:c r="H316" s="11" t="n">
        <x:f>MAX(IF(C316="call",F316-D316,D316-F316),0)</x:f>
        <x:v>0</x:v>
      </x:c>
      <x:c r="I316" s="11" t="n">
        <x:f>E316-H316</x:f>
        <x:v>164.7</x:v>
      </x:c>
      <x:c r="J316" s="13" t="n">
        <x:f>D316/F316</x:f>
        <x:v>0.9408410548823949</x:v>
      </x:c>
      <x:c r="K316" s="13" t="n">
        <x:v>0.45174651211435035</x:v>
      </x:c>
      <x:c r="L316" s="17" t="n">
        <x:v>-0.24024335797357976</x:v>
      </x:c>
      <x:c r="M316" s="17" t="n">
        <x:v>7.040382285233963</x:v>
      </x:c>
      <x:c r="N316" s="11" t="n">
        <x:f>'Option source'!C727</x:f>
        <x:v>68128544</x:v>
      </x:c>
      <x:c r="O316" s="11" t="n">
        <x:f>'Option source'!G727</x:f>
        <x:v>154</x:v>
      </x:c>
      <x:c r="P316" s="11" t="n">
        <x:f>'Option source'!F727</x:f>
        <x:v>200</x:v>
      </x:c>
      <x:c r="Q316" s="1" t="str">
        <x:v>Screen passed; indicative</x:v>
      </x:c>
      <x:c r="R316" s="1" t="n">
        <x:v>722</x:v>
      </x:c>
    </x:row>
    <x:row r="317" ht="21" customHeight="1">
      <x:c r="A317" s="12" t="n">
        <x:v>46273</x:v>
      </x:c>
      <x:c r="B317" s="1" t="str">
        <x:v>GFGC7600OC</x:v>
      </x:c>
      <x:c r="C317" s="1" t="str">
        <x:v>call</x:v>
      </x:c>
      <x:c r="D317" s="11" t="n">
        <x:v>7600</x:v>
      </x:c>
      <x:c r="E317" s="11" t="n">
        <x:f>'Option source'!B328</x:f>
        <x:v>227.39</x:v>
      </x:c>
      <x:c r="F317" s="11" t="n">
        <x:v>7015</x:v>
      </x:c>
      <x:c r="G317" s="18" t="n">
        <x:v>38</x:v>
      </x:c>
      <x:c r="H317" s="11" t="n">
        <x:f>MAX(IF(C317="call",F317-D317,D317-F317),0)</x:f>
        <x:v>0</x:v>
      </x:c>
      <x:c r="I317" s="11" t="n">
        <x:f>E317-H317</x:f>
        <x:v>227.39</x:v>
      </x:c>
      <x:c r="J317" s="13" t="n">
        <x:f>D317/F317</x:f>
        <x:v>1.0833927298645758</x:v>
      </x:c>
      <x:c r="K317" s="13" t="n">
        <x:v>0.4080093510590997</x:v>
      </x:c>
      <x:c r="L317" s="17" t="n">
        <x:v>0.3800492756324618</x:v>
      </x:c>
      <x:c r="M317" s="17" t="n">
        <x:v>8.61859385271262</x:v>
      </x:c>
      <x:c r="N317" s="11" t="n">
        <x:f>'Option source'!C328</x:f>
        <x:v>340755424</x:v>
      </x:c>
      <x:c r="O317" s="11" t="n">
        <x:f>'Option source'!G328</x:f>
        <x:v>189.34</x:v>
      </x:c>
      <x:c r="P317" s="11" t="n">
        <x:f>'Option source'!F328</x:f>
        <x:v>247.9</x:v>
      </x:c>
      <x:c r="Q317" s="1" t="str">
        <x:v>Screen passed; indicative</x:v>
      </x:c>
      <x:c r="R317" s="1" t="n">
        <x:v>323</x:v>
      </x:c>
    </x:row>
    <x:row r="318" ht="21" customHeight="1">
      <x:c r="A318" s="12" t="n">
        <x:v>46273</x:v>
      </x:c>
      <x:c r="B318" s="1" t="str">
        <x:v>GFGV7600OC</x:v>
      </x:c>
      <x:c r="C318" s="1" t="str">
        <x:v>put</x:v>
      </x:c>
      <x:c r="D318" s="11" t="n">
        <x:v>7600</x:v>
      </x:c>
      <x:c r="E318" s="11" t="n">
        <x:f>'Option source'!B822</x:f>
        <x:v>643.01</x:v>
      </x:c>
      <x:c r="F318" s="11" t="n">
        <x:v>7015</x:v>
      </x:c>
      <x:c r="G318" s="18" t="n">
        <x:v>38</x:v>
      </x:c>
      <x:c r="H318" s="11" t="n">
        <x:f>MAX(IF(C318="call",F318-D318,D318-F318),0)</x:f>
        <x:v>585</x:v>
      </x:c>
      <x:c r="I318" s="11" t="n">
        <x:f>E318-H318</x:f>
        <x:v>58.00999999999999</x:v>
      </x:c>
      <x:c r="J318" s="13" t="n">
        <x:f>D318/F318</x:f>
        <x:v>1.0833927298645758</x:v>
      </x:c>
      <x:c r="K318" s="13"/>
      <x:c r="L318" s="17"/>
      <x:c r="M318" s="17"/>
      <x:c r="N318" s="11" t="n">
        <x:f>'Option source'!C822</x:f>
        <x:v>6452029</x:v>
      </x:c>
      <x:c r="O318" s="11" t="n">
        <x:f>'Option source'!G822</x:f>
        <x:v>650</x:v>
      </x:c>
      <x:c r="P318" s="11" t="n">
        <x:f>'Option source'!F822</x:f>
        <x:v>688.07</x:v>
      </x:c>
      <x:c r="Q318" s="1" t="str">
        <x:v>Price outside daily range</x:v>
      </x:c>
      <x:c r="R318" s="1" t="n">
        <x:v>817</x:v>
      </x:c>
    </x:row>
    <x:row r="319" ht="21" customHeight="1">
      <x:c r="A319" s="12" t="n">
        <x:v>46273</x:v>
      </x:c>
      <x:c r="B319" s="1" t="str">
        <x:v>GFGC6400OC</x:v>
      </x:c>
      <x:c r="C319" s="1" t="str">
        <x:v>call</x:v>
      </x:c>
      <x:c r="D319" s="11" t="n">
        <x:v>6400</x:v>
      </x:c>
      <x:c r="E319" s="11" t="n">
        <x:f>'Option source'!B214</x:f>
        <x:v>900</x:v>
      </x:c>
      <x:c r="F319" s="11" t="n">
        <x:v>7015</x:v>
      </x:c>
      <x:c r="G319" s="18" t="n">
        <x:v>38</x:v>
      </x:c>
      <x:c r="H319" s="11" t="n">
        <x:f>MAX(IF(C319="call",F319-D319,D319-F319),0)</x:f>
        <x:v>615</x:v>
      </x:c>
      <x:c r="I319" s="11" t="n">
        <x:f>E319-H319</x:f>
        <x:v>285</x:v>
      </x:c>
      <x:c r="J319" s="13" t="n">
        <x:f>D319/F319</x:f>
        <x:v>0.9123307198859587</x:v>
      </x:c>
      <x:c r="K319" s="13" t="n">
        <x:v>0.4195981103125233</x:v>
      </x:c>
      <x:c r="L319" s="17" t="n">
        <x:v>0.8354901006379467</x:v>
      </x:c>
      <x:c r="M319" s="17" t="n">
        <x:v>5.6078404503033985</x:v>
      </x:c>
      <x:c r="N319" s="11" t="n">
        <x:f>'Option source'!C214</x:f>
        <x:v>19926616</x:v>
      </x:c>
      <x:c r="O319" s="11" t="n">
        <x:f>'Option source'!G214</x:f>
        <x:v>800</x:v>
      </x:c>
      <x:c r="P319" s="11" t="n">
        <x:f>'Option source'!F214</x:f>
        <x:v>955</x:v>
      </x:c>
      <x:c r="Q319" s="1" t="str">
        <x:v>Screen passed; indicative</x:v>
      </x:c>
      <x:c r="R319" s="1" t="n">
        <x:v>209</x:v>
      </x:c>
    </x:row>
    <x:row r="320" ht="21" customHeight="1">
      <x:c r="A320" s="12" t="n">
        <x:v>46273</x:v>
      </x:c>
      <x:c r="B320" s="1" t="str">
        <x:v>GFGV6400OC</x:v>
      </x:c>
      <x:c r="C320" s="1" t="str">
        <x:v>put</x:v>
      </x:c>
      <x:c r="D320" s="11" t="n">
        <x:v>6400</x:v>
      </x:c>
      <x:c r="E320" s="11" t="n">
        <x:f>'Option source'!B708</x:f>
        <x:v>109.53</x:v>
      </x:c>
      <x:c r="F320" s="11" t="n">
        <x:v>7015</x:v>
      </x:c>
      <x:c r="G320" s="18" t="n">
        <x:v>38</x:v>
      </x:c>
      <x:c r="H320" s="11" t="n">
        <x:f>MAX(IF(C320="call",F320-D320,D320-F320),0)</x:f>
        <x:v>0</x:v>
      </x:c>
      <x:c r="I320" s="11" t="n">
        <x:f>E320-H320</x:f>
        <x:v>109.53</x:v>
      </x:c>
      <x:c r="J320" s="13" t="n">
        <x:f>D320/F320</x:f>
        <x:v>0.9123307198859587</x:v>
      </x:c>
      <x:c r="K320" s="13" t="n">
        <x:v>0.44678217563346595</x:v>
      </x:c>
      <x:c r="L320" s="17" t="n">
        <x:v>-0.17742959615597842</x:v>
      </x:c>
      <x:c r="M320" s="17" t="n">
        <x:v>5.885780567959045</x:v>
      </x:c>
      <x:c r="N320" s="11" t="n">
        <x:f>'Option source'!C708</x:f>
        <x:v>32637114</x:v>
      </x:c>
      <x:c r="O320" s="11" t="n">
        <x:f>'Option source'!G708</x:f>
        <x:v>101.3</x:v>
      </x:c>
      <x:c r="P320" s="11" t="n">
        <x:f>'Option source'!F708</x:f>
        <x:v>134</x:v>
      </x:c>
      <x:c r="Q320" s="1" t="str">
        <x:v>Screen passed; indicative</x:v>
      </x:c>
      <x:c r="R320" s="1" t="n">
        <x:v>703</x:v>
      </x:c>
    </x:row>
    <x:row r="321" ht="21" customHeight="1">
      <x:c r="A321" s="12" t="n">
        <x:v>46273</x:v>
      </x:c>
      <x:c r="B321" s="1" t="str">
        <x:v>GFGC7800OC</x:v>
      </x:c>
      <x:c r="C321" s="1" t="str">
        <x:v>call</x:v>
      </x:c>
      <x:c r="D321" s="11" t="n">
        <x:v>7800</x:v>
      </x:c>
      <x:c r="E321" s="11" t="n">
        <x:f>'Option source'!B347</x:f>
        <x:v>174.8</x:v>
      </x:c>
      <x:c r="F321" s="11" t="n">
        <x:v>7015</x:v>
      </x:c>
      <x:c r="G321" s="18" t="n">
        <x:v>38</x:v>
      </x:c>
      <x:c r="H321" s="11" t="n">
        <x:f>MAX(IF(C321="call",F321-D321,D321-F321),0)</x:f>
        <x:v>0</x:v>
      </x:c>
      <x:c r="I321" s="11" t="n">
        <x:f>E321-H321</x:f>
        <x:v>174.8</x:v>
      </x:c>
      <x:c r="J321" s="13" t="n">
        <x:f>D321/F321</x:f>
        <x:v>1.1119030648610122</x:v>
      </x:c>
      <x:c r="K321" s="13" t="n">
        <x:v>0.41407473225117397</x:v>
      </x:c>
      <x:c r="L321" s="17" t="n">
        <x:v>0.31088079743669295</x:v>
      </x:c>
      <x:c r="M321" s="17" t="n">
        <x:v>7.995204898259227</x:v>
      </x:c>
      <x:c r="N321" s="11" t="n">
        <x:f>'Option source'!C347</x:f>
        <x:v>101308856</x:v>
      </x:c>
      <x:c r="O321" s="11" t="n">
        <x:f>'Option source'!G347</x:f>
        <x:v>140</x:v>
      </x:c>
      <x:c r="P321" s="11" t="n">
        <x:f>'Option source'!F347</x:f>
        <x:v>187.5</x:v>
      </x:c>
      <x:c r="Q321" s="1" t="str">
        <x:v>Screen passed; indicative</x:v>
      </x:c>
      <x:c r="R321" s="1" t="n">
        <x:v>342</x:v>
      </x:c>
    </x:row>
    <x:row r="322" ht="21" customHeight="1">
      <x:c r="A322" s="12" t="n">
        <x:v>46273</x:v>
      </x:c>
      <x:c r="B322" s="1" t="str">
        <x:v>GFGV7800OC</x:v>
      </x:c>
      <x:c r="C322" s="1" t="str">
        <x:v>put</x:v>
      </x:c>
      <x:c r="D322" s="11" t="n">
        <x:v>7800</x:v>
      </x:c>
      <x:c r="E322" s="11" t="n">
        <x:f>'Option source'!B841</x:f>
        <x:v>780</x:v>
      </x:c>
      <x:c r="F322" s="11" t="n">
        <x:v>7015</x:v>
      </x:c>
      <x:c r="G322" s="18" t="n">
        <x:v>38</x:v>
      </x:c>
      <x:c r="H322" s="11" t="n">
        <x:f>MAX(IF(C322="call",F322-D322,D322-F322),0)</x:f>
        <x:v>785</x:v>
      </x:c>
      <x:c r="I322" s="11" t="n">
        <x:f>E322-H322</x:f>
        <x:v>-5</x:v>
      </x:c>
      <x:c r="J322" s="13" t="n">
        <x:f>D322/F322</x:f>
        <x:v>1.1119030648610122</x:v>
      </x:c>
      <x:c r="K322" s="13"/>
      <x:c r="L322" s="17"/>
      <x:c r="M322" s="17"/>
      <x:c r="N322" s="11" t="n">
        <x:f>'Option source'!C841</x:f>
        <x:v>0</x:v>
      </x:c>
      <x:c r="O322" s="11" t="n">
        <x:f>'Option source'!G841</x:f>
        <x:v>790</x:v>
      </x:c>
      <x:c r="P322" s="11" t="n">
        <x:f>'Option source'!F841</x:f>
        <x:v>790</x:v>
      </x:c>
      <x:c r="Q322" s="1" t="str">
        <x:v>Zero reported volume; Price outside daily range; Below intrinsic value</x:v>
      </x:c>
      <x:c r="R322" s="1" t="n">
        <x:v>836</x:v>
      </x:c>
    </x:row>
    <x:row r="323" ht="21" customHeight="1">
      <x:c r="A323" s="12" t="n">
        <x:v>46273</x:v>
      </x:c>
      <x:c r="B323" s="1" t="str">
        <x:v>GFGC6200OC</x:v>
      </x:c>
      <x:c r="C323" s="1" t="str">
        <x:v>call</x:v>
      </x:c>
      <x:c r="D323" s="11" t="n">
        <x:v>6200</x:v>
      </x:c>
      <x:c r="E323" s="11" t="n">
        <x:f>'Option source'!B195</x:f>
        <x:v>1065</x:v>
      </x:c>
      <x:c r="F323" s="11" t="n">
        <x:v>7015</x:v>
      </x:c>
      <x:c r="G323" s="18" t="n">
        <x:v>38</x:v>
      </x:c>
      <x:c r="H323" s="11" t="n">
        <x:f>MAX(IF(C323="call",F323-D323,D323-F323),0)</x:f>
        <x:v>815</x:v>
      </x:c>
      <x:c r="I323" s="11" t="n">
        <x:f>E323-H323</x:f>
        <x:v>250</x:v>
      </x:c>
      <x:c r="J323" s="13" t="n">
        <x:f>D323/F323</x:f>
        <x:v>0.8838203848895224</x:v>
      </x:c>
      <x:c r="K323" s="13" t="n">
        <x:v>0.4288156233073945</x:v>
      </x:c>
      <x:c r="L323" s="17" t="n">
        <x:v>0.8824872417180116</x:v>
      </x:c>
      <x:c r="M323" s="17" t="n">
        <x:v>4.461337773008748</x:v>
      </x:c>
      <x:c r="N323" s="11" t="n">
        <x:f>'Option source'!C195</x:f>
        <x:v>2420717.5</x:v>
      </x:c>
      <x:c r="O323" s="11" t="n">
        <x:f>'Option source'!G195</x:f>
        <x:v>980</x:v>
      </x:c>
      <x:c r="P323" s="11" t="n">
        <x:f>'Option source'!F195</x:f>
        <x:v>1065</x:v>
      </x:c>
      <x:c r="Q323" s="1" t="str">
        <x:v>Screen passed; indicative</x:v>
      </x:c>
      <x:c r="R323" s="1" t="n">
        <x:v>190</x:v>
      </x:c>
    </x:row>
    <x:row r="324" ht="21" customHeight="1">
      <x:c r="A324" s="12" t="n">
        <x:v>46273</x:v>
      </x:c>
      <x:c r="B324" s="1" t="str">
        <x:v>GFGV6200OC</x:v>
      </x:c>
      <x:c r="C324" s="1" t="str">
        <x:v>put</x:v>
      </x:c>
      <x:c r="D324" s="11" t="n">
        <x:v>6200</x:v>
      </x:c>
      <x:c r="E324" s="11" t="n">
        <x:f>'Option source'!B689</x:f>
        <x:v>68.23</x:v>
      </x:c>
      <x:c r="F324" s="11" t="n">
        <x:v>7015</x:v>
      </x:c>
      <x:c r="G324" s="18" t="n">
        <x:v>38</x:v>
      </x:c>
      <x:c r="H324" s="11" t="n">
        <x:f>MAX(IF(C324="call",F324-D324,D324-F324),0)</x:f>
        <x:v>0</x:v>
      </x:c>
      <x:c r="I324" s="11" t="n">
        <x:f>E324-H324</x:f>
        <x:v>68.23</x:v>
      </x:c>
      <x:c r="J324" s="13" t="n">
        <x:f>D324/F324</x:f>
        <x:v>0.8838203848895224</x:v>
      </x:c>
      <x:c r="K324" s="13" t="n">
        <x:v>0.4416862747912171</x:v>
      </x:c>
      <x:c r="L324" s="17" t="n">
        <x:v>-0.12363597810376281</x:v>
      </x:c>
      <x:c r="M324" s="17" t="n">
        <x:v>4.6237960886862535</x:v>
      </x:c>
      <x:c r="N324" s="11" t="n">
        <x:f>'Option source'!C689</x:f>
        <x:v>21542124</x:v>
      </x:c>
      <x:c r="O324" s="11" t="n">
        <x:f>'Option source'!G689</x:f>
        <x:v>67</x:v>
      </x:c>
      <x:c r="P324" s="11" t="n">
        <x:f>'Option source'!F689</x:f>
        <x:v>85.9</x:v>
      </x:c>
      <x:c r="Q324" s="1" t="str">
        <x:v>Screen passed; indicative</x:v>
      </x:c>
      <x:c r="R324" s="1" t="n">
        <x:v>684</x:v>
      </x:c>
    </x:row>
    <x:row r="325" ht="21" customHeight="1">
      <x:c r="A325" s="12" t="n">
        <x:v>46273</x:v>
      </x:c>
      <x:c r="B325" s="1" t="str">
        <x:v>GFGC8000OC</x:v>
      </x:c>
      <x:c r="C325" s="1" t="str">
        <x:v>call</x:v>
      </x:c>
      <x:c r="D325" s="11" t="n">
        <x:v>8000</x:v>
      </x:c>
      <x:c r="E325" s="11" t="n">
        <x:f>'Option source'!B366</x:f>
        <x:v>128.68</x:v>
      </x:c>
      <x:c r="F325" s="11" t="n">
        <x:v>7015</x:v>
      </x:c>
      <x:c r="G325" s="18" t="n">
        <x:v>38</x:v>
      </x:c>
      <x:c r="H325" s="11" t="n">
        <x:f>MAX(IF(C325="call",F325-D325,D325-F325),0)</x:f>
        <x:v>0</x:v>
      </x:c>
      <x:c r="I325" s="11" t="n">
        <x:f>E325-H325</x:f>
        <x:v>128.68</x:v>
      </x:c>
      <x:c r="J325" s="13" t="n">
        <x:f>D325/F325</x:f>
        <x:v>1.1404133998574484</x:v>
      </x:c>
      <x:c r="K325" s="13" t="n">
        <x:v>0.4134048198413703</x:v>
      </x:c>
      <x:c r="L325" s="17" t="n">
        <x:v>0.24693233946669815</x:v>
      </x:c>
      <x:c r="M325" s="17" t="n">
        <x:v>7.145579932522351</x:v>
      </x:c>
      <x:c r="N325" s="11" t="n">
        <x:f>'Option source'!C366</x:f>
        <x:v>364902048</x:v>
      </x:c>
      <x:c r="O325" s="11" t="n">
        <x:f>'Option source'!G366</x:f>
        <x:v>108</x:v>
      </x:c>
      <x:c r="P325" s="11" t="n">
        <x:f>'Option source'!F366</x:f>
        <x:v>145</x:v>
      </x:c>
      <x:c r="Q325" s="1" t="str">
        <x:v>Screen passed; indicative</x:v>
      </x:c>
      <x:c r="R325" s="1" t="n">
        <x:v>361</x:v>
      </x:c>
    </x:row>
    <x:row r="326" ht="21" customHeight="1">
      <x:c r="A326" s="12" t="n">
        <x:v>46273</x:v>
      </x:c>
      <x:c r="B326" s="1" t="str">
        <x:v>GFGV8000OC</x:v>
      </x:c>
      <x:c r="C326" s="1" t="str">
        <x:v>put</x:v>
      </x:c>
      <x:c r="D326" s="11" t="n">
        <x:v>8000</x:v>
      </x:c>
      <x:c r="E326" s="11" t="n">
        <x:f>'Option source'!B860</x:f>
        <x:v>960</x:v>
      </x:c>
      <x:c r="F326" s="11" t="n">
        <x:v>7015</x:v>
      </x:c>
      <x:c r="G326" s="18" t="n">
        <x:v>38</x:v>
      </x:c>
      <x:c r="H326" s="11" t="n">
        <x:f>MAX(IF(C326="call",F326-D326,D326-F326),0)</x:f>
        <x:v>985</x:v>
      </x:c>
      <x:c r="I326" s="11" t="n">
        <x:f>E326-H326</x:f>
        <x:v>-25</x:v>
      </x:c>
      <x:c r="J326" s="13" t="n">
        <x:f>D326/F326</x:f>
        <x:v>1.1404133998574484</x:v>
      </x:c>
      <x:c r="K326" s="13"/>
      <x:c r="L326" s="17"/>
      <x:c r="M326" s="17"/>
      <x:c r="N326" s="11" t="n">
        <x:f>'Option source'!C860</x:f>
        <x:v>498793</x:v>
      </x:c>
      <x:c r="O326" s="11" t="n">
        <x:f>'Option source'!G860</x:f>
        <x:v>947.93</x:v>
      </x:c>
      <x:c r="P326" s="11" t="n">
        <x:f>'Option source'!F860</x:f>
        <x:v>1100</x:v>
      </x:c>
      <x:c r="Q326" s="1" t="str">
        <x:v>Below intrinsic value</x:v>
      </x:c>
      <x:c r="R326" s="1" t="n">
        <x:v>855</x:v>
      </x:c>
    </x:row>
    <x:row r="327" ht="21" customHeight="1">
      <x:c r="A327" s="12" t="n">
        <x:v>46273</x:v>
      </x:c>
      <x:c r="B327" s="1" t="str">
        <x:v>GFGC6000OC</x:v>
      </x:c>
      <x:c r="C327" s="1" t="str">
        <x:v>call</x:v>
      </x:c>
      <x:c r="D327" s="11" t="n">
        <x:v>6000</x:v>
      </x:c>
      <x:c r="E327" s="11" t="n">
        <x:f>'Option source'!B176</x:f>
        <x:v>1200</x:v>
      </x:c>
      <x:c r="F327" s="11" t="n">
        <x:v>7015</x:v>
      </x:c>
      <x:c r="G327" s="18" t="n">
        <x:v>38</x:v>
      </x:c>
      <x:c r="H327" s="11" t="n">
        <x:f>MAX(IF(C327="call",F327-D327,D327-F327),0)</x:f>
        <x:v>1015</x:v>
      </x:c>
      <x:c r="I327" s="11" t="n">
        <x:f>E327-H327</x:f>
        <x:v>185</x:v>
      </x:c>
      <x:c r="J327" s="13" t="n">
        <x:f>D327/F327</x:f>
        <x:v>0.8553100498930862</x:v>
      </x:c>
      <x:c r="K327" s="13" t="n">
        <x:v>0.216571663398199</x:v>
      </x:c>
      <x:c r="L327" s="17" t="n">
        <x:v>0.9967209908775425</x:v>
      </x:c>
      <x:c r="M327" s="17" t="n">
        <x:v>0.22434762966019461</x:v>
      </x:c>
      <x:c r="N327" s="11" t="n">
        <x:f>'Option source'!C176</x:f>
        <x:v>1927000</x:v>
      </x:c>
      <x:c r="O327" s="11" t="n">
        <x:f>'Option source'!G176</x:f>
        <x:v>1200</x:v>
      </x:c>
      <x:c r="P327" s="11" t="n">
        <x:f>'Option source'!F176</x:f>
        <x:v>1210</x:v>
      </x:c>
      <x:c r="Q327" s="1" t="str">
        <x:v>Screen passed; indicative</x:v>
      </x:c>
      <x:c r="R327" s="1" t="n">
        <x:v>171</x:v>
      </x:c>
    </x:row>
    <x:row r="328" ht="21" customHeight="1">
      <x:c r="A328" s="12" t="n">
        <x:v>46273</x:v>
      </x:c>
      <x:c r="B328" s="1" t="str">
        <x:v>GFGV6000OC</x:v>
      </x:c>
      <x:c r="C328" s="1" t="str">
        <x:v>put</x:v>
      </x:c>
      <x:c r="D328" s="11" t="n">
        <x:v>6000</x:v>
      </x:c>
      <x:c r="E328" s="11" t="n">
        <x:f>'Option source'!B670</x:f>
        <x:v>42.06</x:v>
      </x:c>
      <x:c r="F328" s="11" t="n">
        <x:v>7015</x:v>
      </x:c>
      <x:c r="G328" s="18" t="n">
        <x:v>38</x:v>
      </x:c>
      <x:c r="H328" s="11" t="n">
        <x:f>MAX(IF(C328="call",F328-D328,D328-F328),0)</x:f>
        <x:v>0</x:v>
      </x:c>
      <x:c r="I328" s="11" t="n">
        <x:f>E328-H328</x:f>
        <x:v>42.06</x:v>
      </x:c>
      <x:c r="J328" s="13" t="n">
        <x:f>D328/F328</x:f>
        <x:v>0.8553100498930862</x:v>
      </x:c>
      <x:c r="K328" s="13" t="n">
        <x:v>0.4424480292813595</x:v>
      </x:c>
      <x:c r="L328" s="17" t="n">
        <x:v>-0.08303556840006676</x:v>
      </x:c>
      <x:c r="M328" s="17" t="n">
        <x:v>3.4608483038548905</x:v>
      </x:c>
      <x:c r="N328" s="11" t="n">
        <x:f>'Option source'!C670</x:f>
        <x:v>20004866</x:v>
      </x:c>
      <x:c r="O328" s="11" t="n">
        <x:f>'Option source'!G670</x:f>
        <x:v>40</x:v>
      </x:c>
      <x:c r="P328" s="11" t="n">
        <x:f>'Option source'!F670</x:f>
        <x:v>52.99</x:v>
      </x:c>
      <x:c r="Q328" s="1" t="str">
        <x:v>Screen passed; indicative</x:v>
      </x:c>
      <x:c r="R328" s="1" t="n">
        <x:v>665</x:v>
      </x:c>
    </x:row>
    <x:row r="329" ht="21" customHeight="1">
      <x:c r="A329" s="12" t="n">
        <x:v>46273</x:v>
      </x:c>
      <x:c r="B329" s="1" t="str">
        <x:v>GFGC5800OC</x:v>
      </x:c>
      <x:c r="C329" s="1" t="str">
        <x:v>call</x:v>
      </x:c>
      <x:c r="D329" s="11" t="n">
        <x:v>5800</x:v>
      </x:c>
      <x:c r="E329" s="11" t="n">
        <x:f>'Option source'!B157</x:f>
        <x:v>1310</x:v>
      </x:c>
      <x:c r="F329" s="11" t="n">
        <x:v>7015</x:v>
      </x:c>
      <x:c r="G329" s="18" t="n">
        <x:v>38</x:v>
      </x:c>
      <x:c r="H329" s="11" t="n">
        <x:f>MAX(IF(C329="call",F329-D329,D329-F329),0)</x:f>
        <x:v>1215</x:v>
      </x:c>
      <x:c r="I329" s="11" t="n">
        <x:f>E329-H329</x:f>
        <x:v>95</x:v>
      </x:c>
      <x:c r="J329" s="13" t="n">
        <x:f>D329/F329</x:f>
        <x:v>0.82679971489665</x:v>
      </x:c>
      <x:c r="K329" s="13"/>
      <x:c r="L329" s="17"/>
      <x:c r="M329" s="17"/>
      <x:c r="N329" s="11" t="n">
        <x:f>'Option source'!C157</x:f>
        <x:v>776913.62</x:v>
      </x:c>
      <x:c r="O329" s="11" t="n">
        <x:f>'Option source'!G157</x:f>
        <x:v>1277.08</x:v>
      </x:c>
      <x:c r="P329" s="11" t="n">
        <x:f>'Option source'!F157</x:f>
        <x:v>1310</x:v>
      </x:c>
      <x:c r="Q329" s="1" t="str">
        <x:v>No stable model IV</x:v>
      </x:c>
      <x:c r="R329" s="1" t="n">
        <x:v>152</x:v>
      </x:c>
    </x:row>
    <x:row r="330" ht="21" customHeight="1">
      <x:c r="A330" s="12" t="n">
        <x:v>46273</x:v>
      </x:c>
      <x:c r="B330" s="1" t="str">
        <x:v>GFGV5800OC</x:v>
      </x:c>
      <x:c r="C330" s="1" t="str">
        <x:v>put</x:v>
      </x:c>
      <x:c r="D330" s="11" t="n">
        <x:v>5800</x:v>
      </x:c>
      <x:c r="E330" s="11" t="n">
        <x:f>'Option source'!B651</x:f>
        <x:v>23.9</x:v>
      </x:c>
      <x:c r="F330" s="11" t="n">
        <x:v>7015</x:v>
      </x:c>
      <x:c r="G330" s="18" t="n">
        <x:v>38</x:v>
      </x:c>
      <x:c r="H330" s="11" t="n">
        <x:f>MAX(IF(C330="call",F330-D330,D330-F330),0)</x:f>
        <x:v>0</x:v>
      </x:c>
      <x:c r="I330" s="11" t="n">
        <x:f>E330-H330</x:f>
        <x:v>23.9</x:v>
      </x:c>
      <x:c r="J330" s="13" t="n">
        <x:f>D330/F330</x:f>
        <x:v>0.82679971489665</x:v>
      </x:c>
      <x:c r="K330" s="13" t="n">
        <x:v>0.44090596587573005</x:v>
      </x:c>
      <x:c r="L330" s="17" t="n">
        <x:v>-0.05180628382206165</x:v>
      </x:c>
      <x:c r="M330" s="17" t="n">
        <x:v>2.401329566772922</x:v>
      </x:c>
      <x:c r="N330" s="11" t="n">
        <x:f>'Option source'!C651</x:f>
        <x:v>8513327</x:v>
      </x:c>
      <x:c r="O330" s="11" t="n">
        <x:f>'Option source'!G651</x:f>
        <x:v>22.16</x:v>
      </x:c>
      <x:c r="P330" s="11" t="n">
        <x:f>'Option source'!F651</x:f>
        <x:v>30</x:v>
      </x:c>
      <x:c r="Q330" s="1" t="str">
        <x:v>Screen passed; indicative</x:v>
      </x:c>
      <x:c r="R330" s="1" t="n">
        <x:v>646</x:v>
      </x:c>
    </x:row>
    <x:row r="331" ht="21" customHeight="1">
      <x:c r="A331" s="12" t="n">
        <x:v>46273</x:v>
      </x:c>
      <x:c r="B331" s="1" t="str">
        <x:v>GFGC8300OC</x:v>
      </x:c>
      <x:c r="C331" s="1" t="str">
        <x:v>call</x:v>
      </x:c>
      <x:c r="D331" s="11" t="n">
        <x:v>8300</x:v>
      </x:c>
      <x:c r="E331" s="11" t="n">
        <x:f>'Option source'!B385</x:f>
        <x:v>81.94</x:v>
      </x:c>
      <x:c r="F331" s="11" t="n">
        <x:v>7015</x:v>
      </x:c>
      <x:c r="G331" s="18" t="n">
        <x:v>38</x:v>
      </x:c>
      <x:c r="H331" s="11" t="n">
        <x:f>MAX(IF(C331="call",F331-D331,D331-F331),0)</x:f>
        <x:v>0</x:v>
      </x:c>
      <x:c r="I331" s="11" t="n">
        <x:f>E331-H331</x:f>
        <x:v>81.94</x:v>
      </x:c>
      <x:c r="J331" s="13" t="n">
        <x:f>D331/F331</x:f>
        <x:v>1.1831789023521027</x:v>
      </x:c>
      <x:c r="K331" s="13" t="n">
        <x:v>0.4182037196716149</x:v>
      </x:c>
      <x:c r="L331" s="17" t="n">
        <x:v>0.1716648948245697</x:v>
      </x:c>
      <x:c r="M331" s="17" t="n">
        <x:v>5.763601779102653</x:v>
      </x:c>
      <x:c r="N331" s="11" t="n">
        <x:f>'Option source'!C385</x:f>
        <x:v>47876372</x:v>
      </x:c>
      <x:c r="O331" s="11" t="n">
        <x:f>'Option source'!G385</x:f>
        <x:v>67</x:v>
      </x:c>
      <x:c r="P331" s="11" t="n">
        <x:f>'Option source'!F385</x:f>
        <x:v>92</x:v>
      </x:c>
      <x:c r="Q331" s="1" t="str">
        <x:v>Screen passed; indicative</x:v>
      </x:c>
      <x:c r="R331" s="1" t="n">
        <x:v>380</x:v>
      </x:c>
    </x:row>
    <x:row r="332" ht="21" customHeight="1">
      <x:c r="A332" s="12" t="n">
        <x:v>46273</x:v>
      </x:c>
      <x:c r="B332" s="1" t="str">
        <x:v>GFGV8300OC</x:v>
      </x:c>
      <x:c r="C332" s="1" t="str">
        <x:v>put</x:v>
      </x:c>
      <x:c r="D332" s="11" t="n">
        <x:v>8300</x:v>
      </x:c>
      <x:c r="E332" s="11" t="n">
        <x:f>'Option source'!B879</x:f>
        <x:v>1350</x:v>
      </x:c>
      <x:c r="F332" s="11" t="n">
        <x:v>7015</x:v>
      </x:c>
      <x:c r="G332" s="18" t="n">
        <x:v>38</x:v>
      </x:c>
      <x:c r="H332" s="11" t="n">
        <x:f>MAX(IF(C332="call",F332-D332,D332-F332),0)</x:f>
        <x:v>1285</x:v>
      </x:c>
      <x:c r="I332" s="11" t="n">
        <x:f>E332-H332</x:f>
        <x:v>65</x:v>
      </x:c>
      <x:c r="J332" s="13" t="n">
        <x:f>D332/F332</x:f>
        <x:v>1.1831789023521027</x:v>
      </x:c>
      <x:c r="K332" s="13"/>
      <x:c r="L332" s="17"/>
      <x:c r="M332" s="17"/>
      <x:c r="N332" s="11" t="n">
        <x:f>'Option source'!C879</x:f>
        <x:v>0</x:v>
      </x:c>
      <x:c r="O332" s="11" t="n">
        <x:f>'Option source'!G879</x:f>
        <x:v>1350</x:v>
      </x:c>
      <x:c r="P332" s="11" t="n">
        <x:f>'Option source'!F879</x:f>
        <x:v>1350</x:v>
      </x:c>
      <x:c r="Q332" s="1" t="str">
        <x:v>Zero reported volume</x:v>
      </x:c>
      <x:c r="R332" s="1" t="n">
        <x:v>874</x:v>
      </x:c>
    </x:row>
    <x:row r="333" ht="21" customHeight="1">
      <x:c r="A333" s="12" t="n">
        <x:v>46273</x:v>
      </x:c>
      <x:c r="B333" s="1" t="str">
        <x:v>GFGC5600OC</x:v>
      </x:c>
      <x:c r="C333" s="1" t="str">
        <x:v>call</x:v>
      </x:c>
      <x:c r="D333" s="11" t="n">
        <x:v>5600</x:v>
      </x:c>
      <x:c r="E333" s="11" t="n">
        <x:f>'Option source'!B147</x:f>
        <x:v>1490</x:v>
      </x:c>
      <x:c r="F333" s="11" t="n">
        <x:v>7015</x:v>
      </x:c>
      <x:c r="G333" s="18" t="n">
        <x:v>38</x:v>
      </x:c>
      <x:c r="H333" s="11" t="n">
        <x:f>MAX(IF(C333="call",F333-D333,D333-F333),0)</x:f>
        <x:v>1415</x:v>
      </x:c>
      <x:c r="I333" s="11" t="n">
        <x:f>E333-H333</x:f>
        <x:v>75</x:v>
      </x:c>
      <x:c r="J333" s="13" t="n">
        <x:f>D333/F333</x:f>
        <x:v>0.7982893799002139</x:v>
      </x:c>
      <x:c r="K333" s="13"/>
      <x:c r="L333" s="17"/>
      <x:c r="M333" s="17"/>
      <x:c r="N333" s="11" t="n">
        <x:f>'Option source'!C147</x:f>
        <x:v>8490000</x:v>
      </x:c>
      <x:c r="O333" s="11" t="n">
        <x:f>'Option source'!G147</x:f>
        <x:v>1480</x:v>
      </x:c>
      <x:c r="P333" s="11" t="n">
        <x:f>'Option source'!F147</x:f>
        <x:v>1500</x:v>
      </x:c>
      <x:c r="Q333" s="1" t="str">
        <x:v>No stable model IV</x:v>
      </x:c>
      <x:c r="R333" s="1" t="n">
        <x:v>142</x:v>
      </x:c>
    </x:row>
    <x:row r="334" ht="21" customHeight="1">
      <x:c r="A334" s="12" t="n">
        <x:v>46273</x:v>
      </x:c>
      <x:c r="B334" s="1" t="str">
        <x:v>GFGV5600OC</x:v>
      </x:c>
      <x:c r="C334" s="1" t="str">
        <x:v>put</x:v>
      </x:c>
      <x:c r="D334" s="11" t="n">
        <x:v>5600</x:v>
      </x:c>
      <x:c r="E334" s="11" t="n">
        <x:f>'Option source'!B632</x:f>
        <x:v>13.29</x:v>
      </x:c>
      <x:c r="F334" s="11" t="n">
        <x:v>7015</x:v>
      </x:c>
      <x:c r="G334" s="18" t="n">
        <x:v>38</x:v>
      </x:c>
      <x:c r="H334" s="11" t="n">
        <x:f>MAX(IF(C334="call",F334-D334,D334-F334),0)</x:f>
        <x:v>0</x:v>
      </x:c>
      <x:c r="I334" s="11" t="n">
        <x:f>E334-H334</x:f>
        <x:v>13.29</x:v>
      </x:c>
      <x:c r="J334" s="13" t="n">
        <x:f>D334/F334</x:f>
        <x:v>0.7982893799002139</x:v>
      </x:c>
      <x:c r="K334" s="13" t="n">
        <x:v>0.4441234148360177</x:v>
      </x:c>
      <x:c r="L334" s="17" t="n">
        <x:v>-0.03132209701876487</x:v>
      </x:c>
      <x:c r="M334" s="17" t="n">
        <x:v>1.5960988969764072</x:v>
      </x:c>
      <x:c r="N334" s="11" t="n">
        <x:f>'Option source'!C632</x:f>
        <x:v>3739372.25</x:v>
      </x:c>
      <x:c r="O334" s="11" t="n">
        <x:f>'Option source'!G632</x:f>
        <x:v>12.1</x:v>
      </x:c>
      <x:c r="P334" s="11" t="n">
        <x:f>'Option source'!F632</x:f>
        <x:v>17.1</x:v>
      </x:c>
      <x:c r="Q334" s="1" t="str">
        <x:v>Screen passed; indicative</x:v>
      </x:c>
      <x:c r="R334" s="1" t="n">
        <x:v>627</x:v>
      </x:c>
    </x:row>
    <x:row r="335" ht="21" customHeight="1">
      <x:c r="A335" s="12" t="n">
        <x:v>46273</x:v>
      </x:c>
      <x:c r="B335" s="1" t="str">
        <x:v>GFGC8600OC</x:v>
      </x:c>
      <x:c r="C335" s="1" t="str">
        <x:v>call</x:v>
      </x:c>
      <x:c r="D335" s="11" t="n">
        <x:v>8600</x:v>
      </x:c>
      <x:c r="E335" s="11" t="n">
        <x:f>'Option source'!B404</x:f>
        <x:v>51.36</x:v>
      </x:c>
      <x:c r="F335" s="11" t="n">
        <x:v>7015</x:v>
      </x:c>
      <x:c r="G335" s="18" t="n">
        <x:v>38</x:v>
      </x:c>
      <x:c r="H335" s="11" t="n">
        <x:f>MAX(IF(C335="call",F335-D335,D335-F335),0)</x:f>
        <x:v>0</x:v>
      </x:c>
      <x:c r="I335" s="11" t="n">
        <x:f>E335-H335</x:f>
        <x:v>51.36</x:v>
      </x:c>
      <x:c r="J335" s="13" t="n">
        <x:f>D335/F335</x:f>
        <x:v>1.225944404846757</x:v>
      </x:c>
      <x:c r="K335" s="13" t="n">
        <x:v>0.4233164264520079</x:v>
      </x:c>
      <x:c r="L335" s="17" t="n">
        <x:v>0.11614555962349615</x:v>
      </x:c>
      <x:c r="M335" s="17" t="n">
        <x:v>4.424481373395184</x:v>
      </x:c>
      <x:c r="N335" s="11" t="n">
        <x:f>'Option source'!C404</x:f>
        <x:v>44179408</x:v>
      </x:c>
      <x:c r="O335" s="11" t="n">
        <x:f>'Option source'!G404</x:f>
        <x:v>38.1</x:v>
      </x:c>
      <x:c r="P335" s="11" t="n">
        <x:f>'Option source'!F404</x:f>
        <x:v>55</x:v>
      </x:c>
      <x:c r="Q335" s="1" t="str">
        <x:v>Screen passed; indicative</x:v>
      </x:c>
      <x:c r="R335" s="1" t="n">
        <x:v>399</x:v>
      </x:c>
    </x:row>
    <x:row r="336" ht="21" customHeight="1">
      <x:c r="A336" s="12" t="n">
        <x:v>46273</x:v>
      </x:c>
      <x:c r="B336" s="1" t="str">
        <x:v>GFGV8600OC</x:v>
      </x:c>
      <x:c r="C336" s="1" t="str">
        <x:v>put</x:v>
      </x:c>
      <x:c r="D336" s="11" t="n">
        <x:v>8600</x:v>
      </x:c>
      <x:c r="E336" s="11" t="n">
        <x:f>'Option source'!B898</x:f>
        <x:v>1463.59</x:v>
      </x:c>
      <x:c r="F336" s="11" t="n">
        <x:v>7015</x:v>
      </x:c>
      <x:c r="G336" s="18" t="n">
        <x:v>38</x:v>
      </x:c>
      <x:c r="H336" s="11" t="n">
        <x:f>MAX(IF(C336="call",F336-D336,D336-F336),0)</x:f>
        <x:v>1585</x:v>
      </x:c>
      <x:c r="I336" s="11" t="n">
        <x:f>E336-H336</x:f>
        <x:v>-121.41000000000008</x:v>
      </x:c>
      <x:c r="J336" s="13" t="n">
        <x:f>D336/F336</x:f>
        <x:v>1.225944404846757</x:v>
      </x:c>
      <x:c r="K336" s="13"/>
      <x:c r="L336" s="17"/>
      <x:c r="M336" s="17"/>
      <x:c r="N336" s="11" t="n">
        <x:f>'Option source'!C898</x:f>
        <x:v>876669</x:v>
      </x:c>
      <x:c r="O336" s="11" t="n">
        <x:f>'Option source'!G898</x:f>
        <x:v>1452.64</x:v>
      </x:c>
      <x:c r="P336" s="11" t="n">
        <x:f>'Option source'!F898</x:f>
        <x:v>1463.59</x:v>
      </x:c>
      <x:c r="Q336" s="1" t="str">
        <x:v>Below intrinsic value</x:v>
      </x:c>
      <x:c r="R336" s="1" t="n">
        <x:v>893</x:v>
      </x:c>
    </x:row>
    <x:row r="337" ht="21" customHeight="1">
      <x:c r="A337" s="12" t="n">
        <x:v>46273</x:v>
      </x:c>
      <x:c r="B337" s="1" t="str">
        <x:v>GFGC5400OC</x:v>
      </x:c>
      <x:c r="C337" s="1" t="str">
        <x:v>call</x:v>
      </x:c>
      <x:c r="D337" s="11" t="n">
        <x:v>5400</x:v>
      </x:c>
      <x:c r="E337" s="11" t="n">
        <x:f>'Option source'!B129</x:f>
        <x:v>1636.72</x:v>
      </x:c>
      <x:c r="F337" s="11" t="n">
        <x:v>7015</x:v>
      </x:c>
      <x:c r="G337" s="18" t="n">
        <x:v>38</x:v>
      </x:c>
      <x:c r="H337" s="11" t="n">
        <x:f>MAX(IF(C337="call",F337-D337,D337-F337),0)</x:f>
        <x:v>1615</x:v>
      </x:c>
      <x:c r="I337" s="11" t="n">
        <x:f>E337-H337</x:f>
        <x:v>21.720000000000027</x:v>
      </x:c>
      <x:c r="J337" s="13" t="n">
        <x:f>D337/F337</x:f>
        <x:v>0.7697790449037776</x:v>
      </x:c>
      <x:c r="K337" s="13"/>
      <x:c r="L337" s="17"/>
      <x:c r="M337" s="17"/>
      <x:c r="N337" s="11" t="n">
        <x:f>'Option source'!C129</x:f>
        <x:v>0</x:v>
      </x:c>
      <x:c r="O337" s="11" t="n">
        <x:f>'Option source'!G129</x:f>
        <x:v>1705.98</x:v>
      </x:c>
      <x:c r="P337" s="11" t="n">
        <x:f>'Option source'!F129</x:f>
        <x:v>1901.18</x:v>
      </x:c>
      <x:c r="Q337" s="1" t="str">
        <x:v>Zero reported volume; Price outside daily range</x:v>
      </x:c>
      <x:c r="R337" s="1" t="n">
        <x:v>124</x:v>
      </x:c>
    </x:row>
    <x:row r="338" ht="21" customHeight="1">
      <x:c r="A338" s="12" t="n">
        <x:v>46273</x:v>
      </x:c>
      <x:c r="B338" s="1" t="str">
        <x:v>GFGV5400OC</x:v>
      </x:c>
      <x:c r="C338" s="1" t="str">
        <x:v>put</x:v>
      </x:c>
      <x:c r="D338" s="11" t="n">
        <x:v>5400</x:v>
      </x:c>
      <x:c r="E338" s="11" t="n">
        <x:f>'Option source'!B613</x:f>
        <x:v>7.99</x:v>
      </x:c>
      <x:c r="F338" s="11" t="n">
        <x:v>7015</x:v>
      </x:c>
      <x:c r="G338" s="18" t="n">
        <x:v>38</x:v>
      </x:c>
      <x:c r="H338" s="11" t="n">
        <x:f>MAX(IF(C338="call",F338-D338,D338-F338),0)</x:f>
        <x:v>0</x:v>
      </x:c>
      <x:c r="I338" s="11" t="n">
        <x:f>E338-H338</x:f>
        <x:v>7.99</x:v>
      </x:c>
      <x:c r="J338" s="13" t="n">
        <x:f>D338/F338</x:f>
        <x:v>0.7697790449037776</x:v>
      </x:c>
      <x:c r="K338" s="13" t="n">
        <x:v>0.45596659757802355</x:v>
      </x:c>
      <x:c r="L338" s="17" t="n">
        <x:v>-0.019493793521219493</x:v>
      </x:c>
      <x:c r="M338" s="17" t="n">
        <x:v>1.07233394081868</x:v>
      </x:c>
      <x:c r="N338" s="11" t="n">
        <x:f>'Option source'!C613</x:f>
        <x:v>565793.62</x:v>
      </x:c>
      <x:c r="O338" s="11" t="n">
        <x:f>'Option source'!G613</x:f>
        <x:v>6.8</x:v>
      </x:c>
      <x:c r="P338" s="11" t="n">
        <x:f>'Option source'!F613</x:f>
        <x:v>9.99</x:v>
      </x:c>
      <x:c r="Q338" s="1" t="str">
        <x:v>Screen passed; indicative</x:v>
      </x:c>
      <x:c r="R338" s="1" t="n">
        <x:v>608</x:v>
      </x:c>
    </x:row>
    <x:row r="339" ht="21" customHeight="1">
      <x:c r="A339" s="12" t="n">
        <x:v>46273</x:v>
      </x:c>
      <x:c r="B339" s="1" t="str">
        <x:v>GFGC5200OC</x:v>
      </x:c>
      <x:c r="C339" s="1" t="str">
        <x:v>call</x:v>
      </x:c>
      <x:c r="D339" s="11" t="n">
        <x:v>5200</x:v>
      </x:c>
      <x:c r="E339" s="11" t="n">
        <x:f>'Option source'!B110</x:f>
        <x:v>1880.26</x:v>
      </x:c>
      <x:c r="F339" s="11" t="n">
        <x:v>7015</x:v>
      </x:c>
      <x:c r="G339" s="18" t="n">
        <x:v>38</x:v>
      </x:c>
      <x:c r="H339" s="11" t="n">
        <x:f>MAX(IF(C339="call",F339-D339,D339-F339),0)</x:f>
        <x:v>1815</x:v>
      </x:c>
      <x:c r="I339" s="11" t="n">
        <x:f>E339-H339</x:f>
        <x:v>65.25999999999999</x:v>
      </x:c>
      <x:c r="J339" s="13" t="n">
        <x:f>D339/F339</x:f>
        <x:v>0.7412687099073414</x:v>
      </x:c>
      <x:c r="K339" s="13"/>
      <x:c r="L339" s="17"/>
      <x:c r="M339" s="17"/>
      <x:c r="N339" s="11" t="n">
        <x:f>'Option source'!C110</x:f>
        <x:v>0</x:v>
      </x:c>
      <x:c r="O339" s="11" t="n">
        <x:f>'Option source'!G110</x:f>
        <x:v>1840.52</x:v>
      </x:c>
      <x:c r="P339" s="11" t="n">
        <x:f>'Option source'!F110</x:f>
        <x:v>1925.73</x:v>
      </x:c>
      <x:c r="Q339" s="1" t="str">
        <x:v>Zero reported volume</x:v>
      </x:c>
      <x:c r="R339" s="1" t="n">
        <x:v>105</x:v>
      </x:c>
    </x:row>
    <x:row r="340" ht="21" customHeight="1">
      <x:c r="A340" s="12" t="n">
        <x:v>46273</x:v>
      </x:c>
      <x:c r="B340" s="1" t="str">
        <x:v>GFGV5200OC</x:v>
      </x:c>
      <x:c r="C340" s="1" t="str">
        <x:v>put</x:v>
      </x:c>
      <x:c r="D340" s="11" t="n">
        <x:v>5200</x:v>
      </x:c>
      <x:c r="E340" s="11" t="n">
        <x:f>'Option source'!B594</x:f>
        <x:v>4</x:v>
      </x:c>
      <x:c r="F340" s="11" t="n">
        <x:v>7015</x:v>
      </x:c>
      <x:c r="G340" s="18" t="n">
        <x:v>38</x:v>
      </x:c>
      <x:c r="H340" s="11" t="n">
        <x:f>MAX(IF(C340="call",F340-D340,D340-F340),0)</x:f>
        <x:v>0</x:v>
      </x:c>
      <x:c r="I340" s="11" t="n">
        <x:f>E340-H340</x:f>
        <x:v>4</x:v>
      </x:c>
      <x:c r="J340" s="13" t="n">
        <x:f>D340/F340</x:f>
        <x:v>0.7412687099073414</x:v>
      </x:c>
      <x:c r="K340" s="13" t="n">
        <x:v>0.45897024747574605</x:v>
      </x:c>
      <x:c r="L340" s="17" t="n">
        <x:v>-0.010538031994963615</x:v>
      </x:c>
      <x:c r="M340" s="17" t="n">
        <x:v>0.6314704369422496</x:v>
      </x:c>
      <x:c r="N340" s="11" t="n">
        <x:f>'Option source'!C594</x:f>
        <x:v>1499138.75</x:v>
      </x:c>
      <x:c r="O340" s="11" t="n">
        <x:f>'Option source'!G594</x:f>
        <x:v>3.1</x:v>
      </x:c>
      <x:c r="P340" s="11" t="n">
        <x:f>'Option source'!F594</x:f>
        <x:v>5.6</x:v>
      </x:c>
      <x:c r="Q340" s="1" t="str">
        <x:v>Screen passed; indicative</x:v>
      </x:c>
      <x:c r="R340" s="1" t="n">
        <x:v>589</x:v>
      </x:c>
    </x:row>
    <x:row r="341" ht="21" customHeight="1">
      <x:c r="A341" s="12" t="n">
        <x:v>46273</x:v>
      </x:c>
      <x:c r="B341" s="1" t="str">
        <x:v>GFGC8900OC</x:v>
      </x:c>
      <x:c r="C341" s="1" t="str">
        <x:v>call</x:v>
      </x:c>
      <x:c r="D341" s="11" t="n">
        <x:v>8900</x:v>
      </x:c>
      <x:c r="E341" s="11" t="n">
        <x:f>'Option source'!B423</x:f>
        <x:v>29.55</x:v>
      </x:c>
      <x:c r="F341" s="11" t="n">
        <x:v>7015</x:v>
      </x:c>
      <x:c r="G341" s="18" t="n">
        <x:v>38</x:v>
      </x:c>
      <x:c r="H341" s="11" t="n">
        <x:f>MAX(IF(C341="call",F341-D341,D341-F341),0)</x:f>
        <x:v>0</x:v>
      </x:c>
      <x:c r="I341" s="11" t="n">
        <x:f>E341-H341</x:f>
        <x:v>29.55</x:v>
      </x:c>
      <x:c r="J341" s="13" t="n">
        <x:f>D341/F341</x:f>
        <x:v>1.2687099073414112</x:v>
      </x:c>
      <x:c r="K341" s="13" t="n">
        <x:v>0.42151119712179413</x:v>
      </x:c>
      <x:c r="L341" s="17" t="n">
        <x:v>0.07320998208319549</x:v>
      </x:c>
      <x:c r="M341" s="17" t="n">
        <x:v>3.145469648012435</x:v>
      </x:c>
      <x:c r="N341" s="11" t="n">
        <x:f>'Option source'!C423</x:f>
        <x:v>16737050</x:v>
      </x:c>
      <x:c r="O341" s="11" t="n">
        <x:f>'Option source'!G423</x:f>
        <x:v>24.1</x:v>
      </x:c>
      <x:c r="P341" s="11" t="n">
        <x:f>'Option source'!F423</x:f>
        <x:v>37.98</x:v>
      </x:c>
      <x:c r="Q341" s="1" t="str">
        <x:v>Screen passed; indicative</x:v>
      </x:c>
      <x:c r="R341" s="1" t="n">
        <x:v>418</x:v>
      </x:c>
    </x:row>
    <x:row r="342" ht="21" customHeight="1">
      <x:c r="A342" s="12" t="n">
        <x:v>46273</x:v>
      </x:c>
      <x:c r="B342" s="1" t="str">
        <x:v>GFGV8900OC</x:v>
      </x:c>
      <x:c r="C342" s="1" t="str">
        <x:v>put</x:v>
      </x:c>
      <x:c r="D342" s="11" t="n">
        <x:v>8900</x:v>
      </x:c>
      <x:c r="E342" s="11" t="n">
        <x:f>'Option source'!B913</x:f>
        <x:v>2022.5</x:v>
      </x:c>
      <x:c r="F342" s="11" t="n">
        <x:v>7015</x:v>
      </x:c>
      <x:c r="G342" s="18" t="n">
        <x:v>38</x:v>
      </x:c>
      <x:c r="H342" s="11" t="n">
        <x:f>MAX(IF(C342="call",F342-D342,D342-F342),0)</x:f>
        <x:v>1885</x:v>
      </x:c>
      <x:c r="I342" s="11" t="n">
        <x:f>E342-H342</x:f>
        <x:v>137.5</x:v>
      </x:c>
      <x:c r="J342" s="13" t="n">
        <x:f>D342/F342</x:f>
        <x:v>1.2687099073414112</x:v>
      </x:c>
      <x:c r="K342" s="13"/>
      <x:c r="L342" s="17"/>
      <x:c r="M342" s="17"/>
      <x:c r="N342" s="11" t="n">
        <x:f>'Option source'!C913</x:f>
        <x:v>0</x:v>
      </x:c>
      <x:c r="O342" s="11" t="n">
        <x:f>'Option source'!G913</x:f>
        <x:v>2022.5</x:v>
      </x:c>
      <x:c r="P342" s="11" t="n">
        <x:f>'Option source'!F913</x:f>
        <x:v>2037.67</x:v>
      </x:c>
      <x:c r="Q342" s="1" t="str">
        <x:v>Zero reported volume</x:v>
      </x:c>
      <x:c r="R342" s="1" t="n">
        <x:v>908</x:v>
      </x:c>
    </x:row>
    <x:row r="343" ht="21" customHeight="1">
      <x:c r="A343" s="12" t="n">
        <x:v>46273</x:v>
      </x:c>
      <x:c r="B343" s="1" t="str">
        <x:v>GFGC5000OC</x:v>
      </x:c>
      <x:c r="C343" s="1" t="str">
        <x:v>call</x:v>
      </x:c>
      <x:c r="D343" s="11" t="n">
        <x:v>5000</x:v>
      </x:c>
      <x:c r="E343" s="11" t="n">
        <x:f>'Option source'!B91</x:f>
        <x:v>2094.25</x:v>
      </x:c>
      <x:c r="F343" s="11" t="n">
        <x:v>7015</x:v>
      </x:c>
      <x:c r="G343" s="18" t="n">
        <x:v>38</x:v>
      </x:c>
      <x:c r="H343" s="11" t="n">
        <x:f>MAX(IF(C343="call",F343-D343,D343-F343),0)</x:f>
        <x:v>2015</x:v>
      </x:c>
      <x:c r="I343" s="11" t="n">
        <x:f>E343-H343</x:f>
        <x:v>79.25</x:v>
      </x:c>
      <x:c r="J343" s="13" t="n">
        <x:f>D343/F343</x:f>
        <x:v>0.7127583749109052</x:v>
      </x:c>
      <x:c r="K343" s="13"/>
      <x:c r="L343" s="17"/>
      <x:c r="M343" s="17"/>
      <x:c r="N343" s="11" t="n">
        <x:f>'Option source'!C91</x:f>
        <x:v>0</x:v>
      </x:c>
      <x:c r="O343" s="11" t="n">
        <x:f>'Option source'!G91</x:f>
        <x:v>2035.2</x:v>
      </x:c>
      <x:c r="P343" s="11" t="n">
        <x:f>'Option source'!F91</x:f>
        <x:v>2110.38</x:v>
      </x:c>
      <x:c r="Q343" s="1" t="str">
        <x:v>Zero reported volume</x:v>
      </x:c>
      <x:c r="R343" s="1" t="n">
        <x:v>86</x:v>
      </x:c>
    </x:row>
    <x:row r="344" ht="21" customHeight="1">
      <x:c r="A344" s="12" t="n">
        <x:v>46273</x:v>
      </x:c>
      <x:c r="B344" s="1" t="str">
        <x:v>GFGV5000OC</x:v>
      </x:c>
      <x:c r="C344" s="1" t="str">
        <x:v>put</x:v>
      </x:c>
      <x:c r="D344" s="11" t="n">
        <x:v>5000</x:v>
      </x:c>
      <x:c r="E344" s="11" t="n">
        <x:f>'Option source'!B575</x:f>
        <x:v>2.32</x:v>
      </x:c>
      <x:c r="F344" s="11" t="n">
        <x:v>7015</x:v>
      </x:c>
      <x:c r="G344" s="18" t="n">
        <x:v>38</x:v>
      </x:c>
      <x:c r="H344" s="11" t="n">
        <x:f>MAX(IF(C344="call",F344-D344,D344-F344),0)</x:f>
        <x:v>0</x:v>
      </x:c>
      <x:c r="I344" s="11" t="n">
        <x:f>E344-H344</x:f>
        <x:v>2.32</x:v>
      </x:c>
      <x:c r="J344" s="13" t="n">
        <x:f>D344/F344</x:f>
        <x:v>0.7127583749109052</x:v>
      </x:c>
      <x:c r="K344" s="13" t="n">
        <x:v>0.473615845979546</x:v>
      </x:c>
      <x:c r="L344" s="17" t="n">
        <x:v>-0.0062695919321293925</x:v>
      </x:c>
      <x:c r="M344" s="17" t="n">
        <x:v>0.40013499547137144</x:v>
      </x:c>
      <x:c r="N344" s="11" t="n">
        <x:f>'Option source'!C575</x:f>
        <x:v>532717.81</x:v>
      </x:c>
      <x:c r="O344" s="11" t="n">
        <x:f>'Option source'!G575</x:f>
        <x:v>2.13</x:v>
      </x:c>
      <x:c r="P344" s="11" t="n">
        <x:f>'Option source'!F575</x:f>
        <x:v>3.5</x:v>
      </x:c>
      <x:c r="Q344" s="1" t="str">
        <x:v>Screen passed; indicative</x:v>
      </x:c>
      <x:c r="R344" s="1" t="n">
        <x:v>570</x:v>
      </x:c>
    </x:row>
    <x:row r="345" ht="21" customHeight="1">
      <x:c r="A345" s="12" t="n">
        <x:v>46273</x:v>
      </x:c>
      <x:c r="B345" s="1" t="str">
        <x:v>GFGC9200OC</x:v>
      </x:c>
      <x:c r="C345" s="1" t="str">
        <x:v>call</x:v>
      </x:c>
      <x:c r="D345" s="11" t="n">
        <x:v>9200</x:v>
      </x:c>
      <x:c r="E345" s="11" t="n">
        <x:f>'Option source'!B442</x:f>
        <x:v>17.97</x:v>
      </x:c>
      <x:c r="F345" s="11" t="n">
        <x:v>7015</x:v>
      </x:c>
      <x:c r="G345" s="18" t="n">
        <x:v>38</x:v>
      </x:c>
      <x:c r="H345" s="11" t="n">
        <x:f>MAX(IF(C345="call",F345-D345,D345-F345),0)</x:f>
        <x:v>0</x:v>
      </x:c>
      <x:c r="I345" s="11" t="n">
        <x:f>E345-H345</x:f>
        <x:v>17.97</x:v>
      </x:c>
      <x:c r="J345" s="13" t="n">
        <x:f>D345/F345</x:f>
        <x:v>1.3114754098360655</x:v>
      </x:c>
      <x:c r="K345" s="13" t="n">
        <x:v>0.42699164424209607</x:v>
      </x:c>
      <x:c r="L345" s="17" t="n">
        <x:v>0.047210387579440155</x:v>
      </x:c>
      <x:c r="M345" s="17" t="n">
        <x:v>2.2297091890710146</x:v>
      </x:c>
      <x:c r="N345" s="11" t="n">
        <x:f>'Option source'!C442</x:f>
        <x:v>3717689.5</x:v>
      </x:c>
      <x:c r="O345" s="11" t="n">
        <x:f>'Option source'!G442</x:f>
        <x:v>14.75</x:v>
      </x:c>
      <x:c r="P345" s="11" t="n">
        <x:f>'Option source'!F442</x:f>
        <x:v>20.99</x:v>
      </x:c>
      <x:c r="Q345" s="1" t="str">
        <x:v>Screen passed; indicative</x:v>
      </x:c>
      <x:c r="R345" s="1" t="n">
        <x:v>437</x:v>
      </x:c>
    </x:row>
    <x:row r="346" ht="21" customHeight="1">
      <x:c r="A346" s="12" t="n">
        <x:v>46273</x:v>
      </x:c>
      <x:c r="B346" s="1" t="str">
        <x:v>GFGV9200OC</x:v>
      </x:c>
      <x:c r="C346" s="1" t="str">
        <x:v>put</x:v>
      </x:c>
      <x:c r="D346" s="11" t="n">
        <x:v>9200</x:v>
      </x:c>
      <x:c r="E346" s="11" t="n">
        <x:f>'Option source'!B920</x:f>
        <x:v>2000</x:v>
      </x:c>
      <x:c r="F346" s="11" t="n">
        <x:v>7015</x:v>
      </x:c>
      <x:c r="G346" s="18" t="n">
        <x:v>38</x:v>
      </x:c>
      <x:c r="H346" s="11" t="n">
        <x:f>MAX(IF(C346="call",F346-D346,D346-F346),0)</x:f>
        <x:v>2185</x:v>
      </x:c>
      <x:c r="I346" s="11" t="n">
        <x:f>E346-H346</x:f>
        <x:v>-185</x:v>
      </x:c>
      <x:c r="J346" s="13" t="n">
        <x:f>D346/F346</x:f>
        <x:v>1.3114754098360655</x:v>
      </x:c>
      <x:c r="K346" s="13"/>
      <x:c r="L346" s="17"/>
      <x:c r="M346" s="17"/>
      <x:c r="N346" s="11" t="n">
        <x:f>'Option source'!C920</x:f>
        <x:v>200000</x:v>
      </x:c>
      <x:c r="O346" s="11" t="n">
        <x:f>'Option source'!G920</x:f>
        <x:v>0</x:v>
      </x:c>
      <x:c r="P346" s="11" t="n">
        <x:f>'Option source'!F920</x:f>
        <x:v>0</x:v>
      </x:c>
      <x:c r="Q346" s="1" t="str">
        <x:v>Price outside daily range; Below intrinsic value</x:v>
      </x:c>
      <x:c r="R346" s="1" t="n">
        <x:v>915</x:v>
      </x:c>
    </x:row>
    <x:row r="347" ht="21" customHeight="1">
      <x:c r="A347" s="12" t="n">
        <x:v>46273</x:v>
      </x:c>
      <x:c r="B347" s="1" t="str">
        <x:v>GFGC4800OC</x:v>
      </x:c>
      <x:c r="C347" s="1" t="str">
        <x:v>call</x:v>
      </x:c>
      <x:c r="D347" s="11" t="n">
        <x:v>4800</x:v>
      </x:c>
      <x:c r="E347" s="11" t="n">
        <x:f>'Option source'!B74</x:f>
        <x:v>2347.98</x:v>
      </x:c>
      <x:c r="F347" s="11" t="n">
        <x:v>7015</x:v>
      </x:c>
      <x:c r="G347" s="18" t="n">
        <x:v>38</x:v>
      </x:c>
      <x:c r="H347" s="11" t="n">
        <x:f>MAX(IF(C347="call",F347-D347,D347-F347),0)</x:f>
        <x:v>2215</x:v>
      </x:c>
      <x:c r="I347" s="11" t="n">
        <x:f>E347-H347</x:f>
        <x:v>132.98000000000002</x:v>
      </x:c>
      <x:c r="J347" s="13" t="n">
        <x:f>D347/F347</x:f>
        <x:v>0.684248039914469</x:v>
      </x:c>
      <x:c r="K347" s="13"/>
      <x:c r="L347" s="17"/>
      <x:c r="M347" s="17"/>
      <x:c r="N347" s="11" t="n">
        <x:f>'Option source'!C74</x:f>
        <x:v>4226358</x:v>
      </x:c>
      <x:c r="O347" s="11" t="n">
        <x:f>'Option source'!G74</x:f>
        <x:v>2343.55</x:v>
      </x:c>
      <x:c r="P347" s="11" t="n">
        <x:f>'Option source'!F74</x:f>
        <x:v>2353.51</x:v>
      </x:c>
      <x:c r="Q347" s="1" t="str">
        <x:v>No stable model IV</x:v>
      </x:c>
      <x:c r="R347" s="1" t="n">
        <x:v>69</x:v>
      </x:c>
    </x:row>
    <x:row r="348" ht="21" customHeight="1">
      <x:c r="A348" s="12" t="n">
        <x:v>46273</x:v>
      </x:c>
      <x:c r="B348" s="1" t="str">
        <x:v>GFGV4800OC</x:v>
      </x:c>
      <x:c r="C348" s="1" t="str">
        <x:v>put</x:v>
      </x:c>
      <x:c r="D348" s="11" t="n">
        <x:v>4800</x:v>
      </x:c>
      <x:c r="E348" s="11" t="n">
        <x:f>'Option source'!B556</x:f>
        <x:v>1.68</x:v>
      </x:c>
      <x:c r="F348" s="11" t="n">
        <x:v>7015</x:v>
      </x:c>
      <x:c r="G348" s="18" t="n">
        <x:v>38</x:v>
      </x:c>
      <x:c r="H348" s="11" t="n">
        <x:f>MAX(IF(C348="call",F348-D348,D348-F348),0)</x:f>
        <x:v>0</x:v>
      </x:c>
      <x:c r="I348" s="11" t="n">
        <x:f>E348-H348</x:f>
        <x:v>1.68</x:v>
      </x:c>
      <x:c r="J348" s="13" t="n">
        <x:f>D348/F348</x:f>
        <x:v>0.684248039914469</x:v>
      </x:c>
      <x:c r="K348" s="13" t="n">
        <x:v>0.501913576741098</x:v>
      </x:c>
      <x:c r="L348" s="17" t="n">
        <x:v>-0.004438165809976802</x:v>
      </x:c>
      <x:c r="M348" s="17" t="n">
        <x:v>0.2942783284024587</x:v>
      </x:c>
      <x:c r="N348" s="11" t="n">
        <x:f>'Option source'!C556</x:f>
        <x:v>117623.5</x:v>
      </x:c>
      <x:c r="O348" s="11" t="n">
        <x:f>'Option source'!G556</x:f>
        <x:v>1</x:v>
      </x:c>
      <x:c r="P348" s="11" t="n">
        <x:f>'Option source'!F556</x:f>
        <x:v>2.5</x:v>
      </x:c>
      <x:c r="Q348" s="1" t="str">
        <x:v>Screen passed; indicative</x:v>
      </x:c>
      <x:c r="R348" s="1" t="n">
        <x:v>551</x:v>
      </x:c>
    </x:row>
    <x:row r="349" ht="21" customHeight="1">
      <x:c r="A349" s="12" t="n">
        <x:v>46273</x:v>
      </x:c>
      <x:c r="B349" s="1" t="str">
        <x:v>GFGC4600OC</x:v>
      </x:c>
      <x:c r="C349" s="1" t="str">
        <x:v>call</x:v>
      </x:c>
      <x:c r="D349" s="11" t="n">
        <x:v>4600</x:v>
      </x:c>
      <x:c r="E349" s="11" t="n">
        <x:f>'Option source'!B57</x:f>
        <x:v>2453.9</x:v>
      </x:c>
      <x:c r="F349" s="11" t="n">
        <x:v>7015</x:v>
      </x:c>
      <x:c r="G349" s="18" t="n">
        <x:v>38</x:v>
      </x:c>
      <x:c r="H349" s="11" t="n">
        <x:f>MAX(IF(C349="call",F349-D349,D349-F349),0)</x:f>
        <x:v>2415</x:v>
      </x:c>
      <x:c r="I349" s="11" t="n">
        <x:f>E349-H349</x:f>
        <x:v>38.90000000000009</x:v>
      </x:c>
      <x:c r="J349" s="13" t="n">
        <x:f>D349/F349</x:f>
        <x:v>0.6557377049180327</x:v>
      </x:c>
      <x:c r="K349" s="13"/>
      <x:c r="L349" s="17"/>
      <x:c r="M349" s="17"/>
      <x:c r="N349" s="11" t="n">
        <x:f>'Option source'!C57</x:f>
        <x:v>2521660</x:v>
      </x:c>
      <x:c r="O349" s="11" t="n">
        <x:f>'Option source'!G57</x:f>
        <x:v>2453.9</x:v>
      </x:c>
      <x:c r="P349" s="11" t="n">
        <x:f>'Option source'!F57</x:f>
        <x:v>2538.6</x:v>
      </x:c>
      <x:c r="Q349" s="1" t="str">
        <x:v>No stable model IV</x:v>
      </x:c>
      <x:c r="R349" s="1" t="n">
        <x:v>52</x:v>
      </x:c>
    </x:row>
    <x:row r="350" ht="21" customHeight="1">
      <x:c r="A350" s="12" t="n">
        <x:v>46273</x:v>
      </x:c>
      <x:c r="B350" s="1" t="str">
        <x:v>GFGV4600OC</x:v>
      </x:c>
      <x:c r="C350" s="1" t="str">
        <x:v>put</x:v>
      </x:c>
      <x:c r="D350" s="11" t="n">
        <x:v>4600</x:v>
      </x:c>
      <x:c r="E350" s="11" t="n">
        <x:f>'Option source'!B537</x:f>
        <x:v>1.45</x:v>
      </x:c>
      <x:c r="F350" s="11" t="n">
        <x:v>7015</x:v>
      </x:c>
      <x:c r="G350" s="18" t="n">
        <x:v>38</x:v>
      </x:c>
      <x:c r="H350" s="11" t="n">
        <x:f>MAX(IF(C350="call",F350-D350,D350-F350),0)</x:f>
        <x:v>0</x:v>
      </x:c>
      <x:c r="I350" s="11" t="n">
        <x:f>E350-H350</x:f>
        <x:v>1.45</x:v>
      </x:c>
      <x:c r="J350" s="13" t="n">
        <x:f>D350/F350</x:f>
        <x:v>0.6557377049180327</x:v>
      </x:c>
      <x:c r="K350" s="13" t="n">
        <x:v>0.5417046625980877</x:v>
      </x:c>
      <x:c r="L350" s="17" t="n">
        <x:v>-0.003676418839523299</x:v>
      </x:c>
      <x:c r="M350" s="17" t="n">
        <x:v>0.2486269152211884</x:v>
      </x:c>
      <x:c r="N350" s="11" t="n">
        <x:f>'Option source'!C537</x:f>
        <x:v>200094.91</x:v>
      </x:c>
      <x:c r="O350" s="11" t="n">
        <x:f>'Option source'!G537</x:f>
        <x:v>1</x:v>
      </x:c>
      <x:c r="P350" s="11" t="n">
        <x:f>'Option source'!F537</x:f>
        <x:v>1.79</x:v>
      </x:c>
      <x:c r="Q350" s="1" t="str">
        <x:v>Screen passed; indicative</x:v>
      </x:c>
      <x:c r="R350" s="1" t="n">
        <x:v>532</x:v>
      </x:c>
    </x:row>
    <x:row r="351" ht="21" customHeight="1">
      <x:c r="A351" s="12" t="n">
        <x:v>46273</x:v>
      </x:c>
      <x:c r="B351" s="1" t="str">
        <x:v>GFGC9500OC</x:v>
      </x:c>
      <x:c r="C351" s="1" t="str">
        <x:v>call</x:v>
      </x:c>
      <x:c r="D351" s="11" t="n">
        <x:v>9500</x:v>
      </x:c>
      <x:c r="E351" s="11" t="n">
        <x:f>'Option source'!B461</x:f>
        <x:v>11.36</x:v>
      </x:c>
      <x:c r="F351" s="11" t="n">
        <x:v>7015</x:v>
      </x:c>
      <x:c r="G351" s="18" t="n">
        <x:v>38</x:v>
      </x:c>
      <x:c r="H351" s="11" t="n">
        <x:f>MAX(IF(C351="call",F351-D351,D351-F351),0)</x:f>
        <x:v>0</x:v>
      </x:c>
      <x:c r="I351" s="11" t="n">
        <x:f>E351-H351</x:f>
        <x:v>11.36</x:v>
      </x:c>
      <x:c r="J351" s="13" t="n">
        <x:f>D351/F351</x:f>
        <x:v>1.35424091233072</x:v>
      </x:c>
      <x:c r="K351" s="13" t="n">
        <x:v>0.4355672950260801</x:v>
      </x:c>
      <x:c r="L351" s="17" t="n">
        <x:v>0.03107827636155276</x:v>
      </x:c>
      <x:c r="M351" s="17" t="n">
        <x:v>1.5858149650654694</x:v>
      </x:c>
      <x:c r="N351" s="11" t="n">
        <x:f>'Option source'!C461</x:f>
        <x:v>2922035</x:v>
      </x:c>
      <x:c r="O351" s="11" t="n">
        <x:f>'Option source'!G461</x:f>
        <x:v>9.5</x:v>
      </x:c>
      <x:c r="P351" s="11" t="n">
        <x:f>'Option source'!F461</x:f>
        <x:v>12.5</x:v>
      </x:c>
      <x:c r="Q351" s="1" t="str">
        <x:v>Screen passed; indicative</x:v>
      </x:c>
      <x:c r="R351" s="1" t="n">
        <x:v>456</x:v>
      </x:c>
    </x:row>
    <x:row r="352" ht="21" customHeight="1">
      <x:c r="A352" s="12" t="n">
        <x:v>46273</x:v>
      </x:c>
      <x:c r="B352" s="1" t="str">
        <x:v>GFGC4400OC</x:v>
      </x:c>
      <x:c r="C352" s="1" t="str">
        <x:v>call</x:v>
      </x:c>
      <x:c r="D352" s="11" t="n">
        <x:v>4400</x:v>
      </x:c>
      <x:c r="E352" s="11" t="n">
        <x:f>'Option source'!B38</x:f>
        <x:v>2762.2</x:v>
      </x:c>
      <x:c r="F352" s="11" t="n">
        <x:v>7015</x:v>
      </x:c>
      <x:c r="G352" s="18" t="n">
        <x:v>38</x:v>
      </x:c>
      <x:c r="H352" s="11" t="n">
        <x:f>MAX(IF(C352="call",F352-D352,D352-F352),0)</x:f>
        <x:v>2615</x:v>
      </x:c>
      <x:c r="I352" s="11" t="n">
        <x:f>E352-H352</x:f>
        <x:v>147.19999999999982</x:v>
      </x:c>
      <x:c r="J352" s="13" t="n">
        <x:f>D352/F352</x:f>
        <x:v>0.6272273699215966</x:v>
      </x:c>
      <x:c r="K352" s="13"/>
      <x:c r="L352" s="17"/>
      <x:c r="M352" s="17"/>
      <x:c r="N352" s="11" t="n">
        <x:f>'Option source'!C38</x:f>
        <x:v>0</x:v>
      </x:c>
      <x:c r="O352" s="11" t="n">
        <x:f>'Option source'!G38</x:f>
        <x:v>2619.23</x:v>
      </x:c>
      <x:c r="P352" s="11" t="n">
        <x:f>'Option source'!F38</x:f>
        <x:v>3006.1</x:v>
      </x:c>
      <x:c r="Q352" s="1" t="str">
        <x:v>Zero reported volume</x:v>
      </x:c>
      <x:c r="R352" s="1" t="n">
        <x:v>33</x:v>
      </x:c>
    </x:row>
    <x:row r="353" ht="21" customHeight="1">
      <x:c r="A353" s="12" t="n">
        <x:v>46273</x:v>
      </x:c>
      <x:c r="B353" s="1" t="str">
        <x:v>GFGV4400OC</x:v>
      </x:c>
      <x:c r="C353" s="1" t="str">
        <x:v>put</x:v>
      </x:c>
      <x:c r="D353" s="11" t="n">
        <x:v>4400</x:v>
      </x:c>
      <x:c r="E353" s="11" t="n">
        <x:f>'Option source'!B518</x:f>
        <x:v>1.09</x:v>
      </x:c>
      <x:c r="F353" s="11" t="n">
        <x:v>7015</x:v>
      </x:c>
      <x:c r="G353" s="18" t="n">
        <x:v>38</x:v>
      </x:c>
      <x:c r="H353" s="11" t="n">
        <x:f>MAX(IF(C353="call",F353-D353,D353-F353),0)</x:f>
        <x:v>0</x:v>
      </x:c>
      <x:c r="I353" s="11" t="n">
        <x:f>E353-H353</x:f>
        <x:v>1.09</x:v>
      </x:c>
      <x:c r="J353" s="13" t="n">
        <x:f>D353/F353</x:f>
        <x:v>0.6272273699215966</x:v>
      </x:c>
      <x:c r="K353" s="13" t="n">
        <x:v>0.57276288263048</x:v>
      </x:c>
      <x:c r="L353" s="17" t="n">
        <x:v>-0.002673423822691312</x:v>
      </x:c>
      <x:c r="M353" s="17" t="n">
        <x:v>0.1866405120074556</x:v>
      </x:c>
      <x:c r="N353" s="11" t="n">
        <x:f>'Option source'!C518</x:f>
        <x:v>62530.7</x:v>
      </x:c>
      <x:c r="O353" s="11" t="n">
        <x:f>'Option source'!G518</x:f>
        <x:v>0.8</x:v>
      </x:c>
      <x:c r="P353" s="11" t="n">
        <x:f>'Option source'!F518</x:f>
        <x:v>1.98</x:v>
      </x:c>
      <x:c r="Q353" s="1" t="str">
        <x:v>Screen passed; indicative</x:v>
      </x:c>
      <x:c r="R353" s="1" t="n">
        <x:v>513</x:v>
      </x:c>
    </x:row>
    <x:row r="354" ht="21" customHeight="1">
      <x:c r="A354" s="12" t="n">
        <x:v>46273</x:v>
      </x:c>
      <x:c r="B354" s="1" t="str">
        <x:v>GFGC4200OC</x:v>
      </x:c>
      <x:c r="C354" s="1" t="str">
        <x:v>call</x:v>
      </x:c>
      <x:c r="D354" s="11" t="n">
        <x:v>4200</x:v>
      </x:c>
      <x:c r="E354" s="11" t="n">
        <x:f>'Option source'!B19</x:f>
        <x:v>2845.62</x:v>
      </x:c>
      <x:c r="F354" s="11" t="n">
        <x:v>7015</x:v>
      </x:c>
      <x:c r="G354" s="18" t="n">
        <x:v>38</x:v>
      </x:c>
      <x:c r="H354" s="11" t="n">
        <x:f>MAX(IF(C354="call",F354-D354,D354-F354),0)</x:f>
        <x:v>2815</x:v>
      </x:c>
      <x:c r="I354" s="11" t="n">
        <x:f>E354-H354</x:f>
        <x:v>30.61999999999989</x:v>
      </x:c>
      <x:c r="J354" s="13" t="n">
        <x:f>D354/F354</x:f>
        <x:v>0.5987170349251604</x:v>
      </x:c>
      <x:c r="K354" s="13"/>
      <x:c r="L354" s="17"/>
      <x:c r="M354" s="17"/>
      <x:c r="N354" s="11" t="n">
        <x:f>'Option source'!C19</x:f>
        <x:v>3711328.25</x:v>
      </x:c>
      <x:c r="O354" s="11" t="n">
        <x:f>'Option source'!G19</x:f>
        <x:v>2839.03</x:v>
      </x:c>
      <x:c r="P354" s="11" t="n">
        <x:f>'Option source'!F19</x:f>
        <x:v>2938.68</x:v>
      </x:c>
      <x:c r="Q354" s="1" t="str">
        <x:v>No stable model IV</x:v>
      </x:c>
      <x:c r="R354" s="1" t="n">
        <x:v>14</x:v>
      </x:c>
    </x:row>
    <x:row r="355" ht="21" customHeight="1">
      <x:c r="A355" s="12" t="n">
        <x:v>46273</x:v>
      </x:c>
      <x:c r="B355" s="1" t="str">
        <x:v>GFGV4200OC</x:v>
      </x:c>
      <x:c r="C355" s="1" t="str">
        <x:v>put</x:v>
      </x:c>
      <x:c r="D355" s="11" t="n">
        <x:v>4200</x:v>
      </x:c>
      <x:c r="E355" s="11" t="n">
        <x:f>'Option source'!B499</x:f>
        <x:v>0.98</x:v>
      </x:c>
      <x:c r="F355" s="11" t="n">
        <x:v>7015</x:v>
      </x:c>
      <x:c r="G355" s="18" t="n">
        <x:v>38</x:v>
      </x:c>
      <x:c r="H355" s="11" t="n">
        <x:f>MAX(IF(C355="call",F355-D355,D355-F355),0)</x:f>
        <x:v>0</x:v>
      </x:c>
      <x:c r="I355" s="11" t="n">
        <x:f>E355-H355</x:f>
        <x:v>0.98</x:v>
      </x:c>
      <x:c r="J355" s="13" t="n">
        <x:f>D355/F355</x:f>
        <x:v>0.5987170349251604</x:v>
      </x:c>
      <x:c r="K355" s="13" t="n">
        <x:v>0.6156444382150617</x:v>
      </x:c>
      <x:c r="L355" s="17" t="n">
        <x:v>-0.0022635211968293767</x:v>
      </x:c>
      <x:c r="M355" s="17" t="n">
        <x:v>0.16055587520742937</x:v>
      </x:c>
      <x:c r="N355" s="11" t="n">
        <x:f>'Option source'!C499</x:f>
        <x:v>90312.7</x:v>
      </x:c>
      <x:c r="O355" s="11" t="n">
        <x:f>'Option source'!G499</x:f>
        <x:v>0.82</x:v>
      </x:c>
      <x:c r="P355" s="11" t="n">
        <x:f>'Option source'!F499</x:f>
        <x:v>1.45</x:v>
      </x:c>
      <x:c r="Q355" s="1" t="str">
        <x:v>Screen passed; indicative</x:v>
      </x:c>
      <x:c r="R355" s="1" t="n">
        <x:v>494</x:v>
      </x:c>
    </x:row>
    <x:row r="356" ht="21" customHeight="1">
      <x:c r="A356" s="12" t="n">
        <x:v>46273</x:v>
      </x:c>
      <x:c r="B356" s="1" t="str">
        <x:v>GFGC9900OC</x:v>
      </x:c>
      <x:c r="C356" s="1" t="str">
        <x:v>call</x:v>
      </x:c>
      <x:c r="D356" s="11" t="n">
        <x:v>9900</x:v>
      </x:c>
      <x:c r="E356" s="11" t="n">
        <x:f>'Option source'!B480</x:f>
        <x:v>6.97</x:v>
      </x:c>
      <x:c r="F356" s="11" t="n">
        <x:v>7015</x:v>
      </x:c>
      <x:c r="G356" s="18" t="n">
        <x:v>38</x:v>
      </x:c>
      <x:c r="H356" s="11" t="n">
        <x:f>MAX(IF(C356="call",F356-D356,D356-F356),0)</x:f>
        <x:v>0</x:v>
      </x:c>
      <x:c r="I356" s="11" t="n">
        <x:f>E356-H356</x:f>
        <x:v>6.97</x:v>
      </x:c>
      <x:c r="J356" s="13" t="n">
        <x:f>D356/F356</x:f>
        <x:v>1.4112615823235923</x:v>
      </x:c>
      <x:c r="K356" s="13" t="n">
        <x:v>0.45397946047572396</x:v>
      </x:c>
      <x:c r="L356" s="17" t="n">
        <x:v>0.01944879295302747</x:v>
      </x:c>
      <x:c r="M356" s="17" t="n">
        <x:v>1.0702308037248702</x:v>
      </x:c>
      <x:c r="N356" s="11" t="n">
        <x:f>'Option source'!C480</x:f>
        <x:v>896252.19</x:v>
      </x:c>
      <x:c r="O356" s="11" t="n">
        <x:f>'Option source'!G480</x:f>
        <x:v>5.6</x:v>
      </x:c>
      <x:c r="P356" s="11" t="n">
        <x:f>'Option source'!F480</x:f>
        <x:v>8.2</x:v>
      </x:c>
      <x:c r="Q356" s="1" t="str">
        <x:v>Screen passed; indicative</x:v>
      </x:c>
      <x:c r="R356" s="1" t="n">
        <x:v>475</x:v>
      </x:c>
    </x:row>
    <x:row r="357" ht="21" customHeight="1">
      <x:c r="A357" s="12" t="n">
        <x:v>46272</x:v>
      </x:c>
      <x:c r="B357" s="1" t="str">
        <x:v>GFGC7000OC</x:v>
      </x:c>
      <x:c r="C357" s="1" t="str">
        <x:v>call</x:v>
      </x:c>
      <x:c r="D357" s="11" t="n">
        <x:v>7000</x:v>
      </x:c>
      <x:c r="E357" s="11" t="n">
        <x:f>'Option source'!B270</x:f>
        <x:v>460.71</x:v>
      </x:c>
      <x:c r="F357" s="11" t="n">
        <x:v>6935</x:v>
      </x:c>
      <x:c r="G357" s="18" t="n">
        <x:v>39</x:v>
      </x:c>
      <x:c r="H357" s="11" t="n">
        <x:f>MAX(IF(C357="call",F357-D357,D357-F357),0)</x:f>
        <x:v>0</x:v>
      </x:c>
      <x:c r="I357" s="11" t="n">
        <x:f>E357-H357</x:f>
        <x:v>460.71</x:v>
      </x:c>
      <x:c r="J357" s="13" t="n">
        <x:f>D357/F357</x:f>
        <x:v>1.0093727469358327</x:v>
      </x:c>
      <x:c r="K357" s="13" t="n">
        <x:v>0.42273407148583275</x:v>
      </x:c>
      <x:c r="L357" s="17" t="n">
        <x:v>0.5923338811113931</x:v>
      </x:c>
      <x:c r="M357" s="17" t="n">
        <x:v>8.800304504627286</x:v>
      </x:c>
      <x:c r="N357" s="11" t="n">
        <x:f>'Option source'!C270</x:f>
        <x:v>73510856</x:v>
      </x:c>
      <x:c r="O357" s="11" t="n">
        <x:f>'Option source'!G270</x:f>
        <x:v>458</x:v>
      </x:c>
      <x:c r="P357" s="11" t="n">
        <x:f>'Option source'!F270</x:f>
        <x:v>490</x:v>
      </x:c>
      <x:c r="Q357" s="1" t="str">
        <x:v>Screen passed; indicative</x:v>
      </x:c>
      <x:c r="R357" s="1" t="n">
        <x:v>265</x:v>
      </x:c>
    </x:row>
    <x:row r="358" ht="21" customHeight="1">
      <x:c r="A358" s="12" t="n">
        <x:v>46272</x:v>
      </x:c>
      <x:c r="B358" s="1" t="str">
        <x:v>GFGV7000OC</x:v>
      </x:c>
      <x:c r="C358" s="1" t="str">
        <x:v>put</x:v>
      </x:c>
      <x:c r="D358" s="11" t="n">
        <x:v>7000</x:v>
      </x:c>
      <x:c r="E358" s="11" t="n">
        <x:f>'Option source'!B764</x:f>
        <x:v>341.02</x:v>
      </x:c>
      <x:c r="F358" s="11" t="n">
        <x:v>6935</x:v>
      </x:c>
      <x:c r="G358" s="18" t="n">
        <x:v>39</x:v>
      </x:c>
      <x:c r="H358" s="11" t="n">
        <x:f>MAX(IF(C358="call",F358-D358,D358-F358),0)</x:f>
        <x:v>65</x:v>
      </x:c>
      <x:c r="I358" s="11" t="n">
        <x:f>E358-H358</x:f>
        <x:v>276.02</x:v>
      </x:c>
      <x:c r="J358" s="13" t="n">
        <x:f>D358/F358</x:f>
        <x:v>1.0093727469358327</x:v>
      </x:c>
      <x:c r="K358" s="13" t="n">
        <x:v>0.43505106862557574</x:v>
      </x:c>
      <x:c r="L358" s="17" t="n">
        <x:v>-0.40869250539255686</x:v>
      </x:c>
      <x:c r="M358" s="17" t="n">
        <x:v>8.805707860016986</x:v>
      </x:c>
      <x:c r="N358" s="11" t="n">
        <x:f>'Option source'!C764</x:f>
        <x:v>39547268</x:v>
      </x:c>
      <x:c r="O358" s="11" t="n">
        <x:f>'Option source'!G764</x:f>
        <x:v>332</x:v>
      </x:c>
      <x:c r="P358" s="11" t="n">
        <x:f>'Option source'!F764</x:f>
        <x:v>377.43</x:v>
      </x:c>
      <x:c r="Q358" s="1" t="str">
        <x:v>Screen passed; indicative</x:v>
      </x:c>
      <x:c r="R358" s="1" t="n">
        <x:v>759</x:v>
      </x:c>
    </x:row>
    <x:row r="359" ht="21" customHeight="1">
      <x:c r="A359" s="12" t="n">
        <x:v>46272</x:v>
      </x:c>
      <x:c r="B359" s="1" t="str">
        <x:v>GFGC6800OC</x:v>
      </x:c>
      <x:c r="C359" s="1" t="str">
        <x:v>call</x:v>
      </x:c>
      <x:c r="D359" s="11" t="n">
        <x:v>6800</x:v>
      </x:c>
      <x:c r="E359" s="11" t="n">
        <x:f>'Option source'!B251</x:f>
        <x:v>567</x:v>
      </x:c>
      <x:c r="F359" s="11" t="n">
        <x:v>6935</x:v>
      </x:c>
      <x:c r="G359" s="18" t="n">
        <x:v>39</x:v>
      </x:c>
      <x:c r="H359" s="11" t="n">
        <x:f>MAX(IF(C359="call",F359-D359,D359-F359),0)</x:f>
        <x:v>135</x:v>
      </x:c>
      <x:c r="I359" s="11" t="n">
        <x:f>E359-H359</x:f>
        <x:v>432</x:v>
      </x:c>
      <x:c r="J359" s="13" t="n">
        <x:f>D359/F359</x:f>
        <x:v>0.9805335255948089</x:v>
      </x:c>
      <x:c r="K359" s="13" t="n">
        <x:v>0.41557605139653075</x:v>
      </x:c>
      <x:c r="L359" s="17" t="n">
        <x:v>0.6731420415461059</x:v>
      </x:c>
      <x:c r="M359" s="17" t="n">
        <x:v>8.177905739500734</x:v>
      </x:c>
      <x:c r="N359" s="11" t="n">
        <x:f>'Option source'!C251</x:f>
        <x:v>17502592</x:v>
      </x:c>
      <x:c r="O359" s="11" t="n">
        <x:f>'Option source'!G251</x:f>
        <x:v>565</x:v>
      </x:c>
      <x:c r="P359" s="11" t="n">
        <x:f>'Option source'!F251</x:f>
        <x:v>600</x:v>
      </x:c>
      <x:c r="Q359" s="1" t="str">
        <x:v>Screen passed; indicative</x:v>
      </x:c>
      <x:c r="R359" s="1" t="n">
        <x:v>246</x:v>
      </x:c>
    </x:row>
    <x:row r="360" ht="21" customHeight="1">
      <x:c r="A360" s="12" t="n">
        <x:v>46272</x:v>
      </x:c>
      <x:c r="B360" s="1" t="str">
        <x:v>GFGV6800OC</x:v>
      </x:c>
      <x:c r="C360" s="1" t="str">
        <x:v>put</x:v>
      </x:c>
      <x:c r="D360" s="11" t="n">
        <x:v>6800</x:v>
      </x:c>
      <x:c r="E360" s="11" t="n">
        <x:f>'Option source'!B745</x:f>
        <x:v>254.66</x:v>
      </x:c>
      <x:c r="F360" s="11" t="n">
        <x:v>6935</x:v>
      </x:c>
      <x:c r="G360" s="18" t="n">
        <x:v>39</x:v>
      </x:c>
      <x:c r="H360" s="11" t="n">
        <x:f>MAX(IF(C360="call",F360-D360,D360-F360),0)</x:f>
        <x:v>0</x:v>
      </x:c>
      <x:c r="I360" s="11" t="n">
        <x:f>E360-H360</x:f>
        <x:v>254.66</x:v>
      </x:c>
      <x:c r="J360" s="13" t="n">
        <x:f>D360/F360</x:f>
        <x:v>0.9805335255948089</x:v>
      </x:c>
      <x:c r="K360" s="13" t="n">
        <x:v>0.4407996380044771</x:v>
      </x:c>
      <x:c r="L360" s="17" t="n">
        <x:v>-0.3332542400347043</x:v>
      </x:c>
      <x:c r="M360" s="17" t="n">
        <x:v>8.241670328541591</x:v>
      </x:c>
      <x:c r="N360" s="11" t="n">
        <x:f>'Option source'!C745</x:f>
        <x:v>12808101</x:v>
      </x:c>
      <x:c r="O360" s="11" t="n">
        <x:f>'Option source'!G745</x:f>
        <x:v>240.01</x:v>
      </x:c>
      <x:c r="P360" s="11" t="n">
        <x:f>'Option source'!F745</x:f>
        <x:v>264.99</x:v>
      </x:c>
      <x:c r="Q360" s="1" t="str">
        <x:v>Screen passed; indicative</x:v>
      </x:c>
      <x:c r="R360" s="1" t="n">
        <x:v>740</x:v>
      </x:c>
    </x:row>
    <x:row r="361" ht="21" customHeight="1">
      <x:c r="A361" s="12" t="n">
        <x:v>46272</x:v>
      </x:c>
      <x:c r="B361" s="1" t="str">
        <x:v>GFGC7200OC</x:v>
      </x:c>
      <x:c r="C361" s="1" t="str">
        <x:v>call</x:v>
      </x:c>
      <x:c r="D361" s="11" t="n">
        <x:v>7200</x:v>
      </x:c>
      <x:c r="E361" s="11" t="n">
        <x:f>'Option source'!B289</x:f>
        <x:v>366.28</x:v>
      </x:c>
      <x:c r="F361" s="11" t="n">
        <x:v>6935</x:v>
      </x:c>
      <x:c r="G361" s="18" t="n">
        <x:v>39</x:v>
      </x:c>
      <x:c r="H361" s="11" t="n">
        <x:f>MAX(IF(C361="call",F361-D361,D361-F361),0)</x:f>
        <x:v>0</x:v>
      </x:c>
      <x:c r="I361" s="11" t="n">
        <x:f>E361-H361</x:f>
        <x:v>366.28</x:v>
      </x:c>
      <x:c r="J361" s="13" t="n">
        <x:f>D361/F361</x:f>
        <x:v>1.0382119682768565</x:v>
      </x:c>
      <x:c r="K361" s="13" t="n">
        <x:v>0.42480510812378924</x:v>
      </x:c>
      <x:c r="L361" s="17" t="n">
        <x:v>0.5120526752189635</x:v>
      </x:c>
      <x:c r="M361" s="17" t="n">
        <x:v>9.039494468813427</x:v>
      </x:c>
      <x:c r="N361" s="11" t="n">
        <x:f>'Option source'!C289</x:f>
        <x:v>32911494</x:v>
      </x:c>
      <x:c r="O361" s="11" t="n">
        <x:f>'Option source'!G289</x:f>
        <x:v>365.4</x:v>
      </x:c>
      <x:c r="P361" s="11" t="n">
        <x:f>'Option source'!F289</x:f>
        <x:v>398</x:v>
      </x:c>
      <x:c r="Q361" s="1" t="str">
        <x:v>Screen passed; indicative</x:v>
      </x:c>
      <x:c r="R361" s="1" t="n">
        <x:v>284</x:v>
      </x:c>
    </x:row>
    <x:row r="362" ht="21" customHeight="1">
      <x:c r="A362" s="12" t="n">
        <x:v>46272</x:v>
      </x:c>
      <x:c r="B362" s="1" t="str">
        <x:v>GFGV7200OC</x:v>
      </x:c>
      <x:c r="C362" s="1" t="str">
        <x:v>put</x:v>
      </x:c>
      <x:c r="D362" s="11" t="n">
        <x:v>7200</x:v>
      </x:c>
      <x:c r="E362" s="11" t="n">
        <x:f>'Option source'!B783</x:f>
        <x:v>455</x:v>
      </x:c>
      <x:c r="F362" s="11" t="n">
        <x:v>6935</x:v>
      </x:c>
      <x:c r="G362" s="18" t="n">
        <x:v>39</x:v>
      </x:c>
      <x:c r="H362" s="11" t="n">
        <x:f>MAX(IF(C362="call",F362-D362,D362-F362),0)</x:f>
        <x:v>265</x:v>
      </x:c>
      <x:c r="I362" s="11" t="n">
        <x:f>E362-H362</x:f>
        <x:v>190</x:v>
      </x:c>
      <x:c r="J362" s="13" t="n">
        <x:f>D362/F362</x:f>
        <x:v>1.0382119682768565</x:v>
      </x:c>
      <x:c r="K362" s="13" t="n">
        <x:v>0.4411827823400807</x:v>
      </x:c>
      <x:c r="L362" s="17" t="n">
        <x:v>-0.48629957737550245</x:v>
      </x:c>
      <x:c r="M362" s="17" t="n">
        <x:v>9.038288633143619</x:v>
      </x:c>
      <x:c r="N362" s="11" t="n">
        <x:f>'Option source'!C783</x:f>
        <x:v>19048068</x:v>
      </x:c>
      <x:c r="O362" s="11" t="n">
        <x:f>'Option source'!G783</x:f>
        <x:v>434.99</x:v>
      </x:c>
      <x:c r="P362" s="11" t="n">
        <x:f>'Option source'!F783</x:f>
        <x:v>465.89</x:v>
      </x:c>
      <x:c r="Q362" s="1" t="str">
        <x:v>Screen passed; indicative</x:v>
      </x:c>
      <x:c r="R362" s="1" t="n">
        <x:v>778</x:v>
      </x:c>
    </x:row>
    <x:row r="363" ht="21" customHeight="1">
      <x:c r="A363" s="12" t="n">
        <x:v>46272</x:v>
      </x:c>
      <x:c r="B363" s="1" t="str">
        <x:v>GFGC6600OC</x:v>
      </x:c>
      <x:c r="C363" s="1" t="str">
        <x:v>call</x:v>
      </x:c>
      <x:c r="D363" s="11" t="n">
        <x:v>6600</x:v>
      </x:c>
      <x:c r="E363" s="11" t="n">
        <x:f>'Option source'!B232</x:f>
        <x:v>687.1</x:v>
      </x:c>
      <x:c r="F363" s="11" t="n">
        <x:v>6935</x:v>
      </x:c>
      <x:c r="G363" s="18" t="n">
        <x:v>39</x:v>
      </x:c>
      <x:c r="H363" s="11" t="n">
        <x:f>MAX(IF(C363="call",F363-D363,D363-F363),0)</x:f>
        <x:v>335</x:v>
      </x:c>
      <x:c r="I363" s="11" t="n">
        <x:f>E363-H363</x:f>
        <x:v>352.1</x:v>
      </x:c>
      <x:c r="J363" s="13" t="n">
        <x:f>D363/F363</x:f>
        <x:v>0.9516943042537851</x:v>
      </x:c>
      <x:c r="K363" s="13" t="n">
        <x:v>0.4039616172929352</x:v>
      </x:c>
      <x:c r="L363" s="17" t="n">
        <x:v>0.7529279735668358</x:v>
      </x:c>
      <x:c r="M363" s="17" t="n">
        <x:v>7.158601539971126</x:v>
      </x:c>
      <x:c r="N363" s="11" t="n">
        <x:f>'Option source'!C232</x:f>
        <x:v>26867160</x:v>
      </x:c>
      <x:c r="O363" s="11" t="n">
        <x:f>'Option source'!G232</x:f>
        <x:v>680.11</x:v>
      </x:c>
      <x:c r="P363" s="11" t="n">
        <x:f>'Option source'!F232</x:f>
        <x:v>715.86</x:v>
      </x:c>
      <x:c r="Q363" s="1" t="str">
        <x:v>Screen passed; indicative</x:v>
      </x:c>
      <x:c r="R363" s="1" t="n">
        <x:v>227</x:v>
      </x:c>
    </x:row>
    <x:row r="364" ht="21" customHeight="1">
      <x:c r="A364" s="12" t="n">
        <x:v>46272</x:v>
      </x:c>
      <x:c r="B364" s="1" t="str">
        <x:v>GFGV6600OC</x:v>
      </x:c>
      <x:c r="C364" s="1" t="str">
        <x:v>put</x:v>
      </x:c>
      <x:c r="D364" s="11" t="n">
        <x:v>6600</x:v>
      </x:c>
      <x:c r="E364" s="11" t="n">
        <x:f>'Option source'!B726</x:f>
        <x:v>180.32</x:v>
      </x:c>
      <x:c r="F364" s="11" t="n">
        <x:v>6935</x:v>
      </x:c>
      <x:c r="G364" s="18" t="n">
        <x:v>39</x:v>
      </x:c>
      <x:c r="H364" s="11" t="n">
        <x:f>MAX(IF(C364="call",F364-D364,D364-F364),0)</x:f>
        <x:v>0</x:v>
      </x:c>
      <x:c r="I364" s="11" t="n">
        <x:f>E364-H364</x:f>
        <x:v>180.32</x:v>
      </x:c>
      <x:c r="J364" s="13" t="n">
        <x:f>D364/F364</x:f>
        <x:v>0.9516943042537851</x:v>
      </x:c>
      <x:c r="K364" s="13" t="n">
        <x:v>0.43896135989959717</x:v>
      </x:c>
      <x:c r="L364" s="17" t="n">
        <x:v>-0.261020961349294</x:v>
      </x:c>
      <x:c r="M364" s="17" t="n">
        <x:v>7.367887939216427</x:v>
      </x:c>
      <x:c r="N364" s="11" t="n">
        <x:f>'Option source'!C726</x:f>
        <x:v>16609572</x:v>
      </x:c>
      <x:c r="O364" s="11" t="n">
        <x:f>'Option source'!G726</x:f>
        <x:v>168.58</x:v>
      </x:c>
      <x:c r="P364" s="11" t="n">
        <x:f>'Option source'!F726</x:f>
        <x:v>184.94</x:v>
      </x:c>
      <x:c r="Q364" s="1" t="str">
        <x:v>Screen passed; indicative</x:v>
      </x:c>
      <x:c r="R364" s="1" t="n">
        <x:v>721</x:v>
      </x:c>
    </x:row>
    <x:row r="365" ht="21" customHeight="1">
      <x:c r="A365" s="12" t="n">
        <x:v>46272</x:v>
      </x:c>
      <x:c r="B365" s="1" t="str">
        <x:v>GFGC7400OC</x:v>
      </x:c>
      <x:c r="C365" s="1" t="str">
        <x:v>call</x:v>
      </x:c>
      <x:c r="D365" s="11" t="n">
        <x:v>7400</x:v>
      </x:c>
      <x:c r="E365" s="11" t="n">
        <x:f>'Option source'!B308</x:f>
        <x:v>286.38</x:v>
      </x:c>
      <x:c r="F365" s="11" t="n">
        <x:v>6935</x:v>
      </x:c>
      <x:c r="G365" s="18" t="n">
        <x:v>39</x:v>
      </x:c>
      <x:c r="H365" s="11" t="n">
        <x:f>MAX(IF(C365="call",F365-D365,D365-F365),0)</x:f>
        <x:v>0</x:v>
      </x:c>
      <x:c r="I365" s="11" t="n">
        <x:f>E365-H365</x:f>
        <x:v>286.38</x:v>
      </x:c>
      <x:c r="J365" s="13" t="n">
        <x:f>D365/F365</x:f>
        <x:v>1.0670511896178803</x:v>
      </x:c>
      <x:c r="K365" s="13" t="n">
        <x:v>0.4259625393860219</x:v>
      </x:c>
      <x:c r="L365" s="17" t="n">
        <x:v>0.4339736835258723</x:v>
      </x:c>
      <x:c r="M365" s="17" t="n">
        <x:v>8.919478802376442</x:v>
      </x:c>
      <x:c r="N365" s="11" t="n">
        <x:f>'Option source'!C308</x:f>
        <x:v>25585736</x:v>
      </x:c>
      <x:c r="O365" s="11" t="n">
        <x:f>'Option source'!G308</x:f>
        <x:v>276.01</x:v>
      </x:c>
      <x:c r="P365" s="11" t="n">
        <x:f>'Option source'!F308</x:f>
        <x:v>303.38</x:v>
      </x:c>
      <x:c r="Q365" s="1" t="str">
        <x:v>Screen passed; indicative</x:v>
      </x:c>
      <x:c r="R365" s="1" t="n">
        <x:v>303</x:v>
      </x:c>
    </x:row>
    <x:row r="366" ht="21" customHeight="1">
      <x:c r="A366" s="12" t="n">
        <x:v>46272</x:v>
      </x:c>
      <x:c r="B366" s="1" t="str">
        <x:v>GFGV7400OC</x:v>
      </x:c>
      <x:c r="C366" s="1" t="str">
        <x:v>put</x:v>
      </x:c>
      <x:c r="D366" s="11" t="n">
        <x:v>7400</x:v>
      </x:c>
      <x:c r="E366" s="11" t="n">
        <x:f>'Option source'!B802</x:f>
        <x:v>555</x:v>
      </x:c>
      <x:c r="F366" s="11" t="n">
        <x:v>6935</x:v>
      </x:c>
      <x:c r="G366" s="18" t="n">
        <x:v>39</x:v>
      </x:c>
      <x:c r="H366" s="11" t="n">
        <x:f>MAX(IF(C366="call",F366-D366,D366-F366),0)</x:f>
        <x:v>465</x:v>
      </x:c>
      <x:c r="I366" s="11" t="n">
        <x:f>E366-H366</x:f>
        <x:v>90</x:v>
      </x:c>
      <x:c r="J366" s="13" t="n">
        <x:f>D366/F366</x:f>
        <x:v>1.0670511896178803</x:v>
      </x:c>
      <x:c r="K366" s="13" t="n">
        <x:v>0.4055695642422562</x:v>
      </x:c>
      <x:c r="L366" s="17" t="n">
        <x:v>-0.5719968100124055</x:v>
      </x:c>
      <x:c r="M366" s="17" t="n">
        <x:v>8.895947713615207</x:v>
      </x:c>
      <x:c r="N366" s="11" t="n">
        <x:f>'Option source'!C802</x:f>
        <x:v>2981400</x:v>
      </x:c>
      <x:c r="O366" s="11" t="n">
        <x:f>'Option source'!G802</x:f>
        <x:v>550</x:v>
      </x:c>
      <x:c r="P366" s="11" t="n">
        <x:f>'Option source'!F802</x:f>
        <x:v>600</x:v>
      </x:c>
      <x:c r="Q366" s="1" t="str">
        <x:v>Screen passed; indicative</x:v>
      </x:c>
      <x:c r="R366" s="1" t="n">
        <x:v>797</x:v>
      </x:c>
    </x:row>
    <x:row r="367" ht="21" customHeight="1">
      <x:c r="A367" s="12" t="n">
        <x:v>46272</x:v>
      </x:c>
      <x:c r="B367" s="1" t="str">
        <x:v>GFGC6400OC</x:v>
      </x:c>
      <x:c r="C367" s="1" t="str">
        <x:v>call</x:v>
      </x:c>
      <x:c r="D367" s="11" t="n">
        <x:v>6400</x:v>
      </x:c>
      <x:c r="E367" s="11" t="n">
        <x:f>'Option source'!B213</x:f>
        <x:v>829</x:v>
      </x:c>
      <x:c r="F367" s="11" t="n">
        <x:v>6935</x:v>
      </x:c>
      <x:c r="G367" s="18" t="n">
        <x:v>39</x:v>
      </x:c>
      <x:c r="H367" s="11" t="n">
        <x:f>MAX(IF(C367="call",F367-D367,D367-F367),0)</x:f>
        <x:v>535</x:v>
      </x:c>
      <x:c r="I367" s="11" t="n">
        <x:f>E367-H367</x:f>
        <x:v>294</x:v>
      </x:c>
      <x:c r="J367" s="13" t="n">
        <x:f>D367/F367</x:f>
        <x:v>0.9228550829127613</x:v>
      </x:c>
      <x:c r="K367" s="13" t="n">
        <x:v>0.39914305901366964</x:v>
      </x:c>
      <x:c r="L367" s="17" t="n">
        <x:v>0.8228426097547337</x:v>
      </x:c>
      <x:c r="M367" s="17" t="n">
        <x:v>5.88901012476889</x:v>
      </x:c>
      <x:c r="N367" s="11" t="n">
        <x:f>'Option source'!C213</x:f>
        <x:v>16878956</x:v>
      </x:c>
      <x:c r="O367" s="11" t="n">
        <x:f>'Option source'!G213</x:f>
        <x:v>821</x:v>
      </x:c>
      <x:c r="P367" s="11" t="n">
        <x:f>'Option source'!F213</x:f>
        <x:v>850</x:v>
      </x:c>
      <x:c r="Q367" s="1" t="str">
        <x:v>Screen passed; indicative</x:v>
      </x:c>
      <x:c r="R367" s="1" t="n">
        <x:v>208</x:v>
      </x:c>
    </x:row>
    <x:row r="368" ht="21" customHeight="1">
      <x:c r="A368" s="12" t="n">
        <x:v>46272</x:v>
      </x:c>
      <x:c r="B368" s="1" t="str">
        <x:v>GFGV6400OC</x:v>
      </x:c>
      <x:c r="C368" s="1" t="str">
        <x:v>put</x:v>
      </x:c>
      <x:c r="D368" s="11" t="n">
        <x:v>6400</x:v>
      </x:c>
      <x:c r="E368" s="11" t="n">
        <x:f>'Option source'!B707</x:f>
        <x:v>124.24</x:v>
      </x:c>
      <x:c r="F368" s="11" t="n">
        <x:v>6935</x:v>
      </x:c>
      <x:c r="G368" s="18" t="n">
        <x:v>39</x:v>
      </x:c>
      <x:c r="H368" s="11" t="n">
        <x:f>MAX(IF(C368="call",F368-D368,D368-F368),0)</x:f>
        <x:v>0</x:v>
      </x:c>
      <x:c r="I368" s="11" t="n">
        <x:f>E368-H368</x:f>
        <x:v>124.24</x:v>
      </x:c>
      <x:c r="J368" s="13" t="n">
        <x:f>D368/F368</x:f>
        <x:v>0.9228550829127613</x:v>
      </x:c>
      <x:c r="K368" s="13" t="n">
        <x:v>0.4410933599844036</x:v>
      </x:c>
      <x:c r="L368" s="17" t="n">
        <x:v>-0.19732314296990472</x:v>
      </x:c>
      <x:c r="M368" s="17" t="n">
        <x:v>6.295094528862653</x:v>
      </x:c>
      <x:c r="N368" s="11" t="n">
        <x:f>'Option source'!C707</x:f>
        <x:v>6553844.5</x:v>
      </x:c>
      <x:c r="O368" s="11" t="n">
        <x:f>'Option source'!G707</x:f>
        <x:v>111</x:v>
      </x:c>
      <x:c r="P368" s="11" t="n">
        <x:f>'Option source'!F707</x:f>
        <x:v>130.1</x:v>
      </x:c>
      <x:c r="Q368" s="1" t="str">
        <x:v>Screen passed; indicative</x:v>
      </x:c>
      <x:c r="R368" s="1" t="n">
        <x:v>702</x:v>
      </x:c>
    </x:row>
    <x:row r="369" ht="21" customHeight="1">
      <x:c r="A369" s="12" t="n">
        <x:v>46272</x:v>
      </x:c>
      <x:c r="B369" s="1" t="str">
        <x:v>GFGC7600OC</x:v>
      </x:c>
      <x:c r="C369" s="1" t="str">
        <x:v>call</x:v>
      </x:c>
      <x:c r="D369" s="11" t="n">
        <x:v>7600</x:v>
      </x:c>
      <x:c r="E369" s="11" t="n">
        <x:f>'Option source'!B327</x:f>
        <x:v>221.81</x:v>
      </x:c>
      <x:c r="F369" s="11" t="n">
        <x:v>6935</x:v>
      </x:c>
      <x:c r="G369" s="18" t="n">
        <x:v>39</x:v>
      </x:c>
      <x:c r="H369" s="11" t="n">
        <x:f>MAX(IF(C369="call",F369-D369,D369-F369),0)</x:f>
        <x:v>0</x:v>
      </x:c>
      <x:c r="I369" s="11" t="n">
        <x:f>E369-H369</x:f>
        <x:v>221.81</x:v>
      </x:c>
      <x:c r="J369" s="13" t="n">
        <x:f>D369/F369</x:f>
        <x:v>1.095890410958904</x:v>
      </x:c>
      <x:c r="K369" s="13" t="n">
        <x:v>0.42843029879320516</x:v>
      </x:c>
      <x:c r="L369" s="17" t="n">
        <x:v>0.36132054811701053</x:v>
      </x:c>
      <x:c r="M369" s="17" t="n">
        <x:v>8.491550952577066</x:v>
      </x:c>
      <x:c r="N369" s="11" t="n">
        <x:f>'Option source'!C327</x:f>
        <x:v>49931008</x:v>
      </x:c>
      <x:c r="O369" s="11" t="n">
        <x:f>'Option source'!G327</x:f>
        <x:v>220</x:v>
      </x:c>
      <x:c r="P369" s="11" t="n">
        <x:f>'Option source'!F327</x:f>
        <x:v>246</x:v>
      </x:c>
      <x:c r="Q369" s="1" t="str">
        <x:v>Screen passed; indicative</x:v>
      </x:c>
      <x:c r="R369" s="1" t="n">
        <x:v>322</x:v>
      </x:c>
    </x:row>
    <x:row r="370" ht="21" customHeight="1">
      <x:c r="A370" s="12" t="n">
        <x:v>46272</x:v>
      </x:c>
      <x:c r="B370" s="1" t="str">
        <x:v>GFGV7600OC</x:v>
      </x:c>
      <x:c r="C370" s="1" t="str">
        <x:v>put</x:v>
      </x:c>
      <x:c r="D370" s="11" t="n">
        <x:v>7600</x:v>
      </x:c>
      <x:c r="E370" s="11" t="n">
        <x:f>'Option source'!B821</x:f>
        <x:v>625</x:v>
      </x:c>
      <x:c r="F370" s="11" t="n">
        <x:v>6935</x:v>
      </x:c>
      <x:c r="G370" s="18" t="n">
        <x:v>39</x:v>
      </x:c>
      <x:c r="H370" s="11" t="n">
        <x:f>MAX(IF(C370="call",F370-D370,D370-F370),0)</x:f>
        <x:v>665</x:v>
      </x:c>
      <x:c r="I370" s="11" t="n">
        <x:f>E370-H370</x:f>
        <x:v>-40</x:v>
      </x:c>
      <x:c r="J370" s="13" t="n">
        <x:f>D370/F370</x:f>
        <x:v>1.095890410958904</x:v>
      </x:c>
      <x:c r="K370" s="13"/>
      <x:c r="L370" s="17"/>
      <x:c r="M370" s="17"/>
      <x:c r="N370" s="11" t="n">
        <x:f>'Option source'!C821</x:f>
        <x:v>62500</x:v>
      </x:c>
      <x:c r="O370" s="11" t="n">
        <x:f>'Option source'!G821</x:f>
        <x:v>0</x:v>
      </x:c>
      <x:c r="P370" s="11" t="n">
        <x:f>'Option source'!F821</x:f>
        <x:v>0</x:v>
      </x:c>
      <x:c r="Q370" s="1" t="str">
        <x:v>Price outside daily range; Below intrinsic value</x:v>
      </x:c>
      <x:c r="R370" s="1" t="n">
        <x:v>816</x:v>
      </x:c>
    </x:row>
    <x:row r="371" ht="21" customHeight="1">
      <x:c r="A371" s="12" t="n">
        <x:v>46272</x:v>
      </x:c>
      <x:c r="B371" s="1" t="str">
        <x:v>GFGC6200OC</x:v>
      </x:c>
      <x:c r="C371" s="1" t="str">
        <x:v>call</x:v>
      </x:c>
      <x:c r="D371" s="11" t="n">
        <x:v>6200</x:v>
      </x:c>
      <x:c r="E371" s="11" t="n">
        <x:f>'Option source'!B194</x:f>
        <x:v>1015</x:v>
      </x:c>
      <x:c r="F371" s="11" t="n">
        <x:v>6935</x:v>
      </x:c>
      <x:c r="G371" s="18" t="n">
        <x:v>39</x:v>
      </x:c>
      <x:c r="H371" s="11" t="n">
        <x:f>MAX(IF(C371="call",F371-D371,D371-F371),0)</x:f>
        <x:v>735</x:v>
      </x:c>
      <x:c r="I371" s="11" t="n">
        <x:f>E371-H371</x:f>
        <x:v>280</x:v>
      </x:c>
      <x:c r="J371" s="13" t="n">
        <x:f>D371/F371</x:f>
        <x:v>0.8940158615717375</x:v>
      </x:c>
      <x:c r="K371" s="13"/>
      <x:c r="L371" s="17"/>
      <x:c r="M371" s="17"/>
      <x:c r="N371" s="11" t="n">
        <x:f>'Option source'!C194</x:f>
        <x:v>0</x:v>
      </x:c>
      <x:c r="O371" s="11" t="n">
        <x:f>'Option source'!G194</x:f>
        <x:v>1010</x:v>
      </x:c>
      <x:c r="P371" s="11" t="n">
        <x:f>'Option source'!F194</x:f>
        <x:v>1100.38</x:v>
      </x:c>
      <x:c r="Q371" s="1" t="str">
        <x:v>Zero reported volume</x:v>
      </x:c>
      <x:c r="R371" s="1" t="n">
        <x:v>189</x:v>
      </x:c>
    </x:row>
    <x:row r="372" ht="21" customHeight="1">
      <x:c r="A372" s="12" t="n">
        <x:v>46272</x:v>
      </x:c>
      <x:c r="B372" s="1" t="str">
        <x:v>GFGV6200OC</x:v>
      </x:c>
      <x:c r="C372" s="1" t="str">
        <x:v>put</x:v>
      </x:c>
      <x:c r="D372" s="11" t="n">
        <x:v>6200</x:v>
      </x:c>
      <x:c r="E372" s="11" t="n">
        <x:f>'Option source'!B688</x:f>
        <x:v>81.09</x:v>
      </x:c>
      <x:c r="F372" s="11" t="n">
        <x:v>6935</x:v>
      </x:c>
      <x:c r="G372" s="18" t="n">
        <x:v>39</x:v>
      </x:c>
      <x:c r="H372" s="11" t="n">
        <x:f>MAX(IF(C372="call",F372-D372,D372-F372),0)</x:f>
        <x:v>0</x:v>
      </x:c>
      <x:c r="I372" s="11" t="n">
        <x:f>E372-H372</x:f>
        <x:v>81.09</x:v>
      </x:c>
      <x:c r="J372" s="13" t="n">
        <x:f>D372/F372</x:f>
        <x:v>0.8940158615717375</x:v>
      </x:c>
      <x:c r="K372" s="13" t="n">
        <x:v>0.4400425566273021</x:v>
      </x:c>
      <x:c r="L372" s="17" t="n">
        <x:v>-0.1414937743323289</x:v>
      </x:c>
      <x:c r="M372" s="17" t="n">
        <x:v>5.082059956658464</x:v>
      </x:c>
      <x:c r="N372" s="11" t="n">
        <x:f>'Option source'!C688</x:f>
        <x:v>3770500</x:v>
      </x:c>
      <x:c r="O372" s="11" t="n">
        <x:f>'Option source'!G688</x:f>
        <x:v>75.12</x:v>
      </x:c>
      <x:c r="P372" s="11" t="n">
        <x:f>'Option source'!F688</x:f>
        <x:v>83</x:v>
      </x:c>
      <x:c r="Q372" s="1" t="str">
        <x:v>Screen passed; indicative</x:v>
      </x:c>
      <x:c r="R372" s="1" t="n">
        <x:v>683</x:v>
      </x:c>
    </x:row>
    <x:row r="373" ht="21" customHeight="1">
      <x:c r="A373" s="12" t="n">
        <x:v>46272</x:v>
      </x:c>
      <x:c r="B373" s="1" t="str">
        <x:v>GFGC7800OC</x:v>
      </x:c>
      <x:c r="C373" s="1" t="str">
        <x:v>call</x:v>
      </x:c>
      <x:c r="D373" s="11" t="n">
        <x:v>7800</x:v>
      </x:c>
      <x:c r="E373" s="11" t="n">
        <x:f>'Option source'!B346</x:f>
        <x:v>170.27</x:v>
      </x:c>
      <x:c r="F373" s="11" t="n">
        <x:v>6935</x:v>
      </x:c>
      <x:c r="G373" s="18" t="n">
        <x:v>39</x:v>
      </x:c>
      <x:c r="H373" s="11" t="n">
        <x:f>MAX(IF(C373="call",F373-D373,D373-F373),0)</x:f>
        <x:v>0</x:v>
      </x:c>
      <x:c r="I373" s="11" t="n">
        <x:f>E373-H373</x:f>
        <x:v>170.27</x:v>
      </x:c>
      <x:c r="J373" s="13" t="n">
        <x:f>D373/F373</x:f>
        <x:v>1.1247296322999278</x:v>
      </x:c>
      <x:c r="K373" s="13" t="n">
        <x:v>0.4315032750278128</x:v>
      </x:c>
      <x:c r="L373" s="17" t="n">
        <x:v>0.2961306478589652</x:v>
      </x:c>
      <x:c r="M373" s="17" t="n">
        <x:v>7.835356930697417</x:v>
      </x:c>
      <x:c r="N373" s="11" t="n">
        <x:f>'Option source'!C346</x:f>
        <x:v>12452155</x:v>
      </x:c>
      <x:c r="O373" s="11" t="n">
        <x:f>'Option source'!G346</x:f>
        <x:v>154</x:v>
      </x:c>
      <x:c r="P373" s="11" t="n">
        <x:f>'Option source'!F346</x:f>
        <x:v>188.98</x:v>
      </x:c>
      <x:c r="Q373" s="1" t="str">
        <x:v>Screen passed; indicative</x:v>
      </x:c>
      <x:c r="R373" s="1" t="n">
        <x:v>341</x:v>
      </x:c>
    </x:row>
    <x:row r="374" ht="21" customHeight="1">
      <x:c r="A374" s="12" t="n">
        <x:v>46272</x:v>
      </x:c>
      <x:c r="B374" s="1" t="str">
        <x:v>GFGV7800OC</x:v>
      </x:c>
      <x:c r="C374" s="1" t="str">
        <x:v>put</x:v>
      </x:c>
      <x:c r="D374" s="11" t="n">
        <x:v>7800</x:v>
      </x:c>
      <x:c r="E374" s="11" t="n">
        <x:f>'Option source'!B840</x:f>
        <x:v>780</x:v>
      </x:c>
      <x:c r="F374" s="11" t="n">
        <x:v>6935</x:v>
      </x:c>
      <x:c r="G374" s="18" t="n">
        <x:v>39</x:v>
      </x:c>
      <x:c r="H374" s="11" t="n">
        <x:f>MAX(IF(C374="call",F374-D374,D374-F374),0)</x:f>
        <x:v>865</x:v>
      </x:c>
      <x:c r="I374" s="11" t="n">
        <x:f>E374-H374</x:f>
        <x:v>-85</x:v>
      </x:c>
      <x:c r="J374" s="13" t="n">
        <x:f>D374/F374</x:f>
        <x:v>1.1247296322999278</x:v>
      </x:c>
      <x:c r="K374" s="13"/>
      <x:c r="L374" s="17"/>
      <x:c r="M374" s="17"/>
      <x:c r="N374" s="11" t="n">
        <x:f>'Option source'!C840</x:f>
        <x:v>0</x:v>
      </x:c>
      <x:c r="O374" s="11" t="n">
        <x:f>'Option source'!G840</x:f>
        <x:v>790</x:v>
      </x:c>
      <x:c r="P374" s="11" t="n">
        <x:f>'Option source'!F840</x:f>
        <x:v>790</x:v>
      </x:c>
      <x:c r="Q374" s="1" t="str">
        <x:v>Zero reported volume; Price outside daily range; Below intrinsic value</x:v>
      </x:c>
      <x:c r="R374" s="1" t="n">
        <x:v>835</x:v>
      </x:c>
    </x:row>
    <x:row r="375" ht="21" customHeight="1">
      <x:c r="A375" s="12" t="n">
        <x:v>46272</x:v>
      </x:c>
      <x:c r="B375" s="1" t="str">
        <x:v>GFGC6000OC</x:v>
      </x:c>
      <x:c r="C375" s="1" t="str">
        <x:v>call</x:v>
      </x:c>
      <x:c r="D375" s="11" t="n">
        <x:v>6000</x:v>
      </x:c>
      <x:c r="E375" s="11" t="n">
        <x:f>'Option source'!B175</x:f>
        <x:v>1158.57</x:v>
      </x:c>
      <x:c r="F375" s="11" t="n">
        <x:v>6935</x:v>
      </x:c>
      <x:c r="G375" s="18" t="n">
        <x:v>39</x:v>
      </x:c>
      <x:c r="H375" s="11" t="n">
        <x:f>MAX(IF(C375="call",F375-D375,D375-F375),0)</x:f>
        <x:v>935</x:v>
      </x:c>
      <x:c r="I375" s="11" t="n">
        <x:f>E375-H375</x:f>
        <x:v>223.56999999999994</x:v>
      </x:c>
      <x:c r="J375" s="13" t="n">
        <x:f>D375/F375</x:f>
        <x:v>0.8651766402307137</x:v>
      </x:c>
      <x:c r="K375" s="13" t="n">
        <x:v>0.4018033624696914</x:v>
      </x:c>
      <x:c r="L375" s="17" t="n">
        <x:v>0.9210793219274948</x:v>
      </x:c>
      <x:c r="M375" s="17" t="n">
        <x:v>3.3356472701253597</x:v>
      </x:c>
      <x:c r="N375" s="11" t="n">
        <x:f>'Option source'!C175</x:f>
        <x:v>11853357</x:v>
      </x:c>
      <x:c r="O375" s="11" t="n">
        <x:f>'Option source'!G175</x:f>
        <x:v>1080</x:v>
      </x:c>
      <x:c r="P375" s="11" t="n">
        <x:f>'Option source'!F175</x:f>
        <x:v>1245.77</x:v>
      </x:c>
      <x:c r="Q375" s="1" t="str">
        <x:v>Screen passed; indicative</x:v>
      </x:c>
      <x:c r="R375" s="1" t="n">
        <x:v>170</x:v>
      </x:c>
    </x:row>
    <x:row r="376" ht="21" customHeight="1">
      <x:c r="A376" s="12" t="n">
        <x:v>46272</x:v>
      </x:c>
      <x:c r="B376" s="1" t="str">
        <x:v>GFGV6000OC</x:v>
      </x:c>
      <x:c r="C376" s="1" t="str">
        <x:v>put</x:v>
      </x:c>
      <x:c r="D376" s="11" t="n">
        <x:v>6000</x:v>
      </x:c>
      <x:c r="E376" s="11" t="n">
        <x:f>'Option source'!B669</x:f>
        <x:v>49.14</x:v>
      </x:c>
      <x:c r="F376" s="11" t="n">
        <x:v>6935</x:v>
      </x:c>
      <x:c r="G376" s="18" t="n">
        <x:v>39</x:v>
      </x:c>
      <x:c r="H376" s="11" t="n">
        <x:f>MAX(IF(C376="call",F376-D376,D376-F376),0)</x:f>
        <x:v>0</x:v>
      </x:c>
      <x:c r="I376" s="11" t="n">
        <x:f>E376-H376</x:f>
        <x:v>49.14</x:v>
      </x:c>
      <x:c r="J376" s="13" t="n">
        <x:f>D376/F376</x:f>
        <x:v>0.8651766402307137</x:v>
      </x:c>
      <x:c r="K376" s="13" t="n">
        <x:v>0.4372257756742167</x:v>
      </x:c>
      <x:c r="L376" s="17" t="n">
        <x:v>-0.09525806070876286</x:v>
      </x:c>
      <x:c r="M376" s="17" t="n">
        <x:v>3.839141643626844</x:v>
      </x:c>
      <x:c r="N376" s="11" t="n">
        <x:f>'Option source'!C669</x:f>
        <x:v>12969123</x:v>
      </x:c>
      <x:c r="O376" s="11" t="n">
        <x:f>'Option source'!G669</x:f>
        <x:v>47.44</x:v>
      </x:c>
      <x:c r="P376" s="11" t="n">
        <x:f>'Option source'!F669</x:f>
        <x:v>52</x:v>
      </x:c>
      <x:c r="Q376" s="1" t="str">
        <x:v>Screen passed; indicative</x:v>
      </x:c>
      <x:c r="R376" s="1" t="n">
        <x:v>664</x:v>
      </x:c>
    </x:row>
    <x:row r="377" ht="21" customHeight="1">
      <x:c r="A377" s="12" t="n">
        <x:v>46272</x:v>
      </x:c>
      <x:c r="B377" s="1" t="str">
        <x:v>GFGC8000OC</x:v>
      </x:c>
      <x:c r="C377" s="1" t="str">
        <x:v>call</x:v>
      </x:c>
      <x:c r="D377" s="11" t="n">
        <x:v>8000</x:v>
      </x:c>
      <x:c r="E377" s="11" t="n">
        <x:f>'Option source'!B365</x:f>
        <x:v>129.99</x:v>
      </x:c>
      <x:c r="F377" s="11" t="n">
        <x:v>6935</x:v>
      </x:c>
      <x:c r="G377" s="18" t="n">
        <x:v>39</x:v>
      </x:c>
      <x:c r="H377" s="11" t="n">
        <x:f>MAX(IF(C377="call",F377-D377,D377-F377),0)</x:f>
        <x:v>0</x:v>
      </x:c>
      <x:c r="I377" s="11" t="n">
        <x:f>E377-H377</x:f>
        <x:v>129.99</x:v>
      </x:c>
      <x:c r="J377" s="13" t="n">
        <x:f>D377/F377</x:f>
        <x:v>1.1535688536409516</x:v>
      </x:c>
      <x:c r="K377" s="13" t="n">
        <x:v>0.43535476052388866</x:v>
      </x:c>
      <x:c r="L377" s="17" t="n">
        <x:v>0.23963436568484434</x:v>
      </x:c>
      <x:c r="M377" s="17" t="n">
        <x:v>7.041324892510054</x:v>
      </x:c>
      <x:c r="N377" s="11" t="n">
        <x:f>'Option source'!C365</x:f>
        <x:v>39736336</x:v>
      </x:c>
      <x:c r="O377" s="11" t="n">
        <x:f>'Option source'!G365</x:f>
        <x:v>126</x:v>
      </x:c>
      <x:c r="P377" s="11" t="n">
        <x:f>'Option source'!F365</x:f>
        <x:v>145</x:v>
      </x:c>
      <x:c r="Q377" s="1" t="str">
        <x:v>Screen passed; indicative</x:v>
      </x:c>
      <x:c r="R377" s="1" t="n">
        <x:v>360</x:v>
      </x:c>
    </x:row>
    <x:row r="378" ht="21" customHeight="1">
      <x:c r="A378" s="12" t="n">
        <x:v>46272</x:v>
      </x:c>
      <x:c r="B378" s="1" t="str">
        <x:v>GFGV8000OC</x:v>
      </x:c>
      <x:c r="C378" s="1" t="str">
        <x:v>put</x:v>
      </x:c>
      <x:c r="D378" s="11" t="n">
        <x:v>8000</x:v>
      </x:c>
      <x:c r="E378" s="11" t="n">
        <x:f>'Option source'!B859</x:f>
        <x:v>1000</x:v>
      </x:c>
      <x:c r="F378" s="11" t="n">
        <x:v>6935</x:v>
      </x:c>
      <x:c r="G378" s="18" t="n">
        <x:v>39</x:v>
      </x:c>
      <x:c r="H378" s="11" t="n">
        <x:f>MAX(IF(C378="call",F378-D378,D378-F378),0)</x:f>
        <x:v>1065</x:v>
      </x:c>
      <x:c r="I378" s="11" t="n">
        <x:f>E378-H378</x:f>
        <x:v>-65</x:v>
      </x:c>
      <x:c r="J378" s="13" t="n">
        <x:f>D378/F378</x:f>
        <x:v>1.1535688536409516</x:v>
      </x:c>
      <x:c r="K378" s="13"/>
      <x:c r="L378" s="17"/>
      <x:c r="M378" s="17"/>
      <x:c r="N378" s="11" t="n">
        <x:f>'Option source'!C859</x:f>
        <x:v>0</x:v>
      </x:c>
      <x:c r="O378" s="11" t="n">
        <x:f>'Option source'!G859</x:f>
        <x:v>1000</x:v>
      </x:c>
      <x:c r="P378" s="11" t="n">
        <x:f>'Option source'!F859</x:f>
        <x:v>1000</x:v>
      </x:c>
      <x:c r="Q378" s="1" t="str">
        <x:v>Zero reported volume; Below intrinsic value</x:v>
      </x:c>
      <x:c r="R378" s="1" t="n">
        <x:v>854</x:v>
      </x:c>
    </x:row>
    <x:row r="379" ht="21" customHeight="1">
      <x:c r="A379" s="12" t="n">
        <x:v>46272</x:v>
      </x:c>
      <x:c r="B379" s="1" t="str">
        <x:v>GFGC5800OC</x:v>
      </x:c>
      <x:c r="C379" s="1" t="str">
        <x:v>call</x:v>
      </x:c>
      <x:c r="D379" s="11" t="n">
        <x:v>5800</x:v>
      </x:c>
      <x:c r="E379" s="11" t="n">
        <x:f>'Option source'!B156</x:f>
        <x:v>1330</x:v>
      </x:c>
      <x:c r="F379" s="11" t="n">
        <x:v>6935</x:v>
      </x:c>
      <x:c r="G379" s="18" t="n">
        <x:v>39</x:v>
      </x:c>
      <x:c r="H379" s="11" t="n">
        <x:f>MAX(IF(C379="call",F379-D379,D379-F379),0)</x:f>
        <x:v>1135</x:v>
      </x:c>
      <x:c r="I379" s="11" t="n">
        <x:f>E379-H379</x:f>
        <x:v>195</x:v>
      </x:c>
      <x:c r="J379" s="13" t="n">
        <x:f>D379/F379</x:f>
        <x:v>0.8363374188896899</x:v>
      </x:c>
      <x:c r="K379" s="13" t="n">
        <x:v>0.3678340369691019</x:v>
      </x:c>
      <x:c r="L379" s="17" t="n">
        <x:v>0.9650949147310051</x:v>
      </x:c>
      <x:c r="M379" s="17" t="n">
        <x:v>1.7477350940126672</x:v>
      </x:c>
      <x:c r="N379" s="11" t="n">
        <x:f>'Option source'!C156</x:f>
        <x:v>2134019</x:v>
      </x:c>
      <x:c r="O379" s="11" t="n">
        <x:f>'Option source'!G156</x:f>
        <x:v>1300.18</x:v>
      </x:c>
      <x:c r="P379" s="11" t="n">
        <x:f>'Option source'!F156</x:f>
        <x:v>1375.37</x:v>
      </x:c>
      <x:c r="Q379" s="1" t="str">
        <x:v>Screen passed; indicative</x:v>
      </x:c>
      <x:c r="R379" s="1" t="n">
        <x:v>151</x:v>
      </x:c>
    </x:row>
    <x:row r="380" ht="21" customHeight="1">
      <x:c r="A380" s="12" t="n">
        <x:v>46272</x:v>
      </x:c>
      <x:c r="B380" s="1" t="str">
        <x:v>GFGV5800OC</x:v>
      </x:c>
      <x:c r="C380" s="1" t="str">
        <x:v>put</x:v>
      </x:c>
      <x:c r="D380" s="11" t="n">
        <x:v>5800</x:v>
      </x:c>
      <x:c r="E380" s="11" t="n">
        <x:f>'Option source'!B650</x:f>
        <x:v>28.16</x:v>
      </x:c>
      <x:c r="F380" s="11" t="n">
        <x:v>6935</x:v>
      </x:c>
      <x:c r="G380" s="18" t="n">
        <x:v>39</x:v>
      </x:c>
      <x:c r="H380" s="11" t="n">
        <x:f>MAX(IF(C380="call",F380-D380,D380-F380),0)</x:f>
        <x:v>0</x:v>
      </x:c>
      <x:c r="I380" s="11" t="n">
        <x:f>E380-H380</x:f>
        <x:v>28.16</x:v>
      </x:c>
      <x:c r="J380" s="13" t="n">
        <x:f>D380/F380</x:f>
        <x:v>0.8363374188896899</x:v>
      </x:c>
      <x:c r="K380" s="13" t="n">
        <x:v>0.43520136142513277</x:v>
      </x:c>
      <x:c r="L380" s="17" t="n">
        <x:v>-0.06023659817150584</x:v>
      </x:c>
      <x:c r="M380" s="17" t="n">
        <x:v>2.7087319573363975</x:v>
      </x:c>
      <x:c r="N380" s="11" t="n">
        <x:f>'Option source'!C650</x:f>
        <x:v>4109854.25</x:v>
      </x:c>
      <x:c r="O380" s="11" t="n">
        <x:f>'Option source'!G650</x:f>
        <x:v>26.03</x:v>
      </x:c>
      <x:c r="P380" s="11" t="n">
        <x:f>'Option source'!F650</x:f>
        <x:v>32</x:v>
      </x:c>
      <x:c r="Q380" s="1" t="str">
        <x:v>Screen passed; indicative</x:v>
      </x:c>
      <x:c r="R380" s="1" t="n">
        <x:v>645</x:v>
      </x:c>
    </x:row>
    <x:row r="381" ht="21" customHeight="1">
      <x:c r="A381" s="12" t="n">
        <x:v>46272</x:v>
      </x:c>
      <x:c r="B381" s="1" t="str">
        <x:v>GFGC5600OC</x:v>
      </x:c>
      <x:c r="C381" s="1" t="str">
        <x:v>call</x:v>
      </x:c>
      <x:c r="D381" s="11" t="n">
        <x:v>5600</x:v>
      </x:c>
      <x:c r="E381" s="11" t="n">
        <x:f>'Option source'!B146</x:f>
        <x:v>1500</x:v>
      </x:c>
      <x:c r="F381" s="11" t="n">
        <x:v>6935</x:v>
      </x:c>
      <x:c r="G381" s="18" t="n">
        <x:v>39</x:v>
      </x:c>
      <x:c r="H381" s="11" t="n">
        <x:f>MAX(IF(C381="call",F381-D381,D381-F381),0)</x:f>
        <x:v>1335</x:v>
      </x:c>
      <x:c r="I381" s="11" t="n">
        <x:f>E381-H381</x:f>
        <x:v>165</x:v>
      </x:c>
      <x:c r="J381" s="13" t="n">
        <x:f>D381/F381</x:f>
        <x:v>0.8074981975486661</x:v>
      </x:c>
      <x:c r="K381" s="13"/>
      <x:c r="L381" s="17"/>
      <x:c r="M381" s="17"/>
      <x:c r="N381" s="11" t="n">
        <x:f>'Option source'!C146</x:f>
        <x:v>4102120.5</x:v>
      </x:c>
      <x:c r="O381" s="11" t="n">
        <x:f>'Option source'!G146</x:f>
        <x:v>1445.23</x:v>
      </x:c>
      <x:c r="P381" s="11" t="n">
        <x:f>'Option source'!F146</x:f>
        <x:v>1538.47</x:v>
      </x:c>
      <x:c r="Q381" s="1" t="str">
        <x:v>No stable model IV</x:v>
      </x:c>
      <x:c r="R381" s="1" t="n">
        <x:v>141</x:v>
      </x:c>
    </x:row>
    <x:row r="382" ht="21" customHeight="1">
      <x:c r="A382" s="12" t="n">
        <x:v>46272</x:v>
      </x:c>
      <x:c r="B382" s="1" t="str">
        <x:v>GFGV5600OC</x:v>
      </x:c>
      <x:c r="C382" s="1" t="str">
        <x:v>put</x:v>
      </x:c>
      <x:c r="D382" s="11" t="n">
        <x:v>5600</x:v>
      </x:c>
      <x:c r="E382" s="11" t="n">
        <x:f>'Option source'!B631</x:f>
        <x:v>16</x:v>
      </x:c>
      <x:c r="F382" s="11" t="n">
        <x:v>6935</x:v>
      </x:c>
      <x:c r="G382" s="18" t="n">
        <x:v>39</x:v>
      </x:c>
      <x:c r="H382" s="11" t="n">
        <x:f>MAX(IF(C382="call",F382-D382,D382-F382),0)</x:f>
        <x:v>0</x:v>
      </x:c>
      <x:c r="I382" s="11" t="n">
        <x:f>E382-H382</x:f>
        <x:v>16</x:v>
      </x:c>
      <x:c r="J382" s="13" t="n">
        <x:f>D382/F382</x:f>
        <x:v>0.8074981975486661</x:v>
      </x:c>
      <x:c r="K382" s="13" t="n">
        <x:v>0.43812249171058404</x:v>
      </x:c>
      <x:c r="L382" s="17" t="n">
        <x:v>-0.036854252321482095</x:v>
      </x:c>
      <x:c r="M382" s="17" t="n">
        <x:v>1.827299680871577</x:v>
      </x:c>
      <x:c r="N382" s="11" t="n">
        <x:f>'Option source'!C631</x:f>
        <x:v>4509522.5</x:v>
      </x:c>
      <x:c r="O382" s="11" t="n">
        <x:f>'Option source'!G631</x:f>
        <x:v>11.1</x:v>
      </x:c>
      <x:c r="P382" s="11" t="n">
        <x:f>'Option source'!F631</x:f>
        <x:v>17.99</x:v>
      </x:c>
      <x:c r="Q382" s="1" t="str">
        <x:v>Screen passed; indicative</x:v>
      </x:c>
      <x:c r="R382" s="1" t="n">
        <x:v>626</x:v>
      </x:c>
    </x:row>
    <x:row r="383" ht="21" customHeight="1">
      <x:c r="A383" s="12" t="n">
        <x:v>46272</x:v>
      </x:c>
      <x:c r="B383" s="1" t="str">
        <x:v>GFGC8300OC</x:v>
      </x:c>
      <x:c r="C383" s="1" t="str">
        <x:v>call</x:v>
      </x:c>
      <x:c r="D383" s="11" t="n">
        <x:v>8300</x:v>
      </x:c>
      <x:c r="E383" s="11" t="n">
        <x:f>'Option source'!B384</x:f>
        <x:v>83.25</x:v>
      </x:c>
      <x:c r="F383" s="11" t="n">
        <x:v>6935</x:v>
      </x:c>
      <x:c r="G383" s="18" t="n">
        <x:v>39</x:v>
      </x:c>
      <x:c r="H383" s="11" t="n">
        <x:f>MAX(IF(C383="call",F383-D383,D383-F383),0)</x:f>
        <x:v>0</x:v>
      </x:c>
      <x:c r="I383" s="11" t="n">
        <x:f>E383-H383</x:f>
        <x:v>83.25</x:v>
      </x:c>
      <x:c r="J383" s="13" t="n">
        <x:f>D383/F383</x:f>
        <x:v>1.1968276856524873</x:v>
      </x:c>
      <x:c r="K383" s="13" t="n">
        <x:v>0.4370722463713028</x:v>
      </x:c>
      <x:c r="L383" s="17" t="n">
        <x:v>0.1680713672088901</x:v>
      </x:c>
      <x:c r="M383" s="17" t="n">
        <x:v>5.694587039258294</x:v>
      </x:c>
      <x:c r="N383" s="11" t="n">
        <x:f>'Option source'!C384</x:f>
        <x:v>11874212</x:v>
      </x:c>
      <x:c r="O383" s="11" t="n">
        <x:f>'Option source'!G384</x:f>
        <x:v>65</x:v>
      </x:c>
      <x:c r="P383" s="11" t="n">
        <x:f>'Option source'!F384</x:f>
        <x:v>94</x:v>
      </x:c>
      <x:c r="Q383" s="1" t="str">
        <x:v>Screen passed; indicative</x:v>
      </x:c>
      <x:c r="R383" s="1" t="n">
        <x:v>379</x:v>
      </x:c>
    </x:row>
    <x:row r="384" ht="21" customHeight="1">
      <x:c r="A384" s="12" t="n">
        <x:v>46272</x:v>
      </x:c>
      <x:c r="B384" s="1" t="str">
        <x:v>GFGV8300OC</x:v>
      </x:c>
      <x:c r="C384" s="1" t="str">
        <x:v>put</x:v>
      </x:c>
      <x:c r="D384" s="11" t="n">
        <x:v>8300</x:v>
      </x:c>
      <x:c r="E384" s="11" t="n">
        <x:f>'Option source'!B878</x:f>
        <x:v>1350</x:v>
      </x:c>
      <x:c r="F384" s="11" t="n">
        <x:v>6935</x:v>
      </x:c>
      <x:c r="G384" s="18" t="n">
        <x:v>39</x:v>
      </x:c>
      <x:c r="H384" s="11" t="n">
        <x:f>MAX(IF(C384="call",F384-D384,D384-F384),0)</x:f>
        <x:v>1365</x:v>
      </x:c>
      <x:c r="I384" s="11" t="n">
        <x:f>E384-H384</x:f>
        <x:v>-15</x:v>
      </x:c>
      <x:c r="J384" s="13" t="n">
        <x:f>D384/F384</x:f>
        <x:v>1.1968276856524873</x:v>
      </x:c>
      <x:c r="K384" s="13"/>
      <x:c r="L384" s="17"/>
      <x:c r="M384" s="17"/>
      <x:c r="N384" s="11" t="n">
        <x:f>'Option source'!C878</x:f>
        <x:v>0</x:v>
      </x:c>
      <x:c r="O384" s="11" t="n">
        <x:f>'Option source'!G878</x:f>
        <x:v>1350</x:v>
      </x:c>
      <x:c r="P384" s="11" t="n">
        <x:f>'Option source'!F878</x:f>
        <x:v>1350</x:v>
      </x:c>
      <x:c r="Q384" s="1" t="str">
        <x:v>Zero reported volume; Below intrinsic value</x:v>
      </x:c>
      <x:c r="R384" s="1" t="n">
        <x:v>873</x:v>
      </x:c>
    </x:row>
    <x:row r="385" ht="21" customHeight="1">
      <x:c r="A385" s="12" t="n">
        <x:v>46272</x:v>
      </x:c>
      <x:c r="B385" s="1" t="str">
        <x:v>GFGC5400OC</x:v>
      </x:c>
      <x:c r="C385" s="1" t="str">
        <x:v>call</x:v>
      </x:c>
      <x:c r="D385" s="11" t="n">
        <x:v>5400</x:v>
      </x:c>
      <x:c r="E385" s="11" t="n">
        <x:f>'Option source'!B128</x:f>
        <x:v>1636.72</x:v>
      </x:c>
      <x:c r="F385" s="11" t="n">
        <x:v>6935</x:v>
      </x:c>
      <x:c r="G385" s="18" t="n">
        <x:v>39</x:v>
      </x:c>
      <x:c r="H385" s="11" t="n">
        <x:f>MAX(IF(C385="call",F385-D385,D385-F385),0)</x:f>
        <x:v>1535</x:v>
      </x:c>
      <x:c r="I385" s="11" t="n">
        <x:f>E385-H385</x:f>
        <x:v>101.72000000000003</x:v>
      </x:c>
      <x:c r="J385" s="13" t="n">
        <x:f>D385/F385</x:f>
        <x:v>0.7786589762076424</x:v>
      </x:c>
      <x:c r="K385" s="13"/>
      <x:c r="L385" s="17"/>
      <x:c r="M385" s="17"/>
      <x:c r="N385" s="11" t="n">
        <x:f>'Option source'!C128</x:f>
        <x:v>1697140.25</x:v>
      </x:c>
      <x:c r="O385" s="11" t="n">
        <x:f>'Option source'!G128</x:f>
        <x:v>1705.98</x:v>
      </x:c>
      <x:c r="P385" s="11" t="n">
        <x:f>'Option source'!F128</x:f>
        <x:v>1901.18</x:v>
      </x:c>
      <x:c r="Q385" s="1" t="str">
        <x:v>Price outside daily range</x:v>
      </x:c>
      <x:c r="R385" s="1" t="n">
        <x:v>123</x:v>
      </x:c>
    </x:row>
    <x:row r="386" ht="21" customHeight="1">
      <x:c r="A386" s="12" t="n">
        <x:v>46272</x:v>
      </x:c>
      <x:c r="B386" s="1" t="str">
        <x:v>GFGV5400OC</x:v>
      </x:c>
      <x:c r="C386" s="1" t="str">
        <x:v>put</x:v>
      </x:c>
      <x:c r="D386" s="11" t="n">
        <x:v>5400</x:v>
      </x:c>
      <x:c r="E386" s="11" t="n">
        <x:f>'Option source'!B612</x:f>
        <x:v>8.51</x:v>
      </x:c>
      <x:c r="F386" s="11" t="n">
        <x:v>6935</x:v>
      </x:c>
      <x:c r="G386" s="18" t="n">
        <x:v>39</x:v>
      </x:c>
      <x:c r="H386" s="11" t="n">
        <x:f>MAX(IF(C386="call",F386-D386,D386-F386),0)</x:f>
        <x:v>0</x:v>
      </x:c>
      <x:c r="I386" s="11" t="n">
        <x:f>E386-H386</x:f>
        <x:v>8.51</x:v>
      </x:c>
      <x:c r="J386" s="13" t="n">
        <x:f>D386/F386</x:f>
        <x:v>0.7786589762076424</x:v>
      </x:c>
      <x:c r="K386" s="13" t="n">
        <x:v>0.4412448339216799</x:v>
      </x:c>
      <x:c r="L386" s="17" t="n">
        <x:v>-0.021232968197122837</x:v>
      </x:c>
      <x:c r="M386" s="17" t="n">
        <x:v>1.1546434095769227</x:v>
      </x:c>
      <x:c r="N386" s="11" t="n">
        <x:f>'Option source'!C612</x:f>
        <x:v>216428.3</x:v>
      </x:c>
      <x:c r="O386" s="11" t="n">
        <x:f>'Option source'!G612</x:f>
        <x:v>6.89</x:v>
      </x:c>
      <x:c r="P386" s="11" t="n">
        <x:f>'Option source'!F612</x:f>
        <x:v>13.89</x:v>
      </x:c>
      <x:c r="Q386" s="1" t="str">
        <x:v>Screen passed; indicative</x:v>
      </x:c>
      <x:c r="R386" s="1" t="n">
        <x:v>607</x:v>
      </x:c>
    </x:row>
    <x:row r="387" ht="21" customHeight="1">
      <x:c r="A387" s="12" t="n">
        <x:v>46272</x:v>
      </x:c>
      <x:c r="B387" s="1" t="str">
        <x:v>GFGC8600OC</x:v>
      </x:c>
      <x:c r="C387" s="1" t="str">
        <x:v>call</x:v>
      </x:c>
      <x:c r="D387" s="11" t="n">
        <x:v>8600</x:v>
      </x:c>
      <x:c r="E387" s="11" t="n">
        <x:f>'Option source'!B403</x:f>
        <x:v>48.42</x:v>
      </x:c>
      <x:c r="F387" s="11" t="n">
        <x:v>6935</x:v>
      </x:c>
      <x:c r="G387" s="18" t="n">
        <x:v>39</x:v>
      </x:c>
      <x:c r="H387" s="11" t="n">
        <x:f>MAX(IF(C387="call",F387-D387,D387-F387),0)</x:f>
        <x:v>0</x:v>
      </x:c>
      <x:c r="I387" s="11" t="n">
        <x:f>E387-H387</x:f>
        <x:v>48.42</x:v>
      </x:c>
      <x:c r="J387" s="13" t="n">
        <x:f>D387/F387</x:f>
        <x:v>1.240086517664023</x:v>
      </x:c>
      <x:c r="K387" s="13" t="n">
        <x:v>0.43038409588715054</x:v>
      </x:c>
      <x:c r="L387" s="17" t="n">
        <x:v>0.1090956182549853</x:v>
      </x:c>
      <x:c r="M387" s="17" t="n">
        <x:v>4.237383037429087</x:v>
      </x:c>
      <x:c r="N387" s="11" t="n">
        <x:f>'Option source'!C403</x:f>
        <x:v>13341109</x:v>
      </x:c>
      <x:c r="O387" s="11" t="n">
        <x:f>'Option source'!G403</x:f>
        <x:v>47.01</x:v>
      </x:c>
      <x:c r="P387" s="11" t="n">
        <x:f>'Option source'!F403</x:f>
        <x:v>52</x:v>
      </x:c>
      <x:c r="Q387" s="1" t="str">
        <x:v>Screen passed; indicative</x:v>
      </x:c>
      <x:c r="R387" s="1" t="n">
        <x:v>398</x:v>
      </x:c>
    </x:row>
    <x:row r="388" ht="21" customHeight="1">
      <x:c r="A388" s="12" t="n">
        <x:v>46272</x:v>
      </x:c>
      <x:c r="B388" s="1" t="str">
        <x:v>GFGV8600OC</x:v>
      </x:c>
      <x:c r="C388" s="1" t="str">
        <x:v>put</x:v>
      </x:c>
      <x:c r="D388" s="11" t="n">
        <x:v>8600</x:v>
      </x:c>
      <x:c r="E388" s="11" t="n">
        <x:f>'Option source'!B897</x:f>
        <x:v>1555.11</x:v>
      </x:c>
      <x:c r="F388" s="11" t="n">
        <x:v>6935</x:v>
      </x:c>
      <x:c r="G388" s="18" t="n">
        <x:v>39</x:v>
      </x:c>
      <x:c r="H388" s="11" t="n">
        <x:f>MAX(IF(C388="call",F388-D388,D388-F388),0)</x:f>
        <x:v>1665</x:v>
      </x:c>
      <x:c r="I388" s="11" t="n">
        <x:f>E388-H388</x:f>
        <x:v>-109.8900000000001</x:v>
      </x:c>
      <x:c r="J388" s="13" t="n">
        <x:f>D388/F388</x:f>
        <x:v>1.240086517664023</x:v>
      </x:c>
      <x:c r="K388" s="13"/>
      <x:c r="L388" s="17"/>
      <x:c r="M388" s="17"/>
      <x:c r="N388" s="11" t="n">
        <x:f>'Option source'!C897</x:f>
        <x:v>0</x:v>
      </x:c>
      <x:c r="O388" s="11" t="n">
        <x:f>'Option source'!G897</x:f>
        <x:v>1555.11</x:v>
      </x:c>
      <x:c r="P388" s="11" t="n">
        <x:f>'Option source'!F897</x:f>
        <x:v>1555.11</x:v>
      </x:c>
      <x:c r="Q388" s="1" t="str">
        <x:v>Zero reported volume; Below intrinsic value</x:v>
      </x:c>
      <x:c r="R388" s="1" t="n">
        <x:v>892</x:v>
      </x:c>
    </x:row>
    <x:row r="389" ht="21" customHeight="1">
      <x:c r="A389" s="12" t="n">
        <x:v>46272</x:v>
      </x:c>
      <x:c r="B389" s="1" t="str">
        <x:v>GFGC5200OC</x:v>
      </x:c>
      <x:c r="C389" s="1" t="str">
        <x:v>call</x:v>
      </x:c>
      <x:c r="D389" s="11" t="n">
        <x:v>5200</x:v>
      </x:c>
      <x:c r="E389" s="11" t="n">
        <x:f>'Option source'!B109</x:f>
        <x:v>1880.26</x:v>
      </x:c>
      <x:c r="F389" s="11" t="n">
        <x:v>6935</x:v>
      </x:c>
      <x:c r="G389" s="18" t="n">
        <x:v>39</x:v>
      </x:c>
      <x:c r="H389" s="11" t="n">
        <x:f>MAX(IF(C389="call",F389-D389,D389-F389),0)</x:f>
        <x:v>1735</x:v>
      </x:c>
      <x:c r="I389" s="11" t="n">
        <x:f>E389-H389</x:f>
        <x:v>145.26</x:v>
      </x:c>
      <x:c r="J389" s="13" t="n">
        <x:f>D389/F389</x:f>
        <x:v>0.7498197548666186</x:v>
      </x:c>
      <x:c r="K389" s="13"/>
      <x:c r="L389" s="17"/>
      <x:c r="M389" s="17"/>
      <x:c r="N389" s="11" t="n">
        <x:f>'Option source'!C109</x:f>
        <x:v>3207227.25</x:v>
      </x:c>
      <x:c r="O389" s="11" t="n">
        <x:f>'Option source'!G109</x:f>
        <x:v>1840.52</x:v>
      </x:c>
      <x:c r="P389" s="11" t="n">
        <x:f>'Option source'!F109</x:f>
        <x:v>1925.73</x:v>
      </x:c>
      <x:c r="Q389" s="1" t="str">
        <x:v>No stable model IV</x:v>
      </x:c>
      <x:c r="R389" s="1" t="n">
        <x:v>104</x:v>
      </x:c>
    </x:row>
    <x:row r="390" ht="21" customHeight="1">
      <x:c r="A390" s="12" t="n">
        <x:v>46272</x:v>
      </x:c>
      <x:c r="B390" s="1" t="str">
        <x:v>GFGV5200OC</x:v>
      </x:c>
      <x:c r="C390" s="1" t="str">
        <x:v>put</x:v>
      </x:c>
      <x:c r="D390" s="11" t="n">
        <x:v>5200</x:v>
      </x:c>
      <x:c r="E390" s="11" t="n">
        <x:f>'Option source'!B593</x:f>
        <x:v>4.8</x:v>
      </x:c>
      <x:c r="F390" s="11" t="n">
        <x:v>6935</x:v>
      </x:c>
      <x:c r="G390" s="18" t="n">
        <x:v>39</x:v>
      </x:c>
      <x:c r="H390" s="11" t="n">
        <x:f>MAX(IF(C390="call",F390-D390,D390-F390),0)</x:f>
        <x:v>0</x:v>
      </x:c>
      <x:c r="I390" s="11" t="n">
        <x:f>E390-H390</x:f>
        <x:v>4.8</x:v>
      </x:c>
      <x:c r="J390" s="13" t="n">
        <x:f>D390/F390</x:f>
        <x:v>0.7498197548666186</x:v>
      </x:c>
      <x:c r="K390" s="13" t="n">
        <x:v>0.45184619597311215</x:v>
      </x:c>
      <x:c r="L390" s="17" t="n">
        <x:v>-0.012536736969231632</x:v>
      </x:c>
      <x:c r="M390" s="17" t="n">
        <x:v>0.735398675789373</x:v>
      </x:c>
      <x:c r="N390" s="11" t="n">
        <x:f>'Option source'!C593</x:f>
        <x:v>305952.81</x:v>
      </x:c>
      <x:c r="O390" s="11" t="n">
        <x:f>'Option source'!G593</x:f>
        <x:v>4</x:v>
      </x:c>
      <x:c r="P390" s="11" t="n">
        <x:f>'Option source'!F593</x:f>
        <x:v>5.62</x:v>
      </x:c>
      <x:c r="Q390" s="1" t="str">
        <x:v>Screen passed; indicative</x:v>
      </x:c>
      <x:c r="R390" s="1" t="n">
        <x:v>588</x:v>
      </x:c>
    </x:row>
    <x:row r="391" ht="21" customHeight="1">
      <x:c r="A391" s="12" t="n">
        <x:v>46272</x:v>
      </x:c>
      <x:c r="B391" s="1" t="str">
        <x:v>GFGC5000OC</x:v>
      </x:c>
      <x:c r="C391" s="1" t="str">
        <x:v>call</x:v>
      </x:c>
      <x:c r="D391" s="11" t="n">
        <x:v>5000</x:v>
      </x:c>
      <x:c r="E391" s="11" t="n">
        <x:f>'Option source'!B90</x:f>
        <x:v>2094.25</x:v>
      </x:c>
      <x:c r="F391" s="11" t="n">
        <x:v>6935</x:v>
      </x:c>
      <x:c r="G391" s="18" t="n">
        <x:v>39</x:v>
      </x:c>
      <x:c r="H391" s="11" t="n">
        <x:f>MAX(IF(C391="call",F391-D391,D391-F391),0)</x:f>
        <x:v>1935</x:v>
      </x:c>
      <x:c r="I391" s="11" t="n">
        <x:f>E391-H391</x:f>
        <x:v>159.25</x:v>
      </x:c>
      <x:c r="J391" s="13" t="n">
        <x:f>D391/F391</x:f>
        <x:v>0.7209805335255948</x:v>
      </x:c>
      <x:c r="K391" s="13" t="n">
        <x:v>0.4349466076896459</x:v>
      </x:c>
      <x:c r="L391" s="17" t="n">
        <x:v>0.9953053572783775</x:v>
      </x:c>
      <x:c r="M391" s="17" t="n">
        <x:v>0.3098831790284004</x:v>
      </x:c>
      <x:c r="N391" s="11" t="n">
        <x:f>'Option source'!C90</x:f>
        <x:v>1046059</x:v>
      </x:c>
      <x:c r="O391" s="11" t="n">
        <x:f>'Option source'!G90</x:f>
        <x:v>2035.2</x:v>
      </x:c>
      <x:c r="P391" s="11" t="n">
        <x:f>'Option source'!F90</x:f>
        <x:v>2110.38</x:v>
      </x:c>
      <x:c r="Q391" s="1" t="str">
        <x:v>Screen passed; indicative</x:v>
      </x:c>
      <x:c r="R391" s="1" t="n">
        <x:v>85</x:v>
      </x:c>
    </x:row>
    <x:row r="392" ht="21" customHeight="1">
      <x:c r="A392" s="12" t="n">
        <x:v>46272</x:v>
      </x:c>
      <x:c r="B392" s="1" t="str">
        <x:v>GFGV5000OC</x:v>
      </x:c>
      <x:c r="C392" s="1" t="str">
        <x:v>put</x:v>
      </x:c>
      <x:c r="D392" s="11" t="n">
        <x:v>5000</x:v>
      </x:c>
      <x:c r="E392" s="11" t="n">
        <x:f>'Option source'!B574</x:f>
        <x:v>2.79</x:v>
      </x:c>
      <x:c r="F392" s="11" t="n">
        <x:v>6935</x:v>
      </x:c>
      <x:c r="G392" s="18" t="n">
        <x:v>39</x:v>
      </x:c>
      <x:c r="H392" s="11" t="n">
        <x:f>MAX(IF(C392="call",F392-D392,D392-F392),0)</x:f>
        <x:v>0</x:v>
      </x:c>
      <x:c r="I392" s="11" t="n">
        <x:f>E392-H392</x:f>
        <x:v>2.79</x:v>
      </x:c>
      <x:c r="J392" s="13" t="n">
        <x:f>D392/F392</x:f>
        <x:v>0.7209805335255948</x:v>
      </x:c>
      <x:c r="K392" s="13" t="n">
        <x:v>0.46678505844136653</x:v>
      </x:c>
      <x:c r="L392" s="17" t="n">
        <x:v>-0.007540583840269899</x:v>
      </x:c>
      <x:c r="M392" s="17" t="n">
        <x:v>0.47169593696969164</x:v>
      </x:c>
      <x:c r="N392" s="11" t="n">
        <x:f>'Option source'!C574</x:f>
        <x:v>276486.31</x:v>
      </x:c>
      <x:c r="O392" s="11" t="n">
        <x:f>'Option source'!G574</x:f>
        <x:v>1.68</x:v>
      </x:c>
      <x:c r="P392" s="11" t="n">
        <x:f>'Option source'!F574</x:f>
        <x:v>3.75</x:v>
      </x:c>
      <x:c r="Q392" s="1" t="str">
        <x:v>Screen passed; indicative</x:v>
      </x:c>
      <x:c r="R392" s="1" t="n">
        <x:v>569</x:v>
      </x:c>
    </x:row>
    <x:row r="393" ht="21" customHeight="1">
      <x:c r="A393" s="12" t="n">
        <x:v>46272</x:v>
      </x:c>
      <x:c r="B393" s="1" t="str">
        <x:v>GFGC8900OC</x:v>
      </x:c>
      <x:c r="C393" s="1" t="str">
        <x:v>call</x:v>
      </x:c>
      <x:c r="D393" s="11" t="n">
        <x:v>8900</x:v>
      </x:c>
      <x:c r="E393" s="11" t="n">
        <x:f>'Option source'!B422</x:f>
        <x:v>28.82</x:v>
      </x:c>
      <x:c r="F393" s="11" t="n">
        <x:v>6935</x:v>
      </x:c>
      <x:c r="G393" s="18" t="n">
        <x:v>39</x:v>
      </x:c>
      <x:c r="H393" s="11" t="n">
        <x:f>MAX(IF(C393="call",F393-D393,D393-F393),0)</x:f>
        <x:v>0</x:v>
      </x:c>
      <x:c r="I393" s="11" t="n">
        <x:f>E393-H393</x:f>
        <x:v>28.82</x:v>
      </x:c>
      <x:c r="J393" s="13" t="n">
        <x:f>D393/F393</x:f>
        <x:v>1.2833453496755587</x:v>
      </x:c>
      <x:c r="K393" s="13" t="n">
        <x:v>0.4308897623354623</x:v>
      </x:c>
      <x:c r="L393" s="17" t="n">
        <x:v>0.07035012488964533</x:v>
      </x:c>
      <x:c r="M393" s="17" t="n">
        <x:v>3.055422164354967</x:v>
      </x:c>
      <x:c r="N393" s="11" t="n">
        <x:f>'Option source'!C422</x:f>
        <x:v>3681356</x:v>
      </x:c>
      <x:c r="O393" s="11" t="n">
        <x:f>'Option source'!G422</x:f>
        <x:v>28.22</x:v>
      </x:c>
      <x:c r="P393" s="11" t="n">
        <x:f>'Option source'!F422</x:f>
        <x:v>31.35</x:v>
      </x:c>
      <x:c r="Q393" s="1" t="str">
        <x:v>Screen passed; indicative</x:v>
      </x:c>
      <x:c r="R393" s="1" t="n">
        <x:v>417</x:v>
      </x:c>
    </x:row>
    <x:row r="394" ht="21" customHeight="1">
      <x:c r="A394" s="12" t="n">
        <x:v>46272</x:v>
      </x:c>
      <x:c r="B394" s="1" t="str">
        <x:v>GFGV8900OC</x:v>
      </x:c>
      <x:c r="C394" s="1" t="str">
        <x:v>put</x:v>
      </x:c>
      <x:c r="D394" s="11" t="n">
        <x:v>8900</x:v>
      </x:c>
      <x:c r="E394" s="11" t="n">
        <x:f>'Option source'!B912</x:f>
        <x:v>2022.5</x:v>
      </x:c>
      <x:c r="F394" s="11" t="n">
        <x:v>6935</x:v>
      </x:c>
      <x:c r="G394" s="18" t="n">
        <x:v>39</x:v>
      </x:c>
      <x:c r="H394" s="11" t="n">
        <x:f>MAX(IF(C394="call",F394-D394,D394-F394),0)</x:f>
        <x:v>1965</x:v>
      </x:c>
      <x:c r="I394" s="11" t="n">
        <x:f>E394-H394</x:f>
        <x:v>57.5</x:v>
      </x:c>
      <x:c r="J394" s="13" t="n">
        <x:f>D394/F394</x:f>
        <x:v>1.2833453496755587</x:v>
      </x:c>
      <x:c r="K394" s="13"/>
      <x:c r="L394" s="17"/>
      <x:c r="M394" s="17"/>
      <x:c r="N394" s="11" t="n">
        <x:f>'Option source'!C912</x:f>
        <x:v>0</x:v>
      </x:c>
      <x:c r="O394" s="11" t="n">
        <x:f>'Option source'!G912</x:f>
        <x:v>2022.5</x:v>
      </x:c>
      <x:c r="P394" s="11" t="n">
        <x:f>'Option source'!F912</x:f>
        <x:v>2037.67</x:v>
      </x:c>
      <x:c r="Q394" s="1" t="str">
        <x:v>Zero reported volume</x:v>
      </x:c>
      <x:c r="R394" s="1" t="n">
        <x:v>907</x:v>
      </x:c>
    </x:row>
    <x:row r="395" ht="21" customHeight="1">
      <x:c r="A395" s="12" t="n">
        <x:v>46272</x:v>
      </x:c>
      <x:c r="B395" s="1" t="str">
        <x:v>GFGC4800OC</x:v>
      </x:c>
      <x:c r="C395" s="1" t="str">
        <x:v>call</x:v>
      </x:c>
      <x:c r="D395" s="11" t="n">
        <x:v>4800</x:v>
      </x:c>
      <x:c r="E395" s="11" t="n">
        <x:f>'Option source'!B73</x:f>
        <x:v>2261.21</x:v>
      </x:c>
      <x:c r="F395" s="11" t="n">
        <x:v>6935</x:v>
      </x:c>
      <x:c r="G395" s="18" t="n">
        <x:v>39</x:v>
      </x:c>
      <x:c r="H395" s="11" t="n">
        <x:f>MAX(IF(C395="call",F395-D395,D395-F395),0)</x:f>
        <x:v>2135</x:v>
      </x:c>
      <x:c r="I395" s="11" t="n">
        <x:f>E395-H395</x:f>
        <x:v>126.21000000000004</x:v>
      </x:c>
      <x:c r="J395" s="13" t="n">
        <x:f>D395/F395</x:f>
        <x:v>0.692141312184571</x:v>
      </x:c>
      <x:c r="K395" s="13"/>
      <x:c r="L395" s="17"/>
      <x:c r="M395" s="17"/>
      <x:c r="N395" s="11" t="n">
        <x:f>'Option source'!C73</x:f>
        <x:v>452242.59</x:v>
      </x:c>
      <x:c r="O395" s="11" t="n">
        <x:f>'Option source'!G73</x:f>
        <x:v>0</x:v>
      </x:c>
      <x:c r="P395" s="11" t="n">
        <x:f>'Option source'!F73</x:f>
        <x:v>0</x:v>
      </x:c>
      <x:c r="Q395" s="1" t="str">
        <x:v>Price outside daily range</x:v>
      </x:c>
      <x:c r="R395" s="1" t="n">
        <x:v>68</x:v>
      </x:c>
    </x:row>
    <x:row r="396" ht="21" customHeight="1">
      <x:c r="A396" s="12" t="n">
        <x:v>46272</x:v>
      </x:c>
      <x:c r="B396" s="1" t="str">
        <x:v>GFGV4800OC</x:v>
      </x:c>
      <x:c r="C396" s="1" t="str">
        <x:v>put</x:v>
      </x:c>
      <x:c r="D396" s="11" t="n">
        <x:v>4800</x:v>
      </x:c>
      <x:c r="E396" s="11" t="n">
        <x:f>'Option source'!B555</x:f>
        <x:v>1.85</x:v>
      </x:c>
      <x:c r="F396" s="11" t="n">
        <x:v>6935</x:v>
      </x:c>
      <x:c r="G396" s="18" t="n">
        <x:v>39</x:v>
      </x:c>
      <x:c r="H396" s="11" t="n">
        <x:f>MAX(IF(C396="call",F396-D396,D396-F396),0)</x:f>
        <x:v>0</x:v>
      </x:c>
      <x:c r="I396" s="11" t="n">
        <x:f>E396-H396</x:f>
        <x:v>1.85</x:v>
      </x:c>
      <x:c r="J396" s="13" t="n">
        <x:f>D396/F396</x:f>
        <x:v>0.692141312184571</x:v>
      </x:c>
      <x:c r="K396" s="13" t="n">
        <x:v>0.4899285313214823</x:v>
      </x:c>
      <x:c r="L396" s="17" t="n">
        <x:v>-0.0049700758165225345</x:v>
      </x:c>
      <x:c r="M396" s="17" t="n">
        <x:v>0.32603987496130155</x:v>
      </x:c>
      <x:c r="N396" s="11" t="n">
        <x:f>'Option source'!C555</x:f>
        <x:v>40848.1</x:v>
      </x:c>
      <x:c r="O396" s="11" t="n">
        <x:f>'Option source'!G555</x:f>
        <x:v>1.51</x:v>
      </x:c>
      <x:c r="P396" s="11" t="n">
        <x:f>'Option source'!F555</x:f>
        <x:v>2.8</x:v>
      </x:c>
      <x:c r="Q396" s="1" t="str">
        <x:v>Screen passed; indicative</x:v>
      </x:c>
      <x:c r="R396" s="1" t="n">
        <x:v>550</x:v>
      </x:c>
    </x:row>
    <x:row r="397" ht="21" customHeight="1">
      <x:c r="A397" s="12" t="n">
        <x:v>46272</x:v>
      </x:c>
      <x:c r="B397" s="1" t="str">
        <x:v>GFGC9200OC</x:v>
      </x:c>
      <x:c r="C397" s="1" t="str">
        <x:v>call</x:v>
      </x:c>
      <x:c r="D397" s="11" t="n">
        <x:v>9200</x:v>
      </x:c>
      <x:c r="E397" s="11" t="n">
        <x:f>'Option source'!B441</x:f>
        <x:v>17.79</x:v>
      </x:c>
      <x:c r="F397" s="11" t="n">
        <x:v>6935</x:v>
      </x:c>
      <x:c r="G397" s="18" t="n">
        <x:v>39</x:v>
      </x:c>
      <x:c r="H397" s="11" t="n">
        <x:f>MAX(IF(C397="call",F397-D397,D397-F397),0)</x:f>
        <x:v>0</x:v>
      </x:c>
      <x:c r="I397" s="11" t="n">
        <x:f>E397-H397</x:f>
        <x:v>17.79</x:v>
      </x:c>
      <x:c r="J397" s="13" t="n">
        <x:f>D397/F397</x:f>
        <x:v>1.3266041816870944</x:v>
      </x:c>
      <x:c r="K397" s="13" t="n">
        <x:v>0.4363063204116786</x:v>
      </x:c>
      <x:c r="L397" s="17" t="n">
        <x:v>0.04593713288090673</x:v>
      </x:c>
      <x:c r="M397" s="17" t="n">
        <x:v>2.1846339656847134</x:v>
      </x:c>
      <x:c r="N397" s="11" t="n">
        <x:f>'Option source'!C441</x:f>
        <x:v>1386355.25</x:v>
      </x:c>
      <x:c r="O397" s="11" t="n">
        <x:f>'Option source'!G441</x:f>
        <x:v>16</x:v>
      </x:c>
      <x:c r="P397" s="11" t="n">
        <x:f>'Option source'!F441</x:f>
        <x:v>19</x:v>
      </x:c>
      <x:c r="Q397" s="1" t="str">
        <x:v>Screen passed; indicative</x:v>
      </x:c>
      <x:c r="R397" s="1" t="n">
        <x:v>436</x:v>
      </x:c>
    </x:row>
    <x:row r="398" ht="21" customHeight="1">
      <x:c r="A398" s="12" t="n">
        <x:v>46272</x:v>
      </x:c>
      <x:c r="B398" s="1" t="str">
        <x:v>GFGC4600OC</x:v>
      </x:c>
      <x:c r="C398" s="1" t="str">
        <x:v>call</x:v>
      </x:c>
      <x:c r="D398" s="11" t="n">
        <x:v>4600</x:v>
      </x:c>
      <x:c r="E398" s="11" t="n">
        <x:f>'Option source'!B56</x:f>
        <x:v>2499.74</x:v>
      </x:c>
      <x:c r="F398" s="11" t="n">
        <x:v>6935</x:v>
      </x:c>
      <x:c r="G398" s="18" t="n">
        <x:v>39</x:v>
      </x:c>
      <x:c r="H398" s="11" t="n">
        <x:f>MAX(IF(C398="call",F398-D398,D398-F398),0)</x:f>
        <x:v>2335</x:v>
      </x:c>
      <x:c r="I398" s="11" t="n">
        <x:f>E398-H398</x:f>
        <x:v>164.73999999999978</x:v>
      </x:c>
      <x:c r="J398" s="13" t="n">
        <x:f>D398/F398</x:f>
        <x:v>0.6633020908435472</x:v>
      </x:c>
      <x:c r="K398" s="13"/>
      <x:c r="L398" s="17"/>
      <x:c r="M398" s="17"/>
      <x:c r="N398" s="11" t="n">
        <x:f>'Option source'!C56</x:f>
        <x:v>1240847</x:v>
      </x:c>
      <x:c r="O398" s="11" t="n">
        <x:f>'Option source'!G56</x:f>
        <x:v>2409.51</x:v>
      </x:c>
      <x:c r="P398" s="11" t="n">
        <x:f>'Option source'!F56</x:f>
        <x:v>2409.51</x:v>
      </x:c>
      <x:c r="Q398" s="1" t="str">
        <x:v>Price outside daily range</x:v>
      </x:c>
      <x:c r="R398" s="1" t="n">
        <x:v>51</x:v>
      </x:c>
    </x:row>
    <x:row r="399" ht="21" customHeight="1">
      <x:c r="A399" s="12" t="n">
        <x:v>46272</x:v>
      </x:c>
      <x:c r="B399" s="1" t="str">
        <x:v>GFGV4600OC</x:v>
      </x:c>
      <x:c r="C399" s="1" t="str">
        <x:v>put</x:v>
      </x:c>
      <x:c r="D399" s="11" t="n">
        <x:v>4600</x:v>
      </x:c>
      <x:c r="E399" s="11" t="n">
        <x:f>'Option source'!B536</x:f>
        <x:v>1.47</x:v>
      </x:c>
      <x:c r="F399" s="11" t="n">
        <x:v>6935</x:v>
      </x:c>
      <x:c r="G399" s="18" t="n">
        <x:v>39</x:v>
      </x:c>
      <x:c r="H399" s="11" t="n">
        <x:f>MAX(IF(C399="call",F399-D399,D399-F399),0)</x:f>
        <x:v>0</x:v>
      </x:c>
      <x:c r="I399" s="11" t="n">
        <x:f>E399-H399</x:f>
        <x:v>1.47</x:v>
      </x:c>
      <x:c r="J399" s="13" t="n">
        <x:f>D399/F399</x:f>
        <x:v>0.6633020908435472</x:v>
      </x:c>
      <x:c r="K399" s="13" t="n">
        <x:v>0.5243779660542214</x:v>
      </x:c>
      <x:c r="L399" s="17" t="n">
        <x:v>-0.0038182533345754166</x:v>
      </x:c>
      <x:c r="M399" s="17" t="n">
        <x:v>0.2576023461488645</x:v>
      </x:c>
      <x:c r="N399" s="11" t="n">
        <x:f>'Option source'!C536</x:f>
        <x:v>27889.1</x:v>
      </x:c>
      <x:c r="O399" s="11" t="n">
        <x:f>'Option source'!G536</x:f>
        <x:v>0.8</x:v>
      </x:c>
      <x:c r="P399" s="11" t="n">
        <x:f>'Option source'!F536</x:f>
        <x:v>1.8</x:v>
      </x:c>
      <x:c r="Q399" s="1" t="str">
        <x:v>Screen passed; indicative</x:v>
      </x:c>
      <x:c r="R399" s="1" t="n">
        <x:v>531</x:v>
      </x:c>
    </x:row>
    <x:row r="400" ht="21" customHeight="1">
      <x:c r="A400" s="12" t="n">
        <x:v>46272</x:v>
      </x:c>
      <x:c r="B400" s="1" t="str">
        <x:v>GFGC4400OC</x:v>
      </x:c>
      <x:c r="C400" s="1" t="str">
        <x:v>call</x:v>
      </x:c>
      <x:c r="D400" s="11" t="n">
        <x:v>4400</x:v>
      </x:c>
      <x:c r="E400" s="11" t="n">
        <x:f>'Option source'!B37</x:f>
        <x:v>2762.2</x:v>
      </x:c>
      <x:c r="F400" s="11" t="n">
        <x:v>6935</x:v>
      </x:c>
      <x:c r="G400" s="18" t="n">
        <x:v>39</x:v>
      </x:c>
      <x:c r="H400" s="11" t="n">
        <x:f>MAX(IF(C400="call",F400-D400,D400-F400),0)</x:f>
        <x:v>2535</x:v>
      </x:c>
      <x:c r="I400" s="11" t="n">
        <x:f>E400-H400</x:f>
        <x:v>227.19999999999982</x:v>
      </x:c>
      <x:c r="J400" s="13" t="n">
        <x:f>D400/F400</x:f>
        <x:v>0.6344628695025234</x:v>
      </x:c>
      <x:c r="K400" s="13" t="n">
        <x:v>1.135304775925279</x:v>
      </x:c>
      <x:c r="L400" s="17" t="n">
        <x:v>0.9329242744328299</x:v>
      </x:c>
      <x:c r="M400" s="17" t="n">
        <x:v>2.94515866368985</x:v>
      </x:c>
      <x:c r="N400" s="11" t="n">
        <x:f>'Option source'!C37</x:f>
        <x:v>828660.88</x:v>
      </x:c>
      <x:c r="O400" s="11" t="n">
        <x:f>'Option source'!G37</x:f>
        <x:v>2619.23</x:v>
      </x:c>
      <x:c r="P400" s="11" t="n">
        <x:f>'Option source'!F37</x:f>
        <x:v>3006.1</x:v>
      </x:c>
      <x:c r="Q400" s="1" t="str">
        <x:v>Screen passed; indicative</x:v>
      </x:c>
      <x:c r="R400" s="1" t="n">
        <x:v>32</x:v>
      </x:c>
    </x:row>
    <x:row r="401" ht="21" customHeight="1">
      <x:c r="A401" s="12" t="n">
        <x:v>46272</x:v>
      </x:c>
      <x:c r="B401" s="1" t="str">
        <x:v>GFGV4400OC</x:v>
      </x:c>
      <x:c r="C401" s="1" t="str">
        <x:v>put</x:v>
      </x:c>
      <x:c r="D401" s="11" t="n">
        <x:v>4400</x:v>
      </x:c>
      <x:c r="E401" s="11" t="n">
        <x:f>'Option source'!B517</x:f>
        <x:v>1.25</x:v>
      </x:c>
      <x:c r="F401" s="11" t="n">
        <x:v>6935</x:v>
      </x:c>
      <x:c r="G401" s="18" t="n">
        <x:v>39</x:v>
      </x:c>
      <x:c r="H401" s="11" t="n">
        <x:f>MAX(IF(C401="call",F401-D401,D401-F401),0)</x:f>
        <x:v>0</x:v>
      </x:c>
      <x:c r="I401" s="11" t="n">
        <x:f>E401-H401</x:f>
        <x:v>1.25</x:v>
      </x:c>
      <x:c r="J401" s="13" t="n">
        <x:f>D401/F401</x:f>
        <x:v>0.6344628695025234</x:v>
      </x:c>
      <x:c r="K401" s="13" t="n">
        <x:v>0.5621143396544028</x:v>
      </x:c>
      <x:c r="L401" s="17" t="n">
        <x:v>-0.0030488157655560455</x:v>
      </x:c>
      <x:c r="M401" s="17" t="n">
        <x:v>0.21044077096435687</x:v>
      </x:c>
      <x:c r="N401" s="11" t="n">
        <x:f>'Option source'!C517</x:f>
        <x:v>14519.3</x:v>
      </x:c>
      <x:c r="O401" s="11" t="n">
        <x:f>'Option source'!G517</x:f>
        <x:v>0.89</x:v>
      </x:c>
      <x:c r="P401" s="11" t="n">
        <x:f>'Option source'!F517</x:f>
        <x:v>1.6</x:v>
      </x:c>
      <x:c r="Q401" s="1" t="str">
        <x:v>Screen passed; indicative</x:v>
      </x:c>
      <x:c r="R401" s="1" t="n">
        <x:v>512</x:v>
      </x:c>
    </x:row>
    <x:row r="402" ht="21" customHeight="1">
      <x:c r="A402" s="12" t="n">
        <x:v>46272</x:v>
      </x:c>
      <x:c r="B402" s="1" t="str">
        <x:v>GFGC9500OC</x:v>
      </x:c>
      <x:c r="C402" s="1" t="str">
        <x:v>call</x:v>
      </x:c>
      <x:c r="D402" s="11" t="n">
        <x:v>9500</x:v>
      </x:c>
      <x:c r="E402" s="11" t="n">
        <x:f>'Option source'!B460</x:f>
        <x:v>11.6</x:v>
      </x:c>
      <x:c r="F402" s="11" t="n">
        <x:v>6935</x:v>
      </x:c>
      <x:c r="G402" s="18" t="n">
        <x:v>39</x:v>
      </x:c>
      <x:c r="H402" s="11" t="n">
        <x:f>MAX(IF(C402="call",F402-D402,D402-F402),0)</x:f>
        <x:v>0</x:v>
      </x:c>
      <x:c r="I402" s="11" t="n">
        <x:f>E402-H402</x:f>
        <x:v>11.6</x:v>
      </x:c>
      <x:c r="J402" s="13" t="n">
        <x:f>D402/F402</x:f>
        <x:v>1.36986301369863</x:v>
      </x:c>
      <x:c r="K402" s="13" t="n">
        <x:v>0.4459564201848252</x:v>
      </x:c>
      <x:c r="L402" s="17" t="n">
        <x:v>0.03101212355398089</x:v>
      </x:c>
      <x:c r="M402" s="17" t="n">
        <x:v>1.5854264309948756</x:v>
      </x:c>
      <x:c r="N402" s="11" t="n">
        <x:f>'Option source'!C460</x:f>
        <x:v>1831529.25</x:v>
      </x:c>
      <x:c r="O402" s="11" t="n">
        <x:f>'Option source'!G460</x:f>
        <x:v>11</x:v>
      </x:c>
      <x:c r="P402" s="11" t="n">
        <x:f>'Option source'!F460</x:f>
        <x:v>12.99</x:v>
      </x:c>
      <x:c r="Q402" s="1" t="str">
        <x:v>Screen passed; indicative</x:v>
      </x:c>
      <x:c r="R402" s="1" t="n">
        <x:v>455</x:v>
      </x:c>
    </x:row>
    <x:row r="403" ht="21" customHeight="1">
      <x:c r="A403" s="12" t="n">
        <x:v>46272</x:v>
      </x:c>
      <x:c r="B403" s="1" t="str">
        <x:v>GFGC4200OC</x:v>
      </x:c>
      <x:c r="C403" s="1" t="str">
        <x:v>call</x:v>
      </x:c>
      <x:c r="D403" s="11" t="n">
        <x:v>4200</x:v>
      </x:c>
      <x:c r="E403" s="11" t="n">
        <x:f>'Option source'!B18</x:f>
        <x:v>2871.76</x:v>
      </x:c>
      <x:c r="F403" s="11" t="n">
        <x:v>6935</x:v>
      </x:c>
      <x:c r="G403" s="18" t="n">
        <x:v>39</x:v>
      </x:c>
      <x:c r="H403" s="11" t="n">
        <x:f>MAX(IF(C403="call",F403-D403,D403-F403),0)</x:f>
        <x:v>2735</x:v>
      </x:c>
      <x:c r="I403" s="11" t="n">
        <x:f>E403-H403</x:f>
        <x:v>136.76000000000022</x:v>
      </x:c>
      <x:c r="J403" s="13" t="n">
        <x:f>D403/F403</x:f>
        <x:v>0.6056236481614996</x:v>
      </x:c>
      <x:c r="K403" s="13" t="n">
        <x:v>0.7050583979315797</x:v>
      </x:c>
      <x:c r="L403" s="17" t="n">
        <x:v>0.9924570436745144</x:v>
      </x:c>
      <x:c r="M403" s="17" t="n">
        <x:v>0.4718266466385039</x:v>
      </x:c>
      <x:c r="N403" s="11" t="n">
        <x:f>'Option source'!C18</x:f>
        <x:v>2302020</x:v>
      </x:c>
      <x:c r="O403" s="11" t="n">
        <x:f>'Option source'!G18</x:f>
        <x:v>2813.9</x:v>
      </x:c>
      <x:c r="P403" s="11" t="n">
        <x:f>'Option source'!F18</x:f>
        <x:v>2889.09</x:v>
      </x:c>
      <x:c r="Q403" s="1" t="str">
        <x:v>Screen passed; indicative</x:v>
      </x:c>
      <x:c r="R403" s="1" t="n">
        <x:v>13</x:v>
      </x:c>
    </x:row>
    <x:row r="404" ht="21" customHeight="1">
      <x:c r="A404" s="12" t="n">
        <x:v>46272</x:v>
      </x:c>
      <x:c r="B404" s="1" t="str">
        <x:v>GFGV4200OC</x:v>
      </x:c>
      <x:c r="C404" s="1" t="str">
        <x:v>put</x:v>
      </x:c>
      <x:c r="D404" s="11" t="n">
        <x:v>4200</x:v>
      </x:c>
      <x:c r="E404" s="11" t="n">
        <x:f>'Option source'!B498</x:f>
        <x:v>0.82</x:v>
      </x:c>
      <x:c r="F404" s="11" t="n">
        <x:v>6935</x:v>
      </x:c>
      <x:c r="G404" s="18" t="n">
        <x:v>39</x:v>
      </x:c>
      <x:c r="H404" s="11" t="n">
        <x:f>MAX(IF(C404="call",F404-D404,D404-F404),0)</x:f>
        <x:v>0</x:v>
      </x:c>
      <x:c r="I404" s="11" t="n">
        <x:f>E404-H404</x:f>
        <x:v>0.82</x:v>
      </x:c>
      <x:c r="J404" s="13" t="n">
        <x:f>D404/F404</x:f>
        <x:v>0.6056236481614996</x:v>
      </x:c>
      <x:c r="K404" s="13" t="n">
        <x:v>0.5865128783146816</x:v>
      </x:c>
      <x:c r="L404" s="17" t="n">
        <x:v>-0.0019956003150111146</x:v>
      </x:c>
      <x:c r="M404" s="17" t="n">
        <x:v>0.14343873976998106</x:v>
      </x:c>
      <x:c r="N404" s="11" t="n">
        <x:f>'Option source'!C498</x:f>
        <x:v>71405</x:v>
      </x:c>
      <x:c r="O404" s="11" t="n">
        <x:f>'Option source'!G498</x:f>
        <x:v>0.8</x:v>
      </x:c>
      <x:c r="P404" s="11" t="n">
        <x:f>'Option source'!F498</x:f>
        <x:v>1.09</x:v>
      </x:c>
      <x:c r="Q404" s="1" t="str">
        <x:v>Screen passed; indicative</x:v>
      </x:c>
      <x:c r="R404" s="1" t="n">
        <x:v>493</x:v>
      </x:c>
    </x:row>
    <x:row r="405" ht="21" customHeight="1">
      <x:c r="A405" s="12" t="n">
        <x:v>46272</x:v>
      </x:c>
      <x:c r="B405" s="1" t="str">
        <x:v>GFGC9900OC</x:v>
      </x:c>
      <x:c r="C405" s="1" t="str">
        <x:v>call</x:v>
      </x:c>
      <x:c r="D405" s="11" t="n">
        <x:v>9900</x:v>
      </x:c>
      <x:c r="E405" s="11" t="n">
        <x:f>'Option source'!B479</x:f>
        <x:v>7</x:v>
      </x:c>
      <x:c r="F405" s="11" t="n">
        <x:v>6935</x:v>
      </x:c>
      <x:c r="G405" s="18" t="n">
        <x:v>39</x:v>
      </x:c>
      <x:c r="H405" s="11" t="n">
        <x:f>MAX(IF(C405="call",F405-D405,D405-F405),0)</x:f>
        <x:v>0</x:v>
      </x:c>
      <x:c r="I405" s="11" t="n">
        <x:f>E405-H405</x:f>
        <x:v>7</x:v>
      </x:c>
      <x:c r="J405" s="13" t="n">
        <x:f>D405/F405</x:f>
        <x:v>1.4275414563806776</x:v>
      </x:c>
      <x:c r="K405" s="13" t="n">
        <x:v>0.46184143906831077</x:v>
      </x:c>
      <x:c r="L405" s="17" t="n">
        <x:v>0.01922486497932698</x:v>
      </x:c>
      <x:c r="M405" s="17" t="n">
        <x:v>1.0613609133031512</x:v>
      </x:c>
      <x:c r="N405" s="11" t="n">
        <x:f>'Option source'!C479</x:f>
        <x:v>1578948.25</x:v>
      </x:c>
      <x:c r="O405" s="11" t="n">
        <x:f>'Option source'!G479</x:f>
        <x:v>6.48</x:v>
      </x:c>
      <x:c r="P405" s="11" t="n">
        <x:f>'Option source'!F479</x:f>
        <x:v>7.99</x:v>
      </x:c>
      <x:c r="Q405" s="1" t="str">
        <x:v>Screen passed; indicative</x:v>
      </x:c>
      <x:c r="R405" s="1" t="n">
        <x:v>474</x:v>
      </x:c>
    </x:row>
    <x:row r="406" ht="21" customHeight="1">
      <x:c r="A406" s="12" t="n">
        <x:v>46269</x:v>
      </x:c>
      <x:c r="B406" s="1" t="str">
        <x:v>GFGC7000OC</x:v>
      </x:c>
      <x:c r="C406" s="1" t="str">
        <x:v>call</x:v>
      </x:c>
      <x:c r="D406" s="11" t="n">
        <x:v>7000</x:v>
      </x:c>
      <x:c r="E406" s="11" t="n">
        <x:f>'Option source'!B269</x:f>
        <x:v>501.55</x:v>
      </x:c>
      <x:c r="F406" s="11" t="n">
        <x:v>7005</x:v>
      </x:c>
      <x:c r="G406" s="18" t="n">
        <x:v>42</x:v>
      </x:c>
      <x:c r="H406" s="11" t="n">
        <x:f>MAX(IF(C406="call",F406-D406,D406-F406),0)</x:f>
        <x:v>5</x:v>
      </x:c>
      <x:c r="I406" s="11" t="n">
        <x:f>E406-H406</x:f>
        <x:v>496.55</x:v>
      </x:c>
      <x:c r="J406" s="13" t="n">
        <x:f>D406/F406</x:f>
        <x:v>0.9992862241256245</x:v>
      </x:c>
      <x:c r="K406" s="13" t="n">
        <x:v>0.3949748616044194</x:v>
      </x:c>
      <x:c r="L406" s="17" t="n">
        <x:v>0.6292888343377943</x:v>
      </x:c>
      <x:c r="M406" s="17" t="n">
        <x:v>8.97745685255215</x:v>
      </x:c>
      <x:c r="N406" s="11" t="n">
        <x:f>'Option source'!C269</x:f>
        <x:v>257316112</x:v>
      </x:c>
      <x:c r="O406" s="11" t="n">
        <x:f>'Option source'!G269</x:f>
        <x:v>475</x:v>
      </x:c>
      <x:c r="P406" s="11" t="n">
        <x:f>'Option source'!F269</x:f>
        <x:v>547.89</x:v>
      </x:c>
      <x:c r="Q406" s="1" t="str">
        <x:v>Screen passed; indicative</x:v>
      </x:c>
      <x:c r="R406" s="1" t="n">
        <x:v>264</x:v>
      </x:c>
    </x:row>
    <x:row r="407" ht="21" customHeight="1">
      <x:c r="A407" s="12" t="n">
        <x:v>46269</x:v>
      </x:c>
      <x:c r="B407" s="1" t="str">
        <x:v>GFGV7000OC</x:v>
      </x:c>
      <x:c r="C407" s="1" t="str">
        <x:v>put</x:v>
      </x:c>
      <x:c r="D407" s="11" t="n">
        <x:v>7000</x:v>
      </x:c>
      <x:c r="E407" s="11" t="n">
        <x:f>'Option source'!B763</x:f>
        <x:v>319.58</x:v>
      </x:c>
      <x:c r="F407" s="11" t="n">
        <x:v>7005</x:v>
      </x:c>
      <x:c r="G407" s="18" t="n">
        <x:v>42</x:v>
      </x:c>
      <x:c r="H407" s="11" t="n">
        <x:f>MAX(IF(C407="call",F407-D407,D407-F407),0)</x:f>
        <x:v>0</x:v>
      </x:c>
      <x:c r="I407" s="11" t="n">
        <x:f>E407-H407</x:f>
        <x:v>319.58</x:v>
      </x:c>
      <x:c r="J407" s="13" t="n">
        <x:f>D407/F407</x:f>
        <x:v>0.9992862241256245</x:v>
      </x:c>
      <x:c r="K407" s="13" t="n">
        <x:v>0.4360122773752557</x:v>
      </x:c>
      <x:c r="L407" s="17" t="n">
        <x:v>-0.3774521949153311</x:v>
      </x:c>
      <x:c r="M407" s="17" t="n">
        <x:v>9.028885757961625</x:v>
      </x:c>
      <x:c r="N407" s="11" t="n">
        <x:f>'Option source'!C763</x:f>
        <x:v>132573840</x:v>
      </x:c>
      <x:c r="O407" s="11" t="n">
        <x:f>'Option source'!G763</x:f>
        <x:v>290</x:v>
      </x:c>
      <x:c r="P407" s="11" t="n">
        <x:f>'Option source'!F763</x:f>
        <x:v>366</x:v>
      </x:c>
      <x:c r="Q407" s="1" t="str">
        <x:v>Screen passed; indicative</x:v>
      </x:c>
      <x:c r="R407" s="1" t="n">
        <x:v>758</x:v>
      </x:c>
    </x:row>
    <x:row r="408" ht="21" customHeight="1">
      <x:c r="A408" s="12" t="n">
        <x:v>46269</x:v>
      </x:c>
      <x:c r="B408" s="1" t="str">
        <x:v>GFGC7200OC</x:v>
      </x:c>
      <x:c r="C408" s="1" t="str">
        <x:v>call</x:v>
      </x:c>
      <x:c r="D408" s="11" t="n">
        <x:v>7200</x:v>
      </x:c>
      <x:c r="E408" s="11" t="n">
        <x:f>'Option source'!B288</x:f>
        <x:v>399.74</x:v>
      </x:c>
      <x:c r="F408" s="11" t="n">
        <x:v>7005</x:v>
      </x:c>
      <x:c r="G408" s="18" t="n">
        <x:v>42</x:v>
      </x:c>
      <x:c r="H408" s="11" t="n">
        <x:f>MAX(IF(C408="call",F408-D408,D408-F408),0)</x:f>
        <x:v>0</x:v>
      </x:c>
      <x:c r="I408" s="11" t="n">
        <x:f>E408-H408</x:f>
        <x:v>399.74</x:v>
      </x:c>
      <x:c r="J408" s="13" t="n">
        <x:f>D408/F408</x:f>
        <x:v>1.0278372591006424</x:v>
      </x:c>
      <x:c r="K408" s="13" t="n">
        <x:v>0.39682362642535496</x:v>
      </x:c>
      <x:c r="L408" s="17" t="n">
        <x:v>0.5476713891986509</x:v>
      </x:c>
      <x:c r="M408" s="17" t="n">
        <x:v>9.411978785621335</x:v>
      </x:c>
      <x:c r="N408" s="11" t="n">
        <x:f>'Option source'!C288</x:f>
        <x:v>189516416</x:v>
      </x:c>
      <x:c r="O408" s="11" t="n">
        <x:f>'Option source'!G288</x:f>
        <x:v>381</x:v>
      </x:c>
      <x:c r="P408" s="11" t="n">
        <x:f>'Option source'!F288</x:f>
        <x:v>440</x:v>
      </x:c>
      <x:c r="Q408" s="1" t="str">
        <x:v>Screen passed; indicative</x:v>
      </x:c>
      <x:c r="R408" s="1" t="n">
        <x:v>283</x:v>
      </x:c>
    </x:row>
    <x:row r="409" ht="21" customHeight="1">
      <x:c r="A409" s="12" t="n">
        <x:v>46269</x:v>
      </x:c>
      <x:c r="B409" s="1" t="str">
        <x:v>GFGV7200OC</x:v>
      </x:c>
      <x:c r="C409" s="1" t="str">
        <x:v>put</x:v>
      </x:c>
      <x:c r="D409" s="11" t="n">
        <x:v>7200</x:v>
      </x:c>
      <x:c r="E409" s="11" t="n">
        <x:f>'Option source'!B782</x:f>
        <x:v>420.47</x:v>
      </x:c>
      <x:c r="F409" s="11" t="n">
        <x:v>7005</x:v>
      </x:c>
      <x:c r="G409" s="18" t="n">
        <x:v>42</x:v>
      </x:c>
      <x:c r="H409" s="11" t="n">
        <x:f>MAX(IF(C409="call",F409-D409,D409-F409),0)</x:f>
        <x:v>195</x:v>
      </x:c>
      <x:c r="I409" s="11" t="n">
        <x:f>E409-H409</x:f>
        <x:v>225.47000000000003</x:v>
      </x:c>
      <x:c r="J409" s="13" t="n">
        <x:f>D409/F409</x:f>
        <x:v>1.0278372591006424</x:v>
      </x:c>
      <x:c r="K409" s="13" t="n">
        <x:v>0.4341726542665224</x:v>
      </x:c>
      <x:c r="L409" s="17" t="n">
        <x:v>-0.45160756808780933</x:v>
      </x:c>
      <x:c r="M409" s="17" t="n">
        <x:v>9.40991092856477</x:v>
      </x:c>
      <x:c r="N409" s="11" t="n">
        <x:f>'Option source'!C782</x:f>
        <x:v>30078318</x:v>
      </x:c>
      <x:c r="O409" s="11" t="n">
        <x:f>'Option source'!G782</x:f>
        <x:v>385</x:v>
      </x:c>
      <x:c r="P409" s="11" t="n">
        <x:f>'Option source'!F782</x:f>
        <x:v>455</x:v>
      </x:c>
      <x:c r="Q409" s="1" t="str">
        <x:v>Screen passed; indicative</x:v>
      </x:c>
      <x:c r="R409" s="1" t="n">
        <x:v>777</x:v>
      </x:c>
    </x:row>
    <x:row r="410" ht="21" customHeight="1">
      <x:c r="A410" s="12" t="n">
        <x:v>46269</x:v>
      </x:c>
      <x:c r="B410" s="1" t="str">
        <x:v>GFGC6800OC</x:v>
      </x:c>
      <x:c r="C410" s="1" t="str">
        <x:v>call</x:v>
      </x:c>
      <x:c r="D410" s="11" t="n">
        <x:v>6800</x:v>
      </x:c>
      <x:c r="E410" s="11" t="n">
        <x:f>'Option source'!B250</x:f>
        <x:v>616.63</x:v>
      </x:c>
      <x:c r="F410" s="11" t="n">
        <x:v>7005</x:v>
      </x:c>
      <x:c r="G410" s="18" t="n">
        <x:v>42</x:v>
      </x:c>
      <x:c r="H410" s="11" t="n">
        <x:f>MAX(IF(C410="call",F410-D410,D410-F410),0)</x:f>
        <x:v>205</x:v>
      </x:c>
      <x:c r="I410" s="11" t="n">
        <x:f>E410-H410</x:f>
        <x:v>411.63</x:v>
      </x:c>
      <x:c r="J410" s="13" t="n">
        <x:f>D410/F410</x:f>
        <x:v>0.9707351891506067</x:v>
      </x:c>
      <x:c r="K410" s="13" t="n">
        <x:v>0.38941375254594834</x:v>
      </x:c>
      <x:c r="L410" s="17" t="n">
        <x:v>0.7096031556494642</x:v>
      </x:c>
      <x:c r="M410" s="17" t="n">
        <x:v>8.13910503929031</x:v>
      </x:c>
      <x:c r="N410" s="11" t="n">
        <x:f>'Option source'!C250</x:f>
        <x:v>101920112</x:v>
      </x:c>
      <x:c r="O410" s="11" t="n">
        <x:f>'Option source'!G250</x:f>
        <x:v>557.3</x:v>
      </x:c>
      <x:c r="P410" s="11" t="n">
        <x:f>'Option source'!F250</x:f>
        <x:v>669.98</x:v>
      </x:c>
      <x:c r="Q410" s="1" t="str">
        <x:v>Screen passed; indicative</x:v>
      </x:c>
      <x:c r="R410" s="1" t="n">
        <x:v>245</x:v>
      </x:c>
    </x:row>
    <x:row r="411" ht="21" customHeight="1">
      <x:c r="A411" s="12" t="n">
        <x:v>46269</x:v>
      </x:c>
      <x:c r="B411" s="1" t="str">
        <x:v>GFGV6800OC</x:v>
      </x:c>
      <x:c r="C411" s="1" t="str">
        <x:v>put</x:v>
      </x:c>
      <x:c r="D411" s="11" t="n">
        <x:v>6800</x:v>
      </x:c>
      <x:c r="E411" s="11" t="n">
        <x:f>'Option source'!B744</x:f>
        <x:v>237.19</x:v>
      </x:c>
      <x:c r="F411" s="11" t="n">
        <x:v>7005</x:v>
      </x:c>
      <x:c r="G411" s="18" t="n">
        <x:v>42</x:v>
      </x:c>
      <x:c r="H411" s="11" t="n">
        <x:f>MAX(IF(C411="call",F411-D411,D411-F411),0)</x:f>
        <x:v>0</x:v>
      </x:c>
      <x:c r="I411" s="11" t="n">
        <x:f>E411-H411</x:f>
        <x:v>237.19</x:v>
      </x:c>
      <x:c r="J411" s="13" t="n">
        <x:f>D411/F411</x:f>
        <x:v>0.9707351891506067</x:v>
      </x:c>
      <x:c r="K411" s="13" t="n">
        <x:v>0.4379577788089367</x:v>
      </x:c>
      <x:c r="L411" s="17" t="n">
        <x:v>-0.30622812997449655</x:v>
      </x:c>
      <x:c r="M411" s="17" t="n">
        <x:v>8.338222558576774</x:v>
      </x:c>
      <x:c r="N411" s="11" t="n">
        <x:f>'Option source'!C744</x:f>
        <x:v>58824368</x:v>
      </x:c>
      <x:c r="O411" s="11" t="n">
        <x:f>'Option source'!G744</x:f>
        <x:v>228</x:v>
      </x:c>
      <x:c r="P411" s="11" t="n">
        <x:f>'Option source'!F744</x:f>
        <x:v>284</x:v>
      </x:c>
      <x:c r="Q411" s="1" t="str">
        <x:v>Screen passed; indicative</x:v>
      </x:c>
      <x:c r="R411" s="1" t="n">
        <x:v>739</x:v>
      </x:c>
    </x:row>
    <x:row r="412" ht="21" customHeight="1">
      <x:c r="A412" s="12" t="n">
        <x:v>46269</x:v>
      </x:c>
      <x:c r="B412" s="1" t="str">
        <x:v>GFGC7400OC</x:v>
      </x:c>
      <x:c r="C412" s="1" t="str">
        <x:v>call</x:v>
      </x:c>
      <x:c r="D412" s="11" t="n">
        <x:v>7400</x:v>
      </x:c>
      <x:c r="E412" s="11" t="n">
        <x:f>'Option source'!B307</x:f>
        <x:v>315.27</x:v>
      </x:c>
      <x:c r="F412" s="11" t="n">
        <x:v>7005</x:v>
      </x:c>
      <x:c r="G412" s="18" t="n">
        <x:v>42</x:v>
      </x:c>
      <x:c r="H412" s="11" t="n">
        <x:f>MAX(IF(C412="call",F412-D412,D412-F412),0)</x:f>
        <x:v>0</x:v>
      </x:c>
      <x:c r="I412" s="11" t="n">
        <x:f>E412-H412</x:f>
        <x:v>315.27</x:v>
      </x:c>
      <x:c r="J412" s="13" t="n">
        <x:f>D412/F412</x:f>
        <x:v>1.0563882940756602</x:v>
      </x:c>
      <x:c r="K412" s="13" t="n">
        <x:v>0.4001571429451255</x:v>
      </x:c>
      <x:c r="L412" s="17" t="n">
        <x:v>0.4673472159011899</x:v>
      </x:c>
      <x:c r="M412" s="17" t="n">
        <x:v>9.44796893346615</x:v>
      </x:c>
      <x:c r="N412" s="11" t="n">
        <x:f>'Option source'!C307</x:f>
        <x:v>148316400</x:v>
      </x:c>
      <x:c r="O412" s="11" t="n">
        <x:f>'Option source'!G307</x:f>
        <x:v>300</x:v>
      </x:c>
      <x:c r="P412" s="11" t="n">
        <x:f>'Option source'!F307</x:f>
        <x:v>352</x:v>
      </x:c>
      <x:c r="Q412" s="1" t="str">
        <x:v>Screen passed; indicative</x:v>
      </x:c>
      <x:c r="R412" s="1" t="n">
        <x:v>302</x:v>
      </x:c>
    </x:row>
    <x:row r="413" ht="21" customHeight="1">
      <x:c r="A413" s="12" t="n">
        <x:v>46269</x:v>
      </x:c>
      <x:c r="B413" s="1" t="str">
        <x:v>GFGV7400OC</x:v>
      </x:c>
      <x:c r="C413" s="1" t="str">
        <x:v>put</x:v>
      </x:c>
      <x:c r="D413" s="11" t="n">
        <x:v>7400</x:v>
      </x:c>
      <x:c r="E413" s="11" t="n">
        <x:f>'Option source'!B801</x:f>
        <x:v>534.3</x:v>
      </x:c>
      <x:c r="F413" s="11" t="n">
        <x:v>7005</x:v>
      </x:c>
      <x:c r="G413" s="18" t="n">
        <x:v>42</x:v>
      </x:c>
      <x:c r="H413" s="11" t="n">
        <x:f>MAX(IF(C413="call",F413-D413,D413-F413),0)</x:f>
        <x:v>395</x:v>
      </x:c>
      <x:c r="I413" s="11" t="n">
        <x:f>E413-H413</x:f>
        <x:v>139.29999999999995</x:v>
      </x:c>
      <x:c r="J413" s="13" t="n">
        <x:f>D413/F413</x:f>
        <x:v>1.0563882940756602</x:v>
      </x:c>
      <x:c r="K413" s="13" t="n">
        <x:v>0.42708327970311766</x:v>
      </x:c>
      <x:c r="L413" s="17" t="n">
        <x:v>-0.5270785526891448</x:v>
      </x:c>
      <x:c r="M413" s="17" t="n">
        <x:v>9.45789422644873</x:v>
      </x:c>
      <x:c r="N413" s="11" t="n">
        <x:f>'Option source'!C801</x:f>
        <x:v>1949192</x:v>
      </x:c>
      <x:c r="O413" s="11" t="n">
        <x:f>'Option source'!G801</x:f>
        <x:v>500.95</x:v>
      </x:c>
      <x:c r="P413" s="11" t="n">
        <x:f>'Option source'!F801</x:f>
        <x:v>570</x:v>
      </x:c>
      <x:c r="Q413" s="1" t="str">
        <x:v>Screen passed; indicative</x:v>
      </x:c>
      <x:c r="R413" s="1" t="n">
        <x:v>796</x:v>
      </x:c>
    </x:row>
    <x:row r="414" ht="21" customHeight="1">
      <x:c r="A414" s="12" t="n">
        <x:v>46269</x:v>
      </x:c>
      <x:c r="B414" s="1" t="str">
        <x:v>GFGC6600OC</x:v>
      </x:c>
      <x:c r="C414" s="1" t="str">
        <x:v>call</x:v>
      </x:c>
      <x:c r="D414" s="11" t="n">
        <x:v>6600</x:v>
      </x:c>
      <x:c r="E414" s="11" t="n">
        <x:f>'Option source'!B231</x:f>
        <x:v>738.92</x:v>
      </x:c>
      <x:c r="F414" s="11" t="n">
        <x:v>7005</x:v>
      </x:c>
      <x:c r="G414" s="18" t="n">
        <x:v>42</x:v>
      </x:c>
      <x:c r="H414" s="11" t="n">
        <x:f>MAX(IF(C414="call",F414-D414,D414-F414),0)</x:f>
        <x:v>405</x:v>
      </x:c>
      <x:c r="I414" s="11" t="n">
        <x:f>E414-H414</x:f>
        <x:v>333.91999999999996</x:v>
      </x:c>
      <x:c r="J414" s="13" t="n">
        <x:f>D414/F414</x:f>
        <x:v>0.9421841541755889</x:v>
      </x:c>
      <x:c r="K414" s="13" t="n">
        <x:v>0.36998015566915987</x:v>
      </x:c>
      <x:c r="L414" s="17" t="n">
        <x:v>0.7916993632912642</x:v>
      </x:c>
      <x:c r="M414" s="17" t="n">
        <x:v>6.815608862384043</x:v>
      </x:c>
      <x:c r="N414" s="11" t="n">
        <x:f>'Option source'!C231</x:f>
        <x:v>34423560</x:v>
      </x:c>
      <x:c r="O414" s="11" t="n">
        <x:f>'Option source'!G231</x:f>
        <x:v>710.1</x:v>
      </x:c>
      <x:c r="P414" s="11" t="n">
        <x:f>'Option source'!F231</x:f>
        <x:v>814</x:v>
      </x:c>
      <x:c r="Q414" s="1" t="str">
        <x:v>Screen passed; indicative</x:v>
      </x:c>
      <x:c r="R414" s="1" t="n">
        <x:v>226</x:v>
      </x:c>
    </x:row>
    <x:row r="415" ht="21" customHeight="1">
      <x:c r="A415" s="12" t="n">
        <x:v>46269</x:v>
      </x:c>
      <x:c r="B415" s="1" t="str">
        <x:v>GFGV6600OC</x:v>
      </x:c>
      <x:c r="C415" s="1" t="str">
        <x:v>put</x:v>
      </x:c>
      <x:c r="D415" s="11" t="n">
        <x:v>6600</x:v>
      </x:c>
      <x:c r="E415" s="11" t="n">
        <x:f>'Option source'!B725</x:f>
        <x:v>169.4</x:v>
      </x:c>
      <x:c r="F415" s="11" t="n">
        <x:v>7005</x:v>
      </x:c>
      <x:c r="G415" s="18" t="n">
        <x:v>42</x:v>
      </x:c>
      <x:c r="H415" s="11" t="n">
        <x:f>MAX(IF(C415="call",F415-D415,D415-F415),0)</x:f>
        <x:v>0</x:v>
      </x:c>
      <x:c r="I415" s="11" t="n">
        <x:f>E415-H415</x:f>
        <x:v>169.4</x:v>
      </x:c>
      <x:c r="J415" s="13" t="n">
        <x:f>D415/F415</x:f>
        <x:v>0.9421841541755889</x:v>
      </x:c>
      <x:c r="K415" s="13" t="n">
        <x:v>0.43875449344207595</x:v>
      </x:c>
      <x:c r="L415" s="17" t="n">
        <x:v>-0.23993844008145082</x:v>
      </x:c>
      <x:c r="M415" s="17" t="n">
        <x:v>7.385992666430153</x:v>
      </x:c>
      <x:c r="N415" s="11" t="n">
        <x:f>'Option source'!C725</x:f>
        <x:v>109030056</x:v>
      </x:c>
      <x:c r="O415" s="11" t="n">
        <x:f>'Option source'!G725</x:f>
        <x:v>160</x:v>
      </x:c>
      <x:c r="P415" s="11" t="n">
        <x:f>'Option source'!F725</x:f>
        <x:v>200</x:v>
      </x:c>
      <x:c r="Q415" s="1" t="str">
        <x:v>Screen passed; indicative</x:v>
      </x:c>
      <x:c r="R415" s="1" t="n">
        <x:v>720</x:v>
      </x:c>
    </x:row>
    <x:row r="416" ht="21" customHeight="1">
      <x:c r="A416" s="12" t="n">
        <x:v>46269</x:v>
      </x:c>
      <x:c r="B416" s="1" t="str">
        <x:v>GFGC7600OC</x:v>
      </x:c>
      <x:c r="C416" s="1" t="str">
        <x:v>call</x:v>
      </x:c>
      <x:c r="D416" s="11" t="n">
        <x:v>7600</x:v>
      </x:c>
      <x:c r="E416" s="11" t="n">
        <x:f>'Option source'!B326</x:f>
        <x:v>246.84</x:v>
      </x:c>
      <x:c r="F416" s="11" t="n">
        <x:v>7005</x:v>
      </x:c>
      <x:c r="G416" s="18" t="n">
        <x:v>42</x:v>
      </x:c>
      <x:c r="H416" s="11" t="n">
        <x:f>MAX(IF(C416="call",F416-D416,D416-F416),0)</x:f>
        <x:v>0</x:v>
      </x:c>
      <x:c r="I416" s="11" t="n">
        <x:f>E416-H416</x:f>
        <x:v>246.84</x:v>
      </x:c>
      <x:c r="J416" s="13" t="n">
        <x:f>D416/F416</x:f>
        <x:v>1.0849393290506781</x:v>
      </x:c>
      <x:c r="K416" s="13" t="n">
        <x:v>0.4047927722156722</x:v>
      </x:c>
      <x:c r="L416" s="17" t="n">
        <x:v>0.3921754672813491</x:v>
      </x:c>
      <x:c r="M416" s="17" t="n">
        <x:v>9.131351933775106</x:v>
      </x:c>
      <x:c r="N416" s="11" t="n">
        <x:f>'Option source'!C326</x:f>
        <x:v>310533568</x:v>
      </x:c>
      <x:c r="O416" s="11" t="n">
        <x:f>'Option source'!G326</x:f>
        <x:v>216</x:v>
      </x:c>
      <x:c r="P416" s="11" t="n">
        <x:f>'Option source'!F326</x:f>
        <x:v>282</x:v>
      </x:c>
      <x:c r="Q416" s="1" t="str">
        <x:v>Screen passed; indicative</x:v>
      </x:c>
      <x:c r="R416" s="1" t="n">
        <x:v>321</x:v>
      </x:c>
    </x:row>
    <x:row r="417" ht="21" customHeight="1">
      <x:c r="A417" s="12" t="n">
        <x:v>46269</x:v>
      </x:c>
      <x:c r="B417" s="1" t="str">
        <x:v>GFGV7600OC</x:v>
      </x:c>
      <x:c r="C417" s="1" t="str">
        <x:v>put</x:v>
      </x:c>
      <x:c r="D417" s="11" t="n">
        <x:v>7600</x:v>
      </x:c>
      <x:c r="E417" s="11" t="n">
        <x:f>'Option source'!B820</x:f>
        <x:v>660</x:v>
      </x:c>
      <x:c r="F417" s="11" t="n">
        <x:v>7005</x:v>
      </x:c>
      <x:c r="G417" s="18" t="n">
        <x:v>42</x:v>
      </x:c>
      <x:c r="H417" s="11" t="n">
        <x:f>MAX(IF(C417="call",F417-D417,D417-F417),0)</x:f>
        <x:v>595</x:v>
      </x:c>
      <x:c r="I417" s="11" t="n">
        <x:f>E417-H417</x:f>
        <x:v>65</x:v>
      </x:c>
      <x:c r="J417" s="13" t="n">
        <x:f>D417/F417</x:f>
        <x:v>1.0849393290506781</x:v>
      </x:c>
      <x:c r="K417" s="13" t="n">
        <x:v>0.40939026296969616</x:v>
      </x:c>
      <x:c r="L417" s="17" t="n">
        <x:v>-0.6060465204411465</x:v>
      </x:c>
      <x:c r="M417" s="17" t="n">
        <x:v>9.142815943859882</x:v>
      </x:c>
      <x:c r="N417" s="11" t="n">
        <x:f>'Option source'!C820</x:f>
        <x:v>5147195.5</x:v>
      </x:c>
      <x:c r="O417" s="11" t="n">
        <x:f>'Option source'!G820</x:f>
        <x:v>640</x:v>
      </x:c>
      <x:c r="P417" s="11" t="n">
        <x:f>'Option source'!F820</x:f>
        <x:v>695.98</x:v>
      </x:c>
      <x:c r="Q417" s="1" t="str">
        <x:v>Screen passed; indicative</x:v>
      </x:c>
      <x:c r="R417" s="1" t="n">
        <x:v>815</x:v>
      </x:c>
    </x:row>
    <x:row r="418" ht="21" customHeight="1">
      <x:c r="A418" s="12" t="n">
        <x:v>46269</x:v>
      </x:c>
      <x:c r="B418" s="1" t="str">
        <x:v>GFGC6400OC</x:v>
      </x:c>
      <x:c r="C418" s="1" t="str">
        <x:v>call</x:v>
      </x:c>
      <x:c r="D418" s="11" t="n">
        <x:v>6400</x:v>
      </x:c>
      <x:c r="E418" s="11" t="n">
        <x:f>'Option source'!B212</x:f>
        <x:v>850</x:v>
      </x:c>
      <x:c r="F418" s="11" t="n">
        <x:v>7005</x:v>
      </x:c>
      <x:c r="G418" s="18" t="n">
        <x:v>42</x:v>
      </x:c>
      <x:c r="H418" s="11" t="n">
        <x:f>MAX(IF(C418="call",F418-D418,D418-F418),0)</x:f>
        <x:v>605</x:v>
      </x:c>
      <x:c r="I418" s="11" t="n">
        <x:f>E418-H418</x:f>
        <x:v>245</x:v>
      </x:c>
      <x:c r="J418" s="13" t="n">
        <x:f>D418/F418</x:f>
        <x:v>0.913633119200571</x:v>
      </x:c>
      <x:c r="K418" s="13"/>
      <x:c r="L418" s="17"/>
      <x:c r="M418" s="17"/>
      <x:c r="N418" s="11" t="n">
        <x:f>'Option source'!C212</x:f>
        <x:v>49858820</x:v>
      </x:c>
      <x:c r="O418" s="11" t="n">
        <x:f>'Option source'!G212</x:f>
        <x:v>865</x:v>
      </x:c>
      <x:c r="P418" s="11" t="n">
        <x:f>'Option source'!F212</x:f>
        <x:v>964.56</x:v>
      </x:c>
      <x:c r="Q418" s="1" t="str">
        <x:v>Price outside daily range</x:v>
      </x:c>
      <x:c r="R418" s="1" t="n">
        <x:v>207</x:v>
      </x:c>
    </x:row>
    <x:row r="419" ht="21" customHeight="1">
      <x:c r="A419" s="12" t="n">
        <x:v>46269</x:v>
      </x:c>
      <x:c r="B419" s="1" t="str">
        <x:v>GFGV6400OC</x:v>
      </x:c>
      <x:c r="C419" s="1" t="str">
        <x:v>put</x:v>
      </x:c>
      <x:c r="D419" s="11" t="n">
        <x:v>6400</x:v>
      </x:c>
      <x:c r="E419" s="11" t="n">
        <x:f>'Option source'!B706</x:f>
        <x:v>116.45</x:v>
      </x:c>
      <x:c r="F419" s="11" t="n">
        <x:v>7005</x:v>
      </x:c>
      <x:c r="G419" s="18" t="n">
        <x:v>42</x:v>
      </x:c>
      <x:c r="H419" s="11" t="n">
        <x:f>MAX(IF(C419="call",F419-D419,D419-F419),0)</x:f>
        <x:v>0</x:v>
      </x:c>
      <x:c r="I419" s="11" t="n">
        <x:f>E419-H419</x:f>
        <x:v>116.45</x:v>
      </x:c>
      <x:c r="J419" s="13" t="n">
        <x:f>D419/F419</x:f>
        <x:v>0.913633119200571</x:v>
      </x:c>
      <x:c r="K419" s="13" t="n">
        <x:v>0.4389915362725193</x:v>
      </x:c>
      <x:c r="L419" s="17" t="n">
        <x:v>-0.18066321167375032</x:v>
      </x:c>
      <x:c r="M419" s="17" t="n">
        <x:v>6.249603135884211</x:v>
      </x:c>
      <x:c r="N419" s="11" t="n">
        <x:f>'Option source'!C706</x:f>
        <x:v>58862520</x:v>
      </x:c>
      <x:c r="O419" s="11" t="n">
        <x:f>'Option source'!G706</x:f>
        <x:v>109.89</x:v>
      </x:c>
      <x:c r="P419" s="11" t="n">
        <x:f>'Option source'!F706</x:f>
        <x:v>140</x:v>
      </x:c>
      <x:c r="Q419" s="1" t="str">
        <x:v>Screen passed; indicative</x:v>
      </x:c>
      <x:c r="R419" s="1" t="n">
        <x:v>701</x:v>
      </x:c>
    </x:row>
    <x:row r="420" ht="21" customHeight="1">
      <x:c r="A420" s="12" t="n">
        <x:v>46269</x:v>
      </x:c>
      <x:c r="B420" s="1" t="str">
        <x:v>GFGC7800OC</x:v>
      </x:c>
      <x:c r="C420" s="1" t="str">
        <x:v>call</x:v>
      </x:c>
      <x:c r="D420" s="11" t="n">
        <x:v>7800</x:v>
      </x:c>
      <x:c r="E420" s="11" t="n">
        <x:f>'Option source'!B345</x:f>
        <x:v>186.47</x:v>
      </x:c>
      <x:c r="F420" s="11" t="n">
        <x:v>7005</x:v>
      </x:c>
      <x:c r="G420" s="18" t="n">
        <x:v>42</x:v>
      </x:c>
      <x:c r="H420" s="11" t="n">
        <x:f>MAX(IF(C420="call",F420-D420,D420-F420),0)</x:f>
        <x:v>0</x:v>
      </x:c>
      <x:c r="I420" s="11" t="n">
        <x:f>E420-H420</x:f>
        <x:v>186.47</x:v>
      </x:c>
      <x:c r="J420" s="13" t="n">
        <x:f>D420/F420</x:f>
        <x:v>1.113490364025696</x:v>
      </x:c>
      <x:c r="K420" s="13" t="n">
        <x:v>0.40348877160367835</x:v>
      </x:c>
      <x:c r="L420" s="17" t="n">
        <x:v>0.32105077563438955</x:v>
      </x:c>
      <x:c r="M420" s="17" t="n">
        <x:v>8.509258323164056</x:v>
      </x:c>
      <x:c r="N420" s="11" t="n">
        <x:f>'Option source'!C345</x:f>
        <x:v>154200416</x:v>
      </x:c>
      <x:c r="O420" s="11" t="n">
        <x:f>'Option source'!G345</x:f>
        <x:v>180</x:v>
      </x:c>
      <x:c r="P420" s="11" t="n">
        <x:f>'Option source'!F345</x:f>
        <x:v>217</x:v>
      </x:c>
      <x:c r="Q420" s="1" t="str">
        <x:v>Screen passed; indicative</x:v>
      </x:c>
      <x:c r="R420" s="1" t="n">
        <x:v>340</x:v>
      </x:c>
    </x:row>
    <x:row r="421" ht="21" customHeight="1">
      <x:c r="A421" s="12" t="n">
        <x:v>46269</x:v>
      </x:c>
      <x:c r="B421" s="1" t="str">
        <x:v>GFGV7800OC</x:v>
      </x:c>
      <x:c r="C421" s="1" t="str">
        <x:v>put</x:v>
      </x:c>
      <x:c r="D421" s="11" t="n">
        <x:v>7800</x:v>
      </x:c>
      <x:c r="E421" s="11" t="n">
        <x:f>'Option source'!B839</x:f>
        <x:v>780</x:v>
      </x:c>
      <x:c r="F421" s="11" t="n">
        <x:v>7005</x:v>
      </x:c>
      <x:c r="G421" s="18" t="n">
        <x:v>42</x:v>
      </x:c>
      <x:c r="H421" s="11" t="n">
        <x:f>MAX(IF(C421="call",F421-D421,D421-F421),0)</x:f>
        <x:v>795</x:v>
      </x:c>
      <x:c r="I421" s="11" t="n">
        <x:f>E421-H421</x:f>
        <x:v>-15</x:v>
      </x:c>
      <x:c r="J421" s="13" t="n">
        <x:f>D421/F421</x:f>
        <x:v>1.113490364025696</x:v>
      </x:c>
      <x:c r="K421" s="13"/>
      <x:c r="L421" s="17"/>
      <x:c r="M421" s="17"/>
      <x:c r="N421" s="11" t="n">
        <x:f>'Option source'!C839</x:f>
        <x:v>235000</x:v>
      </x:c>
      <x:c r="O421" s="11" t="n">
        <x:f>'Option source'!G839</x:f>
        <x:v>790</x:v>
      </x:c>
      <x:c r="P421" s="11" t="n">
        <x:f>'Option source'!F839</x:f>
        <x:v>790</x:v>
      </x:c>
      <x:c r="Q421" s="1" t="str">
        <x:v>Price outside daily range; Below intrinsic value</x:v>
      </x:c>
      <x:c r="R421" s="1" t="n">
        <x:v>834</x:v>
      </x:c>
    </x:row>
    <x:row r="422" ht="21" customHeight="1">
      <x:c r="A422" s="12" t="n">
        <x:v>46269</x:v>
      </x:c>
      <x:c r="B422" s="1" t="str">
        <x:v>GFGC6200OC</x:v>
      </x:c>
      <x:c r="C422" s="1" t="str">
        <x:v>call</x:v>
      </x:c>
      <x:c r="D422" s="11" t="n">
        <x:v>6200</x:v>
      </x:c>
      <x:c r="E422" s="11" t="n">
        <x:f>'Option source'!B193</x:f>
        <x:v>1015</x:v>
      </x:c>
      <x:c r="F422" s="11" t="n">
        <x:v>7005</x:v>
      </x:c>
      <x:c r="G422" s="18" t="n">
        <x:v>42</x:v>
      </x:c>
      <x:c r="H422" s="11" t="n">
        <x:f>MAX(IF(C422="call",F422-D422,D422-F422),0)</x:f>
        <x:v>805</x:v>
      </x:c>
      <x:c r="I422" s="11" t="n">
        <x:f>E422-H422</x:f>
        <x:v>210</x:v>
      </x:c>
      <x:c r="J422" s="13" t="n">
        <x:f>D422/F422</x:f>
        <x:v>0.8850820842255531</x:v>
      </x:c>
      <x:c r="K422" s="13"/>
      <x:c r="L422" s="17"/>
      <x:c r="M422" s="17"/>
      <x:c r="N422" s="11" t="n">
        <x:f>'Option source'!C193</x:f>
        <x:v>4714691</x:v>
      </x:c>
      <x:c r="O422" s="11" t="n">
        <x:f>'Option source'!G193</x:f>
        <x:v>1010</x:v>
      </x:c>
      <x:c r="P422" s="11" t="n">
        <x:f>'Option source'!F193</x:f>
        <x:v>1100.38</x:v>
      </x:c>
      <x:c r="Q422" s="1" t="str">
        <x:v>No stable model IV</x:v>
      </x:c>
      <x:c r="R422" s="1" t="n">
        <x:v>188</x:v>
      </x:c>
    </x:row>
    <x:row r="423" ht="21" customHeight="1">
      <x:c r="A423" s="12" t="n">
        <x:v>46269</x:v>
      </x:c>
      <x:c r="B423" s="1" t="str">
        <x:v>GFGV6200OC</x:v>
      </x:c>
      <x:c r="C423" s="1" t="str">
        <x:v>put</x:v>
      </x:c>
      <x:c r="D423" s="11" t="n">
        <x:v>6200</x:v>
      </x:c>
      <x:c r="E423" s="11" t="n">
        <x:f>'Option source'!B687</x:f>
        <x:v>76.05</x:v>
      </x:c>
      <x:c r="F423" s="11" t="n">
        <x:v>7005</x:v>
      </x:c>
      <x:c r="G423" s="18" t="n">
        <x:v>42</x:v>
      </x:c>
      <x:c r="H423" s="11" t="n">
        <x:f>MAX(IF(C423="call",F423-D423,D423-F423),0)</x:f>
        <x:v>0</x:v>
      </x:c>
      <x:c r="I423" s="11" t="n">
        <x:f>E423-H423</x:f>
        <x:v>76.05</x:v>
      </x:c>
      <x:c r="J423" s="13" t="n">
        <x:f>D423/F423</x:f>
        <x:v>0.8850820842255531</x:v>
      </x:c>
      <x:c r="K423" s="13" t="n">
        <x:v>0.43799743319431905</x:v>
      </x:c>
      <x:c r="L423" s="17" t="n">
        <x:v>-0.12960489839986566</x:v>
      </x:c>
      <x:c r="M423" s="17" t="n">
        <x:v>5.016189916589941</x:v>
      </x:c>
      <x:c r="N423" s="11" t="n">
        <x:f>'Option source'!C687</x:f>
        <x:v>33339540</x:v>
      </x:c>
      <x:c r="O423" s="11" t="n">
        <x:f>'Option source'!G687</x:f>
        <x:v>68</x:v>
      </x:c>
      <x:c r="P423" s="11" t="n">
        <x:f>'Option source'!F687</x:f>
        <x:v>90.5</x:v>
      </x:c>
      <x:c r="Q423" s="1" t="str">
        <x:v>Screen passed; indicative</x:v>
      </x:c>
      <x:c r="R423" s="1" t="n">
        <x:v>682</x:v>
      </x:c>
    </x:row>
    <x:row r="424" ht="21" customHeight="1">
      <x:c r="A424" s="12" t="n">
        <x:v>46269</x:v>
      </x:c>
      <x:c r="B424" s="1" t="str">
        <x:v>GFGC8000OC</x:v>
      </x:c>
      <x:c r="C424" s="1" t="str">
        <x:v>call</x:v>
      </x:c>
      <x:c r="D424" s="11" t="n">
        <x:v>8000</x:v>
      </x:c>
      <x:c r="E424" s="11" t="n">
        <x:f>'Option source'!B364</x:f>
        <x:v>143.25</x:v>
      </x:c>
      <x:c r="F424" s="11" t="n">
        <x:v>7005</x:v>
      </x:c>
      <x:c r="G424" s="18" t="n">
        <x:v>42</x:v>
      </x:c>
      <x:c r="H424" s="11" t="n">
        <x:f>MAX(IF(C424="call",F424-D424,D424-F424),0)</x:f>
        <x:v>0</x:v>
      </x:c>
      <x:c r="I424" s="11" t="n">
        <x:f>E424-H424</x:f>
        <x:v>143.25</x:v>
      </x:c>
      <x:c r="J424" s="13" t="n">
        <x:f>D424/F424</x:f>
        <x:v>1.1420413990007139</x:v>
      </x:c>
      <x:c r="K424" s="13" t="n">
        <x:v>0.4085825187631369</x:v>
      </x:c>
      <x:c r="L424" s="17" t="n">
        <x:v>0.26111178268870294</x:v>
      </x:c>
      <x:c r="M424" s="17" t="n">
        <x:v>7.724576813698344</x:v>
      </x:c>
      <x:c r="N424" s="11" t="n">
        <x:f>'Option source'!C364</x:f>
        <x:v>382642880</x:v>
      </x:c>
      <x:c r="O424" s="11" t="n">
        <x:f>'Option source'!G364</x:f>
        <x:v>136</x:v>
      </x:c>
      <x:c r="P424" s="11" t="n">
        <x:f>'Option source'!F364</x:f>
        <x:v>195</x:v>
      </x:c>
      <x:c r="Q424" s="1" t="str">
        <x:v>Screen passed; indicative</x:v>
      </x:c>
      <x:c r="R424" s="1" t="n">
        <x:v>359</x:v>
      </x:c>
    </x:row>
    <x:row r="425" ht="21" customHeight="1">
      <x:c r="A425" s="12" t="n">
        <x:v>46269</x:v>
      </x:c>
      <x:c r="B425" s="1" t="str">
        <x:v>GFGV8000OC</x:v>
      </x:c>
      <x:c r="C425" s="1" t="str">
        <x:v>put</x:v>
      </x:c>
      <x:c r="D425" s="11" t="n">
        <x:v>8000</x:v>
      </x:c>
      <x:c r="E425" s="11" t="n">
        <x:f>'Option source'!B858</x:f>
        <x:v>1000</x:v>
      </x:c>
      <x:c r="F425" s="11" t="n">
        <x:v>7005</x:v>
      </x:c>
      <x:c r="G425" s="18" t="n">
        <x:v>42</x:v>
      </x:c>
      <x:c r="H425" s="11" t="n">
        <x:f>MAX(IF(C425="call",F425-D425,D425-F425),0)</x:f>
        <x:v>995</x:v>
      </x:c>
      <x:c r="I425" s="11" t="n">
        <x:f>E425-H425</x:f>
        <x:v>5</x:v>
      </x:c>
      <x:c r="J425" s="13" t="n">
        <x:f>D425/F425</x:f>
        <x:v>1.1420413990007139</x:v>
      </x:c>
      <x:c r="K425" s="13" t="n">
        <x:v>0.41359500419195006</x:v>
      </x:c>
      <x:c r="L425" s="17" t="n">
        <x:v>-0.7358084590730374</x:v>
      </x:c>
      <x:c r="M425" s="17" t="n">
        <x:v>7.77106145487613</x:v>
      </x:c>
      <x:c r="N425" s="11" t="n">
        <x:f>'Option source'!C858</x:f>
        <x:v>200000</x:v>
      </x:c>
      <x:c r="O425" s="11" t="n">
        <x:f>'Option source'!G858</x:f>
        <x:v>1000</x:v>
      </x:c>
      <x:c r="P425" s="11" t="n">
        <x:f>'Option source'!F858</x:f>
        <x:v>1000</x:v>
      </x:c>
      <x:c r="Q425" s="1" t="str">
        <x:v>Screen passed; indicative</x:v>
      </x:c>
      <x:c r="R425" s="1" t="n">
        <x:v>853</x:v>
      </x:c>
    </x:row>
    <x:row r="426" ht="21" customHeight="1">
      <x:c r="A426" s="12" t="n">
        <x:v>46269</x:v>
      </x:c>
      <x:c r="B426" s="1" t="str">
        <x:v>GFGC6000OC</x:v>
      </x:c>
      <x:c r="C426" s="1" t="str">
        <x:v>call</x:v>
      </x:c>
      <x:c r="D426" s="11" t="n">
        <x:v>6000</x:v>
      </x:c>
      <x:c r="E426" s="11" t="n">
        <x:f>'Option source'!B174</x:f>
        <x:v>1200.05</x:v>
      </x:c>
      <x:c r="F426" s="11" t="n">
        <x:v>7005</x:v>
      </x:c>
      <x:c r="G426" s="18" t="n">
        <x:v>42</x:v>
      </x:c>
      <x:c r="H426" s="11" t="n">
        <x:f>MAX(IF(C426="call",F426-D426,D426-F426),0)</x:f>
        <x:v>1005</x:v>
      </x:c>
      <x:c r="I426" s="11" t="n">
        <x:f>E426-H426</x:f>
        <x:v>195.04999999999995</x:v>
      </x:c>
      <x:c r="J426" s="13" t="n">
        <x:f>D426/F426</x:f>
        <x:v>0.8565310492505354</x:v>
      </x:c>
      <x:c r="K426" s="13"/>
      <x:c r="L426" s="17"/>
      <x:c r="M426" s="17"/>
      <x:c r="N426" s="11" t="n">
        <x:f>'Option source'!C174</x:f>
        <x:v>7445408.5</x:v>
      </x:c>
      <x:c r="O426" s="11" t="n">
        <x:f>'Option source'!G174</x:f>
        <x:v>1200</x:v>
      </x:c>
      <x:c r="P426" s="11" t="n">
        <x:f>'Option source'!F174</x:f>
        <x:v>1205.29</x:v>
      </x:c>
      <x:c r="Q426" s="1" t="str">
        <x:v>No stable model IV</x:v>
      </x:c>
      <x:c r="R426" s="1" t="n">
        <x:v>169</x:v>
      </x:c>
    </x:row>
    <x:row r="427" ht="21" customHeight="1">
      <x:c r="A427" s="12" t="n">
        <x:v>46269</x:v>
      </x:c>
      <x:c r="B427" s="1" t="str">
        <x:v>GFGV6000OC</x:v>
      </x:c>
      <x:c r="C427" s="1" t="str">
        <x:v>put</x:v>
      </x:c>
      <x:c r="D427" s="11" t="n">
        <x:v>6000</x:v>
      </x:c>
      <x:c r="E427" s="11" t="n">
        <x:f>'Option source'!B668</x:f>
        <x:v>46.91</x:v>
      </x:c>
      <x:c r="F427" s="11" t="n">
        <x:v>7005</x:v>
      </x:c>
      <x:c r="G427" s="18" t="n">
        <x:v>42</x:v>
      </x:c>
      <x:c r="H427" s="11" t="n">
        <x:f>MAX(IF(C427="call",F427-D427,D427-F427),0)</x:f>
        <x:v>0</x:v>
      </x:c>
      <x:c r="I427" s="11" t="n">
        <x:f>E427-H427</x:f>
        <x:v>46.91</x:v>
      </x:c>
      <x:c r="J427" s="13" t="n">
        <x:f>D427/F427</x:f>
        <x:v>0.8565310492505354</x:v>
      </x:c>
      <x:c r="K427" s="13" t="n">
        <x:v>0.4360358058919108</x:v>
      </x:c>
      <x:c r="L427" s="17" t="n">
        <x:v>-0.08781143129641888</x:v>
      </x:c>
      <x:c r="M427" s="17" t="n">
        <x:v>3.7886771880961927</x:v>
      </x:c>
      <x:c r="N427" s="11" t="n">
        <x:f>'Option source'!C668</x:f>
        <x:v>21767742</x:v>
      </x:c>
      <x:c r="O427" s="11" t="n">
        <x:f>'Option source'!G668</x:f>
        <x:v>45</x:v>
      </x:c>
      <x:c r="P427" s="11" t="n">
        <x:f>'Option source'!F668</x:f>
        <x:v>58</x:v>
      </x:c>
      <x:c r="Q427" s="1" t="str">
        <x:v>Screen passed; indicative</x:v>
      </x:c>
      <x:c r="R427" s="1" t="n">
        <x:v>663</x:v>
      </x:c>
    </x:row>
    <x:row r="428" ht="21" customHeight="1">
      <x:c r="A428" s="12" t="n">
        <x:v>46269</x:v>
      </x:c>
      <x:c r="B428" s="1" t="str">
        <x:v>GFGC5800OC</x:v>
      </x:c>
      <x:c r="C428" s="1" t="str">
        <x:v>call</x:v>
      </x:c>
      <x:c r="D428" s="11" t="n">
        <x:v>5800</x:v>
      </x:c>
      <x:c r="E428" s="11" t="n">
        <x:f>'Option source'!B155</x:f>
        <x:v>1490</x:v>
      </x:c>
      <x:c r="F428" s="11" t="n">
        <x:v>7005</x:v>
      </x:c>
      <x:c r="G428" s="18" t="n">
        <x:v>42</x:v>
      </x:c>
      <x:c r="H428" s="11" t="n">
        <x:f>MAX(IF(C428="call",F428-D428,D428-F428),0)</x:f>
        <x:v>1205</x:v>
      </x:c>
      <x:c r="I428" s="11" t="n">
        <x:f>E428-H428</x:f>
        <x:v>285</x:v>
      </x:c>
      <x:c r="J428" s="13" t="n">
        <x:f>D428/F428</x:f>
        <x:v>0.8279800142755175</x:v>
      </x:c>
      <x:c r="K428" s="13"/>
      <x:c r="L428" s="17"/>
      <x:c r="M428" s="17"/>
      <x:c r="N428" s="11" t="n">
        <x:f>'Option source'!C155</x:f>
        <x:v>0</x:v>
      </x:c>
      <x:c r="O428" s="11" t="n">
        <x:f>'Option source'!G155</x:f>
        <x:v>1413</x:v>
      </x:c>
      <x:c r="P428" s="11" t="n">
        <x:f>'Option source'!F155</x:f>
        <x:v>1518</x:v>
      </x:c>
      <x:c r="Q428" s="1" t="str">
        <x:v>Zero reported volume</x:v>
      </x:c>
      <x:c r="R428" s="1" t="n">
        <x:v>150</x:v>
      </x:c>
    </x:row>
    <x:row r="429" ht="21" customHeight="1">
      <x:c r="A429" s="12" t="n">
        <x:v>46269</x:v>
      </x:c>
      <x:c r="B429" s="1" t="str">
        <x:v>GFGV5800OC</x:v>
      </x:c>
      <x:c r="C429" s="1" t="str">
        <x:v>put</x:v>
      </x:c>
      <x:c r="D429" s="11" t="n">
        <x:v>5800</x:v>
      </x:c>
      <x:c r="E429" s="11" t="n">
        <x:f>'Option source'!B649</x:f>
        <x:v>27.57</x:v>
      </x:c>
      <x:c r="F429" s="11" t="n">
        <x:v>7005</x:v>
      </x:c>
      <x:c r="G429" s="18" t="n">
        <x:v>42</x:v>
      </x:c>
      <x:c r="H429" s="11" t="n">
        <x:f>MAX(IF(C429="call",F429-D429,D429-F429),0)</x:f>
        <x:v>0</x:v>
      </x:c>
      <x:c r="I429" s="11" t="n">
        <x:f>E429-H429</x:f>
        <x:v>27.57</x:v>
      </x:c>
      <x:c r="J429" s="13" t="n">
        <x:f>D429/F429</x:f>
        <x:v>0.8279800142755175</x:v>
      </x:c>
      <x:c r="K429" s="13" t="n">
        <x:v>0.4362332501358255</x:v>
      </x:c>
      <x:c r="L429" s="17" t="n">
        <x:v>-0.05672115576932424</x:v>
      </x:c>
      <x:c r="M429" s="17" t="n">
        <x:v>2.7083975387427133</x:v>
      </x:c>
      <x:c r="N429" s="11" t="n">
        <x:f>'Option source'!C649</x:f>
        <x:v>9548812</x:v>
      </x:c>
      <x:c r="O429" s="11" t="n">
        <x:f>'Option source'!G649</x:f>
        <x:v>26</x:v>
      </x:c>
      <x:c r="P429" s="11" t="n">
        <x:f>'Option source'!F649</x:f>
        <x:v>34.94</x:v>
      </x:c>
      <x:c r="Q429" s="1" t="str">
        <x:v>Screen passed; indicative</x:v>
      </x:c>
      <x:c r="R429" s="1" t="n">
        <x:v>644</x:v>
      </x:c>
    </x:row>
    <x:row r="430" ht="21" customHeight="1">
      <x:c r="A430" s="12" t="n">
        <x:v>46269</x:v>
      </x:c>
      <x:c r="B430" s="1" t="str">
        <x:v>GFGC8300OC</x:v>
      </x:c>
      <x:c r="C430" s="1" t="str">
        <x:v>call</x:v>
      </x:c>
      <x:c r="D430" s="11" t="n">
        <x:v>8300</x:v>
      </x:c>
      <x:c r="E430" s="11" t="n">
        <x:f>'Option source'!B383</x:f>
        <x:v>91.92</x:v>
      </x:c>
      <x:c r="F430" s="11" t="n">
        <x:v>7005</x:v>
      </x:c>
      <x:c r="G430" s="18" t="n">
        <x:v>42</x:v>
      </x:c>
      <x:c r="H430" s="11" t="n">
        <x:f>MAX(IF(C430="call",F430-D430,D430-F430),0)</x:f>
        <x:v>0</x:v>
      </x:c>
      <x:c r="I430" s="11" t="n">
        <x:f>E430-H430</x:f>
        <x:v>91.92</x:v>
      </x:c>
      <x:c r="J430" s="13" t="n">
        <x:f>D430/F430</x:f>
        <x:v>1.1848679514632405</x:v>
      </x:c>
      <x:c r="K430" s="13" t="n">
        <x:v>0.4106237431303874</x:v>
      </x:c>
      <x:c r="L430" s="17" t="n">
        <x:v>0.1839681447687717</x:v>
      </x:c>
      <x:c r="M430" s="17" t="n">
        <x:v>6.320799169133775</x:v>
      </x:c>
      <x:c r="N430" s="11" t="n">
        <x:f>'Option source'!C383</x:f>
        <x:v>122190664</x:v>
      </x:c>
      <x:c r="O430" s="11" t="n">
        <x:f>'Option source'!G383</x:f>
        <x:v>87</x:v>
      </x:c>
      <x:c r="P430" s="11" t="n">
        <x:f>'Option source'!F383</x:f>
        <x:v>109.99</x:v>
      </x:c>
      <x:c r="Q430" s="1" t="str">
        <x:v>Screen passed; indicative</x:v>
      </x:c>
      <x:c r="R430" s="1" t="n">
        <x:v>378</x:v>
      </x:c>
    </x:row>
    <x:row r="431" ht="21" customHeight="1">
      <x:c r="A431" s="12" t="n">
        <x:v>46269</x:v>
      </x:c>
      <x:c r="B431" s="1" t="str">
        <x:v>GFGV8300OC</x:v>
      </x:c>
      <x:c r="C431" s="1" t="str">
        <x:v>put</x:v>
      </x:c>
      <x:c r="D431" s="11" t="n">
        <x:v>8300</x:v>
      </x:c>
      <x:c r="E431" s="11" t="n">
        <x:f>'Option source'!B877</x:f>
        <x:v>1350</x:v>
      </x:c>
      <x:c r="F431" s="11" t="n">
        <x:v>7005</x:v>
      </x:c>
      <x:c r="G431" s="18" t="n">
        <x:v>42</x:v>
      </x:c>
      <x:c r="H431" s="11" t="n">
        <x:f>MAX(IF(C431="call",F431-D431,D431-F431),0)</x:f>
        <x:v>1295</x:v>
      </x:c>
      <x:c r="I431" s="11" t="n">
        <x:f>E431-H431</x:f>
        <x:v>55</x:v>
      </x:c>
      <x:c r="J431" s="13" t="n">
        <x:f>D431/F431</x:f>
        <x:v>1.1848679514632405</x:v>
      </x:c>
      <x:c r="K431" s="13" t="n">
        <x:v>0.6041939563291414</x:v>
      </x:c>
      <x:c r="L431" s="17" t="n">
        <x:v>-0.7111512530550788</x:v>
      </x:c>
      <x:c r="M431" s="17" t="n">
        <x:v>8.118707565459793</x:v>
      </x:c>
      <x:c r="N431" s="11" t="n">
        <x:f>'Option source'!C877</x:f>
        <x:v>675000</x:v>
      </x:c>
      <x:c r="O431" s="11" t="n">
        <x:f>'Option source'!G877</x:f>
        <x:v>1350</x:v>
      </x:c>
      <x:c r="P431" s="11" t="n">
        <x:f>'Option source'!F877</x:f>
        <x:v>1350</x:v>
      </x:c>
      <x:c r="Q431" s="1" t="str">
        <x:v>Screen passed; indicative</x:v>
      </x:c>
      <x:c r="R431" s="1" t="n">
        <x:v>872</x:v>
      </x:c>
    </x:row>
    <x:row r="432" ht="21" customHeight="1">
      <x:c r="A432" s="12" t="n">
        <x:v>46269</x:v>
      </x:c>
      <x:c r="B432" s="1" t="str">
        <x:v>GFGC5600OC</x:v>
      </x:c>
      <x:c r="C432" s="1" t="str">
        <x:v>call</x:v>
      </x:c>
      <x:c r="D432" s="11" t="n">
        <x:v>5600</x:v>
      </x:c>
      <x:c r="E432" s="11" t="n">
        <x:f>'Option source'!B145</x:f>
        <x:v>1600</x:v>
      </x:c>
      <x:c r="F432" s="11" t="n">
        <x:v>7005</x:v>
      </x:c>
      <x:c r="G432" s="18" t="n">
        <x:v>42</x:v>
      </x:c>
      <x:c r="H432" s="11" t="n">
        <x:f>MAX(IF(C432="call",F432-D432,D432-F432),0)</x:f>
        <x:v>1405</x:v>
      </x:c>
      <x:c r="I432" s="11" t="n">
        <x:f>E432-H432</x:f>
        <x:v>195</x:v>
      </x:c>
      <x:c r="J432" s="13" t="n">
        <x:f>D432/F432</x:f>
        <x:v>0.7994289793004996</x:v>
      </x:c>
      <x:c r="K432" s="13"/>
      <x:c r="L432" s="17"/>
      <x:c r="M432" s="17"/>
      <x:c r="N432" s="11" t="n">
        <x:f>'Option source'!C145</x:f>
        <x:v>0</x:v>
      </x:c>
      <x:c r="O432" s="11" t="n">
        <x:f>'Option source'!G145</x:f>
        <x:v>1600</x:v>
      </x:c>
      <x:c r="P432" s="11" t="n">
        <x:f>'Option source'!F145</x:f>
        <x:v>1770.93</x:v>
      </x:c>
      <x:c r="Q432" s="1" t="str">
        <x:v>Zero reported volume</x:v>
      </x:c>
      <x:c r="R432" s="1" t="n">
        <x:v>140</x:v>
      </x:c>
    </x:row>
    <x:row r="433" ht="21" customHeight="1">
      <x:c r="A433" s="12" t="n">
        <x:v>46269</x:v>
      </x:c>
      <x:c r="B433" s="1" t="str">
        <x:v>GFGV5600OC</x:v>
      </x:c>
      <x:c r="C433" s="1" t="str">
        <x:v>put</x:v>
      </x:c>
      <x:c r="D433" s="11" t="n">
        <x:v>5600</x:v>
      </x:c>
      <x:c r="E433" s="11" t="n">
        <x:f>'Option source'!B630</x:f>
        <x:v>16.25</x:v>
      </x:c>
      <x:c r="F433" s="11" t="n">
        <x:v>7005</x:v>
      </x:c>
      <x:c r="G433" s="18" t="n">
        <x:v>42</x:v>
      </x:c>
      <x:c r="H433" s="11" t="n">
        <x:f>MAX(IF(C433="call",F433-D433,D433-F433),0)</x:f>
        <x:v>0</x:v>
      </x:c>
      <x:c r="I433" s="11" t="n">
        <x:f>E433-H433</x:f>
        <x:v>16.25</x:v>
      </x:c>
      <x:c r="J433" s="13" t="n">
        <x:f>D433/F433</x:f>
        <x:v>0.7994289793004996</x:v>
      </x:c>
      <x:c r="K433" s="13" t="n">
        <x:v>0.44034573725325</x:v>
      </x:c>
      <x:c r="L433" s="17" t="n">
        <x:v>-0.03558132859126695</x:v>
      </x:c>
      <x:c r="M433" s="17" t="n">
        <x:v>1.861082804244968</x:v>
      </x:c>
      <x:c r="N433" s="11" t="n">
        <x:f>'Option source'!C630</x:f>
        <x:v>8706402</x:v>
      </x:c>
      <x:c r="O433" s="11" t="n">
        <x:f>'Option source'!G630</x:f>
        <x:v>11.01</x:v>
      </x:c>
      <x:c r="P433" s="11" t="n">
        <x:f>'Option source'!F630</x:f>
        <x:v>20</x:v>
      </x:c>
      <x:c r="Q433" s="1" t="str">
        <x:v>Screen passed; indicative</x:v>
      </x:c>
      <x:c r="R433" s="1" t="n">
        <x:v>625</x:v>
      </x:c>
    </x:row>
    <x:row r="434" ht="21" customHeight="1">
      <x:c r="A434" s="12" t="n">
        <x:v>46269</x:v>
      </x:c>
      <x:c r="B434" s="1" t="str">
        <x:v>GFGC8600OC</x:v>
      </x:c>
      <x:c r="C434" s="1" t="str">
        <x:v>call</x:v>
      </x:c>
      <x:c r="D434" s="11" t="n">
        <x:v>8600</x:v>
      </x:c>
      <x:c r="E434" s="11" t="n">
        <x:f>'Option source'!B402</x:f>
        <x:v>56.19</x:v>
      </x:c>
      <x:c r="F434" s="11" t="n">
        <x:v>7005</x:v>
      </x:c>
      <x:c r="G434" s="18" t="n">
        <x:v>42</x:v>
      </x:c>
      <x:c r="H434" s="11" t="n">
        <x:f>MAX(IF(C434="call",F434-D434,D434-F434),0)</x:f>
        <x:v>0</x:v>
      </x:c>
      <x:c r="I434" s="11" t="n">
        <x:f>E434-H434</x:f>
        <x:v>56.19</x:v>
      </x:c>
      <x:c r="J434" s="13" t="n">
        <x:f>D434/F434</x:f>
        <x:v>1.2276945039257674</x:v>
      </x:c>
      <x:c r="K434" s="13" t="n">
        <x:v>0.4099007666824491</x:v>
      </x:c>
      <x:c r="L434" s="17" t="n">
        <x:v>0.12352602133037453</x:v>
      </x:c>
      <x:c r="M434" s="17" t="n">
        <x:v>4.851112766427216</x:v>
      </x:c>
      <x:c r="N434" s="11" t="n">
        <x:f>'Option source'!C402</x:f>
        <x:v>63448188</x:v>
      </x:c>
      <x:c r="O434" s="11" t="n">
        <x:f>'Option source'!G402</x:f>
        <x:v>51</x:v>
      </x:c>
      <x:c r="P434" s="11" t="n">
        <x:f>'Option source'!F402</x:f>
        <x:v>69.49</x:v>
      </x:c>
      <x:c r="Q434" s="1" t="str">
        <x:v>Screen passed; indicative</x:v>
      </x:c>
      <x:c r="R434" s="1" t="n">
        <x:v>397</x:v>
      </x:c>
    </x:row>
    <x:row r="435" ht="21" customHeight="1">
      <x:c r="A435" s="12" t="n">
        <x:v>46269</x:v>
      </x:c>
      <x:c r="B435" s="1" t="str">
        <x:v>GFGV8600OC</x:v>
      </x:c>
      <x:c r="C435" s="1" t="str">
        <x:v>put</x:v>
      </x:c>
      <x:c r="D435" s="11" t="n">
        <x:v>8600</x:v>
      </x:c>
      <x:c r="E435" s="11" t="n">
        <x:f>'Option source'!B896</x:f>
        <x:v>1555.11</x:v>
      </x:c>
      <x:c r="F435" s="11" t="n">
        <x:v>7005</x:v>
      </x:c>
      <x:c r="G435" s="18" t="n">
        <x:v>42</x:v>
      </x:c>
      <x:c r="H435" s="11" t="n">
        <x:f>MAX(IF(C435="call",F435-D435,D435-F435),0)</x:f>
        <x:v>1595</x:v>
      </x:c>
      <x:c r="I435" s="11" t="n">
        <x:f>E435-H435</x:f>
        <x:v>-39.8900000000001</x:v>
      </x:c>
      <x:c r="J435" s="13" t="n">
        <x:f>D435/F435</x:f>
        <x:v>1.2276945039257674</x:v>
      </x:c>
      <x:c r="K435" s="13"/>
      <x:c r="L435" s="17"/>
      <x:c r="M435" s="17"/>
      <x:c r="N435" s="11" t="n">
        <x:f>'Option source'!C896</x:f>
        <x:v>0</x:v>
      </x:c>
      <x:c r="O435" s="11" t="n">
        <x:f>'Option source'!G896</x:f>
        <x:v>1555.11</x:v>
      </x:c>
      <x:c r="P435" s="11" t="n">
        <x:f>'Option source'!F896</x:f>
        <x:v>1555.11</x:v>
      </x:c>
      <x:c r="Q435" s="1" t="str">
        <x:v>Zero reported volume; Below intrinsic value</x:v>
      </x:c>
      <x:c r="R435" s="1" t="n">
        <x:v>891</x:v>
      </x:c>
    </x:row>
    <x:row r="436" ht="21" customHeight="1">
      <x:c r="A436" s="12" t="n">
        <x:v>46269</x:v>
      </x:c>
      <x:c r="B436" s="1" t="str">
        <x:v>GFGC5400OC</x:v>
      </x:c>
      <x:c r="C436" s="1" t="str">
        <x:v>call</x:v>
      </x:c>
      <x:c r="D436" s="11" t="n">
        <x:v>5400</x:v>
      </x:c>
      <x:c r="E436" s="11" t="n">
        <x:f>'Option source'!B127</x:f>
        <x:v>1680.06</x:v>
      </x:c>
      <x:c r="F436" s="11" t="n">
        <x:v>7005</x:v>
      </x:c>
      <x:c r="G436" s="18" t="n">
        <x:v>42</x:v>
      </x:c>
      <x:c r="H436" s="11" t="n">
        <x:f>MAX(IF(C436="call",F436-D436,D436-F436),0)</x:f>
        <x:v>1605</x:v>
      </x:c>
      <x:c r="I436" s="11" t="n">
        <x:f>E436-H436</x:f>
        <x:v>75.05999999999995</x:v>
      </x:c>
      <x:c r="J436" s="13" t="n">
        <x:f>D436/F436</x:f>
        <x:v>0.7708779443254818</x:v>
      </x:c>
      <x:c r="K436" s="13"/>
      <x:c r="L436" s="17"/>
      <x:c r="M436" s="17"/>
      <x:c r="N436" s="11" t="n">
        <x:f>'Option source'!C127</x:f>
        <x:v>168006.09</x:v>
      </x:c>
      <x:c r="O436" s="11" t="n">
        <x:f>'Option source'!G127</x:f>
        <x:v>0</x:v>
      </x:c>
      <x:c r="P436" s="11" t="n">
        <x:f>'Option source'!F127</x:f>
        <x:v>0</x:v>
      </x:c>
      <x:c r="Q436" s="1" t="str">
        <x:v>Price outside daily range</x:v>
      </x:c>
      <x:c r="R436" s="1" t="n">
        <x:v>122</x:v>
      </x:c>
    </x:row>
    <x:row r="437" ht="21" customHeight="1">
      <x:c r="A437" s="12" t="n">
        <x:v>46269</x:v>
      </x:c>
      <x:c r="B437" s="1" t="str">
        <x:v>GFGV5400OC</x:v>
      </x:c>
      <x:c r="C437" s="1" t="str">
        <x:v>put</x:v>
      </x:c>
      <x:c r="D437" s="11" t="n">
        <x:v>5400</x:v>
      </x:c>
      <x:c r="E437" s="11" t="n">
        <x:f>'Option source'!B611</x:f>
        <x:v>8.96</x:v>
      </x:c>
      <x:c r="F437" s="11" t="n">
        <x:v>7005</x:v>
      </x:c>
      <x:c r="G437" s="18" t="n">
        <x:v>42</x:v>
      </x:c>
      <x:c r="H437" s="11" t="n">
        <x:f>MAX(IF(C437="call",F437-D437,D437-F437),0)</x:f>
        <x:v>0</x:v>
      </x:c>
      <x:c r="I437" s="11" t="n">
        <x:f>E437-H437</x:f>
        <x:v>8.96</x:v>
      </x:c>
      <x:c r="J437" s="13" t="n">
        <x:f>D437/F437</x:f>
        <x:v>0.7708779443254818</x:v>
      </x:c>
      <x:c r="K437" s="13" t="n">
        <x:v>0.4443742005967698</x:v>
      </x:c>
      <x:c r="L437" s="17" t="n">
        <x:v>-0.021142622764517505</x:v>
      </x:c>
      <x:c r="M437" s="17" t="n">
        <x:v>1.2059670896926795</x:v>
      </x:c>
      <x:c r="N437" s="11" t="n">
        <x:f>'Option source'!C611</x:f>
        <x:v>1627889.75</x:v>
      </x:c>
      <x:c r="O437" s="11" t="n">
        <x:f>'Option source'!G611</x:f>
        <x:v>7.1</x:v>
      </x:c>
      <x:c r="P437" s="11" t="n">
        <x:f>'Option source'!F611</x:f>
        <x:v>11.5</x:v>
      </x:c>
      <x:c r="Q437" s="1" t="str">
        <x:v>Screen passed; indicative</x:v>
      </x:c>
      <x:c r="R437" s="1" t="n">
        <x:v>606</x:v>
      </x:c>
    </x:row>
    <x:row r="438" ht="21" customHeight="1">
      <x:c r="A438" s="12" t="n">
        <x:v>46269</x:v>
      </x:c>
      <x:c r="B438" s="1" t="str">
        <x:v>GFGC5200OC</x:v>
      </x:c>
      <x:c r="C438" s="1" t="str">
        <x:v>call</x:v>
      </x:c>
      <x:c r="D438" s="11" t="n">
        <x:v>5200</x:v>
      </x:c>
      <x:c r="E438" s="11" t="n">
        <x:f>'Option source'!B108</x:f>
        <x:v>2076.93</x:v>
      </x:c>
      <x:c r="F438" s="11" t="n">
        <x:v>7005</x:v>
      </x:c>
      <x:c r="G438" s="18" t="n">
        <x:v>42</x:v>
      </x:c>
      <x:c r="H438" s="11" t="n">
        <x:f>MAX(IF(C438="call",F438-D438,D438-F438),0)</x:f>
        <x:v>1805</x:v>
      </x:c>
      <x:c r="I438" s="11" t="n">
        <x:f>E438-H438</x:f>
        <x:v>271.92999999999984</x:v>
      </x:c>
      <x:c r="J438" s="13" t="n">
        <x:f>D438/F438</x:f>
        <x:v>0.742326909350464</x:v>
      </x:c>
      <x:c r="K438" s="13"/>
      <x:c r="L438" s="17"/>
      <x:c r="M438" s="17"/>
      <x:c r="N438" s="11" t="n">
        <x:f>'Option source'!C108</x:f>
        <x:v>0</x:v>
      </x:c>
      <x:c r="O438" s="11" t="n">
        <x:f>'Option source'!G108</x:f>
        <x:v>2027.11</x:v>
      </x:c>
      <x:c r="P438" s="11" t="n">
        <x:f>'Option source'!F108</x:f>
        <x:v>2102.98</x:v>
      </x:c>
      <x:c r="Q438" s="1" t="str">
        <x:v>Zero reported volume</x:v>
      </x:c>
      <x:c r="R438" s="1" t="n">
        <x:v>103</x:v>
      </x:c>
    </x:row>
    <x:row r="439" ht="21" customHeight="1">
      <x:c r="A439" s="12" t="n">
        <x:v>46269</x:v>
      </x:c>
      <x:c r="B439" s="1" t="str">
        <x:v>GFGV5200OC</x:v>
      </x:c>
      <x:c r="C439" s="1" t="str">
        <x:v>put</x:v>
      </x:c>
      <x:c r="D439" s="11" t="n">
        <x:v>5200</x:v>
      </x:c>
      <x:c r="E439" s="11" t="n">
        <x:f>'Option source'!B592</x:f>
        <x:v>4.92</x:v>
      </x:c>
      <x:c r="F439" s="11" t="n">
        <x:v>7005</x:v>
      </x:c>
      <x:c r="G439" s="18" t="n">
        <x:v>42</x:v>
      </x:c>
      <x:c r="H439" s="11" t="n">
        <x:f>MAX(IF(C439="call",F439-D439,D439-F439),0)</x:f>
        <x:v>0</x:v>
      </x:c>
      <x:c r="I439" s="11" t="n">
        <x:f>E439-H439</x:f>
        <x:v>4.92</x:v>
      </x:c>
      <x:c r="J439" s="13" t="n">
        <x:f>D439/F439</x:f>
        <x:v>0.742326909350464</x:v>
      </x:c>
      <x:c r="K439" s="13" t="n">
        <x:v>0.4511863571550474</x:v>
      </x:c>
      <x:c r="L439" s="17" t="n">
        <x:v>-0.012258704109350038</x:v>
      </x:c>
      <x:c r="M439" s="17" t="n">
        <x:v>0.7560331872207293</x:v>
      </x:c>
      <x:c r="N439" s="11" t="n">
        <x:f>'Option source'!C592</x:f>
        <x:v>1754041.5</x:v>
      </x:c>
      <x:c r="O439" s="11" t="n">
        <x:f>'Option source'!G592</x:f>
        <x:v>4.43</x:v>
      </x:c>
      <x:c r="P439" s="11" t="n">
        <x:f>'Option source'!F592</x:f>
        <x:v>6.45</x:v>
      </x:c>
      <x:c r="Q439" s="1" t="str">
        <x:v>Screen passed; indicative</x:v>
      </x:c>
      <x:c r="R439" s="1" t="n">
        <x:v>587</x:v>
      </x:c>
    </x:row>
    <x:row r="440" ht="21" customHeight="1">
      <x:c r="A440" s="12" t="n">
        <x:v>46269</x:v>
      </x:c>
      <x:c r="B440" s="1" t="str">
        <x:v>GFGC8900OC</x:v>
      </x:c>
      <x:c r="C440" s="1" t="str">
        <x:v>call</x:v>
      </x:c>
      <x:c r="D440" s="11" t="n">
        <x:v>8900</x:v>
      </x:c>
      <x:c r="E440" s="11" t="n">
        <x:f>'Option source'!B421</x:f>
        <x:v>34.74</x:v>
      </x:c>
      <x:c r="F440" s="11" t="n">
        <x:v>7005</x:v>
      </x:c>
      <x:c r="G440" s="18" t="n">
        <x:v>42</x:v>
      </x:c>
      <x:c r="H440" s="11" t="n">
        <x:f>MAX(IF(C440="call",F440-D440,D440-F440),0)</x:f>
        <x:v>0</x:v>
      </x:c>
      <x:c r="I440" s="11" t="n">
        <x:f>E440-H440</x:f>
        <x:v>34.74</x:v>
      </x:c>
      <x:c r="J440" s="13" t="n">
        <x:f>D440/F440</x:f>
        <x:v>1.270521056388294</x:v>
      </x:c>
      <x:c r="K440" s="13" t="n">
        <x:v>0.4133352419282308</x:v>
      </x:c>
      <x:c r="L440" s="17" t="n">
        <x:v>0.08206493086754077</x:v>
      </x:c>
      <x:c r="M440" s="17" t="n">
        <x:v>3.601238654150831</x:v>
      </x:c>
      <x:c r="N440" s="11" t="n">
        <x:f>'Option source'!C421</x:f>
        <x:v>10991296</x:v>
      </x:c>
      <x:c r="O440" s="11" t="n">
        <x:f>'Option source'!G421</x:f>
        <x:v>30.1</x:v>
      </x:c>
      <x:c r="P440" s="11" t="n">
        <x:f>'Option source'!F421</x:f>
        <x:v>43</x:v>
      </x:c>
      <x:c r="Q440" s="1" t="str">
        <x:v>Screen passed; indicative</x:v>
      </x:c>
      <x:c r="R440" s="1" t="n">
        <x:v>416</x:v>
      </x:c>
    </x:row>
    <x:row r="441" ht="21" customHeight="1">
      <x:c r="A441" s="12" t="n">
        <x:v>46269</x:v>
      </x:c>
      <x:c r="B441" s="1" t="str">
        <x:v>GFGV8900OC</x:v>
      </x:c>
      <x:c r="C441" s="1" t="str">
        <x:v>put</x:v>
      </x:c>
      <x:c r="D441" s="11" t="n">
        <x:v>8900</x:v>
      </x:c>
      <x:c r="E441" s="11" t="n">
        <x:f>'Option source'!B911</x:f>
        <x:v>2022.5</x:v>
      </x:c>
      <x:c r="F441" s="11" t="n">
        <x:v>7005</x:v>
      </x:c>
      <x:c r="G441" s="18" t="n">
        <x:v>42</x:v>
      </x:c>
      <x:c r="H441" s="11" t="n">
        <x:f>MAX(IF(C441="call",F441-D441,D441-F441),0)</x:f>
        <x:v>1895</x:v>
      </x:c>
      <x:c r="I441" s="11" t="n">
        <x:f>E441-H441</x:f>
        <x:v>127.5</x:v>
      </x:c>
      <x:c r="J441" s="13" t="n">
        <x:f>D441/F441</x:f>
        <x:v>1.270521056388294</x:v>
      </x:c>
      <x:c r="K441" s="13"/>
      <x:c r="L441" s="17"/>
      <x:c r="M441" s="17"/>
      <x:c r="N441" s="11" t="n">
        <x:f>'Option source'!C911</x:f>
        <x:v>0</x:v>
      </x:c>
      <x:c r="O441" s="11" t="n">
        <x:f>'Option source'!G911</x:f>
        <x:v>2022.5</x:v>
      </x:c>
      <x:c r="P441" s="11" t="n">
        <x:f>'Option source'!F911</x:f>
        <x:v>2037.67</x:v>
      </x:c>
      <x:c r="Q441" s="1" t="str">
        <x:v>Zero reported volume</x:v>
      </x:c>
      <x:c r="R441" s="1" t="n">
        <x:v>906</x:v>
      </x:c>
    </x:row>
    <x:row r="442" ht="21" customHeight="1">
      <x:c r="A442" s="12" t="n">
        <x:v>46269</x:v>
      </x:c>
      <x:c r="B442" s="1" t="str">
        <x:v>GFGC5000OC</x:v>
      </x:c>
      <x:c r="C442" s="1" t="str">
        <x:v>call</x:v>
      </x:c>
      <x:c r="D442" s="11" t="n">
        <x:v>5000</x:v>
      </x:c>
      <x:c r="E442" s="11" t="n">
        <x:f>'Option source'!B89</x:f>
        <x:v>2133.58</x:v>
      </x:c>
      <x:c r="F442" s="11" t="n">
        <x:v>7005</x:v>
      </x:c>
      <x:c r="G442" s="18" t="n">
        <x:v>42</x:v>
      </x:c>
      <x:c r="H442" s="11" t="n">
        <x:f>MAX(IF(C442="call",F442-D442,D442-F442),0)</x:f>
        <x:v>2005</x:v>
      </x:c>
      <x:c r="I442" s="11" t="n">
        <x:f>E442-H442</x:f>
        <x:v>128.57999999999993</x:v>
      </x:c>
      <x:c r="J442" s="13" t="n">
        <x:f>D442/F442</x:f>
        <x:v>0.7137758743754461</x:v>
      </x:c>
      <x:c r="K442" s="13"/>
      <x:c r="L442" s="17"/>
      <x:c r="M442" s="17"/>
      <x:c r="N442" s="11" t="n">
        <x:f>'Option source'!C89</x:f>
        <x:v>213358</x:v>
      </x:c>
      <x:c r="O442" s="11" t="n">
        <x:f>'Option source'!G89</x:f>
        <x:v>0</x:v>
      </x:c>
      <x:c r="P442" s="11" t="n">
        <x:f>'Option source'!F89</x:f>
        <x:v>0</x:v>
      </x:c>
      <x:c r="Q442" s="1" t="str">
        <x:v>Price outside daily range</x:v>
      </x:c>
      <x:c r="R442" s="1" t="n">
        <x:v>84</x:v>
      </x:c>
    </x:row>
    <x:row r="443" ht="21" customHeight="1">
      <x:c r="A443" s="12" t="n">
        <x:v>46269</x:v>
      </x:c>
      <x:c r="B443" s="1" t="str">
        <x:v>GFGV5000OC</x:v>
      </x:c>
      <x:c r="C443" s="1" t="str">
        <x:v>put</x:v>
      </x:c>
      <x:c r="D443" s="11" t="n">
        <x:v>5000</x:v>
      </x:c>
      <x:c r="E443" s="11" t="n">
        <x:f>'Option source'!B573</x:f>
        <x:v>3.15</x:v>
      </x:c>
      <x:c r="F443" s="11" t="n">
        <x:v>7005</x:v>
      </x:c>
      <x:c r="G443" s="18" t="n">
        <x:v>42</x:v>
      </x:c>
      <x:c r="H443" s="11" t="n">
        <x:f>MAX(IF(C443="call",F443-D443,D443-F443),0)</x:f>
        <x:v>0</x:v>
      </x:c>
      <x:c r="I443" s="11" t="n">
        <x:f>E443-H443</x:f>
        <x:v>3.15</x:v>
      </x:c>
      <x:c r="J443" s="13" t="n">
        <x:f>D443/F443</x:f>
        <x:v>0.7137758743754461</x:v>
      </x:c>
      <x:c r="K443" s="13" t="n">
        <x:v>0.4704308517165532</x:v>
      </x:c>
      <x:c r="L443" s="17" t="n">
        <x:v>-0.007996066846073568</x:v>
      </x:c>
      <x:c r="M443" s="17" t="n">
        <x:v>0.5206316273009626</x:v>
      </x:c>
      <x:c r="N443" s="11" t="n">
        <x:f>'Option source'!C573</x:f>
        <x:v>719942</x:v>
      </x:c>
      <x:c r="O443" s="11" t="n">
        <x:f>'Option source'!G573</x:f>
        <x:v>1.64</x:v>
      </x:c>
      <x:c r="P443" s="11" t="n">
        <x:f>'Option source'!F573</x:f>
        <x:v>3.99</x:v>
      </x:c>
      <x:c r="Q443" s="1" t="str">
        <x:v>Screen passed; indicative</x:v>
      </x:c>
      <x:c r="R443" s="1" t="n">
        <x:v>568</x:v>
      </x:c>
    </x:row>
    <x:row r="444" ht="21" customHeight="1">
      <x:c r="A444" s="12" t="n">
        <x:v>46269</x:v>
      </x:c>
      <x:c r="B444" s="1" t="str">
        <x:v>GFGC9200OC</x:v>
      </x:c>
      <x:c r="C444" s="1" t="str">
        <x:v>call</x:v>
      </x:c>
      <x:c r="D444" s="11" t="n">
        <x:v>9200</x:v>
      </x:c>
      <x:c r="E444" s="11" t="n">
        <x:f>'Option source'!B440</x:f>
        <x:v>21.04</x:v>
      </x:c>
      <x:c r="F444" s="11" t="n">
        <x:v>7005</x:v>
      </x:c>
      <x:c r="G444" s="18" t="n">
        <x:v>42</x:v>
      </x:c>
      <x:c r="H444" s="11" t="n">
        <x:f>MAX(IF(C444="call",F444-D444,D444-F444),0)</x:f>
        <x:v>0</x:v>
      </x:c>
      <x:c r="I444" s="11" t="n">
        <x:f>E444-H444</x:f>
        <x:v>21.04</x:v>
      </x:c>
      <x:c r="J444" s="13" t="n">
        <x:f>D444/F444</x:f>
        <x:v>1.313347608850821</x:v>
      </x:c>
      <x:c r="K444" s="13" t="n">
        <x:v>0.41624133922844875</x:v>
      </x:c>
      <x:c r="L444" s="17" t="n">
        <x:v>0.05311052145856112</x:v>
      </x:c>
      <x:c r="M444" s="17" t="n">
        <x:v>2.5712070828465254</x:v>
      </x:c>
      <x:c r="N444" s="11" t="n">
        <x:f>'Option source'!C440</x:f>
        <x:v>7668621</x:v>
      </x:c>
      <x:c r="O444" s="11" t="n">
        <x:f>'Option source'!G440</x:f>
        <x:v>20.1</x:v>
      </x:c>
      <x:c r="P444" s="11" t="n">
        <x:f>'Option source'!F440</x:f>
        <x:v>27.99</x:v>
      </x:c>
      <x:c r="Q444" s="1" t="str">
        <x:v>Screen passed; indicative</x:v>
      </x:c>
      <x:c r="R444" s="1" t="n">
        <x:v>435</x:v>
      </x:c>
    </x:row>
    <x:row r="445" ht="21" customHeight="1">
      <x:c r="A445" s="12" t="n">
        <x:v>46269</x:v>
      </x:c>
      <x:c r="B445" s="1" t="str">
        <x:v>GFGC4800OC</x:v>
      </x:c>
      <x:c r="C445" s="1" t="str">
        <x:v>call</x:v>
      </x:c>
      <x:c r="D445" s="11" t="n">
        <x:v>4800</x:v>
      </x:c>
      <x:c r="E445" s="11" t="n">
        <x:f>'Option source'!B72</x:f>
        <x:v>2375</x:v>
      </x:c>
      <x:c r="F445" s="11" t="n">
        <x:v>7005</x:v>
      </x:c>
      <x:c r="G445" s="18" t="n">
        <x:v>42</x:v>
      </x:c>
      <x:c r="H445" s="11" t="n">
        <x:f>MAX(IF(C445="call",F445-D445,D445-F445),0)</x:f>
        <x:v>2205</x:v>
      </x:c>
      <x:c r="I445" s="11" t="n">
        <x:f>E445-H445</x:f>
        <x:v>170</x:v>
      </x:c>
      <x:c r="J445" s="13" t="n">
        <x:f>D445/F445</x:f>
        <x:v>0.6852248394004282</x:v>
      </x:c>
      <x:c r="K445" s="13"/>
      <x:c r="L445" s="17"/>
      <x:c r="M445" s="17"/>
      <x:c r="N445" s="11" t="n">
        <x:f>'Option source'!C72</x:f>
        <x:v>0</x:v>
      </x:c>
      <x:c r="O445" s="11" t="n">
        <x:f>'Option source'!G72</x:f>
        <x:v>2375</x:v>
      </x:c>
      <x:c r="P445" s="11" t="n">
        <x:f>'Option source'!F72</x:f>
        <x:v>2375</x:v>
      </x:c>
      <x:c r="Q445" s="1" t="str">
        <x:v>Zero reported volume</x:v>
      </x:c>
      <x:c r="R445" s="1" t="n">
        <x:v>67</x:v>
      </x:c>
    </x:row>
    <x:row r="446" ht="21" customHeight="1">
      <x:c r="A446" s="12" t="n">
        <x:v>46269</x:v>
      </x:c>
      <x:c r="B446" s="1" t="str">
        <x:v>GFGV4800OC</x:v>
      </x:c>
      <x:c r="C446" s="1" t="str">
        <x:v>put</x:v>
      </x:c>
      <x:c r="D446" s="11" t="n">
        <x:v>4800</x:v>
      </x:c>
      <x:c r="E446" s="11" t="n">
        <x:f>'Option source'!B554</x:f>
        <x:v>1.8</x:v>
      </x:c>
      <x:c r="F446" s="11" t="n">
        <x:v>7005</x:v>
      </x:c>
      <x:c r="G446" s="18" t="n">
        <x:v>42</x:v>
      </x:c>
      <x:c r="H446" s="11" t="n">
        <x:f>MAX(IF(C446="call",F446-D446,D446-F446),0)</x:f>
        <x:v>0</x:v>
      </x:c>
      <x:c r="I446" s="11" t="n">
        <x:f>E446-H446</x:f>
        <x:v>1.8</x:v>
      </x:c>
      <x:c r="J446" s="13" t="n">
        <x:f>D446/F446</x:f>
        <x:v>0.6852248394004282</x:v>
      </x:c>
      <x:c r="K446" s="13" t="n">
        <x:v>0.4832435240065972</x:v>
      </x:c>
      <x:c r="L446" s="17" t="n">
        <x:v>-0.0046810814702474834</x:v>
      </x:c>
      <x:c r="M446" s="17" t="n">
        <x:v>0.32398971758511164</x:v>
      </x:c>
      <x:c r="N446" s="11" t="n">
        <x:f>'Option source'!C554</x:f>
        <x:v>87745.5</x:v>
      </x:c>
      <x:c r="O446" s="11" t="n">
        <x:f>'Option source'!G554</x:f>
        <x:v>1.55</x:v>
      </x:c>
      <x:c r="P446" s="11" t="n">
        <x:f>'Option source'!F554</x:f>
        <x:v>2.9</x:v>
      </x:c>
      <x:c r="Q446" s="1" t="str">
        <x:v>Screen passed; indicative</x:v>
      </x:c>
      <x:c r="R446" s="1" t="n">
        <x:v>549</x:v>
      </x:c>
    </x:row>
    <x:row r="447" ht="21" customHeight="1">
      <x:c r="A447" s="12" t="n">
        <x:v>46269</x:v>
      </x:c>
      <x:c r="B447" s="1" t="str">
        <x:v>GFGC4600OC</x:v>
      </x:c>
      <x:c r="C447" s="1" t="str">
        <x:v>call</x:v>
      </x:c>
      <x:c r="D447" s="11" t="n">
        <x:v>4600</x:v>
      </x:c>
      <x:c r="E447" s="11" t="n">
        <x:f>'Option source'!B55</x:f>
        <x:v>2502.92</x:v>
      </x:c>
      <x:c r="F447" s="11" t="n">
        <x:v>7005</x:v>
      </x:c>
      <x:c r="G447" s="18" t="n">
        <x:v>42</x:v>
      </x:c>
      <x:c r="H447" s="11" t="n">
        <x:f>MAX(IF(C447="call",F447-D447,D447-F447),0)</x:f>
        <x:v>2405</x:v>
      </x:c>
      <x:c r="I447" s="11" t="n">
        <x:f>E447-H447</x:f>
        <x:v>97.92000000000007</x:v>
      </x:c>
      <x:c r="J447" s="13" t="n">
        <x:f>D447/F447</x:f>
        <x:v>0.6566738044254105</x:v>
      </x:c>
      <x:c r="K447" s="13"/>
      <x:c r="L447" s="17"/>
      <x:c r="M447" s="17"/>
      <x:c r="N447" s="11" t="n">
        <x:f>'Option source'!C55</x:f>
        <x:v>3050382</x:v>
      </x:c>
      <x:c r="O447" s="11" t="n">
        <x:f>'Option source'!G55</x:f>
        <x:v>2510.88</x:v>
      </x:c>
      <x:c r="P447" s="11" t="n">
        <x:f>'Option source'!F55</x:f>
        <x:v>2575.58</x:v>
      </x:c>
      <x:c r="Q447" s="1" t="str">
        <x:v>Price outside daily range</x:v>
      </x:c>
      <x:c r="R447" s="1" t="n">
        <x:v>50</x:v>
      </x:c>
    </x:row>
    <x:row r="448" ht="21" customHeight="1">
      <x:c r="A448" s="12" t="n">
        <x:v>46269</x:v>
      </x:c>
      <x:c r="B448" s="1" t="str">
        <x:v>GFGV4600OC</x:v>
      </x:c>
      <x:c r="C448" s="1" t="str">
        <x:v>put</x:v>
      </x:c>
      <x:c r="D448" s="11" t="n">
        <x:v>4600</x:v>
      </x:c>
      <x:c r="E448" s="11" t="n">
        <x:f>'Option source'!B535</x:f>
        <x:v>1.4</x:v>
      </x:c>
      <x:c r="F448" s="11" t="n">
        <x:v>7005</x:v>
      </x:c>
      <x:c r="G448" s="18" t="n">
        <x:v>42</x:v>
      </x:c>
      <x:c r="H448" s="11" t="n">
        <x:f>MAX(IF(C448="call",F448-D448,D448-F448),0)</x:f>
        <x:v>0</x:v>
      </x:c>
      <x:c r="I448" s="11" t="n">
        <x:f>E448-H448</x:f>
        <x:v>1.4</x:v>
      </x:c>
      <x:c r="J448" s="13" t="n">
        <x:f>D448/F448</x:f>
        <x:v>0.6566738044254105</x:v>
      </x:c>
      <x:c r="K448" s="13" t="n">
        <x:v>0.5153350071531893</x:v>
      </x:c>
      <x:c r="L448" s="17" t="n">
        <x:v>-0.0035648194973558756</x:v>
      </x:c>
      <x:c r="M448" s="17" t="n">
        <x:v>0.25389091914488354</x:v>
      </x:c>
      <x:c r="N448" s="11" t="n">
        <x:f>'Option source'!C535</x:f>
        <x:v>83664.7</x:v>
      </x:c>
      <x:c r="O448" s="11" t="n">
        <x:f>'Option source'!G535</x:f>
        <x:v>0.81</x:v>
      </x:c>
      <x:c r="P448" s="11" t="n">
        <x:f>'Option source'!F535</x:f>
        <x:v>2</x:v>
      </x:c>
      <x:c r="Q448" s="1" t="str">
        <x:v>Screen passed; indicative</x:v>
      </x:c>
      <x:c r="R448" s="1" t="n">
        <x:v>530</x:v>
      </x:c>
    </x:row>
    <x:row r="449" ht="21" customHeight="1">
      <x:c r="A449" s="12" t="n">
        <x:v>46269</x:v>
      </x:c>
      <x:c r="B449" s="1" t="str">
        <x:v>GFGC9500OC</x:v>
      </x:c>
      <x:c r="C449" s="1" t="str">
        <x:v>call</x:v>
      </x:c>
      <x:c r="D449" s="11" t="n">
        <x:v>9500</x:v>
      </x:c>
      <x:c r="E449" s="11" t="n">
        <x:f>'Option source'!B459</x:f>
        <x:v>14.06</x:v>
      </x:c>
      <x:c r="F449" s="11" t="n">
        <x:v>7005</x:v>
      </x:c>
      <x:c r="G449" s="18" t="n">
        <x:v>42</x:v>
      </x:c>
      <x:c r="H449" s="11" t="n">
        <x:f>MAX(IF(C449="call",F449-D449,D449-F449),0)</x:f>
        <x:v>0</x:v>
      </x:c>
      <x:c r="I449" s="11" t="n">
        <x:f>E449-H449</x:f>
        <x:v>14.06</x:v>
      </x:c>
      <x:c r="J449" s="13" t="n">
        <x:f>D449/F449</x:f>
        <x:v>1.3561741613133476</x:v>
      </x:c>
      <x:c r="K449" s="13" t="n">
        <x:v>0.42719664437427407</x:v>
      </x:c>
      <x:c r="L449" s="17" t="n">
        <x:v>0.03658642466987551</x:v>
      </x:c>
      <x:c r="M449" s="17" t="n">
        <x:v>1.9040266206623313</x:v>
      </x:c>
      <x:c r="N449" s="11" t="n">
        <x:f>'Option source'!C459</x:f>
        <x:v>4752001.5</x:v>
      </x:c>
      <x:c r="O449" s="11" t="n">
        <x:f>'Option source'!G459</x:f>
        <x:v>13</x:v>
      </x:c>
      <x:c r="P449" s="11" t="n">
        <x:f>'Option source'!F459</x:f>
        <x:v>17.99</x:v>
      </x:c>
      <x:c r="Q449" s="1" t="str">
        <x:v>Screen passed; indicative</x:v>
      </x:c>
      <x:c r="R449" s="1" t="n">
        <x:v>454</x:v>
      </x:c>
    </x:row>
    <x:row r="450" ht="21" customHeight="1">
      <x:c r="A450" s="12" t="n">
        <x:v>46269</x:v>
      </x:c>
      <x:c r="B450" s="1" t="str">
        <x:v>GFGC4400OC</x:v>
      </x:c>
      <x:c r="C450" s="1" t="str">
        <x:v>call</x:v>
      </x:c>
      <x:c r="D450" s="11" t="n">
        <x:v>4400</x:v>
      </x:c>
      <x:c r="E450" s="11" t="n">
        <x:f>'Option source'!B36</x:f>
        <x:v>2707.45</x:v>
      </x:c>
      <x:c r="F450" s="11" t="n">
        <x:v>7005</x:v>
      </x:c>
      <x:c r="G450" s="18" t="n">
        <x:v>42</x:v>
      </x:c>
      <x:c r="H450" s="11" t="n">
        <x:f>MAX(IF(C450="call",F450-D450,D450-F450),0)</x:f>
        <x:v>2605</x:v>
      </x:c>
      <x:c r="I450" s="11" t="n">
        <x:f>E450-H450</x:f>
        <x:v>102.44999999999982</x:v>
      </x:c>
      <x:c r="J450" s="13" t="n">
        <x:f>D450/F450</x:f>
        <x:v>0.6281227694503926</x:v>
      </x:c>
      <x:c r="K450" s="13"/>
      <x:c r="L450" s="17"/>
      <x:c r="M450" s="17"/>
      <x:c r="N450" s="11" t="n">
        <x:f>'Option source'!C36</x:f>
        <x:v>5144148</x:v>
      </x:c>
      <x:c r="O450" s="11" t="n">
        <x:f>'Option source'!G36</x:f>
        <x:v>2685.6</x:v>
      </x:c>
      <x:c r="P450" s="11" t="n">
        <x:f>'Option source'!F36</x:f>
        <x:v>2722.44</x:v>
      </x:c>
      <x:c r="Q450" s="1" t="str">
        <x:v>No stable model IV</x:v>
      </x:c>
      <x:c r="R450" s="1" t="n">
        <x:v>31</x:v>
      </x:c>
    </x:row>
    <x:row r="451" ht="21" customHeight="1">
      <x:c r="A451" s="12" t="n">
        <x:v>46269</x:v>
      </x:c>
      <x:c r="B451" s="1" t="str">
        <x:v>GFGV4400OC</x:v>
      </x:c>
      <x:c r="C451" s="1" t="str">
        <x:v>put</x:v>
      </x:c>
      <x:c r="D451" s="11" t="n">
        <x:v>4400</x:v>
      </x:c>
      <x:c r="E451" s="11" t="n">
        <x:f>'Option source'!B516</x:f>
        <x:v>1.17</x:v>
      </x:c>
      <x:c r="F451" s="11" t="n">
        <x:v>7005</x:v>
      </x:c>
      <x:c r="G451" s="18" t="n">
        <x:v>42</x:v>
      </x:c>
      <x:c r="H451" s="11" t="n">
        <x:f>MAX(IF(C451="call",F451-D451,D451-F451),0)</x:f>
        <x:v>0</x:v>
      </x:c>
      <x:c r="I451" s="11" t="n">
        <x:f>E451-H451</x:f>
        <x:v>1.17</x:v>
      </x:c>
      <x:c r="J451" s="13" t="n">
        <x:f>D451/F451</x:f>
        <x:v>0.6281227694503926</x:v>
      </x:c>
      <x:c r="K451" s="13" t="n">
        <x:v>0.5500724812433486</x:v>
      </x:c>
      <x:c r="L451" s="17" t="n">
        <x:v>-0.002798991109494553</x:v>
      </x:c>
      <x:c r="M451" s="17" t="n">
        <x:v>0.2042266707483145</x:v>
      </x:c>
      <x:c r="N451" s="11" t="n">
        <x:f>'Option source'!C516</x:f>
        <x:v>108080.4</x:v>
      </x:c>
      <x:c r="O451" s="11" t="n">
        <x:f>'Option source'!G516</x:f>
        <x:v>0.89</x:v>
      </x:c>
      <x:c r="P451" s="11" t="n">
        <x:f>'Option source'!F516</x:f>
        <x:v>2.2</x:v>
      </x:c>
      <x:c r="Q451" s="1" t="str">
        <x:v>Screen passed; indicative</x:v>
      </x:c>
      <x:c r="R451" s="1" t="n">
        <x:v>511</x:v>
      </x:c>
    </x:row>
    <x:row r="452" ht="21" customHeight="1">
      <x:c r="A452" s="12" t="n">
        <x:v>46269</x:v>
      </x:c>
      <x:c r="B452" s="1" t="str">
        <x:v>GFGC4200OC</x:v>
      </x:c>
      <x:c r="C452" s="1" t="str">
        <x:v>call</x:v>
      </x:c>
      <x:c r="D452" s="11" t="n">
        <x:v>4200</x:v>
      </x:c>
      <x:c r="E452" s="11" t="n">
        <x:f>'Option source'!B17</x:f>
        <x:v>2964.84</x:v>
      </x:c>
      <x:c r="F452" s="11" t="n">
        <x:v>7005</x:v>
      </x:c>
      <x:c r="G452" s="18" t="n">
        <x:v>42</x:v>
      </x:c>
      <x:c r="H452" s="11" t="n">
        <x:f>MAX(IF(C452="call",F452-D452,D452-F452),0)</x:f>
        <x:v>2805</x:v>
      </x:c>
      <x:c r="I452" s="11" t="n">
        <x:f>E452-H452</x:f>
        <x:v>159.84000000000015</x:v>
      </x:c>
      <x:c r="J452" s="13" t="n">
        <x:f>D452/F452</x:f>
        <x:v>0.5995717344753747</x:v>
      </x:c>
      <x:c r="K452" s="13"/>
      <x:c r="L452" s="17"/>
      <x:c r="M452" s="17"/>
      <x:c r="N452" s="11" t="n">
        <x:f>'Option source'!C17</x:f>
        <x:v>0</x:v>
      </x:c>
      <x:c r="O452" s="11" t="n">
        <x:f>'Option source'!G17</x:f>
        <x:v>2979.78</x:v>
      </x:c>
      <x:c r="P452" s="11" t="n">
        <x:f>'Option source'!F17</x:f>
        <x:v>3039.57</x:v>
      </x:c>
      <x:c r="Q452" s="1" t="str">
        <x:v>Zero reported volume; Price outside daily range</x:v>
      </x:c>
      <x:c r="R452" s="1" t="n">
        <x:v>12</x:v>
      </x:c>
    </x:row>
    <x:row r="453" ht="21" customHeight="1">
      <x:c r="A453" s="12" t="n">
        <x:v>46269</x:v>
      </x:c>
      <x:c r="B453" s="1" t="str">
        <x:v>GFGV4200OC</x:v>
      </x:c>
      <x:c r="C453" s="1" t="str">
        <x:v>put</x:v>
      </x:c>
      <x:c r="D453" s="11" t="n">
        <x:v>4200</x:v>
      </x:c>
      <x:c r="E453" s="11" t="n">
        <x:f>'Option source'!B497</x:f>
        <x:v>1.09</x:v>
      </x:c>
      <x:c r="F453" s="11" t="n">
        <x:v>7005</x:v>
      </x:c>
      <x:c r="G453" s="18" t="n">
        <x:v>42</x:v>
      </x:c>
      <x:c r="H453" s="11" t="n">
        <x:f>MAX(IF(C453="call",F453-D453,D453-F453),0)</x:f>
        <x:v>0</x:v>
      </x:c>
      <x:c r="I453" s="11" t="n">
        <x:f>E453-H453</x:f>
        <x:v>1.09</x:v>
      </x:c>
      <x:c r="J453" s="13" t="n">
        <x:f>D453/F453</x:f>
        <x:v>0.5995717344753747</x:v>
      </x:c>
      <x:c r="K453" s="13" t="n">
        <x:v>0.5942098395322521</x:v>
      </x:c>
      <x:c r="L453" s="17" t="n">
        <x:v>-0.002478097324107864</x:v>
      </x:c>
      <x:c r="M453" s="17" t="n">
        <x:v>0.18295410409151633</x:v>
      </x:c>
      <x:c r="N453" s="11" t="n">
        <x:f>'Option source'!C497</x:f>
        <x:v>184877.2</x:v>
      </x:c>
      <x:c r="O453" s="11" t="n">
        <x:f>'Option source'!G497</x:f>
        <x:v>0.8</x:v>
      </x:c>
      <x:c r="P453" s="11" t="n">
        <x:f>'Option source'!F497</x:f>
        <x:v>1.5</x:v>
      </x:c>
      <x:c r="Q453" s="1" t="str">
        <x:v>Screen passed; indicative</x:v>
      </x:c>
      <x:c r="R453" s="1" t="n">
        <x:v>492</x:v>
      </x:c>
    </x:row>
    <x:row r="454" ht="21" customHeight="1">
      <x:c r="A454" s="12" t="n">
        <x:v>46269</x:v>
      </x:c>
      <x:c r="B454" s="1" t="str">
        <x:v>GFGC9900OC</x:v>
      </x:c>
      <x:c r="C454" s="1" t="str">
        <x:v>call</x:v>
      </x:c>
      <x:c r="D454" s="11" t="n">
        <x:v>9900</x:v>
      </x:c>
      <x:c r="E454" s="11" t="n">
        <x:f>'Option source'!B478</x:f>
        <x:v>8.02</x:v>
      </x:c>
      <x:c r="F454" s="11" t="n">
        <x:v>7005</x:v>
      </x:c>
      <x:c r="G454" s="18" t="n">
        <x:v>42</x:v>
      </x:c>
      <x:c r="H454" s="11" t="n">
        <x:f>MAX(IF(C454="call",F454-D454,D454-F454),0)</x:f>
        <x:v>0</x:v>
      </x:c>
      <x:c r="I454" s="11" t="n">
        <x:f>E454-H454</x:f>
        <x:v>8.02</x:v>
      </x:c>
      <x:c r="J454" s="13" t="n">
        <x:f>D454/F454</x:f>
        <x:v>1.4132762312633833</x:v>
      </x:c>
      <x:c r="K454" s="13" t="n">
        <x:v>0.43864694115151615</x:v>
      </x:c>
      <x:c r="L454" s="17" t="n">
        <x:v>0.021778821781247303</x:v>
      </x:c>
      <x:c r="M454" s="17" t="n">
        <x:v>1.2365722204255447</x:v>
      </x:c>
      <x:c r="N454" s="11" t="n">
        <x:f>'Option source'!C478</x:f>
        <x:v>2696464.5</x:v>
      </x:c>
      <x:c r="O454" s="11" t="n">
        <x:f>'Option source'!G478</x:f>
        <x:v>7.7</x:v>
      </x:c>
      <x:c r="P454" s="11" t="n">
        <x:f>'Option source'!F478</x:f>
        <x:v>10</x:v>
      </x:c>
      <x:c r="Q454" s="1" t="str">
        <x:v>Screen passed; indicative</x:v>
      </x:c>
      <x:c r="R454" s="1" t="n">
        <x:v>473</x:v>
      </x:c>
    </x:row>
    <x:row r="455" ht="21" customHeight="1">
      <x:c r="A455" s="12" t="n">
        <x:v>46268</x:v>
      </x:c>
      <x:c r="B455" s="1" t="str">
        <x:v>GFGC7000OC</x:v>
      </x:c>
      <x:c r="C455" s="1" t="str">
        <x:v>call</x:v>
      </x:c>
      <x:c r="D455" s="11" t="n">
        <x:v>7000</x:v>
      </x:c>
      <x:c r="E455" s="11" t="n">
        <x:f>'Option source'!B268</x:f>
        <x:v>547.83</x:v>
      </x:c>
      <x:c r="F455" s="11" t="n">
        <x:v>7075</x:v>
      </x:c>
      <x:c r="G455" s="18" t="n">
        <x:v>43</x:v>
      </x:c>
      <x:c r="H455" s="11" t="n">
        <x:f>MAX(IF(C455="call",F455-D455,D455-F455),0)</x:f>
        <x:v>75</x:v>
      </x:c>
      <x:c r="I455" s="11" t="n">
        <x:f>E455-H455</x:f>
        <x:v>472.83000000000004</x:v>
      </x:c>
      <x:c r="J455" s="13" t="n">
        <x:f>D455/F455</x:f>
        <x:v>0.9893992932862191</x:v>
      </x:c>
      <x:c r="K455" s="13" t="n">
        <x:v>0.38797270586248733</x:v>
      </x:c>
      <x:c r="L455" s="17" t="n">
        <x:v>0.6598367143320683</x:v>
      </x:c>
      <x:c r="M455" s="17" t="n">
        <x:v>8.899420480741833</x:v>
      </x:c>
      <x:c r="N455" s="11" t="n">
        <x:f>'Option source'!C268</x:f>
        <x:v>272889632</x:v>
      </x:c>
      <x:c r="O455" s="11" t="n">
        <x:f>'Option source'!G268</x:f>
        <x:v>528</x:v>
      </x:c>
      <x:c r="P455" s="11" t="n">
        <x:f>'Option source'!F268</x:f>
        <x:v>720</x:v>
      </x:c>
      <x:c r="Q455" s="1" t="str">
        <x:v>Screen passed; indicative</x:v>
      </x:c>
      <x:c r="R455" s="1" t="n">
        <x:v>263</x:v>
      </x:c>
    </x:row>
    <x:row r="456" ht="21" customHeight="1">
      <x:c r="A456" s="12" t="n">
        <x:v>46268</x:v>
      </x:c>
      <x:c r="B456" s="1" t="str">
        <x:v>GFGV7000OC</x:v>
      </x:c>
      <x:c r="C456" s="1" t="str">
        <x:v>put</x:v>
      </x:c>
      <x:c r="D456" s="11" t="n">
        <x:v>7000</x:v>
      </x:c>
      <x:c r="E456" s="11" t="n">
        <x:f>'Option source'!B762</x:f>
        <x:v>315.24</x:v>
      </x:c>
      <x:c r="F456" s="11" t="n">
        <x:v>7075</x:v>
      </x:c>
      <x:c r="G456" s="18" t="n">
        <x:v>43</x:v>
      </x:c>
      <x:c r="H456" s="11" t="n">
        <x:f>MAX(IF(C456="call",F456-D456,D456-F456),0)</x:f>
        <x:v>0</x:v>
      </x:c>
      <x:c r="I456" s="11" t="n">
        <x:f>E456-H456</x:f>
        <x:v>315.24</x:v>
      </x:c>
      <x:c r="J456" s="13" t="n">
        <x:f>D456/F456</x:f>
        <x:v>0.9893992932862191</x:v>
      </x:c>
      <x:c r="K456" s="13" t="n">
        <x:v>0.45859240792621614</x:v>
      </x:c>
      <x:c r="L456" s="17" t="n">
        <x:v>-0.35534012679994165</x:v>
      </x:c>
      <x:c r="M456" s="17" t="n">
        <x:v>9.043679921665593</x:v>
      </x:c>
      <x:c r="N456" s="11" t="n">
        <x:f>'Option source'!C762</x:f>
        <x:v>213086576</x:v>
      </x:c>
      <x:c r="O456" s="11" t="n">
        <x:f>'Option source'!G762</x:f>
        <x:v>240</x:v>
      </x:c>
      <x:c r="P456" s="11" t="n">
        <x:f>'Option source'!F762</x:f>
        <x:v>337</x:v>
      </x:c>
      <x:c r="Q456" s="1" t="str">
        <x:v>Screen passed; indicative</x:v>
      </x:c>
      <x:c r="R456" s="1" t="n">
        <x:v>757</x:v>
      </x:c>
    </x:row>
    <x:row r="457" ht="21" customHeight="1">
      <x:c r="A457" s="12" t="n">
        <x:v>46268</x:v>
      </x:c>
      <x:c r="B457" s="1" t="str">
        <x:v>GFGC7200OC</x:v>
      </x:c>
      <x:c r="C457" s="1" t="str">
        <x:v>call</x:v>
      </x:c>
      <x:c r="D457" s="11" t="n">
        <x:v>7200</x:v>
      </x:c>
      <x:c r="E457" s="11" t="n">
        <x:f>'Option source'!B287</x:f>
        <x:v>446.85</x:v>
      </x:c>
      <x:c r="F457" s="11" t="n">
        <x:v>7075</x:v>
      </x:c>
      <x:c r="G457" s="18" t="n">
        <x:v>43</x:v>
      </x:c>
      <x:c r="H457" s="11" t="n">
        <x:f>MAX(IF(C457="call",F457-D457,D457-F457),0)</x:f>
        <x:v>0</x:v>
      </x:c>
      <x:c r="I457" s="11" t="n">
        <x:f>E457-H457</x:f>
        <x:v>446.85</x:v>
      </x:c>
      <x:c r="J457" s="13" t="n">
        <x:f>D457/F457</x:f>
        <x:v>1.017667844522968</x:v>
      </x:c>
      <x:c r="K457" s="13" t="n">
        <x:v>0.39718580418880955</x:v>
      </x:c>
      <x:c r="L457" s="17" t="n">
        <x:v>0.5788466593968082</x:v>
      </x:c>
      <x:c r="M457" s="17" t="n">
        <x:v>9.497950705101177</x:v>
      </x:c>
      <x:c r="N457" s="11" t="n">
        <x:f>'Option source'!C287</x:f>
        <x:v>559743360</x:v>
      </x:c>
      <x:c r="O457" s="11" t="n">
        <x:f>'Option source'!G287</x:f>
        <x:v>425</x:v>
      </x:c>
      <x:c r="P457" s="11" t="n">
        <x:f>'Option source'!F287</x:f>
        <x:v>640</x:v>
      </x:c>
      <x:c r="Q457" s="1" t="str">
        <x:v>Screen passed; indicative</x:v>
      </x:c>
      <x:c r="R457" s="1" t="n">
        <x:v>282</x:v>
      </x:c>
    </x:row>
    <x:row r="458" ht="21" customHeight="1">
      <x:c r="A458" s="12" t="n">
        <x:v>46268</x:v>
      </x:c>
      <x:c r="B458" s="1" t="str">
        <x:v>GFGV7200OC</x:v>
      </x:c>
      <x:c r="C458" s="1" t="str">
        <x:v>put</x:v>
      </x:c>
      <x:c r="D458" s="11" t="n">
        <x:v>7200</x:v>
      </x:c>
      <x:c r="E458" s="11" t="n">
        <x:f>'Option source'!B781</x:f>
        <x:v>403.61</x:v>
      </x:c>
      <x:c r="F458" s="11" t="n">
        <x:v>7075</x:v>
      </x:c>
      <x:c r="G458" s="18" t="n">
        <x:v>43</x:v>
      </x:c>
      <x:c r="H458" s="11" t="n">
        <x:f>MAX(IF(C458="call",F458-D458,D458-F458),0)</x:f>
        <x:v>125</x:v>
      </x:c>
      <x:c r="I458" s="11" t="n">
        <x:f>E458-H458</x:f>
        <x:v>278.61</x:v>
      </x:c>
      <x:c r="J458" s="13" t="n">
        <x:f>D458/F458</x:f>
        <x:v>1.017667844522968</x:v>
      </x:c>
      <x:c r="K458" s="13" t="n">
        <x:v>0.4504226745511185</x:v>
      </x:c>
      <x:c r="L458" s="17" t="n">
        <x:v>-0.4236271988325675</x:v>
      </x:c>
      <x:c r="M458" s="17" t="n">
        <x:v>9.509712220126442</x:v>
      </x:c>
      <x:c r="N458" s="11" t="n">
        <x:f>'Option source'!C781</x:f>
        <x:v>79552488</x:v>
      </x:c>
      <x:c r="O458" s="11" t="n">
        <x:f>'Option source'!G781</x:f>
        <x:v>310.51</x:v>
      </x:c>
      <x:c r="P458" s="11" t="n">
        <x:f>'Option source'!F781</x:f>
        <x:v>444.98</x:v>
      </x:c>
      <x:c r="Q458" s="1" t="str">
        <x:v>Screen passed; indicative</x:v>
      </x:c>
      <x:c r="R458" s="1" t="n">
        <x:v>776</x:v>
      </x:c>
    </x:row>
    <x:row r="459" ht="21" customHeight="1">
      <x:c r="A459" s="12" t="n">
        <x:v>46268</x:v>
      </x:c>
      <x:c r="B459" s="1" t="str">
        <x:v>GFGC6800OC</x:v>
      </x:c>
      <x:c r="C459" s="1" t="str">
        <x:v>call</x:v>
      </x:c>
      <x:c r="D459" s="11" t="n">
        <x:v>6800</x:v>
      </x:c>
      <x:c r="E459" s="11" t="n">
        <x:f>'Option source'!B249</x:f>
        <x:v>665.11</x:v>
      </x:c>
      <x:c r="F459" s="11" t="n">
        <x:v>7075</x:v>
      </x:c>
      <x:c r="G459" s="18" t="n">
        <x:v>43</x:v>
      </x:c>
      <x:c r="H459" s="11" t="n">
        <x:f>MAX(IF(C459="call",F459-D459,D459-F459),0)</x:f>
        <x:v>275</x:v>
      </x:c>
      <x:c r="I459" s="11" t="n">
        <x:f>E459-H459</x:f>
        <x:v>390.11</x:v>
      </x:c>
      <x:c r="J459" s="13" t="n">
        <x:f>D459/F459</x:f>
        <x:v>0.9611307420494699</x:v>
      </x:c>
      <x:c r="K459" s="13" t="n">
        <x:v>0.37750234133137006</x:v>
      </x:c>
      <x:c r="L459" s="17" t="n">
        <x:v>0.7400569927874652</x:v>
      </x:c>
      <x:c r="M459" s="17" t="n">
        <x:v>7.875885854381705</x:v>
      </x:c>
      <x:c r="N459" s="11" t="n">
        <x:f>'Option source'!C249</x:f>
        <x:v>96836888</x:v>
      </x:c>
      <x:c r="O459" s="11" t="n">
        <x:f>'Option source'!G249</x:f>
        <x:v>640</x:v>
      </x:c>
      <x:c r="P459" s="11" t="n">
        <x:f>'Option source'!F249</x:f>
        <x:v>820</x:v>
      </x:c>
      <x:c r="Q459" s="1" t="str">
        <x:v>Screen passed; indicative</x:v>
      </x:c>
      <x:c r="R459" s="1" t="n">
        <x:v>244</x:v>
      </x:c>
    </x:row>
    <x:row r="460" ht="21" customHeight="1">
      <x:c r="A460" s="12" t="n">
        <x:v>46268</x:v>
      </x:c>
      <x:c r="B460" s="1" t="str">
        <x:v>GFGV6800OC</x:v>
      </x:c>
      <x:c r="C460" s="1" t="str">
        <x:v>put</x:v>
      </x:c>
      <x:c r="D460" s="11" t="n">
        <x:v>6800</x:v>
      </x:c>
      <x:c r="E460" s="11" t="n">
        <x:f>'Option source'!B743</x:f>
        <x:v>235.69</x:v>
      </x:c>
      <x:c r="F460" s="11" t="n">
        <x:v>7075</x:v>
      </x:c>
      <x:c r="G460" s="18" t="n">
        <x:v>43</x:v>
      </x:c>
      <x:c r="H460" s="11" t="n">
        <x:f>MAX(IF(C460="call",F460-D460,D460-F460),0)</x:f>
        <x:v>0</x:v>
      </x:c>
      <x:c r="I460" s="11" t="n">
        <x:f>E460-H460</x:f>
        <x:v>235.69</x:v>
      </x:c>
      <x:c r="J460" s="13" t="n">
        <x:f>D460/F460</x:f>
        <x:v>0.9611307420494699</x:v>
      </x:c>
      <x:c r="K460" s="13" t="n">
        <x:v>0.4597135272525159</x:v>
      </x:c>
      <x:c r="L460" s="17" t="n">
        <x:v>-0.2897436397138786</x:v>
      </x:c>
      <x:c r="M460" s="17" t="n">
        <x:v>8.30895002375767</x:v>
      </x:c>
      <x:c r="N460" s="11" t="n">
        <x:f>'Option source'!C743</x:f>
        <x:v>176546384</x:v>
      </x:c>
      <x:c r="O460" s="11" t="n">
        <x:f>'Option source'!G743</x:f>
        <x:v>166</x:v>
      </x:c>
      <x:c r="P460" s="11" t="n">
        <x:f>'Option source'!F743</x:f>
        <x:v>249</x:v>
      </x:c>
      <x:c r="Q460" s="1" t="str">
        <x:v>Screen passed; indicative</x:v>
      </x:c>
      <x:c r="R460" s="1" t="n">
        <x:v>738</x:v>
      </x:c>
    </x:row>
    <x:row r="461" ht="21" customHeight="1">
      <x:c r="A461" s="12" t="n">
        <x:v>46268</x:v>
      </x:c>
      <x:c r="B461" s="1" t="str">
        <x:v>GFGC7400OC</x:v>
      </x:c>
      <x:c r="C461" s="1" t="str">
        <x:v>call</x:v>
      </x:c>
      <x:c r="D461" s="11" t="n">
        <x:v>7400</x:v>
      </x:c>
      <x:c r="E461" s="11" t="n">
        <x:f>'Option source'!B306</x:f>
        <x:v>355.55</x:v>
      </x:c>
      <x:c r="F461" s="11" t="n">
        <x:v>7075</x:v>
      </x:c>
      <x:c r="G461" s="18" t="n">
        <x:v>43</x:v>
      </x:c>
      <x:c r="H461" s="11" t="n">
        <x:f>MAX(IF(C461="call",F461-D461,D461-F461),0)</x:f>
        <x:v>0</x:v>
      </x:c>
      <x:c r="I461" s="11" t="n">
        <x:f>E461-H461</x:f>
        <x:v>355.55</x:v>
      </x:c>
      <x:c r="J461" s="13" t="n">
        <x:f>D461/F461</x:f>
        <x:v>1.0459363957597174</x:v>
      </x:c>
      <x:c r="K461" s="13" t="n">
        <x:v>0.3995402059221146</x:v>
      </x:c>
      <x:c r="L461" s="17" t="n">
        <x:v>0.49951392106429215</x:v>
      </x:c>
      <x:c r="M461" s="17" t="n">
        <x:v>9.687773650762654</x:v>
      </x:c>
      <x:c r="N461" s="11" t="n">
        <x:f>'Option source'!C306</x:f>
        <x:v>549382400</x:v>
      </x:c>
      <x:c r="O461" s="11" t="n">
        <x:f>'Option source'!G306</x:f>
        <x:v>331.24</x:v>
      </x:c>
      <x:c r="P461" s="11" t="n">
        <x:f>'Option source'!F306</x:f>
        <x:v>490</x:v>
      </x:c>
      <x:c r="Q461" s="1" t="str">
        <x:v>Screen passed; indicative</x:v>
      </x:c>
      <x:c r="R461" s="1" t="n">
        <x:v>301</x:v>
      </x:c>
    </x:row>
    <x:row r="462" ht="21" customHeight="1">
      <x:c r="A462" s="12" t="n">
        <x:v>46268</x:v>
      </x:c>
      <x:c r="B462" s="1" t="str">
        <x:v>GFGV7400OC</x:v>
      </x:c>
      <x:c r="C462" s="1" t="str">
        <x:v>put</x:v>
      </x:c>
      <x:c r="D462" s="11" t="n">
        <x:v>7400</x:v>
      </x:c>
      <x:c r="E462" s="11" t="n">
        <x:f>'Option source'!B800</x:f>
        <x:v>521.53</x:v>
      </x:c>
      <x:c r="F462" s="11" t="n">
        <x:v>7075</x:v>
      </x:c>
      <x:c r="G462" s="18" t="n">
        <x:v>43</x:v>
      </x:c>
      <x:c r="H462" s="11" t="n">
        <x:f>MAX(IF(C462="call",F462-D462,D462-F462),0)</x:f>
        <x:v>325</x:v>
      </x:c>
      <x:c r="I462" s="11" t="n">
        <x:f>E462-H462</x:f>
        <x:v>196.52999999999997</x:v>
      </x:c>
      <x:c r="J462" s="13" t="n">
        <x:f>D462/F462</x:f>
        <x:v>1.0459363957597174</x:v>
      </x:c>
      <x:c r="K462" s="13" t="n">
        <x:v>0.4562791850438659</x:v>
      </x:c>
      <x:c r="L462" s="17" t="n">
        <x:v>-0.4931397765742952</x:v>
      </x:c>
      <x:c r="M462" s="17" t="n">
        <x:v>9.686348451340558</x:v>
      </x:c>
      <x:c r="N462" s="11" t="n">
        <x:f>'Option source'!C800</x:f>
        <x:v>10447188</x:v>
      </x:c>
      <x:c r="O462" s="11" t="n">
        <x:f>'Option source'!G800</x:f>
        <x:v>401</x:v>
      </x:c>
      <x:c r="P462" s="11" t="n">
        <x:f>'Option source'!F800</x:f>
        <x:v>600</x:v>
      </x:c>
      <x:c r="Q462" s="1" t="str">
        <x:v>Screen passed; indicative</x:v>
      </x:c>
      <x:c r="R462" s="1" t="n">
        <x:v>795</x:v>
      </x:c>
    </x:row>
    <x:row r="463" ht="21" customHeight="1">
      <x:c r="A463" s="12" t="n">
        <x:v>46268</x:v>
      </x:c>
      <x:c r="B463" s="1" t="str">
        <x:v>GFGC6600OC</x:v>
      </x:c>
      <x:c r="C463" s="1" t="str">
        <x:v>call</x:v>
      </x:c>
      <x:c r="D463" s="11" t="n">
        <x:v>6600</x:v>
      </x:c>
      <x:c r="E463" s="11" t="n">
        <x:f>'Option source'!B230</x:f>
        <x:v>800.04</x:v>
      </x:c>
      <x:c r="F463" s="11" t="n">
        <x:v>7075</x:v>
      </x:c>
      <x:c r="G463" s="18" t="n">
        <x:v>43</x:v>
      </x:c>
      <x:c r="H463" s="11" t="n">
        <x:f>MAX(IF(C463="call",F463-D463,D463-F463),0)</x:f>
        <x:v>475</x:v>
      </x:c>
      <x:c r="I463" s="11" t="n">
        <x:f>E463-H463</x:f>
        <x:v>325.03999999999996</x:v>
      </x:c>
      <x:c r="J463" s="13" t="n">
        <x:f>D463/F463</x:f>
        <x:v>0.9328621908127208</x:v>
      </x:c>
      <x:c r="K463" s="13" t="n">
        <x:v>0.36694907971863333</x:v>
      </x:c>
      <x:c r="L463" s="17" t="n">
        <x:v>0.8147077322752703</x:v>
      </x:c>
      <x:c r="M463" s="17" t="n">
        <x:v>6.4883848295283215</x:v>
      </x:c>
      <x:c r="N463" s="11" t="n">
        <x:f>'Option source'!C230</x:f>
        <x:v>61064284</x:v>
      </x:c>
      <x:c r="O463" s="11" t="n">
        <x:f>'Option source'!G230</x:f>
        <x:v>775</x:v>
      </x:c>
      <x:c r="P463" s="11" t="n">
        <x:f>'Option source'!F230</x:f>
        <x:v>990</x:v>
      </x:c>
      <x:c r="Q463" s="1" t="str">
        <x:v>Screen passed; indicative</x:v>
      </x:c>
      <x:c r="R463" s="1" t="n">
        <x:v>225</x:v>
      </x:c>
    </x:row>
    <x:row r="464" ht="21" customHeight="1">
      <x:c r="A464" s="12" t="n">
        <x:v>46268</x:v>
      </x:c>
      <x:c r="B464" s="1" t="str">
        <x:v>GFGV6600OC</x:v>
      </x:c>
      <x:c r="C464" s="1" t="str">
        <x:v>put</x:v>
      </x:c>
      <x:c r="D464" s="11" t="n">
        <x:v>6600</x:v>
      </x:c>
      <x:c r="E464" s="11" t="n">
        <x:f>'Option source'!B724</x:f>
        <x:v>167.73</x:v>
      </x:c>
      <x:c r="F464" s="11" t="n">
        <x:v>7075</x:v>
      </x:c>
      <x:c r="G464" s="18" t="n">
        <x:v>43</x:v>
      </x:c>
      <x:c r="H464" s="11" t="n">
        <x:f>MAX(IF(C464="call",F464-D464,D464-F464),0)</x:f>
        <x:v>0</x:v>
      </x:c>
      <x:c r="I464" s="11" t="n">
        <x:f>E464-H464</x:f>
        <x:v>167.73</x:v>
      </x:c>
      <x:c r="J464" s="13" t="n">
        <x:f>D464/F464</x:f>
        <x:v>0.9328621908127208</x:v>
      </x:c>
      <x:c r="K464" s="13" t="n">
        <x:v>0.45652565367233344</x:v>
      </x:c>
      <x:c r="L464" s="17" t="n">
        <x:v>-0.22740425953082521</x:v>
      </x:c>
      <x:c r="M464" s="17" t="n">
        <x:v>7.3268459289400285</x:v>
      </x:c>
      <x:c r="N464" s="11" t="n">
        <x:f>'Option source'!C724</x:f>
        <x:v>285943328</x:v>
      </x:c>
      <x:c r="O464" s="11" t="n">
        <x:f>'Option source'!G724</x:f>
        <x:v>111</x:v>
      </x:c>
      <x:c r="P464" s="11" t="n">
        <x:f>'Option source'!F724</x:f>
        <x:v>183</x:v>
      </x:c>
      <x:c r="Q464" s="1" t="str">
        <x:v>Screen passed; indicative</x:v>
      </x:c>
      <x:c r="R464" s="1" t="n">
        <x:v>719</x:v>
      </x:c>
    </x:row>
    <x:row r="465" ht="21" customHeight="1">
      <x:c r="A465" s="12" t="n">
        <x:v>46268</x:v>
      </x:c>
      <x:c r="B465" s="1" t="str">
        <x:v>GFGC7600OC</x:v>
      </x:c>
      <x:c r="C465" s="1" t="str">
        <x:v>call</x:v>
      </x:c>
      <x:c r="D465" s="11" t="n">
        <x:v>7600</x:v>
      </x:c>
      <x:c r="E465" s="11" t="n">
        <x:f>'Option source'!B325</x:f>
        <x:v>280.92</x:v>
      </x:c>
      <x:c r="F465" s="11" t="n">
        <x:v>7075</x:v>
      </x:c>
      <x:c r="G465" s="18" t="n">
        <x:v>43</x:v>
      </x:c>
      <x:c r="H465" s="11" t="n">
        <x:f>MAX(IF(C465="call",F465-D465,D465-F465),0)</x:f>
        <x:v>0</x:v>
      </x:c>
      <x:c r="I465" s="11" t="n">
        <x:f>E465-H465</x:f>
        <x:v>280.92</x:v>
      </x:c>
      <x:c r="J465" s="13" t="n">
        <x:f>D465/F465</x:f>
        <x:v>1.0742049469964665</x:v>
      </x:c>
      <x:c r="K465" s="13" t="n">
        <x:v>0.4036581003172439</x:v>
      </x:c>
      <x:c r="L465" s="17" t="n">
        <x:v>0.4237602346938785</x:v>
      </x:c>
      <x:c r="M465" s="17" t="n">
        <x:v>9.510333958251776</x:v>
      </x:c>
      <x:c r="N465" s="11" t="n">
        <x:f>'Option source'!C325</x:f>
        <x:v>732142336</x:v>
      </x:c>
      <x:c r="O465" s="11" t="n">
        <x:f>'Option source'!G325</x:f>
        <x:v>273</x:v>
      </x:c>
      <x:c r="P465" s="11" t="n">
        <x:f>'Option source'!F325</x:f>
        <x:v>383</x:v>
      </x:c>
      <x:c r="Q465" s="1" t="str">
        <x:v>Screen passed; indicative</x:v>
      </x:c>
      <x:c r="R465" s="1" t="n">
        <x:v>320</x:v>
      </x:c>
    </x:row>
    <x:row r="466" ht="21" customHeight="1">
      <x:c r="A466" s="12" t="n">
        <x:v>46268</x:v>
      </x:c>
      <x:c r="B466" s="1" t="str">
        <x:v>GFGV7600OC</x:v>
      </x:c>
      <x:c r="C466" s="1" t="str">
        <x:v>put</x:v>
      </x:c>
      <x:c r="D466" s="11" t="n">
        <x:v>7600</x:v>
      </x:c>
      <x:c r="E466" s="11" t="n">
        <x:f>'Option source'!B819</x:f>
        <x:v>650</x:v>
      </x:c>
      <x:c r="F466" s="11" t="n">
        <x:v>7075</x:v>
      </x:c>
      <x:c r="G466" s="18" t="n">
        <x:v>43</x:v>
      </x:c>
      <x:c r="H466" s="11" t="n">
        <x:f>MAX(IF(C466="call",F466-D466,D466-F466),0)</x:f>
        <x:v>525</x:v>
      </x:c>
      <x:c r="I466" s="11" t="n">
        <x:f>E466-H466</x:f>
        <x:v>125</x:v>
      </x:c>
      <x:c r="J466" s="13" t="n">
        <x:f>D466/F466</x:f>
        <x:v>1.0742049469964665</x:v>
      </x:c>
      <x:c r="K466" s="13" t="n">
        <x:v>0.45492931292267325</x:v>
      </x:c>
      <x:c r="L466" s="17" t="n">
        <x:v>-0.561197586835413</x:v>
      </x:c>
      <x:c r="M466" s="17" t="n">
        <x:v>9.57357238247359</x:v>
      </x:c>
      <x:c r="N466" s="11" t="n">
        <x:f>'Option source'!C819</x:f>
        <x:v>3813652.25</x:v>
      </x:c>
      <x:c r="O466" s="11" t="n">
        <x:f>'Option source'!G819</x:f>
        <x:v>550</x:v>
      </x:c>
      <x:c r="P466" s="11" t="n">
        <x:f>'Option source'!F819</x:f>
        <x:v>690</x:v>
      </x:c>
      <x:c r="Q466" s="1" t="str">
        <x:v>Screen passed; indicative</x:v>
      </x:c>
      <x:c r="R466" s="1" t="n">
        <x:v>814</x:v>
      </x:c>
    </x:row>
    <x:row r="467" ht="21" customHeight="1">
      <x:c r="A467" s="12" t="n">
        <x:v>46268</x:v>
      </x:c>
      <x:c r="B467" s="1" t="str">
        <x:v>GFGC6400OC</x:v>
      </x:c>
      <x:c r="C467" s="1" t="str">
        <x:v>call</x:v>
      </x:c>
      <x:c r="D467" s="11" t="n">
        <x:v>6400</x:v>
      </x:c>
      <x:c r="E467" s="11" t="n">
        <x:f>'Option source'!B211</x:f>
        <x:v>935</x:v>
      </x:c>
      <x:c r="F467" s="11" t="n">
        <x:v>7075</x:v>
      </x:c>
      <x:c r="G467" s="18" t="n">
        <x:v>43</x:v>
      </x:c>
      <x:c r="H467" s="11" t="n">
        <x:f>MAX(IF(C467="call",F467-D467,D467-F467),0)</x:f>
        <x:v>675</x:v>
      </x:c>
      <x:c r="I467" s="11" t="n">
        <x:f>E467-H467</x:f>
        <x:v>260</x:v>
      </x:c>
      <x:c r="J467" s="13" t="n">
        <x:f>D467/F467</x:f>
        <x:v>0.9045936395759717</x:v>
      </x:c>
      <x:c r="K467" s="13"/>
      <x:c r="L467" s="17"/>
      <x:c r="M467" s="17"/>
      <x:c r="N467" s="11" t="n">
        <x:f>'Option source'!C211</x:f>
        <x:v>11888418</x:v>
      </x:c>
      <x:c r="O467" s="11" t="n">
        <x:f>'Option source'!G211</x:f>
        <x:v>938.46</x:v>
      </x:c>
      <x:c r="P467" s="11" t="n">
        <x:f>'Option source'!F211</x:f>
        <x:v>1037.89</x:v>
      </x:c>
      <x:c r="Q467" s="1" t="str">
        <x:v>Price outside daily range</x:v>
      </x:c>
      <x:c r="R467" s="1" t="n">
        <x:v>206</x:v>
      </x:c>
    </x:row>
    <x:row r="468" ht="21" customHeight="1">
      <x:c r="A468" s="12" t="n">
        <x:v>46268</x:v>
      </x:c>
      <x:c r="B468" s="1" t="str">
        <x:v>GFGV6400OC</x:v>
      </x:c>
      <x:c r="C468" s="1" t="str">
        <x:v>put</x:v>
      </x:c>
      <x:c r="D468" s="11" t="n">
        <x:v>6400</x:v>
      </x:c>
      <x:c r="E468" s="11" t="n">
        <x:f>'Option source'!B705</x:f>
        <x:v>113.71</x:v>
      </x:c>
      <x:c r="F468" s="11" t="n">
        <x:v>7075</x:v>
      </x:c>
      <x:c r="G468" s="18" t="n">
        <x:v>43</x:v>
      </x:c>
      <x:c r="H468" s="11" t="n">
        <x:f>MAX(IF(C468="call",F468-D468,D468-F468),0)</x:f>
        <x:v>0</x:v>
      </x:c>
      <x:c r="I468" s="11" t="n">
        <x:f>E468-H468</x:f>
        <x:v>113.71</x:v>
      </x:c>
      <x:c r="J468" s="13" t="n">
        <x:f>D468/F468</x:f>
        <x:v>0.9045936395759717</x:v>
      </x:c>
      <x:c r="K468" s="13" t="n">
        <x:v>0.4513217647295985</x:v>
      </x:c>
      <x:c r="L468" s="17" t="n">
        <x:v>-0.17032320687034241</x:v>
      </x:c>
      <x:c r="M468" s="17" t="n">
        <x:v>6.152551345618953</x:v>
      </x:c>
      <x:c r="N468" s="11" t="n">
        <x:f>'Option source'!C705</x:f>
        <x:v>86233792</x:v>
      </x:c>
      <x:c r="O468" s="11" t="n">
        <x:f>'Option source'!G705</x:f>
        <x:v>75</x:v>
      </x:c>
      <x:c r="P468" s="11" t="n">
        <x:f>'Option source'!F705</x:f>
        <x:v>120</x:v>
      </x:c>
      <x:c r="Q468" s="1" t="str">
        <x:v>Screen passed; indicative</x:v>
      </x:c>
      <x:c r="R468" s="1" t="n">
        <x:v>700</x:v>
      </x:c>
    </x:row>
    <x:row r="469" ht="21" customHeight="1">
      <x:c r="A469" s="12" t="n">
        <x:v>46268</x:v>
      </x:c>
      <x:c r="B469" s="1" t="str">
        <x:v>GFGC7800OC</x:v>
      </x:c>
      <x:c r="C469" s="1" t="str">
        <x:v>call</x:v>
      </x:c>
      <x:c r="D469" s="11" t="n">
        <x:v>7800</x:v>
      </x:c>
      <x:c r="E469" s="11" t="n">
        <x:f>'Option source'!B344</x:f>
        <x:v>216.52</x:v>
      </x:c>
      <x:c r="F469" s="11" t="n">
        <x:v>7075</x:v>
      </x:c>
      <x:c r="G469" s="18" t="n">
        <x:v>43</x:v>
      </x:c>
      <x:c r="H469" s="11" t="n">
        <x:f>MAX(IF(C469="call",F469-D469,D469-F469),0)</x:f>
        <x:v>0</x:v>
      </x:c>
      <x:c r="I469" s="11" t="n">
        <x:f>E469-H469</x:f>
        <x:v>216.52</x:v>
      </x:c>
      <x:c r="J469" s="13" t="n">
        <x:f>D469/F469</x:f>
        <x:v>1.1024734982332156</x:v>
      </x:c>
      <x:c r="K469" s="13" t="n">
        <x:v>0.4041011356513645</x:v>
      </x:c>
      <x:c r="L469" s="17" t="n">
        <x:v>0.3522704602021922</x:v>
      </x:c>
      <x:c r="M469" s="17" t="n">
        <x:v>9.015721309051056</x:v>
      </x:c>
      <x:c r="N469" s="11" t="n">
        <x:f>'Option source'!C344</x:f>
        <x:v>219590544</x:v>
      </x:c>
      <x:c r="O469" s="11" t="n">
        <x:f>'Option source'!G344</x:f>
        <x:v>208.01</x:v>
      </x:c>
      <x:c r="P469" s="11" t="n">
        <x:f>'Option source'!F344</x:f>
        <x:v>309</x:v>
      </x:c>
      <x:c r="Q469" s="1" t="str">
        <x:v>Screen passed; indicative</x:v>
      </x:c>
      <x:c r="R469" s="1" t="n">
        <x:v>339</x:v>
      </x:c>
    </x:row>
    <x:row r="470" ht="21" customHeight="1">
      <x:c r="A470" s="12" t="n">
        <x:v>46268</x:v>
      </x:c>
      <x:c r="B470" s="1" t="str">
        <x:v>GFGV7800OC</x:v>
      </x:c>
      <x:c r="C470" s="1" t="str">
        <x:v>put</x:v>
      </x:c>
      <x:c r="D470" s="11" t="n">
        <x:v>7800</x:v>
      </x:c>
      <x:c r="E470" s="11" t="n">
        <x:f>'Option source'!B838</x:f>
        <x:v>898.99</x:v>
      </x:c>
      <x:c r="F470" s="11" t="n">
        <x:v>7075</x:v>
      </x:c>
      <x:c r="G470" s="18" t="n">
        <x:v>43</x:v>
      </x:c>
      <x:c r="H470" s="11" t="n">
        <x:f>MAX(IF(C470="call",F470-D470,D470-F470),0)</x:f>
        <x:v>725</x:v>
      </x:c>
      <x:c r="I470" s="11" t="n">
        <x:f>E470-H470</x:f>
        <x:v>173.99</x:v>
      </x:c>
      <x:c r="J470" s="13" t="n">
        <x:f>D470/F470</x:f>
        <x:v>1.1024734982332156</x:v>
      </x:c>
      <x:c r="K470" s="13"/>
      <x:c r="L470" s="17"/>
      <x:c r="M470" s="17"/>
      <x:c r="N470" s="11" t="n">
        <x:f>'Option source'!C838</x:f>
        <x:v>392399</x:v>
      </x:c>
      <x:c r="O470" s="11" t="n">
        <x:f>'Option source'!G838</x:f>
        <x:v>605</x:v>
      </x:c>
      <x:c r="P470" s="11" t="n">
        <x:f>'Option source'!F838</x:f>
        <x:v>605</x:v>
      </x:c>
      <x:c r="Q470" s="1" t="str">
        <x:v>Price outside daily range</x:v>
      </x:c>
      <x:c r="R470" s="1" t="n">
        <x:v>833</x:v>
      </x:c>
    </x:row>
    <x:row r="471" ht="21" customHeight="1">
      <x:c r="A471" s="12" t="n">
        <x:v>46268</x:v>
      </x:c>
      <x:c r="B471" s="1" t="str">
        <x:v>GFGC6200OC</x:v>
      </x:c>
      <x:c r="C471" s="1" t="str">
        <x:v>call</x:v>
      </x:c>
      <x:c r="D471" s="11" t="n">
        <x:v>6200</x:v>
      </x:c>
      <x:c r="E471" s="11" t="n">
        <x:f>'Option source'!B192</x:f>
        <x:v>1100</x:v>
      </x:c>
      <x:c r="F471" s="11" t="n">
        <x:v>7075</x:v>
      </x:c>
      <x:c r="G471" s="18" t="n">
        <x:v>43</x:v>
      </x:c>
      <x:c r="H471" s="11" t="n">
        <x:f>MAX(IF(C471="call",F471-D471,D471-F471),0)</x:f>
        <x:v>875</x:v>
      </x:c>
      <x:c r="I471" s="11" t="n">
        <x:f>E471-H471</x:f>
        <x:v>225</x:v>
      </x:c>
      <x:c r="J471" s="13" t="n">
        <x:f>D471/F471</x:f>
        <x:v>0.8763250883392226</x:v>
      </x:c>
      <x:c r="K471" s="13" t="n">
        <x:v>0.27677914158580685</x:v>
      </x:c>
      <x:c r="L471" s="17" t="n">
        <x:v>0.9647900610456466</x:v>
      </x:c>
      <x:c r="M471" s="17" t="n">
        <x:v>1.8856307276530344</x:v>
      </x:c>
      <x:c r="N471" s="11" t="n">
        <x:f>'Option source'!C192</x:f>
        <x:v>7780003.5</x:v>
      </x:c>
      <x:c r="O471" s="11" t="n">
        <x:f>'Option source'!G192</x:f>
        <x:v>1090</x:v>
      </x:c>
      <x:c r="P471" s="11" t="n">
        <x:f>'Option source'!F192</x:f>
        <x:v>1171.93</x:v>
      </x:c>
      <x:c r="Q471" s="1" t="str">
        <x:v>Screen passed; indicative</x:v>
      </x:c>
      <x:c r="R471" s="1" t="n">
        <x:v>187</x:v>
      </x:c>
    </x:row>
    <x:row r="472" ht="21" customHeight="1">
      <x:c r="A472" s="12" t="n">
        <x:v>46268</x:v>
      </x:c>
      <x:c r="B472" s="1" t="str">
        <x:v>GFGV6200OC</x:v>
      </x:c>
      <x:c r="C472" s="1" t="str">
        <x:v>put</x:v>
      </x:c>
      <x:c r="D472" s="11" t="n">
        <x:v>6200</x:v>
      </x:c>
      <x:c r="E472" s="11" t="n">
        <x:f>'Option source'!B686</x:f>
        <x:v>73.43</x:v>
      </x:c>
      <x:c r="F472" s="11" t="n">
        <x:v>7075</x:v>
      </x:c>
      <x:c r="G472" s="18" t="n">
        <x:v>43</x:v>
      </x:c>
      <x:c r="H472" s="11" t="n">
        <x:f>MAX(IF(C472="call",F472-D472,D472-F472),0)</x:f>
        <x:v>0</x:v>
      </x:c>
      <x:c r="I472" s="11" t="n">
        <x:f>E472-H472</x:f>
        <x:v>73.43</x:v>
      </x:c>
      <x:c r="J472" s="13" t="n">
        <x:f>D472/F472</x:f>
        <x:v>0.8763250883392226</x:v>
      </x:c>
      <x:c r="K472" s="13" t="n">
        <x:v>0.447703810227983</x:v>
      </x:c>
      <x:c r="L472" s="17" t="n">
        <x:v>-0.12181722829282848</x:v>
      </x:c>
      <x:c r="M472" s="17" t="n">
        <x:v>4.90936738724393</x:v>
      </x:c>
      <x:c r="N472" s="11" t="n">
        <x:f>'Option source'!C686</x:f>
        <x:v>26117368</x:v>
      </x:c>
      <x:c r="O472" s="11" t="n">
        <x:f>'Option source'!G686</x:f>
        <x:v>50</x:v>
      </x:c>
      <x:c r="P472" s="11" t="n">
        <x:f>'Option source'!F686</x:f>
        <x:v>78.9</x:v>
      </x:c>
      <x:c r="Q472" s="1" t="str">
        <x:v>Screen passed; indicative</x:v>
      </x:c>
      <x:c r="R472" s="1" t="n">
        <x:v>681</x:v>
      </x:c>
    </x:row>
    <x:row r="473" ht="21" customHeight="1">
      <x:c r="A473" s="12" t="n">
        <x:v>46268</x:v>
      </x:c>
      <x:c r="B473" s="1" t="str">
        <x:v>GFGC8000OC</x:v>
      </x:c>
      <x:c r="C473" s="1" t="str">
        <x:v>call</x:v>
      </x:c>
      <x:c r="D473" s="11" t="n">
        <x:v>8000</x:v>
      </x:c>
      <x:c r="E473" s="11" t="n">
        <x:f>'Option source'!B363</x:f>
        <x:v>167.84</x:v>
      </x:c>
      <x:c r="F473" s="11" t="n">
        <x:v>7075</x:v>
      </x:c>
      <x:c r="G473" s="18" t="n">
        <x:v>43</x:v>
      </x:c>
      <x:c r="H473" s="11" t="n">
        <x:f>MAX(IF(C473="call",F473-D473,D473-F473),0)</x:f>
        <x:v>0</x:v>
      </x:c>
      <x:c r="I473" s="11" t="n">
        <x:f>E473-H473</x:f>
        <x:v>167.84</x:v>
      </x:c>
      <x:c r="J473" s="13" t="n">
        <x:f>D473/F473</x:f>
        <x:v>1.1307420494699647</x:v>
      </x:c>
      <x:c r="K473" s="13" t="n">
        <x:v>0.40857227725821854</x:v>
      </x:c>
      <x:c r="L473" s="17" t="n">
        <x:v>0.2897687950565423</x:v>
      </x:c>
      <x:c r="M473" s="17" t="n">
        <x:v>8.309288501650594</x:v>
      </x:c>
      <x:c r="N473" s="11" t="n">
        <x:f>'Option source'!C363</x:f>
        <x:v>622913472</x:v>
      </x:c>
      <x:c r="O473" s="11" t="n">
        <x:f>'Option source'!G363</x:f>
        <x:v>160</x:v>
      </x:c>
      <x:c r="P473" s="11" t="n">
        <x:f>'Option source'!F363</x:f>
        <x:v>238</x:v>
      </x:c>
      <x:c r="Q473" s="1" t="str">
        <x:v>Screen passed; indicative</x:v>
      </x:c>
      <x:c r="R473" s="1" t="n">
        <x:v>358</x:v>
      </x:c>
    </x:row>
    <x:row r="474" ht="21" customHeight="1">
      <x:c r="A474" s="12" t="n">
        <x:v>46268</x:v>
      </x:c>
      <x:c r="B474" s="1" t="str">
        <x:v>GFGV8000OC</x:v>
      </x:c>
      <x:c r="C474" s="1" t="str">
        <x:v>put</x:v>
      </x:c>
      <x:c r="D474" s="11" t="n">
        <x:v>8000</x:v>
      </x:c>
      <x:c r="E474" s="11" t="n">
        <x:f>'Option source'!B857</x:f>
        <x:v>1000</x:v>
      </x:c>
      <x:c r="F474" s="11" t="n">
        <x:v>7075</x:v>
      </x:c>
      <x:c r="G474" s="18" t="n">
        <x:v>43</x:v>
      </x:c>
      <x:c r="H474" s="11" t="n">
        <x:f>MAX(IF(C474="call",F474-D474,D474-F474),0)</x:f>
        <x:v>925</x:v>
      </x:c>
      <x:c r="I474" s="11" t="n">
        <x:f>E474-H474</x:f>
        <x:v>75</x:v>
      </x:c>
      <x:c r="J474" s="13" t="n">
        <x:f>D474/F474</x:f>
        <x:v>1.1307420494699647</x:v>
      </x:c>
      <x:c r="K474" s="13" t="n">
        <x:v>0.5235605916859051</x:v>
      </x:c>
      <x:c r="L474" s="17" t="n">
        <x:v>-0.6544046893767064</x:v>
      </x:c>
      <x:c r="M474" s="17" t="n">
        <x:v>8.95279386627792</x:v>
      </x:c>
      <x:c r="N474" s="11" t="n">
        <x:f>'Option source'!C857</x:f>
        <x:v>298999.91</x:v>
      </x:c>
      <x:c r="O474" s="11" t="n">
        <x:f>'Option source'!G857</x:f>
        <x:v>990</x:v>
      </x:c>
      <x:c r="P474" s="11" t="n">
        <x:f>'Option source'!F857</x:f>
        <x:v>1000</x:v>
      </x:c>
      <x:c r="Q474" s="1" t="str">
        <x:v>Screen passed; indicative</x:v>
      </x:c>
      <x:c r="R474" s="1" t="n">
        <x:v>852</x:v>
      </x:c>
    </x:row>
    <x:row r="475" ht="21" customHeight="1">
      <x:c r="A475" s="12" t="n">
        <x:v>46268</x:v>
      </x:c>
      <x:c r="B475" s="1" t="str">
        <x:v>GFGC6000OC</x:v>
      </x:c>
      <x:c r="C475" s="1" t="str">
        <x:v>call</x:v>
      </x:c>
      <x:c r="D475" s="11" t="n">
        <x:v>6000</x:v>
      </x:c>
      <x:c r="E475" s="11" t="n">
        <x:f>'Option source'!B173</x:f>
        <x:v>1215.59</x:v>
      </x:c>
      <x:c r="F475" s="11" t="n">
        <x:v>7075</x:v>
      </x:c>
      <x:c r="G475" s="18" t="n">
        <x:v>43</x:v>
      </x:c>
      <x:c r="H475" s="11" t="n">
        <x:f>MAX(IF(C475="call",F475-D475,D475-F475),0)</x:f>
        <x:v>1075</x:v>
      </x:c>
      <x:c r="I475" s="11" t="n">
        <x:f>E475-H475</x:f>
        <x:v>140.58999999999992</x:v>
      </x:c>
      <x:c r="J475" s="13" t="n">
        <x:f>D475/F475</x:f>
        <x:v>0.8480565371024735</x:v>
      </x:c>
      <x:c r="K475" s="13"/>
      <x:c r="L475" s="17"/>
      <x:c r="M475" s="17"/>
      <x:c r="N475" s="11" t="n">
        <x:f>'Option source'!C173</x:f>
        <x:v>16902164</x:v>
      </x:c>
      <x:c r="O475" s="11" t="n">
        <x:f>'Option source'!G173</x:f>
        <x:v>1250</x:v>
      </x:c>
      <x:c r="P475" s="11" t="n">
        <x:f>'Option source'!F173</x:f>
        <x:v>1407.04</x:v>
      </x:c>
      <x:c r="Q475" s="1" t="str">
        <x:v>Price outside daily range</x:v>
      </x:c>
      <x:c r="R475" s="1" t="n">
        <x:v>168</x:v>
      </x:c>
    </x:row>
    <x:row r="476" ht="21" customHeight="1">
      <x:c r="A476" s="12" t="n">
        <x:v>46268</x:v>
      </x:c>
      <x:c r="B476" s="1" t="str">
        <x:v>GFGV6000OC</x:v>
      </x:c>
      <x:c r="C476" s="1" t="str">
        <x:v>put</x:v>
      </x:c>
      <x:c r="D476" s="11" t="n">
        <x:v>6000</x:v>
      </x:c>
      <x:c r="E476" s="11" t="n">
        <x:f>'Option source'!B667</x:f>
        <x:v>45.1</x:v>
      </x:c>
      <x:c r="F476" s="11" t="n">
        <x:v>7075</x:v>
      </x:c>
      <x:c r="G476" s="18" t="n">
        <x:v>43</x:v>
      </x:c>
      <x:c r="H476" s="11" t="n">
        <x:f>MAX(IF(C476="call",F476-D476,D476-F476),0)</x:f>
        <x:v>0</x:v>
      </x:c>
      <x:c r="I476" s="11" t="n">
        <x:f>E476-H476</x:f>
        <x:v>45.1</x:v>
      </x:c>
      <x:c r="J476" s="13" t="n">
        <x:f>D476/F476</x:f>
        <x:v>0.8480565371024735</x:v>
      </x:c>
      <x:c r="K476" s="13" t="n">
        <x:v>0.44366484196385036</x:v>
      </x:c>
      <x:c r="L476" s="17" t="n">
        <x:v>-0.08218882422120033</x:v>
      </x:c>
      <x:c r="M476" s="17" t="n">
        <x:v>3.6844555815198787</x:v>
      </x:c>
      <x:c r="N476" s="11" t="n">
        <x:f>'Option source'!C667</x:f>
        <x:v>40749460</x:v>
      </x:c>
      <x:c r="O476" s="11" t="n">
        <x:f>'Option source'!G667</x:f>
        <x:v>29</x:v>
      </x:c>
      <x:c r="P476" s="11" t="n">
        <x:f>'Option source'!F667</x:f>
        <x:v>49.56</x:v>
      </x:c>
      <x:c r="Q476" s="1" t="str">
        <x:v>Screen passed; indicative</x:v>
      </x:c>
      <x:c r="R476" s="1" t="n">
        <x:v>662</x:v>
      </x:c>
    </x:row>
    <x:row r="477" ht="21" customHeight="1">
      <x:c r="A477" s="12" t="n">
        <x:v>46268</x:v>
      </x:c>
      <x:c r="B477" s="1" t="str">
        <x:v>GFGC8300OC</x:v>
      </x:c>
      <x:c r="C477" s="1" t="str">
        <x:v>call</x:v>
      </x:c>
      <x:c r="D477" s="11" t="n">
        <x:v>8300</x:v>
      </x:c>
      <x:c r="E477" s="11" t="n">
        <x:f>'Option source'!B382</x:f>
        <x:v>112.69</x:v>
      </x:c>
      <x:c r="F477" s="11" t="n">
        <x:v>7075</x:v>
      </x:c>
      <x:c r="G477" s="18" t="n">
        <x:v>43</x:v>
      </x:c>
      <x:c r="H477" s="11" t="n">
        <x:f>MAX(IF(C477="call",F477-D477,D477-F477),0)</x:f>
        <x:v>0</x:v>
      </x:c>
      <x:c r="I477" s="11" t="n">
        <x:f>E477-H477</x:f>
        <x:v>112.69</x:v>
      </x:c>
      <x:c r="J477" s="13" t="n">
        <x:f>D477/F477</x:f>
        <x:v>1.1731448763250882</x:v>
      </x:c>
      <x:c r="K477" s="13" t="n">
        <x:v>0.41459773449561266</x:v>
      </x:c>
      <x:c r="L477" s="17" t="n">
        <x:v>0.2110868541694363</x:v>
      </x:c>
      <x:c r="M477" s="17" t="n">
        <x:v>7.01981749542663</x:v>
      </x:c>
      <x:c r="N477" s="11" t="n">
        <x:f>'Option source'!C382</x:f>
        <x:v>159556480</x:v>
      </x:c>
      <x:c r="O477" s="11" t="n">
        <x:f>'Option source'!G382</x:f>
        <x:v>107</x:v>
      </x:c>
      <x:c r="P477" s="11" t="n">
        <x:f>'Option source'!F382</x:f>
        <x:v>168</x:v>
      </x:c>
      <x:c r="Q477" s="1" t="str">
        <x:v>Screen passed; indicative</x:v>
      </x:c>
      <x:c r="R477" s="1" t="n">
        <x:v>377</x:v>
      </x:c>
    </x:row>
    <x:row r="478" ht="21" customHeight="1">
      <x:c r="A478" s="12" t="n">
        <x:v>46268</x:v>
      </x:c>
      <x:c r="B478" s="1" t="str">
        <x:v>GFGV8300OC</x:v>
      </x:c>
      <x:c r="C478" s="1" t="str">
        <x:v>put</x:v>
      </x:c>
      <x:c r="D478" s="11" t="n">
        <x:v>8300</x:v>
      </x:c>
      <x:c r="E478" s="11" t="n">
        <x:f>'Option source'!B876</x:f>
        <x:v>1270</x:v>
      </x:c>
      <x:c r="F478" s="11" t="n">
        <x:v>7075</x:v>
      </x:c>
      <x:c r="G478" s="18" t="n">
        <x:v>43</x:v>
      </x:c>
      <x:c r="H478" s="11" t="n">
        <x:f>MAX(IF(C478="call",F478-D478,D478-F478),0)</x:f>
        <x:v>1225</x:v>
      </x:c>
      <x:c r="I478" s="11" t="n">
        <x:f>E478-H478</x:f>
        <x:v>45</x:v>
      </x:c>
      <x:c r="J478" s="13" t="n">
        <x:f>D478/F478</x:f>
        <x:v>1.1731448763250882</x:v>
      </x:c>
      <x:c r="K478" s="13"/>
      <x:c r="L478" s="17"/>
      <x:c r="M478" s="17"/>
      <x:c r="N478" s="11" t="n">
        <x:f>'Option source'!C876</x:f>
        <x:v>373000</x:v>
      </x:c>
      <x:c r="O478" s="11" t="n">
        <x:f>'Option source'!G876</x:f>
        <x:v>1190</x:v>
      </x:c>
      <x:c r="P478" s="11" t="n">
        <x:f>'Option source'!F876</x:f>
        <x:v>1190</x:v>
      </x:c>
      <x:c r="Q478" s="1" t="str">
        <x:v>Price outside daily range</x:v>
      </x:c>
      <x:c r="R478" s="1" t="n">
        <x:v>871</x:v>
      </x:c>
    </x:row>
    <x:row r="479" ht="21" customHeight="1">
      <x:c r="A479" s="12" t="n">
        <x:v>46268</x:v>
      </x:c>
      <x:c r="B479" s="1" t="str">
        <x:v>GFGC5800OC</x:v>
      </x:c>
      <x:c r="C479" s="1" t="str">
        <x:v>call</x:v>
      </x:c>
      <x:c r="D479" s="11" t="n">
        <x:v>5800</x:v>
      </x:c>
      <x:c r="E479" s="11" t="n">
        <x:f>'Option source'!B154</x:f>
        <x:v>1490</x:v>
      </x:c>
      <x:c r="F479" s="11" t="n">
        <x:v>7075</x:v>
      </x:c>
      <x:c r="G479" s="18" t="n">
        <x:v>43</x:v>
      </x:c>
      <x:c r="H479" s="11" t="n">
        <x:f>MAX(IF(C479="call",F479-D479,D479-F479),0)</x:f>
        <x:v>1275</x:v>
      </x:c>
      <x:c r="I479" s="11" t="n">
        <x:f>E479-H479</x:f>
        <x:v>215</x:v>
      </x:c>
      <x:c r="J479" s="13" t="n">
        <x:f>D479/F479</x:f>
        <x:v>0.8197879858657244</x:v>
      </x:c>
      <x:c r="K479" s="13" t="n">
        <x:v>0.3896750812233911</x:v>
      </x:c>
      <x:c r="L479" s="17" t="n">
        <x:v>0.9653768528513877</x:v>
      </x:c>
      <x:c r="M479" s="17" t="n">
        <x:v>1.859796518713704</x:v>
      </x:c>
      <x:c r="N479" s="11" t="n">
        <x:f>'Option source'!C154</x:f>
        <x:v>14665750</x:v>
      </x:c>
      <x:c r="O479" s="11" t="n">
        <x:f>'Option source'!G154</x:f>
        <x:v>1413</x:v>
      </x:c>
      <x:c r="P479" s="11" t="n">
        <x:f>'Option source'!F154</x:f>
        <x:v>1518</x:v>
      </x:c>
      <x:c r="Q479" s="1" t="str">
        <x:v>Screen passed; indicative</x:v>
      </x:c>
      <x:c r="R479" s="1" t="n">
        <x:v>149</x:v>
      </x:c>
    </x:row>
    <x:row r="480" ht="21" customHeight="1">
      <x:c r="A480" s="12" t="n">
        <x:v>46268</x:v>
      </x:c>
      <x:c r="B480" s="1" t="str">
        <x:v>GFGV5800OC</x:v>
      </x:c>
      <x:c r="C480" s="1" t="str">
        <x:v>put</x:v>
      </x:c>
      <x:c r="D480" s="11" t="n">
        <x:v>5800</x:v>
      </x:c>
      <x:c r="E480" s="11" t="n">
        <x:f>'Option source'!B648</x:f>
        <x:v>26.51</x:v>
      </x:c>
      <x:c r="F480" s="11" t="n">
        <x:v>7075</x:v>
      </x:c>
      <x:c r="G480" s="18" t="n">
        <x:v>43</x:v>
      </x:c>
      <x:c r="H480" s="11" t="n">
        <x:f>MAX(IF(C480="call",F480-D480,D480-F480),0)</x:f>
        <x:v>0</x:v>
      </x:c>
      <x:c r="I480" s="11" t="n">
        <x:f>E480-H480</x:f>
        <x:v>26.51</x:v>
      </x:c>
      <x:c r="J480" s="13" t="n">
        <x:f>D480/F480</x:f>
        <x:v>0.8197879858657244</x:v>
      </x:c>
      <x:c r="K480" s="13" t="n">
        <x:v>0.4424433236143104</x:v>
      </x:c>
      <x:c r="L480" s="17" t="n">
        <x:v>-0.05292204774580078</x:v>
      </x:c>
      <x:c r="M480" s="17" t="n">
        <x:v>2.6202369549331053</x:v>
      </x:c>
      <x:c r="N480" s="11" t="n">
        <x:f>'Option source'!C648</x:f>
        <x:v>10195735</x:v>
      </x:c>
      <x:c r="O480" s="11" t="n">
        <x:f>'Option source'!G648</x:f>
        <x:v>16.09</x:v>
      </x:c>
      <x:c r="P480" s="11" t="n">
        <x:f>'Option source'!F648</x:f>
        <x:v>29.72</x:v>
      </x:c>
      <x:c r="Q480" s="1" t="str">
        <x:v>Screen passed; indicative</x:v>
      </x:c>
      <x:c r="R480" s="1" t="n">
        <x:v>643</x:v>
      </x:c>
    </x:row>
    <x:row r="481" ht="21" customHeight="1">
      <x:c r="A481" s="12" t="n">
        <x:v>46268</x:v>
      </x:c>
      <x:c r="B481" s="1" t="str">
        <x:v>GFGC5600OC</x:v>
      </x:c>
      <x:c r="C481" s="1" t="str">
        <x:v>call</x:v>
      </x:c>
      <x:c r="D481" s="11" t="n">
        <x:v>5600</x:v>
      </x:c>
      <x:c r="E481" s="11" t="n">
        <x:f>'Option source'!B144</x:f>
        <x:v>1600</x:v>
      </x:c>
      <x:c r="F481" s="11" t="n">
        <x:v>7075</x:v>
      </x:c>
      <x:c r="G481" s="18" t="n">
        <x:v>43</x:v>
      </x:c>
      <x:c r="H481" s="11" t="n">
        <x:f>MAX(IF(C481="call",F481-D481,D481-F481),0)</x:f>
        <x:v>1475</x:v>
      </x:c>
      <x:c r="I481" s="11" t="n">
        <x:f>E481-H481</x:f>
        <x:v>125</x:v>
      </x:c>
      <x:c r="J481" s="13" t="n">
        <x:f>D481/F481</x:f>
        <x:v>0.7915194346289752</x:v>
      </x:c>
      <x:c r="K481" s="13"/>
      <x:c r="L481" s="17"/>
      <x:c r="M481" s="17"/>
      <x:c r="N481" s="11" t="n">
        <x:f>'Option source'!C144</x:f>
        <x:v>17176826</x:v>
      </x:c>
      <x:c r="O481" s="11" t="n">
        <x:f>'Option source'!G144</x:f>
        <x:v>1600</x:v>
      </x:c>
      <x:c r="P481" s="11" t="n">
        <x:f>'Option source'!F144</x:f>
        <x:v>1770.93</x:v>
      </x:c>
      <x:c r="Q481" s="1" t="str">
        <x:v>No stable model IV</x:v>
      </x:c>
      <x:c r="R481" s="1" t="n">
        <x:v>139</x:v>
      </x:c>
    </x:row>
    <x:row r="482" ht="21" customHeight="1">
      <x:c r="A482" s="12" t="n">
        <x:v>46268</x:v>
      </x:c>
      <x:c r="B482" s="1" t="str">
        <x:v>GFGV5600OC</x:v>
      </x:c>
      <x:c r="C482" s="1" t="str">
        <x:v>put</x:v>
      </x:c>
      <x:c r="D482" s="11" t="n">
        <x:v>5600</x:v>
      </x:c>
      <x:c r="E482" s="11" t="n">
        <x:f>'Option source'!B629</x:f>
        <x:v>15.36</x:v>
      </x:c>
      <x:c r="F482" s="11" t="n">
        <x:v>7075</x:v>
      </x:c>
      <x:c r="G482" s="18" t="n">
        <x:v>43</x:v>
      </x:c>
      <x:c r="H482" s="11" t="n">
        <x:f>MAX(IF(C482="call",F482-D482,D482-F482),0)</x:f>
        <x:v>0</x:v>
      </x:c>
      <x:c r="I482" s="11" t="n">
        <x:f>E482-H482</x:f>
        <x:v>15.36</x:v>
      </x:c>
      <x:c r="J482" s="13" t="n">
        <x:f>D482/F482</x:f>
        <x:v>0.7915194346289752</x:v>
      </x:c>
      <x:c r="K482" s="13" t="n">
        <x:v>0.44509783435826655</x:v>
      </x:c>
      <x:c r="L482" s="17" t="n">
        <x:v>-0.03302237495694205</x:v>
      </x:c>
      <x:c r="M482" s="17" t="n">
        <x:v>1.7887608752377593</x:v>
      </x:c>
      <x:c r="N482" s="11" t="n">
        <x:f>'Option source'!C629</x:f>
        <x:v>3934292</x:v>
      </x:c>
      <x:c r="O482" s="11" t="n">
        <x:f>'Option source'!G629</x:f>
        <x:v>10</x:v>
      </x:c>
      <x:c r="P482" s="11" t="n">
        <x:f>'Option source'!F629</x:f>
        <x:v>17.99</x:v>
      </x:c>
      <x:c r="Q482" s="1" t="str">
        <x:v>Screen passed; indicative</x:v>
      </x:c>
      <x:c r="R482" s="1" t="n">
        <x:v>624</x:v>
      </x:c>
    </x:row>
    <x:row r="483" ht="21" customHeight="1">
      <x:c r="A483" s="12" t="n">
        <x:v>46268</x:v>
      </x:c>
      <x:c r="B483" s="1" t="str">
        <x:v>GFGC8600OC</x:v>
      </x:c>
      <x:c r="C483" s="1" t="str">
        <x:v>call</x:v>
      </x:c>
      <x:c r="D483" s="11" t="n">
        <x:v>8600</x:v>
      </x:c>
      <x:c r="E483" s="11" t="n">
        <x:f>'Option source'!B401</x:f>
        <x:v>70.6</x:v>
      </x:c>
      <x:c r="F483" s="11" t="n">
        <x:v>7075</x:v>
      </x:c>
      <x:c r="G483" s="18" t="n">
        <x:v>43</x:v>
      </x:c>
      <x:c r="H483" s="11" t="n">
        <x:f>MAX(IF(C483="call",F483-D483,D483-F483),0)</x:f>
        <x:v>0</x:v>
      </x:c>
      <x:c r="I483" s="11" t="n">
        <x:f>E483-H483</x:f>
        <x:v>70.6</x:v>
      </x:c>
      <x:c r="J483" s="13" t="n">
        <x:f>D483/F483</x:f>
        <x:v>1.215547703180212</x:v>
      </x:c>
      <x:c r="K483" s="13" t="n">
        <x:v>0.4132869395044363</x:v>
      </x:c>
      <x:c r="L483" s="17" t="n">
        <x:v>0.1454937427150502</x:v>
      </x:c>
      <x:c r="M483" s="17" t="n">
        <x:v>5.547469757313329</x:v>
      </x:c>
      <x:c r="N483" s="11" t="n">
        <x:f>'Option source'!C401</x:f>
        <x:v>141235936</x:v>
      </x:c>
      <x:c r="O483" s="11" t="n">
        <x:f>'Option source'!G401</x:f>
        <x:v>66</x:v>
      </x:c>
      <x:c r="P483" s="11" t="n">
        <x:f>'Option source'!F401</x:f>
        <x:v>115</x:v>
      </x:c>
      <x:c r="Q483" s="1" t="str">
        <x:v>Screen passed; indicative</x:v>
      </x:c>
      <x:c r="R483" s="1" t="n">
        <x:v>396</x:v>
      </x:c>
    </x:row>
    <x:row r="484" ht="21" customHeight="1">
      <x:c r="A484" s="12" t="n">
        <x:v>46268</x:v>
      </x:c>
      <x:c r="B484" s="1" t="str">
        <x:v>GFGV8600OC</x:v>
      </x:c>
      <x:c r="C484" s="1" t="str">
        <x:v>put</x:v>
      </x:c>
      <x:c r="D484" s="11" t="n">
        <x:v>8600</x:v>
      </x:c>
      <x:c r="E484" s="11" t="n">
        <x:f>'Option source'!B895</x:f>
        <x:v>1555.11</x:v>
      </x:c>
      <x:c r="F484" s="11" t="n">
        <x:v>7075</x:v>
      </x:c>
      <x:c r="G484" s="18" t="n">
        <x:v>43</x:v>
      </x:c>
      <x:c r="H484" s="11" t="n">
        <x:f>MAX(IF(C484="call",F484-D484,D484-F484),0)</x:f>
        <x:v>1525</x:v>
      </x:c>
      <x:c r="I484" s="11" t="n">
        <x:f>E484-H484</x:f>
        <x:v>30.1099999999999</x:v>
      </x:c>
      <x:c r="J484" s="13" t="n">
        <x:f>D484/F484</x:f>
        <x:v>1.215547703180212</x:v>
      </x:c>
      <x:c r="K484" s="13"/>
      <x:c r="L484" s="17"/>
      <x:c r="M484" s="17"/>
      <x:c r="N484" s="11" t="n">
        <x:f>'Option source'!C895</x:f>
        <x:v>0</x:v>
      </x:c>
      <x:c r="O484" s="11" t="n">
        <x:f>'Option source'!G895</x:f>
        <x:v>1555.11</x:v>
      </x:c>
      <x:c r="P484" s="11" t="n">
        <x:f>'Option source'!F895</x:f>
        <x:v>1555.11</x:v>
      </x:c>
      <x:c r="Q484" s="1" t="str">
        <x:v>Zero reported volume</x:v>
      </x:c>
      <x:c r="R484" s="1" t="n">
        <x:v>890</x:v>
      </x:c>
    </x:row>
    <x:row r="485" ht="21" customHeight="1">
      <x:c r="A485" s="12" t="n">
        <x:v>46268</x:v>
      </x:c>
      <x:c r="B485" s="1" t="str">
        <x:v>GFGC5400OC</x:v>
      </x:c>
      <x:c r="C485" s="1" t="str">
        <x:v>call</x:v>
      </x:c>
      <x:c r="D485" s="11" t="n">
        <x:v>5400</x:v>
      </x:c>
      <x:c r="E485" s="11" t="n">
        <x:f>'Option source'!B126</x:f>
        <x:v>1829.26</x:v>
      </x:c>
      <x:c r="F485" s="11" t="n">
        <x:v>7075</x:v>
      </x:c>
      <x:c r="G485" s="18" t="n">
        <x:v>43</x:v>
      </x:c>
      <x:c r="H485" s="11" t="n">
        <x:f>MAX(IF(C485="call",F485-D485,D485-F485),0)</x:f>
        <x:v>1675</x:v>
      </x:c>
      <x:c r="I485" s="11" t="n">
        <x:f>E485-H485</x:f>
        <x:v>154.26</x:v>
      </x:c>
      <x:c r="J485" s="13" t="n">
        <x:f>D485/F485</x:f>
        <x:v>0.7632508833922261</x:v>
      </x:c>
      <x:c r="K485" s="13"/>
      <x:c r="L485" s="17"/>
      <x:c r="M485" s="17"/>
      <x:c r="N485" s="11" t="n">
        <x:f>'Option source'!C126</x:f>
        <x:v>24560736</x:v>
      </x:c>
      <x:c r="O485" s="11" t="n">
        <x:f>'Option source'!G126</x:f>
        <x:v>1788</x:v>
      </x:c>
      <x:c r="P485" s="11" t="n">
        <x:f>'Option source'!F126</x:f>
        <x:v>1911.9</x:v>
      </x:c>
      <x:c r="Q485" s="1" t="str">
        <x:v>No stable model IV</x:v>
      </x:c>
      <x:c r="R485" s="1" t="n">
        <x:v>121</x:v>
      </x:c>
    </x:row>
    <x:row r="486" ht="21" customHeight="1">
      <x:c r="A486" s="12" t="n">
        <x:v>46268</x:v>
      </x:c>
      <x:c r="B486" s="1" t="str">
        <x:v>GFGV5400OC</x:v>
      </x:c>
      <x:c r="C486" s="1" t="str">
        <x:v>put</x:v>
      </x:c>
      <x:c r="D486" s="11" t="n">
        <x:v>5400</x:v>
      </x:c>
      <x:c r="E486" s="11" t="n">
        <x:f>'Option source'!B610</x:f>
        <x:v>8.78</x:v>
      </x:c>
      <x:c r="F486" s="11" t="n">
        <x:v>7075</x:v>
      </x:c>
      <x:c r="G486" s="18" t="n">
        <x:v>43</x:v>
      </x:c>
      <x:c r="H486" s="11" t="n">
        <x:f>MAX(IF(C486="call",F486-D486,D486-F486),0)</x:f>
        <x:v>0</x:v>
      </x:c>
      <x:c r="I486" s="11" t="n">
        <x:f>E486-H486</x:f>
        <x:v>8.78</x:v>
      </x:c>
      <x:c r="J486" s="13" t="n">
        <x:f>D486/F486</x:f>
        <x:v>0.7632508833922261</x:v>
      </x:c>
      <x:c r="K486" s="13" t="n">
        <x:v>0.4505485546158259</x:v>
      </x:c>
      <x:c r="L486" s="17" t="n">
        <x:v>-0.02004046177904617</x:v>
      </x:c>
      <x:c r="M486" s="17" t="n">
        <x:v>1.1777873317099066</x:v>
      </x:c>
      <x:c r="N486" s="11" t="n">
        <x:f>'Option source'!C610</x:f>
        <x:v>642421.88</x:v>
      </x:c>
      <x:c r="O486" s="11" t="n">
        <x:f>'Option source'!G610</x:f>
        <x:v>5</x:v>
      </x:c>
      <x:c r="P486" s="11" t="n">
        <x:f>'Option source'!F610</x:f>
        <x:v>9.99</x:v>
      </x:c>
      <x:c r="Q486" s="1" t="str">
        <x:v>Screen passed; indicative</x:v>
      </x:c>
      <x:c r="R486" s="1" t="n">
        <x:v>605</x:v>
      </x:c>
    </x:row>
    <x:row r="487" ht="21" customHeight="1">
      <x:c r="A487" s="12" t="n">
        <x:v>46268</x:v>
      </x:c>
      <x:c r="B487" s="1" t="str">
        <x:v>GFGC8900OC</x:v>
      </x:c>
      <x:c r="C487" s="1" t="str">
        <x:v>call</x:v>
      </x:c>
      <x:c r="D487" s="11" t="n">
        <x:v>8900</x:v>
      </x:c>
      <x:c r="E487" s="11" t="n">
        <x:f>'Option source'!B420</x:f>
        <x:v>41.9</x:v>
      </x:c>
      <x:c r="F487" s="11" t="n">
        <x:v>7075</x:v>
      </x:c>
      <x:c r="G487" s="18" t="n">
        <x:v>43</x:v>
      </x:c>
      <x:c r="H487" s="11" t="n">
        <x:f>MAX(IF(C487="call",F487-D487,D487-F487),0)</x:f>
        <x:v>0</x:v>
      </x:c>
      <x:c r="I487" s="11" t="n">
        <x:f>E487-H487</x:f>
        <x:v>41.9</x:v>
      </x:c>
      <x:c r="J487" s="13" t="n">
        <x:f>D487/F487</x:f>
        <x:v>1.2579505300353357</x:v>
      </x:c>
      <x:c r="K487" s="13" t="n">
        <x:v>0.40975645751232415</x:v>
      </x:c>
      <x:c r="L487" s="17" t="n">
        <x:v>0.09508476848620441</x:v>
      </x:c>
      <x:c r="M487" s="17" t="n">
        <x:v>4.10708502823351</x:v>
      </x:c>
      <x:c r="N487" s="11" t="n">
        <x:f>'Option source'!C420</x:f>
        <x:v>35978904</x:v>
      </x:c>
      <x:c r="O487" s="11" t="n">
        <x:f>'Option source'!G420</x:f>
        <x:v>41</x:v>
      </x:c>
      <x:c r="P487" s="11" t="n">
        <x:f>'Option source'!F420</x:f>
        <x:v>74</x:v>
      </x:c>
      <x:c r="Q487" s="1" t="str">
        <x:v>Screen passed; indicative</x:v>
      </x:c>
      <x:c r="R487" s="1" t="n">
        <x:v>415</x:v>
      </x:c>
    </x:row>
    <x:row r="488" ht="21" customHeight="1">
      <x:c r="A488" s="12" t="n">
        <x:v>46268</x:v>
      </x:c>
      <x:c r="B488" s="1" t="str">
        <x:v>GFGV8900OC</x:v>
      </x:c>
      <x:c r="C488" s="1" t="str">
        <x:v>put</x:v>
      </x:c>
      <x:c r="D488" s="11" t="n">
        <x:v>8900</x:v>
      </x:c>
      <x:c r="E488" s="11" t="n">
        <x:f>'Option source'!B910</x:f>
        <x:v>2022.5</x:v>
      </x:c>
      <x:c r="F488" s="11" t="n">
        <x:v>7075</x:v>
      </x:c>
      <x:c r="G488" s="18" t="n">
        <x:v>43</x:v>
      </x:c>
      <x:c r="H488" s="11" t="n">
        <x:f>MAX(IF(C488="call",F488-D488,D488-F488),0)</x:f>
        <x:v>1825</x:v>
      </x:c>
      <x:c r="I488" s="11" t="n">
        <x:f>E488-H488</x:f>
        <x:v>197.5</x:v>
      </x:c>
      <x:c r="J488" s="13" t="n">
        <x:f>D488/F488</x:f>
        <x:v>1.2579505300353357</x:v>
      </x:c>
      <x:c r="K488" s="13"/>
      <x:c r="L488" s="17"/>
      <x:c r="M488" s="17"/>
      <x:c r="N488" s="11" t="n">
        <x:f>'Option source'!C910</x:f>
        <x:v>0</x:v>
      </x:c>
      <x:c r="O488" s="11" t="n">
        <x:f>'Option source'!G910</x:f>
        <x:v>2022.5</x:v>
      </x:c>
      <x:c r="P488" s="11" t="n">
        <x:f>'Option source'!F910</x:f>
        <x:v>2037.67</x:v>
      </x:c>
      <x:c r="Q488" s="1" t="str">
        <x:v>Zero reported volume</x:v>
      </x:c>
      <x:c r="R488" s="1" t="n">
        <x:v>905</x:v>
      </x:c>
    </x:row>
    <x:row r="489" ht="21" customHeight="1">
      <x:c r="A489" s="12" t="n">
        <x:v>46268</x:v>
      </x:c>
      <x:c r="B489" s="1" t="str">
        <x:v>GFGC5200OC</x:v>
      </x:c>
      <x:c r="C489" s="1" t="str">
        <x:v>call</x:v>
      </x:c>
      <x:c r="D489" s="11" t="n">
        <x:v>5200</x:v>
      </x:c>
      <x:c r="E489" s="11" t="n">
        <x:f>'Option source'!B107</x:f>
        <x:v>2076.93</x:v>
      </x:c>
      <x:c r="F489" s="11" t="n">
        <x:v>7075</x:v>
      </x:c>
      <x:c r="G489" s="18" t="n">
        <x:v>43</x:v>
      </x:c>
      <x:c r="H489" s="11" t="n">
        <x:f>MAX(IF(C489="call",F489-D489,D489-F489),0)</x:f>
        <x:v>1875</x:v>
      </x:c>
      <x:c r="I489" s="11" t="n">
        <x:f>E489-H489</x:f>
        <x:v>201.92999999999984</x:v>
      </x:c>
      <x:c r="J489" s="13" t="n">
        <x:f>D489/F489</x:f>
        <x:v>0.734982332155477</x:v>
      </x:c>
      <x:c r="K489" s="13" t="n">
        <x:v>0.5853118218593288</x:v>
      </x:c>
      <x:c r="L489" s="17" t="n">
        <x:v>0.9647772794687088</x:v>
      </x:c>
      <x:c r="M489" s="17" t="n">
        <x:v>1.8861922481254336</x:v>
      </x:c>
      <x:c r="N489" s="11" t="n">
        <x:f>'Option source'!C107</x:f>
        <x:v>2062511.75</x:v>
      </x:c>
      <x:c r="O489" s="11" t="n">
        <x:f>'Option source'!G107</x:f>
        <x:v>2027.11</x:v>
      </x:c>
      <x:c r="P489" s="11" t="n">
        <x:f>'Option source'!F107</x:f>
        <x:v>2102.98</x:v>
      </x:c>
      <x:c r="Q489" s="1" t="str">
        <x:v>Screen passed; indicative</x:v>
      </x:c>
      <x:c r="R489" s="1" t="n">
        <x:v>102</x:v>
      </x:c>
    </x:row>
    <x:row r="490" ht="21" customHeight="1">
      <x:c r="A490" s="12" t="n">
        <x:v>46268</x:v>
      </x:c>
      <x:c r="B490" s="1" t="str">
        <x:v>GFGV5200OC</x:v>
      </x:c>
      <x:c r="C490" s="1" t="str">
        <x:v>put</x:v>
      </x:c>
      <x:c r="D490" s="11" t="n">
        <x:v>5200</x:v>
      </x:c>
      <x:c r="E490" s="11" t="n">
        <x:f>'Option source'!B591</x:f>
        <x:v>4.98</x:v>
      </x:c>
      <x:c r="F490" s="11" t="n">
        <x:v>7075</x:v>
      </x:c>
      <x:c r="G490" s="18" t="n">
        <x:v>43</x:v>
      </x:c>
      <x:c r="H490" s="11" t="n">
        <x:f>MAX(IF(C490="call",F490-D490,D490-F490),0)</x:f>
        <x:v>0</x:v>
      </x:c>
      <x:c r="I490" s="11" t="n">
        <x:f>E490-H490</x:f>
        <x:v>4.98</x:v>
      </x:c>
      <x:c r="J490" s="13" t="n">
        <x:f>D490/F490</x:f>
        <x:v>0.734982332155477</x:v>
      </x:c>
      <x:c r="K490" s="13" t="n">
        <x:v>0.4589417864834703</x:v>
      </x:c>
      <x:c r="L490" s="17" t="n">
        <x:v>-0.011978765099690092</x:v>
      </x:c>
      <x:c r="M490" s="17" t="n">
        <x:v>0.7573068237664525</x:v>
      </x:c>
      <x:c r="N490" s="11" t="n">
        <x:f>'Option source'!C591</x:f>
        <x:v>1265817.75</x:v>
      </x:c>
      <x:c r="O490" s="11" t="n">
        <x:f>'Option source'!G591</x:f>
        <x:v>4</x:v>
      </x:c>
      <x:c r="P490" s="11" t="n">
        <x:f>'Option source'!F591</x:f>
        <x:v>7</x:v>
      </x:c>
      <x:c r="Q490" s="1" t="str">
        <x:v>Screen passed; indicative</x:v>
      </x:c>
      <x:c r="R490" s="1" t="n">
        <x:v>586</x:v>
      </x:c>
    </x:row>
    <x:row r="491" ht="21" customHeight="1">
      <x:c r="A491" s="12" t="n">
        <x:v>46268</x:v>
      </x:c>
      <x:c r="B491" s="1" t="str">
        <x:v>GFGC5000OC</x:v>
      </x:c>
      <x:c r="C491" s="1" t="str">
        <x:v>call</x:v>
      </x:c>
      <x:c r="D491" s="11" t="n">
        <x:v>5000</x:v>
      </x:c>
      <x:c r="E491" s="11" t="n">
        <x:f>'Option source'!B88</x:f>
        <x:v>2221.63</x:v>
      </x:c>
      <x:c r="F491" s="11" t="n">
        <x:v>7075</x:v>
      </x:c>
      <x:c r="G491" s="18" t="n">
        <x:v>43</x:v>
      </x:c>
      <x:c r="H491" s="11" t="n">
        <x:f>MAX(IF(C491="call",F491-D491,D491-F491),0)</x:f>
        <x:v>2075</x:v>
      </x:c>
      <x:c r="I491" s="11" t="n">
        <x:f>E491-H491</x:f>
        <x:v>146.6300000000001</x:v>
      </x:c>
      <x:c r="J491" s="13" t="n">
        <x:f>D491/F491</x:f>
        <x:v>0.7067137809187279</x:v>
      </x:c>
      <x:c r="K491" s="13"/>
      <x:c r="L491" s="17"/>
      <x:c r="M491" s="17"/>
      <x:c r="N491" s="11" t="n">
        <x:f>'Option source'!C88</x:f>
        <x:v>681513.19</x:v>
      </x:c>
      <x:c r="O491" s="11" t="n">
        <x:f>'Option source'!G88</x:f>
        <x:v>2296.75</x:v>
      </x:c>
      <x:c r="P491" s="11" t="n">
        <x:f>'Option source'!F88</x:f>
        <x:v>2296.75</x:v>
      </x:c>
      <x:c r="Q491" s="1" t="str">
        <x:v>Price outside daily range</x:v>
      </x:c>
      <x:c r="R491" s="1" t="n">
        <x:v>83</x:v>
      </x:c>
    </x:row>
    <x:row r="492" ht="21" customHeight="1">
      <x:c r="A492" s="12" t="n">
        <x:v>46268</x:v>
      </x:c>
      <x:c r="B492" s="1" t="str">
        <x:v>GFGV5000OC</x:v>
      </x:c>
      <x:c r="C492" s="1" t="str">
        <x:v>put</x:v>
      </x:c>
      <x:c r="D492" s="11" t="n">
        <x:v>5000</x:v>
      </x:c>
      <x:c r="E492" s="11" t="n">
        <x:f>'Option source'!B572</x:f>
        <x:v>2.37</x:v>
      </x:c>
      <x:c r="F492" s="11" t="n">
        <x:v>7075</x:v>
      </x:c>
      <x:c r="G492" s="18" t="n">
        <x:v>43</x:v>
      </x:c>
      <x:c r="H492" s="11" t="n">
        <x:f>MAX(IF(C492="call",F492-D492,D492-F492),0)</x:f>
        <x:v>0</x:v>
      </x:c>
      <x:c r="I492" s="11" t="n">
        <x:f>E492-H492</x:f>
        <x:v>2.37</x:v>
      </x:c>
      <x:c r="J492" s="13" t="n">
        <x:f>D492/F492</x:f>
        <x:v>0.7067137809187279</x:v>
      </x:c>
      <x:c r="K492" s="13" t="n">
        <x:v>0.45937345764508253</x:v>
      </x:c>
      <x:c r="L492" s="17" t="n">
        <x:v>-0.006129751417783047</x:v>
      </x:c>
      <x:c r="M492" s="17" t="n">
        <x:v>0.4207954366530864</x:v>
      </x:c>
      <x:c r="N492" s="11" t="n">
        <x:f>'Option source'!C572</x:f>
        <x:v>734486.12</x:v>
      </x:c>
      <x:c r="O492" s="11" t="n">
        <x:f>'Option source'!G572</x:f>
        <x:v>1.1</x:v>
      </x:c>
      <x:c r="P492" s="11" t="n">
        <x:f>'Option source'!F572</x:f>
        <x:v>4</x:v>
      </x:c>
      <x:c r="Q492" s="1" t="str">
        <x:v>Screen passed; indicative</x:v>
      </x:c>
      <x:c r="R492" s="1" t="n">
        <x:v>567</x:v>
      </x:c>
    </x:row>
    <x:row r="493" ht="21" customHeight="1">
      <x:c r="A493" s="12" t="n">
        <x:v>46268</x:v>
      </x:c>
      <x:c r="B493" s="1" t="str">
        <x:v>GFGC9200OC</x:v>
      </x:c>
      <x:c r="C493" s="1" t="str">
        <x:v>call</x:v>
      </x:c>
      <x:c r="D493" s="11" t="n">
        <x:v>9200</x:v>
      </x:c>
      <x:c r="E493" s="11" t="n">
        <x:f>'Option source'!B439</x:f>
        <x:v>26.71</x:v>
      </x:c>
      <x:c r="F493" s="11" t="n">
        <x:v>7075</x:v>
      </x:c>
      <x:c r="G493" s="18" t="n">
        <x:v>43</x:v>
      </x:c>
      <x:c r="H493" s="11" t="n">
        <x:f>MAX(IF(C493="call",F493-D493,D493-F493),0)</x:f>
        <x:v>0</x:v>
      </x:c>
      <x:c r="I493" s="11" t="n">
        <x:f>E493-H493</x:f>
        <x:v>26.71</x:v>
      </x:c>
      <x:c r="J493" s="13" t="n">
        <x:f>D493/F493</x:f>
        <x:v>1.3003533568904593</x:v>
      </x:c>
      <x:c r="K493" s="13" t="n">
        <x:v>0.4158248140359545</x:v>
      </x:c>
      <x:c r="L493" s="17" t="n">
        <x:v>0.06410825023548514</x:v>
      </x:c>
      <x:c r="M493" s="17" t="n">
        <x:v>3.0461611818685266</x:v>
      </x:c>
      <x:c r="N493" s="11" t="n">
        <x:f>'Option source'!C439</x:f>
        <x:v>14819366</x:v>
      </x:c>
      <x:c r="O493" s="11" t="n">
        <x:f>'Option source'!G439</x:f>
        <x:v>26</x:v>
      </x:c>
      <x:c r="P493" s="11" t="n">
        <x:f>'Option source'!F439</x:f>
        <x:v>42.99</x:v>
      </x:c>
      <x:c r="Q493" s="1" t="str">
        <x:v>Screen passed; indicative</x:v>
      </x:c>
      <x:c r="R493" s="1" t="n">
        <x:v>434</x:v>
      </x:c>
    </x:row>
    <x:row r="494" ht="21" customHeight="1">
      <x:c r="A494" s="12" t="n">
        <x:v>46268</x:v>
      </x:c>
      <x:c r="B494" s="1" t="str">
        <x:v>GFGC4800OC</x:v>
      </x:c>
      <x:c r="C494" s="1" t="str">
        <x:v>call</x:v>
      </x:c>
      <x:c r="D494" s="11" t="n">
        <x:v>4800</x:v>
      </x:c>
      <x:c r="E494" s="11" t="n">
        <x:f>'Option source'!B71</x:f>
        <x:v>2375</x:v>
      </x:c>
      <x:c r="F494" s="11" t="n">
        <x:v>7075</x:v>
      </x:c>
      <x:c r="G494" s="18" t="n">
        <x:v>43</x:v>
      </x:c>
      <x:c r="H494" s="11" t="n">
        <x:f>MAX(IF(C494="call",F494-D494,D494-F494),0)</x:f>
        <x:v>2275</x:v>
      </x:c>
      <x:c r="I494" s="11" t="n">
        <x:f>E494-H494</x:f>
        <x:v>100</x:v>
      </x:c>
      <x:c r="J494" s="13" t="n">
        <x:f>D494/F494</x:f>
        <x:v>0.6784452296819788</x:v>
      </x:c>
      <x:c r="K494" s="13"/>
      <x:c r="L494" s="17"/>
      <x:c r="M494" s="17"/>
      <x:c r="N494" s="11" t="n">
        <x:f>'Option source'!C71</x:f>
        <x:v>0</x:v>
      </x:c>
      <x:c r="O494" s="11" t="n">
        <x:f>'Option source'!G71</x:f>
        <x:v>2375</x:v>
      </x:c>
      <x:c r="P494" s="11" t="n">
        <x:f>'Option source'!F71</x:f>
        <x:v>2375</x:v>
      </x:c>
      <x:c r="Q494" s="1" t="str">
        <x:v>Zero reported volume</x:v>
      </x:c>
      <x:c r="R494" s="1" t="n">
        <x:v>66</x:v>
      </x:c>
    </x:row>
    <x:row r="495" ht="21" customHeight="1">
      <x:c r="A495" s="12" t="n">
        <x:v>46268</x:v>
      </x:c>
      <x:c r="B495" s="1" t="str">
        <x:v>GFGV4800OC</x:v>
      </x:c>
      <x:c r="C495" s="1" t="str">
        <x:v>put</x:v>
      </x:c>
      <x:c r="D495" s="11" t="n">
        <x:v>4800</x:v>
      </x:c>
      <x:c r="E495" s="11" t="n">
        <x:f>'Option source'!B553</x:f>
        <x:v>2.2</x:v>
      </x:c>
      <x:c r="F495" s="11" t="n">
        <x:v>7075</x:v>
      </x:c>
      <x:c r="G495" s="18" t="n">
        <x:v>43</x:v>
      </x:c>
      <x:c r="H495" s="11" t="n">
        <x:f>MAX(IF(C495="call",F495-D495,D495-F495),0)</x:f>
        <x:v>0</x:v>
      </x:c>
      <x:c r="I495" s="11" t="n">
        <x:f>E495-H495</x:f>
        <x:v>2.2</x:v>
      </x:c>
      <x:c r="J495" s="13" t="n">
        <x:f>D495/F495</x:f>
        <x:v>0.6784452296819788</x:v>
      </x:c>
      <x:c r="K495" s="13" t="n">
        <x:v>0.500402919019535</x:v>
      </x:c>
      <x:c r="L495" s="17" t="n">
        <x:v>-0.005379827042216068</x:v>
      </x:c>
      <x:c r="M495" s="17" t="n">
        <x:v>0.37477545653373534</x:v>
      </x:c>
      <x:c r="N495" s="11" t="n">
        <x:f>'Option source'!C553</x:f>
        <x:v>134082.5</x:v>
      </x:c>
      <x:c r="O495" s="11" t="n">
        <x:f>'Option source'!G553</x:f>
        <x:v>0.44</x:v>
      </x:c>
      <x:c r="P495" s="11" t="n">
        <x:f>'Option source'!F553</x:f>
        <x:v>2.8</x:v>
      </x:c>
      <x:c r="Q495" s="1" t="str">
        <x:v>Screen passed; indicative</x:v>
      </x:c>
      <x:c r="R495" s="1" t="n">
        <x:v>548</x:v>
      </x:c>
    </x:row>
    <x:row r="496" ht="21" customHeight="1">
      <x:c r="A496" s="12" t="n">
        <x:v>46268</x:v>
      </x:c>
      <x:c r="B496" s="1" t="str">
        <x:v>GFGC9500OC</x:v>
      </x:c>
      <x:c r="C496" s="1" t="str">
        <x:v>call</x:v>
      </x:c>
      <x:c r="D496" s="11" t="n">
        <x:v>9500</x:v>
      </x:c>
      <x:c r="E496" s="11" t="n">
        <x:f>'Option source'!B458</x:f>
        <x:v>16.43</x:v>
      </x:c>
      <x:c r="F496" s="11" t="n">
        <x:v>7075</x:v>
      </x:c>
      <x:c r="G496" s="18" t="n">
        <x:v>43</x:v>
      </x:c>
      <x:c r="H496" s="11" t="n">
        <x:f>MAX(IF(C496="call",F496-D496,D496-F496),0)</x:f>
        <x:v>0</x:v>
      </x:c>
      <x:c r="I496" s="11" t="n">
        <x:f>E496-H496</x:f>
        <x:v>16.43</x:v>
      </x:c>
      <x:c r="J496" s="13" t="n">
        <x:f>D496/F496</x:f>
        <x:v>1.342756183745583</x:v>
      </x:c>
      <x:c r="K496" s="13" t="n">
        <x:v>0.4193442759426147</x:v>
      </x:c>
      <x:c r="L496" s="17" t="n">
        <x:v>0.04180235248625371</x:v>
      </x:c>
      <x:c r="M496" s="17" t="n">
        <x:v>2.168786401070478</x:v>
      </x:c>
      <x:c r="N496" s="11" t="n">
        <x:f>'Option source'!C458</x:f>
        <x:v>8589591</x:v>
      </x:c>
      <x:c r="O496" s="11" t="n">
        <x:f>'Option source'!G458</x:f>
        <x:v>16.2</x:v>
      </x:c>
      <x:c r="P496" s="11" t="n">
        <x:f>'Option source'!F458</x:f>
        <x:v>28</x:v>
      </x:c>
      <x:c r="Q496" s="1" t="str">
        <x:v>Screen passed; indicative</x:v>
      </x:c>
      <x:c r="R496" s="1" t="n">
        <x:v>453</x:v>
      </x:c>
    </x:row>
    <x:row r="497" ht="21" customHeight="1">
      <x:c r="A497" s="12" t="n">
        <x:v>46268</x:v>
      </x:c>
      <x:c r="B497" s="1" t="str">
        <x:v>GFGC4600OC</x:v>
      </x:c>
      <x:c r="C497" s="1" t="str">
        <x:v>call</x:v>
      </x:c>
      <x:c r="D497" s="11" t="n">
        <x:v>4600</x:v>
      </x:c>
      <x:c r="E497" s="11" t="n">
        <x:f>'Option source'!B54</x:f>
        <x:v>2581.05</x:v>
      </x:c>
      <x:c r="F497" s="11" t="n">
        <x:v>7075</x:v>
      </x:c>
      <x:c r="G497" s="18" t="n">
        <x:v>43</x:v>
      </x:c>
      <x:c r="H497" s="11" t="n">
        <x:f>MAX(IF(C497="call",F497-D497,D497-F497),0)</x:f>
        <x:v>2475</x:v>
      </x:c>
      <x:c r="I497" s="11" t="n">
        <x:f>E497-H497</x:f>
        <x:v>106.05000000000018</x:v>
      </x:c>
      <x:c r="J497" s="13" t="n">
        <x:f>D497/F497</x:f>
        <x:v>0.6501766784452296</x:v>
      </x:c>
      <x:c r="K497" s="13"/>
      <x:c r="L497" s="17"/>
      <x:c r="M497" s="17"/>
      <x:c r="N497" s="11" t="n">
        <x:f>'Option source'!C54</x:f>
        <x:v>38763936</x:v>
      </x:c>
      <x:c r="O497" s="11" t="n">
        <x:f>'Option source'!G54</x:f>
        <x:v>2575.79</x:v>
      </x:c>
      <x:c r="P497" s="11" t="n">
        <x:f>'Option source'!F54</x:f>
        <x:v>2814.94</x:v>
      </x:c>
      <x:c r="Q497" s="1" t="str">
        <x:v>No stable model IV</x:v>
      </x:c>
      <x:c r="R497" s="1" t="n">
        <x:v>49</x:v>
      </x:c>
    </x:row>
    <x:row r="498" ht="21" customHeight="1">
      <x:c r="A498" s="12" t="n">
        <x:v>46268</x:v>
      </x:c>
      <x:c r="B498" s="1" t="str">
        <x:v>GFGV4600OC</x:v>
      </x:c>
      <x:c r="C498" s="1" t="str">
        <x:v>put</x:v>
      </x:c>
      <x:c r="D498" s="11" t="n">
        <x:v>4600</x:v>
      </x:c>
      <x:c r="E498" s="11" t="n">
        <x:f>'Option source'!B534</x:f>
        <x:v>1.48</x:v>
      </x:c>
      <x:c r="F498" s="11" t="n">
        <x:v>7075</x:v>
      </x:c>
      <x:c r="G498" s="18" t="n">
        <x:v>43</x:v>
      </x:c>
      <x:c r="H498" s="11" t="n">
        <x:f>MAX(IF(C498="call",F498-D498,D498-F498),0)</x:f>
        <x:v>0</x:v>
      </x:c>
      <x:c r="I498" s="11" t="n">
        <x:f>E498-H498</x:f>
        <x:v>1.48</x:v>
      </x:c>
      <x:c r="J498" s="13" t="n">
        <x:f>D498/F498</x:f>
        <x:v>0.6501766784452296</x:v>
      </x:c>
      <x:c r="K498" s="13" t="n">
        <x:v>0.5227376284437207</x:v>
      </x:c>
      <x:c r="L498" s="17" t="n">
        <x:v>-0.0036140551184652425</x:v>
      </x:c>
      <x:c r="M498" s="17" t="n">
        <x:v>0.26267712072002086</x:v>
      </x:c>
      <x:c r="N498" s="11" t="n">
        <x:f>'Option source'!C534</x:f>
        <x:v>174172.8</x:v>
      </x:c>
      <x:c r="O498" s="11" t="n">
        <x:f>'Option source'!G534</x:f>
        <x:v>1</x:v>
      </x:c>
      <x:c r="P498" s="11" t="n">
        <x:f>'Option source'!F534</x:f>
        <x:v>1.75</x:v>
      </x:c>
      <x:c r="Q498" s="1" t="str">
        <x:v>Screen passed; indicative</x:v>
      </x:c>
      <x:c r="R498" s="1" t="n">
        <x:v>529</x:v>
      </x:c>
    </x:row>
    <x:row r="499" ht="21" customHeight="1">
      <x:c r="A499" s="12" t="n">
        <x:v>46268</x:v>
      </x:c>
      <x:c r="B499" s="1" t="str">
        <x:v>GFGC4400OC</x:v>
      </x:c>
      <x:c r="C499" s="1" t="str">
        <x:v>call</x:v>
      </x:c>
      <x:c r="D499" s="11" t="n">
        <x:v>4400</x:v>
      </x:c>
      <x:c r="E499" s="11" t="n">
        <x:f>'Option source'!B35</x:f>
        <x:v>2772.89</x:v>
      </x:c>
      <x:c r="F499" s="11" t="n">
        <x:v>7075</x:v>
      </x:c>
      <x:c r="G499" s="18" t="n">
        <x:v>43</x:v>
      </x:c>
      <x:c r="H499" s="11" t="n">
        <x:f>MAX(IF(C499="call",F499-D499,D499-F499),0)</x:f>
        <x:v>2675</x:v>
      </x:c>
      <x:c r="I499" s="11" t="n">
        <x:f>E499-H499</x:f>
        <x:v>97.88999999999987</x:v>
      </x:c>
      <x:c r="J499" s="13" t="n">
        <x:f>D499/F499</x:f>
        <x:v>0.6219081272084805</x:v>
      </x:c>
      <x:c r="K499" s="13"/>
      <x:c r="L499" s="17"/>
      <x:c r="M499" s="17"/>
      <x:c r="N499" s="11" t="n">
        <x:f>'Option source'!C35</x:f>
        <x:v>20663730</x:v>
      </x:c>
      <x:c r="O499" s="11" t="n">
        <x:f>'Option source'!G35</x:f>
        <x:v>2770.32</x:v>
      </x:c>
      <x:c r="P499" s="11" t="n">
        <x:f>'Option source'!F35</x:f>
        <x:v>3009.46</x:v>
      </x:c>
      <x:c r="Q499" s="1" t="str">
        <x:v>No stable model IV</x:v>
      </x:c>
      <x:c r="R499" s="1" t="n">
        <x:v>30</x:v>
      </x:c>
    </x:row>
    <x:row r="500" ht="21" customHeight="1">
      <x:c r="A500" s="12" t="n">
        <x:v>46268</x:v>
      </x:c>
      <x:c r="B500" s="1" t="str">
        <x:v>GFGV4400OC</x:v>
      </x:c>
      <x:c r="C500" s="1" t="str">
        <x:v>put</x:v>
      </x:c>
      <x:c r="D500" s="11" t="n">
        <x:v>4400</x:v>
      </x:c>
      <x:c r="E500" s="11" t="n">
        <x:f>'Option source'!B515</x:f>
        <x:v>1.55</x:v>
      </x:c>
      <x:c r="F500" s="11" t="n">
        <x:v>7075</x:v>
      </x:c>
      <x:c r="G500" s="18" t="n">
        <x:v>43</x:v>
      </x:c>
      <x:c r="H500" s="11" t="n">
        <x:f>MAX(IF(C500="call",F500-D500,D500-F500),0)</x:f>
        <x:v>0</x:v>
      </x:c>
      <x:c r="I500" s="11" t="n">
        <x:f>E500-H500</x:f>
        <x:v>1.55</x:v>
      </x:c>
      <x:c r="J500" s="13" t="n">
        <x:f>D500/F500</x:f>
        <x:v>0.6219081272084805</x:v>
      </x:c>
      <x:c r="K500" s="13" t="n">
        <x:v>0.5712260602303928</x:v>
      </x:c>
      <x:c r="L500" s="17" t="n">
        <x:v>-0.003458721256840658</x:v>
      </x:c>
      <x:c r="M500" s="17" t="n">
        <x:v>0.2525173289440276</x:v>
      </x:c>
      <x:c r="N500" s="11" t="n">
        <x:f>'Option source'!C515</x:f>
        <x:v>107132.6</x:v>
      </x:c>
      <x:c r="O500" s="11" t="n">
        <x:f>'Option source'!G515</x:f>
        <x:v>0.97</x:v>
      </x:c>
      <x:c r="P500" s="11" t="n">
        <x:f>'Option source'!F515</x:f>
        <x:v>1.6</x:v>
      </x:c>
      <x:c r="Q500" s="1" t="str">
        <x:v>Screen passed; indicative</x:v>
      </x:c>
      <x:c r="R500" s="1" t="n">
        <x:v>510</x:v>
      </x:c>
    </x:row>
    <x:row r="501" ht="21" customHeight="1">
      <x:c r="A501" s="12" t="n">
        <x:v>46268</x:v>
      </x:c>
      <x:c r="B501" s="1" t="str">
        <x:v>GFGC9900OC</x:v>
      </x:c>
      <x:c r="C501" s="1" t="str">
        <x:v>call</x:v>
      </x:c>
      <x:c r="D501" s="11" t="n">
        <x:v>9900</x:v>
      </x:c>
      <x:c r="E501" s="11" t="n">
        <x:f>'Option source'!B477</x:f>
        <x:v>10.11</x:v>
      </x:c>
      <x:c r="F501" s="11" t="n">
        <x:v>7075</x:v>
      </x:c>
      <x:c r="G501" s="18" t="n">
        <x:v>43</x:v>
      </x:c>
      <x:c r="H501" s="11" t="n">
        <x:f>MAX(IF(C501="call",F501-D501,D501-F501),0)</x:f>
        <x:v>0</x:v>
      </x:c>
      <x:c r="I501" s="11" t="n">
        <x:f>E501-H501</x:f>
        <x:v>10.11</x:v>
      </x:c>
      <x:c r="J501" s="13" t="n">
        <x:f>D501/F501</x:f>
        <x:v>1.3992932862190812</x:v>
      </x:c>
      <x:c r="K501" s="13" t="n">
        <x:v>0.4355315446181205</x:v>
      </x:c>
      <x:c r="L501" s="17" t="n">
        <x:v>0.026416660538521167</x:v>
      </x:c>
      <x:c r="M501" s="17" t="n">
        <x:v>1.486276127886415</x:v>
      </x:c>
      <x:c r="N501" s="11" t="n">
        <x:f>'Option source'!C477</x:f>
        <x:v>5951273.5</x:v>
      </x:c>
      <x:c r="O501" s="11" t="n">
        <x:f>'Option source'!G477</x:f>
        <x:v>9</x:v>
      </x:c>
      <x:c r="P501" s="11" t="n">
        <x:f>'Option source'!F477</x:f>
        <x:v>15.2</x:v>
      </x:c>
      <x:c r="Q501" s="1" t="str">
        <x:v>Screen passed; indicative</x:v>
      </x:c>
      <x:c r="R501" s="1" t="n">
        <x:v>472</x:v>
      </x:c>
    </x:row>
    <x:row r="502" ht="21" customHeight="1">
      <x:c r="A502" s="12" t="n">
        <x:v>46268</x:v>
      </x:c>
      <x:c r="B502" s="1" t="str">
        <x:v>GFGC4200OC</x:v>
      </x:c>
      <x:c r="C502" s="1" t="str">
        <x:v>call</x:v>
      </x:c>
      <x:c r="D502" s="11" t="n">
        <x:v>4200</x:v>
      </x:c>
      <x:c r="E502" s="11" t="n">
        <x:f>'Option source'!B16</x:f>
        <x:v>2964.84</x:v>
      </x:c>
      <x:c r="F502" s="11" t="n">
        <x:v>7075</x:v>
      </x:c>
      <x:c r="G502" s="18" t="n">
        <x:v>43</x:v>
      </x:c>
      <x:c r="H502" s="11" t="n">
        <x:f>MAX(IF(C502="call",F502-D502,D502-F502),0)</x:f>
        <x:v>2875</x:v>
      </x:c>
      <x:c r="I502" s="11" t="n">
        <x:f>E502-H502</x:f>
        <x:v>89.84000000000015</x:v>
      </x:c>
      <x:c r="J502" s="13" t="n">
        <x:f>D502/F502</x:f>
        <x:v>0.5936395759717314</x:v>
      </x:c>
      <x:c r="K502" s="13"/>
      <x:c r="L502" s="17"/>
      <x:c r="M502" s="17"/>
      <x:c r="N502" s="11" t="n">
        <x:f>'Option source'!C16</x:f>
        <x:v>3574248</x:v>
      </x:c>
      <x:c r="O502" s="11" t="n">
        <x:f>'Option source'!G16</x:f>
        <x:v>2979.78</x:v>
      </x:c>
      <x:c r="P502" s="11" t="n">
        <x:f>'Option source'!F16</x:f>
        <x:v>3039.57</x:v>
      </x:c>
      <x:c r="Q502" s="1" t="str">
        <x:v>Price outside daily range</x:v>
      </x:c>
      <x:c r="R502" s="1" t="n">
        <x:v>11</x:v>
      </x:c>
    </x:row>
    <x:row r="503" ht="21" customHeight="1">
      <x:c r="A503" s="12" t="n">
        <x:v>46268</x:v>
      </x:c>
      <x:c r="B503" s="1" t="str">
        <x:v>GFGV4200OC</x:v>
      </x:c>
      <x:c r="C503" s="1" t="str">
        <x:v>put</x:v>
      </x:c>
      <x:c r="D503" s="11" t="n">
        <x:v>4200</x:v>
      </x:c>
      <x:c r="E503" s="11" t="n">
        <x:f>'Option source'!B496</x:f>
        <x:v>1.05</x:v>
      </x:c>
      <x:c r="F503" s="11" t="n">
        <x:v>7075</x:v>
      </x:c>
      <x:c r="G503" s="18" t="n">
        <x:v>43</x:v>
      </x:c>
      <x:c r="H503" s="11" t="n">
        <x:f>MAX(IF(C503="call",F503-D503,D503-F503),0)</x:f>
        <x:v>0</x:v>
      </x:c>
      <x:c r="I503" s="11" t="n">
        <x:f>E503-H503</x:f>
        <x:v>1.05</x:v>
      </x:c>
      <x:c r="J503" s="13" t="n">
        <x:f>D503/F503</x:f>
        <x:v>0.5936395759717314</x:v>
      </x:c>
      <x:c r="K503" s="13" t="n">
        <x:v>0.5953778376010347</x:v>
      </x:c>
      <x:c r="L503" s="17" t="n">
        <x:v>-0.0023493086527857088</x:v>
      </x:c>
      <x:c r="M503" s="17" t="n">
        <x:v>0.17815486144134568</x:v>
      </x:c>
      <x:c r="N503" s="11" t="n">
        <x:f>'Option source'!C496</x:f>
        <x:v>161437.2</x:v>
      </x:c>
      <x:c r="O503" s="11" t="n">
        <x:f>'Option source'!G496</x:f>
        <x:v>0.78</x:v>
      </x:c>
      <x:c r="P503" s="11" t="n">
        <x:f>'Option source'!F496</x:f>
        <x:v>1.4</x:v>
      </x:c>
      <x:c r="Q503" s="1" t="str">
        <x:v>Screen passed; indicative</x:v>
      </x:c>
      <x:c r="R503" s="1" t="n">
        <x:v>491</x:v>
      </x:c>
    </x:row>
    <x:row r="504" ht="21" customHeight="1">
      <x:c r="A504" s="12" t="n">
        <x:v>46267</x:v>
      </x:c>
      <x:c r="B504" s="1" t="str">
        <x:v>GFGC7200OC</x:v>
      </x:c>
      <x:c r="C504" s="1" t="str">
        <x:v>call</x:v>
      </x:c>
      <x:c r="D504" s="11" t="n">
        <x:v>7200</x:v>
      </x:c>
      <x:c r="E504" s="11" t="n">
        <x:f>'Option source'!B286</x:f>
        <x:v>507.78</x:v>
      </x:c>
      <x:c r="F504" s="11" t="n">
        <x:v>7170</x:v>
      </x:c>
      <x:c r="G504" s="18" t="n">
        <x:v>44</x:v>
      </x:c>
      <x:c r="H504" s="11" t="n">
        <x:f>MAX(IF(C504="call",F504-D504,D504-F504),0)</x:f>
        <x:v>0</x:v>
      </x:c>
      <x:c r="I504" s="11" t="n">
        <x:f>E504-H504</x:f>
        <x:v>507.78</x:v>
      </x:c>
      <x:c r="J504" s="13" t="n">
        <x:f>D504/F504</x:f>
        <x:v>1.00418410041841</x:v>
      </x:c>
      <x:c r="K504" s="13" t="n">
        <x:v>0.3936006656446317</x:v>
      </x:c>
      <x:c r="L504" s="17" t="n">
        <x:v>0.6188300550437376</x:v>
      </x:c>
      <x:c r="M504" s="17" t="n">
        <x:v>9.487475803063337</x:v>
      </x:c>
      <x:c r="N504" s="11" t="n">
        <x:f>'Option source'!C286</x:f>
        <x:v>383027872</x:v>
      </x:c>
      <x:c r="O504" s="11" t="n">
        <x:f>'Option source'!G286</x:f>
        <x:v>408.42</x:v>
      </x:c>
      <x:c r="P504" s="11" t="n">
        <x:f>'Option source'!F286</x:f>
        <x:v>512</x:v>
      </x:c>
      <x:c r="Q504" s="1" t="str">
        <x:v>Screen passed; indicative</x:v>
      </x:c>
      <x:c r="R504" s="1" t="n">
        <x:v>281</x:v>
      </x:c>
    </x:row>
    <x:row r="505" ht="21" customHeight="1">
      <x:c r="A505" s="12" t="n">
        <x:v>46267</x:v>
      </x:c>
      <x:c r="B505" s="1" t="str">
        <x:v>GFGV7200OC</x:v>
      </x:c>
      <x:c r="C505" s="1" t="str">
        <x:v>put</x:v>
      </x:c>
      <x:c r="D505" s="11" t="n">
        <x:v>7200</x:v>
      </x:c>
      <x:c r="E505" s="11" t="n">
        <x:f>'Option source'!B780</x:f>
        <x:v>369.49</x:v>
      </x:c>
      <x:c r="F505" s="11" t="n">
        <x:v>7170</x:v>
      </x:c>
      <x:c r="G505" s="18" t="n">
        <x:v>44</x:v>
      </x:c>
      <x:c r="H505" s="11" t="n">
        <x:f>MAX(IF(C505="call",F505-D505,D505-F505),0)</x:f>
        <x:v>30</x:v>
      </x:c>
      <x:c r="I505" s="11" t="n">
        <x:f>E505-H505</x:f>
        <x:v>339.49</x:v>
      </x:c>
      <x:c r="J505" s="13" t="n">
        <x:f>D505/F505</x:f>
        <x:v>1.00418410041841</x:v>
      </x:c>
      <x:c r="K505" s="13" t="n">
        <x:v>0.45664185580179617</x:v>
      </x:c>
      <x:c r="L505" s="17" t="n">
        <x:v>-0.38934071514554613</x:v>
      </x:c>
      <x:c r="M505" s="17" t="n">
        <x:v>9.54681165287126</x:v>
      </x:c>
      <x:c r="N505" s="11" t="n">
        <x:f>'Option source'!C780</x:f>
        <x:v>57154840</x:v>
      </x:c>
      <x:c r="O505" s="11" t="n">
        <x:f>'Option source'!G780</x:f>
        <x:v>365.01</x:v>
      </x:c>
      <x:c r="P505" s="11" t="n">
        <x:f>'Option source'!F780</x:f>
        <x:v>432.65</x:v>
      </x:c>
      <x:c r="Q505" s="1" t="str">
        <x:v>Screen passed; indicative</x:v>
      </x:c>
      <x:c r="R505" s="1" t="n">
        <x:v>775</x:v>
      </x:c>
    </x:row>
    <x:row r="506" ht="21" customHeight="1">
      <x:c r="A506" s="12" t="n">
        <x:v>46267</x:v>
      </x:c>
      <x:c r="B506" s="1" t="str">
        <x:v>GFGC7000OC</x:v>
      </x:c>
      <x:c r="C506" s="1" t="str">
        <x:v>call</x:v>
      </x:c>
      <x:c r="D506" s="11" t="n">
        <x:v>7000</x:v>
      </x:c>
      <x:c r="E506" s="11" t="n">
        <x:f>'Option source'!B267</x:f>
        <x:v>617.88</x:v>
      </x:c>
      <x:c r="F506" s="11" t="n">
        <x:v>7170</x:v>
      </x:c>
      <x:c r="G506" s="18" t="n">
        <x:v>44</x:v>
      </x:c>
      <x:c r="H506" s="11" t="n">
        <x:f>MAX(IF(C506="call",F506-D506,D506-F506),0)</x:f>
        <x:v>170</x:v>
      </x:c>
      <x:c r="I506" s="11" t="n">
        <x:f>E506-H506</x:f>
        <x:v>447.88</x:v>
      </x:c>
      <x:c r="J506" s="13" t="n">
        <x:f>D506/F506</x:f>
        <x:v>0.9762900976290098</x:v>
      </x:c>
      <x:c r="K506" s="13" t="n">
        <x:v>0.38588835412865985</x:v>
      </x:c>
      <x:c r="L506" s="17" t="n">
        <x:v>0.6970762885940774</x:v>
      </x:c>
      <x:c r="M506" s="17" t="n">
        <x:v>8.693409353069832</x:v>
      </x:c>
      <x:c r="N506" s="11" t="n">
        <x:f>'Option source'!C267</x:f>
        <x:v>216383168</x:v>
      </x:c>
      <x:c r="O506" s="11" t="n">
        <x:f>'Option source'!G267</x:f>
        <x:v>543</x:v>
      </x:c>
      <x:c r="P506" s="11" t="n">
        <x:f>'Option source'!F267</x:f>
        <x:v>626.06</x:v>
      </x:c>
      <x:c r="Q506" s="1" t="str">
        <x:v>Screen passed; indicative</x:v>
      </x:c>
      <x:c r="R506" s="1" t="n">
        <x:v>262</x:v>
      </x:c>
    </x:row>
    <x:row r="507" ht="21" customHeight="1">
      <x:c r="A507" s="12" t="n">
        <x:v>46267</x:v>
      </x:c>
      <x:c r="B507" s="1" t="str">
        <x:v>GFGV7000OC</x:v>
      </x:c>
      <x:c r="C507" s="1" t="str">
        <x:v>put</x:v>
      </x:c>
      <x:c r="D507" s="11" t="n">
        <x:v>7000</x:v>
      </x:c>
      <x:c r="E507" s="11" t="n">
        <x:f>'Option source'!B761</x:f>
        <x:v>286.63</x:v>
      </x:c>
      <x:c r="F507" s="11" t="n">
        <x:v>7170</x:v>
      </x:c>
      <x:c r="G507" s="18" t="n">
        <x:v>44</x:v>
      </x:c>
      <x:c r="H507" s="11" t="n">
        <x:f>MAX(IF(C507="call",F507-D507,D507-F507),0)</x:f>
        <x:v>0</x:v>
      </x:c>
      <x:c r="I507" s="11" t="n">
        <x:f>E507-H507</x:f>
        <x:v>286.63</x:v>
      </x:c>
      <x:c r="J507" s="13" t="n">
        <x:f>D507/F507</x:f>
        <x:v>0.9762900976290098</x:v>
      </x:c>
      <x:c r="K507" s="13" t="n">
        <x:v>0.4634240599041658</x:v>
      </x:c>
      <x:c r="L507" s="17" t="n">
        <x:v>-0.32479044848057614</x:v>
      </x:c>
      <x:c r="M507" s="17" t="n">
        <x:v>8.957434836919143</x:v>
      </x:c>
      <x:c r="N507" s="11" t="n">
        <x:f>'Option source'!C761</x:f>
        <x:v>247666304</x:v>
      </x:c>
      <x:c r="O507" s="11" t="n">
        <x:f>'Option source'!G761</x:f>
        <x:v>280.01</x:v>
      </x:c>
      <x:c r="P507" s="11" t="n">
        <x:f>'Option source'!F761</x:f>
        <x:v>335</x:v>
      </x:c>
      <x:c r="Q507" s="1" t="str">
        <x:v>Screen passed; indicative</x:v>
      </x:c>
      <x:c r="R507" s="1" t="n">
        <x:v>756</x:v>
      </x:c>
    </x:row>
    <x:row r="508" ht="21" customHeight="1">
      <x:c r="A508" s="12" t="n">
        <x:v>46267</x:v>
      </x:c>
      <x:c r="B508" s="1" t="str">
        <x:v>GFGC7400OC</x:v>
      </x:c>
      <x:c r="C508" s="1" t="str">
        <x:v>call</x:v>
      </x:c>
      <x:c r="D508" s="11" t="n">
        <x:v>7400</x:v>
      </x:c>
      <x:c r="E508" s="11" t="n">
        <x:f>'Option source'!B305</x:f>
        <x:v>410.55</x:v>
      </x:c>
      <x:c r="F508" s="11" t="n">
        <x:v>7170</x:v>
      </x:c>
      <x:c r="G508" s="18" t="n">
        <x:v>44</x:v>
      </x:c>
      <x:c r="H508" s="11" t="n">
        <x:f>MAX(IF(C508="call",F508-D508,D508-F508),0)</x:f>
        <x:v>0</x:v>
      </x:c>
      <x:c r="I508" s="11" t="n">
        <x:f>E508-H508</x:f>
        <x:v>410.55</x:v>
      </x:c>
      <x:c r="J508" s="13" t="n">
        <x:f>D508/F508</x:f>
        <x:v>1.0320781032078103</x:v>
      </x:c>
      <x:c r="K508" s="13" t="n">
        <x:v>0.39786388811943174</x:v>
      </x:c>
      <x:c r="L508" s="17" t="n">
        <x:v>0.5407395401409423</x:v>
      </x:c>
      <x:c r="M508" s="17" t="n">
        <x:v>9.879540615828756</x:v>
      </x:c>
      <x:c r="N508" s="11" t="n">
        <x:f>'Option source'!C305</x:f>
        <x:v>522480896</x:v>
      </x:c>
      <x:c r="O508" s="11" t="n">
        <x:f>'Option source'!G305</x:f>
        <x:v>350</x:v>
      </x:c>
      <x:c r="P508" s="11" t="n">
        <x:f>'Option source'!F305</x:f>
        <x:v>455</x:v>
      </x:c>
      <x:c r="Q508" s="1" t="str">
        <x:v>Screen passed; indicative</x:v>
      </x:c>
      <x:c r="R508" s="1" t="n">
        <x:v>300</x:v>
      </x:c>
    </x:row>
    <x:row r="509" ht="21" customHeight="1">
      <x:c r="A509" s="12" t="n">
        <x:v>46267</x:v>
      </x:c>
      <x:c r="B509" s="1" t="str">
        <x:v>GFGV7400OC</x:v>
      </x:c>
      <x:c r="C509" s="1" t="str">
        <x:v>put</x:v>
      </x:c>
      <x:c r="D509" s="11" t="n">
        <x:v>7400</x:v>
      </x:c>
      <x:c r="E509" s="11" t="n">
        <x:f>'Option source'!B799</x:f>
        <x:v>480</x:v>
      </x:c>
      <x:c r="F509" s="11" t="n">
        <x:v>7170</x:v>
      </x:c>
      <x:c r="G509" s="18" t="n">
        <x:v>44</x:v>
      </x:c>
      <x:c r="H509" s="11" t="n">
        <x:f>MAX(IF(C509="call",F509-D509,D509-F509),0)</x:f>
        <x:v>230</x:v>
      </x:c>
      <x:c r="I509" s="11" t="n">
        <x:f>E509-H509</x:f>
        <x:v>250</x:v>
      </x:c>
      <x:c r="J509" s="13" t="n">
        <x:f>D509/F509</x:f>
        <x:v>1.0320781032078103</x:v>
      </x:c>
      <x:c r="K509" s="13" t="n">
        <x:v>0.46267991445652756</x:v>
      </x:c>
      <x:c r="L509" s="17" t="n">
        <x:v>-0.45664317949771305</x:v>
      </x:c>
      <x:c r="M509" s="17" t="n">
        <x:v>9.872660532106426</x:v>
      </x:c>
      <x:c r="N509" s="11" t="n">
        <x:f>'Option source'!C799</x:f>
        <x:v>14795418</x:v>
      </x:c>
      <x:c r="O509" s="11" t="n">
        <x:f>'Option source'!G799</x:f>
        <x:v>475</x:v>
      </x:c>
      <x:c r="P509" s="11" t="n">
        <x:f>'Option source'!F799</x:f>
        <x:v>547.89</x:v>
      </x:c>
      <x:c r="Q509" s="1" t="str">
        <x:v>Screen passed; indicative</x:v>
      </x:c>
      <x:c r="R509" s="1" t="n">
        <x:v>794</x:v>
      </x:c>
    </x:row>
    <x:row r="510" ht="21" customHeight="1">
      <x:c r="A510" s="12" t="n">
        <x:v>46267</x:v>
      </x:c>
      <x:c r="B510" s="1" t="str">
        <x:v>GFGC6800OC</x:v>
      </x:c>
      <x:c r="C510" s="1" t="str">
        <x:v>call</x:v>
      </x:c>
      <x:c r="D510" s="11" t="n">
        <x:v>6800</x:v>
      </x:c>
      <x:c r="E510" s="11" t="n">
        <x:f>'Option source'!B248</x:f>
        <x:v>745.47</x:v>
      </x:c>
      <x:c r="F510" s="11" t="n">
        <x:v>7170</x:v>
      </x:c>
      <x:c r="G510" s="18" t="n">
        <x:v>44</x:v>
      </x:c>
      <x:c r="H510" s="11" t="n">
        <x:f>MAX(IF(C510="call",F510-D510,D510-F510),0)</x:f>
        <x:v>370</x:v>
      </x:c>
      <x:c r="I510" s="11" t="n">
        <x:f>E510-H510</x:f>
        <x:v>375.47</x:v>
      </x:c>
      <x:c r="J510" s="13" t="n">
        <x:f>D510/F510</x:f>
        <x:v>0.9483960948396095</x:v>
      </x:c>
      <x:c r="K510" s="13" t="n">
        <x:v>0.3792493436229252</x:v>
      </x:c>
      <x:c r="L510" s="17" t="n">
        <x:v>0.7712172965255847</x:v>
      </x:c>
      <x:c r="M510" s="17" t="n">
        <x:v>7.536640993021124</x:v>
      </x:c>
      <x:c r="N510" s="11" t="n">
        <x:f>'Option source'!C248</x:f>
        <x:v>94739640</x:v>
      </x:c>
      <x:c r="O510" s="11" t="n">
        <x:f>'Option source'!G248</x:f>
        <x:v>660.01</x:v>
      </x:c>
      <x:c r="P510" s="11" t="n">
        <x:f>'Option source'!F248</x:f>
        <x:v>750</x:v>
      </x:c>
      <x:c r="Q510" s="1" t="str">
        <x:v>Screen passed; indicative</x:v>
      </x:c>
      <x:c r="R510" s="1" t="n">
        <x:v>243</x:v>
      </x:c>
    </x:row>
    <x:row r="511" ht="21" customHeight="1">
      <x:c r="A511" s="12" t="n">
        <x:v>46267</x:v>
      </x:c>
      <x:c r="B511" s="1" t="str">
        <x:v>GFGV6800OC</x:v>
      </x:c>
      <x:c r="C511" s="1" t="str">
        <x:v>put</x:v>
      </x:c>
      <x:c r="D511" s="11" t="n">
        <x:v>6800</x:v>
      </x:c>
      <x:c r="E511" s="11" t="n">
        <x:f>'Option source'!B742</x:f>
        <x:v>210.34</x:v>
      </x:c>
      <x:c r="F511" s="11" t="n">
        <x:v>7170</x:v>
      </x:c>
      <x:c r="G511" s="18" t="n">
        <x:v>44</x:v>
      </x:c>
      <x:c r="H511" s="11" t="n">
        <x:f>MAX(IF(C511="call",F511-D511,D511-F511),0)</x:f>
        <x:v>0</x:v>
      </x:c>
      <x:c r="I511" s="11" t="n">
        <x:f>E511-H511</x:f>
        <x:v>210.34</x:v>
      </x:c>
      <x:c r="J511" s="13" t="n">
        <x:f>D511/F511</x:f>
        <x:v>0.9483960948396095</x:v>
      </x:c>
      <x:c r="K511" s="13" t="n">
        <x:v>0.45982829925589397</x:v>
      </x:c>
      <x:c r="L511" s="17" t="n">
        <x:v>-0.2616683193604632</x:v>
      </x:c>
      <x:c r="M511" s="17" t="n">
        <x:v>8.10144150591674</x:v>
      </x:c>
      <x:c r="N511" s="11" t="n">
        <x:f>'Option source'!C742</x:f>
        <x:v>76401512</x:v>
      </x:c>
      <x:c r="O511" s="11" t="n">
        <x:f>'Option source'!G742</x:f>
        <x:v>205.01</x:v>
      </x:c>
      <x:c r="P511" s="11" t="n">
        <x:f>'Option source'!F742</x:f>
        <x:v>256.85</x:v>
      </x:c>
      <x:c r="Q511" s="1" t="str">
        <x:v>Screen passed; indicative</x:v>
      </x:c>
      <x:c r="R511" s="1" t="n">
        <x:v>737</x:v>
      </x:c>
    </x:row>
    <x:row r="512" ht="21" customHeight="1">
      <x:c r="A512" s="12" t="n">
        <x:v>46267</x:v>
      </x:c>
      <x:c r="B512" s="1" t="str">
        <x:v>GFGC7600OC</x:v>
      </x:c>
      <x:c r="C512" s="1" t="str">
        <x:v>call</x:v>
      </x:c>
      <x:c r="D512" s="11" t="n">
        <x:v>7600</x:v>
      </x:c>
      <x:c r="E512" s="11" t="n">
        <x:f>'Option source'!B324</x:f>
        <x:v>324.11</x:v>
      </x:c>
      <x:c r="F512" s="11" t="n">
        <x:v>7170</x:v>
      </x:c>
      <x:c r="G512" s="18" t="n">
        <x:v>44</x:v>
      </x:c>
      <x:c r="H512" s="11" t="n">
        <x:f>MAX(IF(C512="call",F512-D512,D512-F512),0)</x:f>
        <x:v>0</x:v>
      </x:c>
      <x:c r="I512" s="11" t="n">
        <x:f>E512-H512</x:f>
        <x:v>324.11</x:v>
      </x:c>
      <x:c r="J512" s="13" t="n">
        <x:f>D512/F512</x:f>
        <x:v>1.0599721059972107</x:v>
      </x:c>
      <x:c r="K512" s="13" t="n">
        <x:v>0.39769648794193935</x:v>
      </x:c>
      <x:c r="L512" s="17" t="n">
        <x:v>0.46380435462770125</x:v>
      </x:c>
      <x:c r="M512" s="17" t="n">
        <x:v>9.890464807107563</x:v>
      </x:c>
      <x:c r="N512" s="11" t="n">
        <x:f>'Option source'!C324</x:f>
        <x:v>425418784</x:v>
      </x:c>
      <x:c r="O512" s="11" t="n">
        <x:f>'Option source'!G324</x:f>
        <x:v>271.5</x:v>
      </x:c>
      <x:c r="P512" s="11" t="n">
        <x:f>'Option source'!F324</x:f>
        <x:v>329</x:v>
      </x:c>
      <x:c r="Q512" s="1" t="str">
        <x:v>Screen passed; indicative</x:v>
      </x:c>
      <x:c r="R512" s="1" t="n">
        <x:v>319</x:v>
      </x:c>
    </x:row>
    <x:row r="513" ht="21" customHeight="1">
      <x:c r="A513" s="12" t="n">
        <x:v>46267</x:v>
      </x:c>
      <x:c r="B513" s="1" t="str">
        <x:v>GFGV7600OC</x:v>
      </x:c>
      <x:c r="C513" s="1" t="str">
        <x:v>put</x:v>
      </x:c>
      <x:c r="D513" s="11" t="n">
        <x:v>7600</x:v>
      </x:c>
      <x:c r="E513" s="11" t="n">
        <x:f>'Option source'!B818</x:f>
        <x:v>600</x:v>
      </x:c>
      <x:c r="F513" s="11" t="n">
        <x:v>7170</x:v>
      </x:c>
      <x:c r="G513" s="18" t="n">
        <x:v>44</x:v>
      </x:c>
      <x:c r="H513" s="11" t="n">
        <x:f>MAX(IF(C513="call",F513-D513,D513-F513),0)</x:f>
        <x:v>430</x:v>
      </x:c>
      <x:c r="I513" s="11" t="n">
        <x:f>E513-H513</x:f>
        <x:v>170</x:v>
      </x:c>
      <x:c r="J513" s="13" t="n">
        <x:f>D513/F513</x:f>
        <x:v>1.0599721059972107</x:v>
      </x:c>
      <x:c r="K513" s="13" t="n">
        <x:v>0.46222345813121046</x:v>
      </x:c>
      <x:c r="L513" s="17" t="n">
        <x:v>-0.5228590676628626</x:v>
      </x:c>
      <x:c r="M513" s="17" t="n">
        <x:v>9.915061425137656</x:v>
      </x:c>
      <x:c r="N513" s="11" t="n">
        <x:f>'Option source'!C818</x:f>
        <x:v>2646613</x:v>
      </x:c>
      <x:c r="O513" s="11" t="n">
        <x:f>'Option source'!G818</x:f>
        <x:v>600</x:v>
      </x:c>
      <x:c r="P513" s="11" t="n">
        <x:f>'Option source'!F818</x:f>
        <x:v>650</x:v>
      </x:c>
      <x:c r="Q513" s="1" t="str">
        <x:v>Screen passed; indicative</x:v>
      </x:c>
      <x:c r="R513" s="1" t="n">
        <x:v>813</x:v>
      </x:c>
    </x:row>
    <x:row r="514" ht="21" customHeight="1">
      <x:c r="A514" s="12" t="n">
        <x:v>46267</x:v>
      </x:c>
      <x:c r="B514" s="1" t="str">
        <x:v>GFGC6600OC</x:v>
      </x:c>
      <x:c r="C514" s="1" t="str">
        <x:v>call</x:v>
      </x:c>
      <x:c r="D514" s="11" t="n">
        <x:v>6600</x:v>
      </x:c>
      <x:c r="E514" s="11" t="n">
        <x:f>'Option source'!B229</x:f>
        <x:v>884.58</x:v>
      </x:c>
      <x:c r="F514" s="11" t="n">
        <x:v>7170</x:v>
      </x:c>
      <x:c r="G514" s="18" t="n">
        <x:v>44</x:v>
      </x:c>
      <x:c r="H514" s="11" t="n">
        <x:f>MAX(IF(C514="call",F514-D514,D514-F514),0)</x:f>
        <x:v>570</x:v>
      </x:c>
      <x:c r="I514" s="11" t="n">
        <x:f>E514-H514</x:f>
        <x:v>314.58000000000004</x:v>
      </x:c>
      <x:c r="J514" s="13" t="n">
        <x:f>D514/F514</x:f>
        <x:v>0.9205020920502092</x:v>
      </x:c>
      <x:c r="K514" s="13" t="n">
        <x:v>0.3654201416481776</x:v>
      </x:c>
      <x:c r="L514" s="17" t="n">
        <x:v>0.8416781904310338</x:v>
      </x:c>
      <x:c r="M514" s="17" t="n">
        <x:v>6.0153733479969915</x:v>
      </x:c>
      <x:c r="N514" s="11" t="n">
        <x:f>'Option source'!C229</x:f>
        <x:v>58310144</x:v>
      </x:c>
      <x:c r="O514" s="11" t="n">
        <x:f>'Option source'!G229</x:f>
        <x:v>790</x:v>
      </x:c>
      <x:c r="P514" s="11" t="n">
        <x:f>'Option source'!F229</x:f>
        <x:v>899.91</x:v>
      </x:c>
      <x:c r="Q514" s="1" t="str">
        <x:v>Screen passed; indicative</x:v>
      </x:c>
      <x:c r="R514" s="1" t="n">
        <x:v>224</x:v>
      </x:c>
    </x:row>
    <x:row r="515" ht="21" customHeight="1">
      <x:c r="A515" s="12" t="n">
        <x:v>46267</x:v>
      </x:c>
      <x:c r="B515" s="1" t="str">
        <x:v>GFGV6600OC</x:v>
      </x:c>
      <x:c r="C515" s="1" t="str">
        <x:v>put</x:v>
      </x:c>
      <x:c r="D515" s="11" t="n">
        <x:v>6600</x:v>
      </x:c>
      <x:c r="E515" s="11" t="n">
        <x:f>'Option source'!B723</x:f>
        <x:v>146.29</x:v>
      </x:c>
      <x:c r="F515" s="11" t="n">
        <x:v>7170</x:v>
      </x:c>
      <x:c r="G515" s="18" t="n">
        <x:v>44</x:v>
      </x:c>
      <x:c r="H515" s="11" t="n">
        <x:f>MAX(IF(C515="call",F515-D515,D515-F515),0)</x:f>
        <x:v>0</x:v>
      </x:c>
      <x:c r="I515" s="11" t="n">
        <x:f>E515-H515</x:f>
        <x:v>146.29</x:v>
      </x:c>
      <x:c r="J515" s="13" t="n">
        <x:f>D515/F515</x:f>
        <x:v>0.9205020920502092</x:v>
      </x:c>
      <x:c r="K515" s="13" t="n">
        <x:v>0.4532310155762471</x:v>
      </x:c>
      <x:c r="L515" s="17" t="n">
        <x:v>-0.20188640263180435</x:v>
      </x:c>
      <x:c r="M515" s="17" t="n">
        <x:v>7.008807386086077</x:v>
      </x:c>
      <x:c r="N515" s="11" t="n">
        <x:f>'Option source'!C723</x:f>
        <x:v>141914928</x:v>
      </x:c>
      <x:c r="O515" s="11" t="n">
        <x:f>'Option source'!G723</x:f>
        <x:v>140</x:v>
      </x:c>
      <x:c r="P515" s="11" t="n">
        <x:f>'Option source'!F723</x:f>
        <x:v>181</x:v>
      </x:c>
      <x:c r="Q515" s="1" t="str">
        <x:v>Screen passed; indicative</x:v>
      </x:c>
      <x:c r="R515" s="1" t="n">
        <x:v>718</x:v>
      </x:c>
    </x:row>
    <x:row r="516" ht="21" customHeight="1">
      <x:c r="A516" s="12" t="n">
        <x:v>46267</x:v>
      </x:c>
      <x:c r="B516" s="1" t="str">
        <x:v>GFGC7800OC</x:v>
      </x:c>
      <x:c r="C516" s="1" t="str">
        <x:v>call</x:v>
      </x:c>
      <x:c r="D516" s="11" t="n">
        <x:v>7800</x:v>
      </x:c>
      <x:c r="E516" s="11" t="n">
        <x:f>'Option source'!B343</x:f>
        <x:v>253.96</x:v>
      </x:c>
      <x:c r="F516" s="11" t="n">
        <x:v>7170</x:v>
      </x:c>
      <x:c r="G516" s="18" t="n">
        <x:v>44</x:v>
      </x:c>
      <x:c r="H516" s="11" t="n">
        <x:f>MAX(IF(C516="call",F516-D516,D516-F516),0)</x:f>
        <x:v>0</x:v>
      </x:c>
      <x:c r="I516" s="11" t="n">
        <x:f>E516-H516</x:f>
        <x:v>253.96</x:v>
      </x:c>
      <x:c r="J516" s="13" t="n">
        <x:f>D516/F516</x:f>
        <x:v>1.0878661087866108</x:v>
      </x:c>
      <x:c r="K516" s="13" t="n">
        <x:v>0.39965659792533614</x:v>
      </x:c>
      <x:c r="L516" s="17" t="n">
        <x:v>0.3909186593495302</x:v>
      </x:c>
      <x:c r="M516" s="17" t="n">
        <x:v>9.557770520990825</x:v>
      </x:c>
      <x:c r="N516" s="11" t="n">
        <x:f>'Option source'!C343</x:f>
        <x:v>211616976</x:v>
      </x:c>
      <x:c r="O516" s="11" t="n">
        <x:f>'Option source'!G343</x:f>
        <x:v>210</x:v>
      </x:c>
      <x:c r="P516" s="11" t="n">
        <x:f>'Option source'!F343</x:f>
        <x:v>258</x:v>
      </x:c>
      <x:c r="Q516" s="1" t="str">
        <x:v>Screen passed; indicative</x:v>
      </x:c>
      <x:c r="R516" s="1" t="n">
        <x:v>338</x:v>
      </x:c>
    </x:row>
    <x:row r="517" ht="21" customHeight="1">
      <x:c r="A517" s="12" t="n">
        <x:v>46267</x:v>
      </x:c>
      <x:c r="B517" s="1" t="str">
        <x:v>GFGV7800OC</x:v>
      </x:c>
      <x:c r="C517" s="1" t="str">
        <x:v>put</x:v>
      </x:c>
      <x:c r="D517" s="11" t="n">
        <x:v>7800</x:v>
      </x:c>
      <x:c r="E517" s="11" t="n">
        <x:f>'Option source'!B837</x:f>
        <x:v>726</x:v>
      </x:c>
      <x:c r="F517" s="11" t="n">
        <x:v>7170</x:v>
      </x:c>
      <x:c r="G517" s="18" t="n">
        <x:v>44</x:v>
      </x:c>
      <x:c r="H517" s="11" t="n">
        <x:f>MAX(IF(C517="call",F517-D517,D517-F517),0)</x:f>
        <x:v>630</x:v>
      </x:c>
      <x:c r="I517" s="11" t="n">
        <x:f>E517-H517</x:f>
        <x:v>96</x:v>
      </x:c>
      <x:c r="J517" s="13" t="n">
        <x:f>D517/F517</x:f>
        <x:v>1.0878661087866108</x:v>
      </x:c>
      <x:c r="K517" s="13"/>
      <x:c r="L517" s="17"/>
      <x:c r="M517" s="17"/>
      <x:c r="N517" s="11" t="n">
        <x:f>'Option source'!C837</x:f>
        <x:v>363000.5</x:v>
      </x:c>
      <x:c r="O517" s="11" t="n">
        <x:f>'Option source'!G837</x:f>
        <x:v>0</x:v>
      </x:c>
      <x:c r="P517" s="11" t="n">
        <x:f>'Option source'!F837</x:f>
        <x:v>0</x:v>
      </x:c>
      <x:c r="Q517" s="1" t="str">
        <x:v>Price outside daily range</x:v>
      </x:c>
      <x:c r="R517" s="1" t="n">
        <x:v>832</x:v>
      </x:c>
    </x:row>
    <x:row r="518" ht="21" customHeight="1">
      <x:c r="A518" s="12" t="n">
        <x:v>46267</x:v>
      </x:c>
      <x:c r="B518" s="1" t="str">
        <x:v>GFGC6400OC</x:v>
      </x:c>
      <x:c r="C518" s="1" t="str">
        <x:v>call</x:v>
      </x:c>
      <x:c r="D518" s="11" t="n">
        <x:v>6400</x:v>
      </x:c>
      <x:c r="E518" s="11" t="n">
        <x:f>'Option source'!B210</x:f>
        <x:v>1025</x:v>
      </x:c>
      <x:c r="F518" s="11" t="n">
        <x:v>7170</x:v>
      </x:c>
      <x:c r="G518" s="18" t="n">
        <x:v>44</x:v>
      </x:c>
      <x:c r="H518" s="11" t="n">
        <x:f>MAX(IF(C518="call",F518-D518,D518-F518),0)</x:f>
        <x:v>770</x:v>
      </x:c>
      <x:c r="I518" s="11" t="n">
        <x:f>E518-H518</x:f>
        <x:v>255</x:v>
      </x:c>
      <x:c r="J518" s="13" t="n">
        <x:f>D518/F518</x:f>
        <x:v>0.8926080892608089</x:v>
      </x:c>
      <x:c r="K518" s="13" t="n">
        <x:v>0.3127248236905449</x:v>
      </x:c>
      <x:c r="L518" s="17" t="n">
        <x:v>0.9241687131555475</x:v>
      </x:c>
      <x:c r="M518" s="17" t="n">
        <x:v>3.553645645104934</x:v>
      </x:c>
      <x:c r="N518" s="11" t="n">
        <x:f>'Option source'!C210</x:f>
        <x:v>9232591</x:v>
      </x:c>
      <x:c r="O518" s="11" t="n">
        <x:f>'Option source'!G210</x:f>
        <x:v>890</x:v>
      </x:c>
      <x:c r="P518" s="11" t="n">
        <x:f>'Option source'!F210</x:f>
        <x:v>1025</x:v>
      </x:c>
      <x:c r="Q518" s="1" t="str">
        <x:v>Screen passed; indicative</x:v>
      </x:c>
      <x:c r="R518" s="1" t="n">
        <x:v>205</x:v>
      </x:c>
    </x:row>
    <x:row r="519" ht="21" customHeight="1">
      <x:c r="A519" s="12" t="n">
        <x:v>46267</x:v>
      </x:c>
      <x:c r="B519" s="1" t="str">
        <x:v>GFGV6400OC</x:v>
      </x:c>
      <x:c r="C519" s="1" t="str">
        <x:v>put</x:v>
      </x:c>
      <x:c r="D519" s="11" t="n">
        <x:v>6400</x:v>
      </x:c>
      <x:c r="E519" s="11" t="n">
        <x:f>'Option source'!B704</x:f>
        <x:v>103.46</x:v>
      </x:c>
      <x:c r="F519" s="11" t="n">
        <x:v>7170</x:v>
      </x:c>
      <x:c r="G519" s="18" t="n">
        <x:v>44</x:v>
      </x:c>
      <x:c r="H519" s="11" t="n">
        <x:f>MAX(IF(C519="call",F519-D519,D519-F519),0)</x:f>
        <x:v>0</x:v>
      </x:c>
      <x:c r="I519" s="11" t="n">
        <x:f>E519-H519</x:f>
        <x:v>103.46</x:v>
      </x:c>
      <x:c r="J519" s="13" t="n">
        <x:f>D519/F519</x:f>
        <x:v>0.8926080892608089</x:v>
      </x:c>
      <x:c r="K519" s="13" t="n">
        <x:v>0.45826708173476927</x:v>
      </x:c>
      <x:c r="L519" s="17" t="n">
        <x:v>-0.15365939704556986</x:v>
      </x:c>
      <x:c r="M519" s="17" t="n">
        <x:v>5.898018942548625</x:v>
      </x:c>
      <x:c r="N519" s="11" t="n">
        <x:f>'Option source'!C704</x:f>
        <x:v>65994224</x:v>
      </x:c>
      <x:c r="O519" s="11" t="n">
        <x:f>'Option source'!G704</x:f>
        <x:v>100</x:v>
      </x:c>
      <x:c r="P519" s="11" t="n">
        <x:f>'Option source'!F704</x:f>
        <x:v>135</x:v>
      </x:c>
      <x:c r="Q519" s="1" t="str">
        <x:v>Screen passed; indicative</x:v>
      </x:c>
      <x:c r="R519" s="1" t="n">
        <x:v>699</x:v>
      </x:c>
    </x:row>
    <x:row r="520" ht="21" customHeight="1">
      <x:c r="A520" s="12" t="n">
        <x:v>46267</x:v>
      </x:c>
      <x:c r="B520" s="1" t="str">
        <x:v>GFGC8000OC</x:v>
      </x:c>
      <x:c r="C520" s="1" t="str">
        <x:v>call</x:v>
      </x:c>
      <x:c r="D520" s="11" t="n">
        <x:v>8000</x:v>
      </x:c>
      <x:c r="E520" s="11" t="n">
        <x:f>'Option source'!B362</x:f>
        <x:v>195.8</x:v>
      </x:c>
      <x:c r="F520" s="11" t="n">
        <x:v>7170</x:v>
      </x:c>
      <x:c r="G520" s="18" t="n">
        <x:v>44</x:v>
      </x:c>
      <x:c r="H520" s="11" t="n">
        <x:f>MAX(IF(C520="call",F520-D520,D520-F520),0)</x:f>
        <x:v>0</x:v>
      </x:c>
      <x:c r="I520" s="11" t="n">
        <x:f>E520-H520</x:f>
        <x:v>195.8</x:v>
      </x:c>
      <x:c r="J520" s="13" t="n">
        <x:f>D520/F520</x:f>
        <x:v>1.1157601115760112</x:v>
      </x:c>
      <x:c r="K520" s="13" t="n">
        <x:v>0.40067280934668226</x:v>
      </x:c>
      <x:c r="L520" s="17" t="n">
        <x:v>0.32352491745368844</x:v>
      </x:c>
      <x:c r="M520" s="17" t="n">
        <x:v>8.943065532807411</x:v>
      </x:c>
      <x:c r="N520" s="11" t="n">
        <x:f>'Option source'!C362</x:f>
        <x:v>424807360</x:v>
      </x:c>
      <x:c r="O520" s="11" t="n">
        <x:f>'Option source'!G362</x:f>
        <x:v>165</x:v>
      </x:c>
      <x:c r="P520" s="11" t="n">
        <x:f>'Option source'!F362</x:f>
        <x:v>199</x:v>
      </x:c>
      <x:c r="Q520" s="1" t="str">
        <x:v>Screen passed; indicative</x:v>
      </x:c>
      <x:c r="R520" s="1" t="n">
        <x:v>357</x:v>
      </x:c>
    </x:row>
    <x:row r="521" ht="21" customHeight="1">
      <x:c r="A521" s="12" t="n">
        <x:v>46267</x:v>
      </x:c>
      <x:c r="B521" s="1" t="str">
        <x:v>GFGV8000OC</x:v>
      </x:c>
      <x:c r="C521" s="1" t="str">
        <x:v>put</x:v>
      </x:c>
      <x:c r="D521" s="11" t="n">
        <x:v>8000</x:v>
      </x:c>
      <x:c r="E521" s="11" t="n">
        <x:f>'Option source'!B856</x:f>
        <x:v>910</x:v>
      </x:c>
      <x:c r="F521" s="11" t="n">
        <x:v>7170</x:v>
      </x:c>
      <x:c r="G521" s="18" t="n">
        <x:v>44</x:v>
      </x:c>
      <x:c r="H521" s="11" t="n">
        <x:f>MAX(IF(C521="call",F521-D521,D521-F521),0)</x:f>
        <x:v>830</x:v>
      </x:c>
      <x:c r="I521" s="11" t="n">
        <x:f>E521-H521</x:f>
        <x:v>80</x:v>
      </x:c>
      <x:c r="J521" s="13" t="n">
        <x:f>D521/F521</x:f>
        <x:v>1.1157601115760112</x:v>
      </x:c>
      <x:c r="K521" s="13" t="n">
        <x:v>0.4932786135740229</x:v>
      </x:c>
      <x:c r="L521" s="17" t="n">
        <x:v>-0.6341151848761183</x:v>
      </x:c>
      <x:c r="M521" s="17" t="n">
        <x:v>9.364742764525502</x:v>
      </x:c>
      <x:c r="N521" s="11" t="n">
        <x:f>'Option source'!C856</x:f>
        <x:v>455000</x:v>
      </x:c>
      <x:c r="O521" s="11" t="n">
        <x:f>'Option source'!G856</x:f>
        <x:v>910</x:v>
      </x:c>
      <x:c r="P521" s="11" t="n">
        <x:f>'Option source'!F856</x:f>
        <x:v>910</x:v>
      </x:c>
      <x:c r="Q521" s="1" t="str">
        <x:v>Screen passed; indicative</x:v>
      </x:c>
      <x:c r="R521" s="1" t="n">
        <x:v>851</x:v>
      </x:c>
    </x:row>
    <x:row r="522" ht="21" customHeight="1">
      <x:c r="A522" s="12" t="n">
        <x:v>46267</x:v>
      </x:c>
      <x:c r="B522" s="1" t="str">
        <x:v>GFGC6200OC</x:v>
      </x:c>
      <x:c r="C522" s="1" t="str">
        <x:v>call</x:v>
      </x:c>
      <x:c r="D522" s="11" t="n">
        <x:v>6200</x:v>
      </x:c>
      <x:c r="E522" s="11" t="n">
        <x:f>'Option source'!B191</x:f>
        <x:v>1088.47</x:v>
      </x:c>
      <x:c r="F522" s="11" t="n">
        <x:v>7170</x:v>
      </x:c>
      <x:c r="G522" s="18" t="n">
        <x:v>44</x:v>
      </x:c>
      <x:c r="H522" s="11" t="n">
        <x:f>MAX(IF(C522="call",F522-D522,D522-F522),0)</x:f>
        <x:v>970</x:v>
      </x:c>
      <x:c r="I522" s="11" t="n">
        <x:f>E522-H522</x:f>
        <x:v>118.47000000000003</x:v>
      </x:c>
      <x:c r="J522" s="13" t="n">
        <x:f>D522/F522</x:f>
        <x:v>0.8647140864714087</x:v>
      </x:c>
      <x:c r="K522" s="13"/>
      <x:c r="L522" s="17"/>
      <x:c r="M522" s="17"/>
      <x:c r="N522" s="11" t="n">
        <x:f>'Option source'!C191</x:f>
        <x:v>435389.41</x:v>
      </x:c>
      <x:c r="O522" s="11" t="n">
        <x:f>'Option source'!G191</x:f>
        <x:v>1089.32</x:v>
      </x:c>
      <x:c r="P522" s="11" t="n">
        <x:f>'Option source'!F191</x:f>
        <x:v>1089.32</x:v>
      </x:c>
      <x:c r="Q522" s="1" t="str">
        <x:v>Price outside daily range</x:v>
      </x:c>
      <x:c r="R522" s="1" t="n">
        <x:v>186</x:v>
      </x:c>
    </x:row>
    <x:row r="523" ht="21" customHeight="1">
      <x:c r="A523" s="12" t="n">
        <x:v>46267</x:v>
      </x:c>
      <x:c r="B523" s="1" t="str">
        <x:v>GFGV6200OC</x:v>
      </x:c>
      <x:c r="C523" s="1" t="str">
        <x:v>put</x:v>
      </x:c>
      <x:c r="D523" s="11" t="n">
        <x:v>6200</x:v>
      </x:c>
      <x:c r="E523" s="11" t="n">
        <x:f>'Option source'!B685</x:f>
        <x:v>66.11</x:v>
      </x:c>
      <x:c r="F523" s="11" t="n">
        <x:v>7170</x:v>
      </x:c>
      <x:c r="G523" s="18" t="n">
        <x:v>44</x:v>
      </x:c>
      <x:c r="H523" s="11" t="n">
        <x:f>MAX(IF(C523="call",F523-D523,D523-F523),0)</x:f>
        <x:v>0</x:v>
      </x:c>
      <x:c r="I523" s="11" t="n">
        <x:f>E523-H523</x:f>
        <x:v>66.11</x:v>
      </x:c>
      <x:c r="J523" s="13" t="n">
        <x:f>D523/F523</x:f>
        <x:v>0.8647140864714087</x:v>
      </x:c>
      <x:c r="K523" s="13" t="n">
        <x:v>0.45184420075101106</x:v>
      </x:c>
      <x:c r="L523" s="17" t="n">
        <x:v>-0.10832132677600059</x:v>
      </x:c>
      <x:c r="M523" s="17" t="n">
        <x:v>4.629561588268132</x:v>
      </x:c>
      <x:c r="N523" s="11" t="n">
        <x:f>'Option source'!C685</x:f>
        <x:v>34053432</x:v>
      </x:c>
      <x:c r="O523" s="11" t="n">
        <x:f>'Option source'!G685</x:f>
        <x:v>64</x:v>
      </x:c>
      <x:c r="P523" s="11" t="n">
        <x:f>'Option source'!F685</x:f>
        <x:v>87</x:v>
      </x:c>
      <x:c r="Q523" s="1" t="str">
        <x:v>Screen passed; indicative</x:v>
      </x:c>
      <x:c r="R523" s="1" t="n">
        <x:v>680</x:v>
      </x:c>
    </x:row>
    <x:row r="524" ht="21" customHeight="1">
      <x:c r="A524" s="12" t="n">
        <x:v>46267</x:v>
      </x:c>
      <x:c r="B524" s="1" t="str">
        <x:v>GFGC8300OC</x:v>
      </x:c>
      <x:c r="C524" s="1" t="str">
        <x:v>call</x:v>
      </x:c>
      <x:c r="D524" s="11" t="n">
        <x:v>8300</x:v>
      </x:c>
      <x:c r="E524" s="11" t="n">
        <x:f>'Option source'!B381</x:f>
        <x:v>131.48</x:v>
      </x:c>
      <x:c r="F524" s="11" t="n">
        <x:v>7170</x:v>
      </x:c>
      <x:c r="G524" s="18" t="n">
        <x:v>44</x:v>
      </x:c>
      <x:c r="H524" s="11" t="n">
        <x:f>MAX(IF(C524="call",F524-D524,D524-F524),0)</x:f>
        <x:v>0</x:v>
      </x:c>
      <x:c r="I524" s="11" t="n">
        <x:f>E524-H524</x:f>
        <x:v>131.48</x:v>
      </x:c>
      <x:c r="J524" s="13" t="n">
        <x:f>D524/F524</x:f>
        <x:v>1.1576011157601116</x:v>
      </x:c>
      <x:c r="K524" s="13" t="n">
        <x:v>0.40482633499943355</x:v>
      </x:c>
      <x:c r="L524" s="17" t="n">
        <x:v>0.23772204997346455</x:v>
      </x:c>
      <x:c r="M524" s="17" t="n">
        <x:v>7.698694229489149</x:v>
      </x:c>
      <x:c r="N524" s="11" t="n">
        <x:f>'Option source'!C381</x:f>
        <x:v>131989768</x:v>
      </x:c>
      <x:c r="O524" s="11" t="n">
        <x:f>'Option source'!G381</x:f>
        <x:v>108.1</x:v>
      </x:c>
      <x:c r="P524" s="11" t="n">
        <x:f>'Option source'!F381</x:f>
        <x:v>135</x:v>
      </x:c>
      <x:c r="Q524" s="1" t="str">
        <x:v>Screen passed; indicative</x:v>
      </x:c>
      <x:c r="R524" s="1" t="n">
        <x:v>376</x:v>
      </x:c>
    </x:row>
    <x:row r="525" ht="21" customHeight="1">
      <x:c r="A525" s="12" t="n">
        <x:v>46267</x:v>
      </x:c>
      <x:c r="B525" s="1" t="str">
        <x:v>GFGV8300OC</x:v>
      </x:c>
      <x:c r="C525" s="1" t="str">
        <x:v>put</x:v>
      </x:c>
      <x:c r="D525" s="11" t="n">
        <x:v>8300</x:v>
      </x:c>
      <x:c r="E525" s="11" t="n">
        <x:f>'Option source'!B875</x:f>
        <x:v>1250</x:v>
      </x:c>
      <x:c r="F525" s="11" t="n">
        <x:v>7170</x:v>
      </x:c>
      <x:c r="G525" s="18" t="n">
        <x:v>44</x:v>
      </x:c>
      <x:c r="H525" s="11" t="n">
        <x:f>MAX(IF(C525="call",F525-D525,D525-F525),0)</x:f>
        <x:v>1130</x:v>
      </x:c>
      <x:c r="I525" s="11" t="n">
        <x:f>E525-H525</x:f>
        <x:v>120</x:v>
      </x:c>
      <x:c r="J525" s="13" t="n">
        <x:f>D525/F525</x:f>
        <x:v>1.1576011157601116</x:v>
      </x:c>
      <x:c r="K525" s="13"/>
      <x:c r="L525" s="17"/>
      <x:c r="M525" s="17"/>
      <x:c r="N525" s="11" t="n">
        <x:f>'Option source'!C875</x:f>
        <x:v>125000</x:v>
      </x:c>
      <x:c r="O525" s="11" t="n">
        <x:f>'Option source'!G875</x:f>
        <x:v>0</x:v>
      </x:c>
      <x:c r="P525" s="11" t="n">
        <x:f>'Option source'!F875</x:f>
        <x:v>0</x:v>
      </x:c>
      <x:c r="Q525" s="1" t="str">
        <x:v>Price outside daily range</x:v>
      </x:c>
      <x:c r="R525" s="1" t="n">
        <x:v>870</x:v>
      </x:c>
    </x:row>
    <x:row r="526" ht="21" customHeight="1">
      <x:c r="A526" s="12" t="n">
        <x:v>46267</x:v>
      </x:c>
      <x:c r="B526" s="1" t="str">
        <x:v>GFGC6000OC</x:v>
      </x:c>
      <x:c r="C526" s="1" t="str">
        <x:v>call</x:v>
      </x:c>
      <x:c r="D526" s="11" t="n">
        <x:v>6000</x:v>
      </x:c>
      <x:c r="E526" s="11" t="n">
        <x:f>'Option source'!B172</x:f>
        <x:v>1350</x:v>
      </x:c>
      <x:c r="F526" s="11" t="n">
        <x:v>7170</x:v>
      </x:c>
      <x:c r="G526" s="18" t="n">
        <x:v>44</x:v>
      </x:c>
      <x:c r="H526" s="11" t="n">
        <x:f>MAX(IF(C526="call",F526-D526,D526-F526),0)</x:f>
        <x:v>1170</x:v>
      </x:c>
      <x:c r="I526" s="11" t="n">
        <x:f>E526-H526</x:f>
        <x:v>180</x:v>
      </x:c>
      <x:c r="J526" s="13" t="n">
        <x:f>D526/F526</x:f>
        <x:v>0.8368200836820083</x:v>
      </x:c>
      <x:c r="K526" s="13"/>
      <x:c r="L526" s="17"/>
      <x:c r="M526" s="17"/>
      <x:c r="N526" s="11" t="n">
        <x:f>'Option source'!C172</x:f>
        <x:v>135000</x:v>
      </x:c>
      <x:c r="O526" s="11" t="n">
        <x:f>'Option source'!G172</x:f>
        <x:v>0</x:v>
      </x:c>
      <x:c r="P526" s="11" t="n">
        <x:f>'Option source'!F172</x:f>
        <x:v>0</x:v>
      </x:c>
      <x:c r="Q526" s="1" t="str">
        <x:v>Price outside daily range</x:v>
      </x:c>
      <x:c r="R526" s="1" t="n">
        <x:v>167</x:v>
      </x:c>
    </x:row>
    <x:row r="527" ht="21" customHeight="1">
      <x:c r="A527" s="12" t="n">
        <x:v>46267</x:v>
      </x:c>
      <x:c r="B527" s="1" t="str">
        <x:v>GFGV6000OC</x:v>
      </x:c>
      <x:c r="C527" s="1" t="str">
        <x:v>put</x:v>
      </x:c>
      <x:c r="D527" s="11" t="n">
        <x:v>6000</x:v>
      </x:c>
      <x:c r="E527" s="11" t="n">
        <x:f>'Option source'!B666</x:f>
        <x:v>41.36</x:v>
      </x:c>
      <x:c r="F527" s="11" t="n">
        <x:v>7170</x:v>
      </x:c>
      <x:c r="G527" s="18" t="n">
        <x:v>44</x:v>
      </x:c>
      <x:c r="H527" s="11" t="n">
        <x:f>MAX(IF(C527="call",F527-D527,D527-F527),0)</x:f>
        <x:v>0</x:v>
      </x:c>
      <x:c r="I527" s="11" t="n">
        <x:f>E527-H527</x:f>
        <x:v>41.36</x:v>
      </x:c>
      <x:c r="J527" s="13" t="n">
        <x:f>D527/F527</x:f>
        <x:v>0.8368200836820083</x:v>
      </x:c>
      <x:c r="K527" s="13" t="n">
        <x:v>0.4515400794241664</x:v>
      </x:c>
      <x:c r="L527" s="17" t="n">
        <x:v>-0.07417505348307007</x:v>
      </x:c>
      <x:c r="M527" s="17" t="n">
        <x:v>3.4942933558520064</x:v>
      </x:c>
      <x:c r="N527" s="11" t="n">
        <x:f>'Option source'!C666</x:f>
        <x:v>30934984</x:v>
      </x:c>
      <x:c r="O527" s="11" t="n">
        <x:f>'Option source'!G666</x:f>
        <x:v>40</x:v>
      </x:c>
      <x:c r="P527" s="11" t="n">
        <x:f>'Option source'!F666</x:f>
        <x:v>58.99</x:v>
      </x:c>
      <x:c r="Q527" s="1" t="str">
        <x:v>Screen passed; indicative</x:v>
      </x:c>
      <x:c r="R527" s="1" t="n">
        <x:v>661</x:v>
      </x:c>
    </x:row>
    <x:row r="528" ht="21" customHeight="1">
      <x:c r="A528" s="12" t="n">
        <x:v>46267</x:v>
      </x:c>
      <x:c r="B528" s="1" t="str">
        <x:v>GFGV5800OC</x:v>
      </x:c>
      <x:c r="C528" s="1" t="str">
        <x:v>put</x:v>
      </x:c>
      <x:c r="D528" s="11" t="n">
        <x:v>5800</x:v>
      </x:c>
      <x:c r="E528" s="11" t="n">
        <x:f>'Option source'!B647</x:f>
        <x:v>24.27</x:v>
      </x:c>
      <x:c r="F528" s="11" t="n">
        <x:v>7170</x:v>
      </x:c>
      <x:c r="G528" s="18" t="n">
        <x:v>44</x:v>
      </x:c>
      <x:c r="H528" s="11" t="n">
        <x:f>MAX(IF(C528="call",F528-D528,D528-F528),0)</x:f>
        <x:v>0</x:v>
      </x:c>
      <x:c r="I528" s="11" t="n">
        <x:f>E528-H528</x:f>
        <x:v>24.27</x:v>
      </x:c>
      <x:c r="J528" s="13" t="n">
        <x:f>D528/F528</x:f>
        <x:v>0.8089260808926081</x:v>
      </x:c>
      <x:c r="K528" s="13" t="n">
        <x:v>0.4486594126067067</x:v>
      </x:c>
      <x:c r="L528" s="17" t="n">
        <x:v>-0.04733193406456948</x:v>
      </x:c>
      <x:c r="M528" s="17" t="n">
        <x:v>2.4573625227051257</x:v>
      </x:c>
      <x:c r="N528" s="11" t="n">
        <x:f>'Option source'!C647</x:f>
        <x:v>9040533</x:v>
      </x:c>
      <x:c r="O528" s="11" t="n">
        <x:f>'Option source'!G647</x:f>
        <x:v>23</x:v>
      </x:c>
      <x:c r="P528" s="11" t="n">
        <x:f>'Option source'!F647</x:f>
        <x:v>36.98</x:v>
      </x:c>
      <x:c r="Q528" s="1" t="str">
        <x:v>Screen passed; indicative</x:v>
      </x:c>
      <x:c r="R528" s="1" t="n">
        <x:v>642</x:v>
      </x:c>
    </x:row>
    <x:row r="529" ht="21" customHeight="1">
      <x:c r="A529" s="12" t="n">
        <x:v>46267</x:v>
      </x:c>
      <x:c r="B529" s="1" t="str">
        <x:v>GFGC8600OC</x:v>
      </x:c>
      <x:c r="C529" s="1" t="str">
        <x:v>call</x:v>
      </x:c>
      <x:c r="D529" s="11" t="n">
        <x:v>8600</x:v>
      </x:c>
      <x:c r="E529" s="11" t="n">
        <x:f>'Option source'!B400</x:f>
        <x:v>84.77</x:v>
      </x:c>
      <x:c r="F529" s="11" t="n">
        <x:v>7170</x:v>
      </x:c>
      <x:c r="G529" s="18" t="n">
        <x:v>44</x:v>
      </x:c>
      <x:c r="H529" s="11" t="n">
        <x:f>MAX(IF(C529="call",F529-D529,D529-F529),0)</x:f>
        <x:v>0</x:v>
      </x:c>
      <x:c r="I529" s="11" t="n">
        <x:f>E529-H529</x:f>
        <x:v>84.77</x:v>
      </x:c>
      <x:c r="J529" s="13" t="n">
        <x:f>D529/F529</x:f>
        <x:v>1.199442119944212</x:v>
      </x:c>
      <x:c r="K529" s="13" t="n">
        <x:v>0.4059586133956856</x:v>
      </x:c>
      <x:c r="L529" s="17" t="n">
        <x:v>0.16772910530204677</x:v>
      </x:c>
      <x:c r="M529" s="17" t="n">
        <x:v>6.245382796765904</x:v>
      </x:c>
      <x:c r="N529" s="11" t="n">
        <x:f>'Option source'!C400</x:f>
        <x:v>171411632</x:v>
      </x:c>
      <x:c r="O529" s="11" t="n">
        <x:f>'Option source'!G400</x:f>
        <x:v>67</x:v>
      </x:c>
      <x:c r="P529" s="11" t="n">
        <x:f>'Option source'!F400</x:f>
        <x:v>87</x:v>
      </x:c>
      <x:c r="Q529" s="1" t="str">
        <x:v>Screen passed; indicative</x:v>
      </x:c>
      <x:c r="R529" s="1" t="n">
        <x:v>395</x:v>
      </x:c>
    </x:row>
    <x:row r="530" ht="21" customHeight="1">
      <x:c r="A530" s="12" t="n">
        <x:v>46267</x:v>
      </x:c>
      <x:c r="B530" s="1" t="str">
        <x:v>GFGV8600OC</x:v>
      </x:c>
      <x:c r="C530" s="1" t="str">
        <x:v>put</x:v>
      </x:c>
      <x:c r="D530" s="11" t="n">
        <x:v>8600</x:v>
      </x:c>
      <x:c r="E530" s="11" t="n">
        <x:f>'Option source'!B894</x:f>
        <x:v>1555.11</x:v>
      </x:c>
      <x:c r="F530" s="11" t="n">
        <x:v>7170</x:v>
      </x:c>
      <x:c r="G530" s="18" t="n">
        <x:v>44</x:v>
      </x:c>
      <x:c r="H530" s="11" t="n">
        <x:f>MAX(IF(C530="call",F530-D530,D530-F530),0)</x:f>
        <x:v>1430</x:v>
      </x:c>
      <x:c r="I530" s="11" t="n">
        <x:f>E530-H530</x:f>
        <x:v>125.1099999999999</x:v>
      </x:c>
      <x:c r="J530" s="13" t="n">
        <x:f>D530/F530</x:f>
        <x:v>1.199442119944212</x:v>
      </x:c>
      <x:c r="K530" s="13"/>
      <x:c r="L530" s="17"/>
      <x:c r="M530" s="17"/>
      <x:c r="N530" s="11" t="n">
        <x:f>'Option source'!C894</x:f>
        <x:v>155511</x:v>
      </x:c>
      <x:c r="O530" s="11" t="n">
        <x:f>'Option source'!G894</x:f>
        <x:v>0</x:v>
      </x:c>
      <x:c r="P530" s="11" t="n">
        <x:f>'Option source'!F894</x:f>
        <x:v>0</x:v>
      </x:c>
      <x:c r="Q530" s="1" t="str">
        <x:v>Price outside daily range</x:v>
      </x:c>
      <x:c r="R530" s="1" t="n">
        <x:v>889</x:v>
      </x:c>
    </x:row>
    <x:row r="531" ht="21" customHeight="1">
      <x:c r="A531" s="12" t="n">
        <x:v>46267</x:v>
      </x:c>
      <x:c r="B531" s="1" t="str">
        <x:v>GFGC5600OC</x:v>
      </x:c>
      <x:c r="C531" s="1" t="str">
        <x:v>call</x:v>
      </x:c>
      <x:c r="D531" s="11" t="n">
        <x:v>5600</x:v>
      </x:c>
      <x:c r="E531" s="11" t="n">
        <x:f>'Option source'!B143</x:f>
        <x:v>1600</x:v>
      </x:c>
      <x:c r="F531" s="11" t="n">
        <x:v>7170</x:v>
      </x:c>
      <x:c r="G531" s="18" t="n">
        <x:v>44</x:v>
      </x:c>
      <x:c r="H531" s="11" t="n">
        <x:f>MAX(IF(C531="call",F531-D531,D531-F531),0)</x:f>
        <x:v>1570</x:v>
      </x:c>
      <x:c r="I531" s="11" t="n">
        <x:f>E531-H531</x:f>
        <x:v>30</x:v>
      </x:c>
      <x:c r="J531" s="13" t="n">
        <x:f>D531/F531</x:f>
        <x:v>0.7810320781032078</x:v>
      </x:c>
      <x:c r="K531" s="13"/>
      <x:c r="L531" s="17"/>
      <x:c r="M531" s="17"/>
      <x:c r="N531" s="11" t="n">
        <x:f>'Option source'!C143</x:f>
        <x:v>0</x:v>
      </x:c>
      <x:c r="O531" s="11" t="n">
        <x:f>'Option source'!G143</x:f>
        <x:v>1563</x:v>
      </x:c>
      <x:c r="P531" s="11" t="n">
        <x:f>'Option source'!F143</x:f>
        <x:v>1640</x:v>
      </x:c>
      <x:c r="Q531" s="1" t="str">
        <x:v>Zero reported volume</x:v>
      </x:c>
      <x:c r="R531" s="1" t="n">
        <x:v>138</x:v>
      </x:c>
    </x:row>
    <x:row r="532" ht="21" customHeight="1">
      <x:c r="A532" s="12" t="n">
        <x:v>46267</x:v>
      </x:c>
      <x:c r="B532" s="1" t="str">
        <x:v>GFGV5600OC</x:v>
      </x:c>
      <x:c r="C532" s="1" t="str">
        <x:v>put</x:v>
      </x:c>
      <x:c r="D532" s="11" t="n">
        <x:v>5600</x:v>
      </x:c>
      <x:c r="E532" s="11" t="n">
        <x:f>'Option source'!B628</x:f>
        <x:v>14.11</x:v>
      </x:c>
      <x:c r="F532" s="11" t="n">
        <x:v>7170</x:v>
      </x:c>
      <x:c r="G532" s="18" t="n">
        <x:v>44</x:v>
      </x:c>
      <x:c r="H532" s="11" t="n">
        <x:f>MAX(IF(C532="call",F532-D532,D532-F532),0)</x:f>
        <x:v>0</x:v>
      </x:c>
      <x:c r="I532" s="11" t="n">
        <x:f>E532-H532</x:f>
        <x:v>14.11</x:v>
      </x:c>
      <x:c r="J532" s="13" t="n">
        <x:f>D532/F532</x:f>
        <x:v>0.7810320781032078</x:v>
      </x:c>
      <x:c r="K532" s="13" t="n">
        <x:v>0.4516138709028843</x:v>
      </x:c>
      <x:c r="L532" s="17" t="n">
        <x:v>-0.029702926058156498</x:v>
      </x:c>
      <x:c r="M532" s="17" t="n">
        <x:v>1.679927935430394</x:v>
      </x:c>
      <x:c r="N532" s="11" t="n">
        <x:f>'Option source'!C628</x:f>
        <x:v>5835576</x:v>
      </x:c>
      <x:c r="O532" s="11" t="n">
        <x:f>'Option source'!G628</x:f>
        <x:v>10</x:v>
      </x:c>
      <x:c r="P532" s="11" t="n">
        <x:f>'Option source'!F628</x:f>
        <x:v>22</x:v>
      </x:c>
      <x:c r="Q532" s="1" t="str">
        <x:v>Screen passed; indicative</x:v>
      </x:c>
      <x:c r="R532" s="1" t="n">
        <x:v>623</x:v>
      </x:c>
    </x:row>
    <x:row r="533" ht="21" customHeight="1">
      <x:c r="A533" s="12" t="n">
        <x:v>46267</x:v>
      </x:c>
      <x:c r="B533" s="1" t="str">
        <x:v>GFGC8900OC</x:v>
      </x:c>
      <x:c r="C533" s="1" t="str">
        <x:v>call</x:v>
      </x:c>
      <x:c r="D533" s="11" t="n">
        <x:v>8900</x:v>
      </x:c>
      <x:c r="E533" s="11" t="n">
        <x:f>'Option source'!B419</x:f>
        <x:v>53.17</x:v>
      </x:c>
      <x:c r="F533" s="11" t="n">
        <x:v>7170</x:v>
      </x:c>
      <x:c r="G533" s="18" t="n">
        <x:v>44</x:v>
      </x:c>
      <x:c r="H533" s="11" t="n">
        <x:f>MAX(IF(C533="call",F533-D533,D533-F533),0)</x:f>
        <x:v>0</x:v>
      </x:c>
      <x:c r="I533" s="11" t="n">
        <x:f>E533-H533</x:f>
        <x:v>53.17</x:v>
      </x:c>
      <x:c r="J533" s="13" t="n">
        <x:f>D533/F533</x:f>
        <x:v>1.2412831241283124</x:v>
      </x:c>
      <x:c r="K533" s="13" t="n">
        <x:v>0.406782957672872</x:v>
      </x:c>
      <x:c r="L533" s="17" t="n">
        <x:v>0.11434885335813415</x:v>
      </x:c>
      <x:c r="M533" s="17" t="n">
        <x:v>4.812549977900044</x:v>
      </x:c>
      <x:c r="N533" s="11" t="n">
        <x:f>'Option source'!C419</x:f>
        <x:v>22213796</x:v>
      </x:c>
      <x:c r="O533" s="11" t="n">
        <x:f>'Option source'!G419</x:f>
        <x:v>42</x:v>
      </x:c>
      <x:c r="P533" s="11" t="n">
        <x:f>'Option source'!F419</x:f>
        <x:v>55.2</x:v>
      </x:c>
      <x:c r="Q533" s="1" t="str">
        <x:v>Screen passed; indicative</x:v>
      </x:c>
      <x:c r="R533" s="1" t="n">
        <x:v>414</x:v>
      </x:c>
    </x:row>
    <x:row r="534" ht="21" customHeight="1">
      <x:c r="A534" s="12" t="n">
        <x:v>46267</x:v>
      </x:c>
      <x:c r="B534" s="1" t="str">
        <x:v>GFGV8900OC</x:v>
      </x:c>
      <x:c r="C534" s="1" t="str">
        <x:v>put</x:v>
      </x:c>
      <x:c r="D534" s="11" t="n">
        <x:v>8900</x:v>
      </x:c>
      <x:c r="E534" s="11" t="n">
        <x:f>'Option source'!B909</x:f>
        <x:v>2022.5</x:v>
      </x:c>
      <x:c r="F534" s="11" t="n">
        <x:v>7170</x:v>
      </x:c>
      <x:c r="G534" s="18" t="n">
        <x:v>44</x:v>
      </x:c>
      <x:c r="H534" s="11" t="n">
        <x:f>MAX(IF(C534="call",F534-D534,D534-F534),0)</x:f>
        <x:v>1730</x:v>
      </x:c>
      <x:c r="I534" s="11" t="n">
        <x:f>E534-H534</x:f>
        <x:v>292.5</x:v>
      </x:c>
      <x:c r="J534" s="13" t="n">
        <x:f>D534/F534</x:f>
        <x:v>1.2412831241283124</x:v>
      </x:c>
      <x:c r="K534" s="13"/>
      <x:c r="L534" s="17"/>
      <x:c r="M534" s="17"/>
      <x:c r="N534" s="11" t="n">
        <x:f>'Option source'!C909</x:f>
        <x:v>0</x:v>
      </x:c>
      <x:c r="O534" s="11" t="n">
        <x:f>'Option source'!G909</x:f>
        <x:v>2022.5</x:v>
      </x:c>
      <x:c r="P534" s="11" t="n">
        <x:f>'Option source'!F909</x:f>
        <x:v>2037.67</x:v>
      </x:c>
      <x:c r="Q534" s="1" t="str">
        <x:v>Zero reported volume</x:v>
      </x:c>
      <x:c r="R534" s="1" t="n">
        <x:v>904</x:v>
      </x:c>
    </x:row>
    <x:row r="535" ht="21" customHeight="1">
      <x:c r="A535" s="12" t="n">
        <x:v>46267</x:v>
      </x:c>
      <x:c r="B535" s="1" t="str">
        <x:v>GFGC5400OC</x:v>
      </x:c>
      <x:c r="C535" s="1" t="str">
        <x:v>call</x:v>
      </x:c>
      <x:c r="D535" s="11" t="n">
        <x:v>5400</x:v>
      </x:c>
      <x:c r="E535" s="11" t="n">
        <x:f>'Option source'!B125</x:f>
        <x:v>1790</x:v>
      </x:c>
      <x:c r="F535" s="11" t="n">
        <x:v>7170</x:v>
      </x:c>
      <x:c r="G535" s="18" t="n">
        <x:v>44</x:v>
      </x:c>
      <x:c r="H535" s="11" t="n">
        <x:f>MAX(IF(C535="call",F535-D535,D535-F535),0)</x:f>
        <x:v>1770</x:v>
      </x:c>
      <x:c r="I535" s="11" t="n">
        <x:f>E535-H535</x:f>
        <x:v>20</x:v>
      </x:c>
      <x:c r="J535" s="13" t="n">
        <x:f>D535/F535</x:f>
        <x:v>0.7531380753138075</x:v>
      </x:c>
      <x:c r="K535" s="13"/>
      <x:c r="L535" s="17"/>
      <x:c r="M535" s="17"/>
      <x:c r="N535" s="11" t="n">
        <x:f>'Option source'!C125</x:f>
        <x:v>0</x:v>
      </x:c>
      <x:c r="O535" s="11" t="n">
        <x:f>'Option source'!G125</x:f>
        <x:v>1700</x:v>
      </x:c>
      <x:c r="P535" s="11" t="n">
        <x:f>'Option source'!F125</x:f>
        <x:v>1822.64</x:v>
      </x:c>
      <x:c r="Q535" s="1" t="str">
        <x:v>Zero reported volume</x:v>
      </x:c>
      <x:c r="R535" s="1" t="n">
        <x:v>120</x:v>
      </x:c>
    </x:row>
    <x:row r="536" ht="21" customHeight="1">
      <x:c r="A536" s="12" t="n">
        <x:v>46267</x:v>
      </x:c>
      <x:c r="B536" s="1" t="str">
        <x:v>GFGV5400OC</x:v>
      </x:c>
      <x:c r="C536" s="1" t="str">
        <x:v>put</x:v>
      </x:c>
      <x:c r="D536" s="11" t="n">
        <x:v>5400</x:v>
      </x:c>
      <x:c r="E536" s="11" t="n">
        <x:f>'Option source'!B609</x:f>
        <x:v>8.04</x:v>
      </x:c>
      <x:c r="F536" s="11" t="n">
        <x:v>7170</x:v>
      </x:c>
      <x:c r="G536" s="18" t="n">
        <x:v>44</x:v>
      </x:c>
      <x:c r="H536" s="11" t="n">
        <x:f>MAX(IF(C536="call",F536-D536,D536-F536),0)</x:f>
        <x:v>0</x:v>
      </x:c>
      <x:c r="I536" s="11" t="n">
        <x:f>E536-H536</x:f>
        <x:v>8.04</x:v>
      </x:c>
      <x:c r="J536" s="13" t="n">
        <x:f>D536/F536</x:f>
        <x:v>0.7531380753138075</x:v>
      </x:c>
      <x:c r="K536" s="13" t="n">
        <x:v>0.45588949890164265</x:v>
      </x:c>
      <x:c r="L536" s="17" t="n">
        <x:v>-0.01792011320549247</x:v>
      </x:c>
      <x:c r="M536" s="17" t="n">
        <x:v>1.0978492911095943</x:v>
      </x:c>
      <x:c r="N536" s="11" t="n">
        <x:f>'Option source'!C609</x:f>
        <x:v>2344033.25</x:v>
      </x:c>
      <x:c r="O536" s="11" t="n">
        <x:f>'Option source'!G609</x:f>
        <x:v>5.01</x:v>
      </x:c>
      <x:c r="P536" s="11" t="n">
        <x:f>'Option source'!F609</x:f>
        <x:v>12</x:v>
      </x:c>
      <x:c r="Q536" s="1" t="str">
        <x:v>Screen passed; indicative</x:v>
      </x:c>
      <x:c r="R536" s="1" t="n">
        <x:v>604</x:v>
      </x:c>
    </x:row>
    <x:row r="537" ht="21" customHeight="1">
      <x:c r="A537" s="12" t="n">
        <x:v>46267</x:v>
      </x:c>
      <x:c r="B537" s="1" t="str">
        <x:v>GFGC5200OC</x:v>
      </x:c>
      <x:c r="C537" s="1" t="str">
        <x:v>call</x:v>
      </x:c>
      <x:c r="D537" s="11" t="n">
        <x:v>5200</x:v>
      </x:c>
      <x:c r="E537" s="11" t="n">
        <x:f>'Option source'!B106</x:f>
        <x:v>1991.75</x:v>
      </x:c>
      <x:c r="F537" s="11" t="n">
        <x:v>7170</x:v>
      </x:c>
      <x:c r="G537" s="18" t="n">
        <x:v>44</x:v>
      </x:c>
      <x:c r="H537" s="11" t="n">
        <x:f>MAX(IF(C537="call",F537-D537,D537-F537),0)</x:f>
        <x:v>1970</x:v>
      </x:c>
      <x:c r="I537" s="11" t="n">
        <x:f>E537-H537</x:f>
        <x:v>21.75</x:v>
      </x:c>
      <x:c r="J537" s="13" t="n">
        <x:f>D537/F537</x:f>
        <x:v>0.7252440725244073</x:v>
      </x:c>
      <x:c r="K537" s="13"/>
      <x:c r="L537" s="17"/>
      <x:c r="M537" s="17"/>
      <x:c r="N537" s="11" t="n">
        <x:f>'Option source'!C106</x:f>
        <x:v>0</x:v>
      </x:c>
      <x:c r="O537" s="11" t="n">
        <x:f>'Option source'!G106</x:f>
        <x:v>1988</x:v>
      </x:c>
      <x:c r="P537" s="11" t="n">
        <x:f>'Option source'!F106</x:f>
        <x:v>2044.31</x:v>
      </x:c>
      <x:c r="Q537" s="1" t="str">
        <x:v>Zero reported volume</x:v>
      </x:c>
      <x:c r="R537" s="1" t="n">
        <x:v>101</x:v>
      </x:c>
    </x:row>
    <x:row r="538" ht="21" customHeight="1">
      <x:c r="A538" s="12" t="n">
        <x:v>46267</x:v>
      </x:c>
      <x:c r="B538" s="1" t="str">
        <x:v>GFGV5200OC</x:v>
      </x:c>
      <x:c r="C538" s="1" t="str">
        <x:v>put</x:v>
      </x:c>
      <x:c r="D538" s="11" t="n">
        <x:v>5200</x:v>
      </x:c>
      <x:c r="E538" s="11" t="n">
        <x:f>'Option source'!B590</x:f>
        <x:v>4.57</x:v>
      </x:c>
      <x:c r="F538" s="11" t="n">
        <x:v>7170</x:v>
      </x:c>
      <x:c r="G538" s="18" t="n">
        <x:v>44</x:v>
      </x:c>
      <x:c r="H538" s="11" t="n">
        <x:f>MAX(IF(C538="call",F538-D538,D538-F538),0)</x:f>
        <x:v>0</x:v>
      </x:c>
      <x:c r="I538" s="11" t="n">
        <x:f>E538-H538</x:f>
        <x:v>4.57</x:v>
      </x:c>
      <x:c r="J538" s="13" t="n">
        <x:f>D538/F538</x:f>
        <x:v>0.7252440725244073</x:v>
      </x:c>
      <x:c r="K538" s="13" t="n">
        <x:v>0.46436041657721316</x:v>
      </x:c>
      <x:c r="L538" s="17" t="n">
        <x:v>-0.010796620549570313</x:v>
      </x:c>
      <x:c r="M538" s="17" t="n">
        <x:v>0.709329797078889</x:v>
      </x:c>
      <x:c r="N538" s="11" t="n">
        <x:f>'Option source'!C590</x:f>
        <x:v>808803.62</x:v>
      </x:c>
      <x:c r="O538" s="11" t="n">
        <x:f>'Option source'!G590</x:f>
        <x:v>4.46</x:v>
      </x:c>
      <x:c r="P538" s="11" t="n">
        <x:f>'Option source'!F590</x:f>
        <x:v>8.99</x:v>
      </x:c>
      <x:c r="Q538" s="1" t="str">
        <x:v>Screen passed; indicative</x:v>
      </x:c>
      <x:c r="R538" s="1" t="n">
        <x:v>585</x:v>
      </x:c>
    </x:row>
    <x:row r="539" ht="21" customHeight="1">
      <x:c r="A539" s="12" t="n">
        <x:v>46267</x:v>
      </x:c>
      <x:c r="B539" s="1" t="str">
        <x:v>GFGC9200OC</x:v>
      </x:c>
      <x:c r="C539" s="1" t="str">
        <x:v>call</x:v>
      </x:c>
      <x:c r="D539" s="11" t="n">
        <x:v>9200</x:v>
      </x:c>
      <x:c r="E539" s="11" t="n">
        <x:f>'Option source'!B438</x:f>
        <x:v>32.75</x:v>
      </x:c>
      <x:c r="F539" s="11" t="n">
        <x:v>7170</x:v>
      </x:c>
      <x:c r="G539" s="18" t="n">
        <x:v>44</x:v>
      </x:c>
      <x:c r="H539" s="11" t="n">
        <x:f>MAX(IF(C539="call",F539-D539,D539-F539),0)</x:f>
        <x:v>0</x:v>
      </x:c>
      <x:c r="I539" s="11" t="n">
        <x:f>E539-H539</x:f>
        <x:v>32.75</x:v>
      </x:c>
      <x:c r="J539" s="13" t="n">
        <x:f>D539/F539</x:f>
        <x:v>1.2831241283124128</x:v>
      </x:c>
      <x:c r="K539" s="13" t="n">
        <x:v>0.408109362990137</x:v>
      </x:c>
      <x:c r="L539" s="17" t="n">
        <x:v>0.0758837734536058</x:v>
      </x:c>
      <x:c r="M539" s="17" t="n">
        <x:v>3.555518677172228</x:v>
      </x:c>
      <x:c r="N539" s="11" t="n">
        <x:f>'Option source'!C438</x:f>
        <x:v>9520588</x:v>
      </x:c>
      <x:c r="O539" s="11" t="n">
        <x:f>'Option source'!G438</x:f>
        <x:v>26.78</x:v>
      </x:c>
      <x:c r="P539" s="11" t="n">
        <x:f>'Option source'!F438</x:f>
        <x:v>33</x:v>
      </x:c>
      <x:c r="Q539" s="1" t="str">
        <x:v>Screen passed; indicative</x:v>
      </x:c>
      <x:c r="R539" s="1" t="n">
        <x:v>433</x:v>
      </x:c>
    </x:row>
    <x:row r="540" ht="21" customHeight="1">
      <x:c r="A540" s="12" t="n">
        <x:v>46267</x:v>
      </x:c>
      <x:c r="B540" s="1" t="str">
        <x:v>GFGC5000OC</x:v>
      </x:c>
      <x:c r="C540" s="1" t="str">
        <x:v>call</x:v>
      </x:c>
      <x:c r="D540" s="11" t="n">
        <x:v>5000</x:v>
      </x:c>
      <x:c r="E540" s="11" t="n">
        <x:f>'Option source'!B87</x:f>
        <x:v>2170</x:v>
      </x:c>
      <x:c r="F540" s="11" t="n">
        <x:v>7170</x:v>
      </x:c>
      <x:c r="G540" s="18" t="n">
        <x:v>44</x:v>
      </x:c>
      <x:c r="H540" s="11" t="n">
        <x:f>MAX(IF(C540="call",F540-D540,D540-F540),0)</x:f>
        <x:v>2170</x:v>
      </x:c>
      <x:c r="I540" s="11" t="n">
        <x:f>E540-H540</x:f>
        <x:v>0</x:v>
      </x:c>
      <x:c r="J540" s="13" t="n">
        <x:f>D540/F540</x:f>
        <x:v>0.697350069735007</x:v>
      </x:c>
      <x:c r="K540" s="13"/>
      <x:c r="L540" s="17"/>
      <x:c r="M540" s="17"/>
      <x:c r="N540" s="11" t="n">
        <x:f>'Option source'!C87</x:f>
        <x:v>1302000</x:v>
      </x:c>
      <x:c r="O540" s="11" t="n">
        <x:f>'Option source'!G87</x:f>
        <x:v>2170</x:v>
      </x:c>
      <x:c r="P540" s="11" t="n">
        <x:f>'Option source'!F87</x:f>
        <x:v>2170</x:v>
      </x:c>
      <x:c r="Q540" s="1" t="str">
        <x:v>No stable model IV</x:v>
      </x:c>
      <x:c r="R540" s="1" t="n">
        <x:v>82</x:v>
      </x:c>
    </x:row>
    <x:row r="541" ht="21" customHeight="1">
      <x:c r="A541" s="12" t="n">
        <x:v>46267</x:v>
      </x:c>
      <x:c r="B541" s="1" t="str">
        <x:v>GFGV5000OC</x:v>
      </x:c>
      <x:c r="C541" s="1" t="str">
        <x:v>put</x:v>
      </x:c>
      <x:c r="D541" s="11" t="n">
        <x:v>5000</x:v>
      </x:c>
      <x:c r="E541" s="11" t="n">
        <x:f>'Option source'!B571</x:f>
        <x:v>2.6</x:v>
      </x:c>
      <x:c r="F541" s="11" t="n">
        <x:v>7170</x:v>
      </x:c>
      <x:c r="G541" s="18" t="n">
        <x:v>44</x:v>
      </x:c>
      <x:c r="H541" s="11" t="n">
        <x:f>MAX(IF(C541="call",F541-D541,D541-F541),0)</x:f>
        <x:v>0</x:v>
      </x:c>
      <x:c r="I541" s="11" t="n">
        <x:f>E541-H541</x:f>
        <x:v>2.6</x:v>
      </x:c>
      <x:c r="J541" s="13" t="n">
        <x:f>D541/F541</x:f>
        <x:v>0.697350069735007</x:v>
      </x:c>
      <x:c r="K541" s="13" t="n">
        <x:v>0.47382306940796914</x:v>
      </x:c>
      <x:c r="L541" s="17" t="n">
        <x:v>-0.006329419832170835</x:v>
      </x:c>
      <x:c r="M541" s="17" t="n">
        <x:v>0.44379678007708223</x:v>
      </x:c>
      <x:c r="N541" s="11" t="n">
        <x:f>'Option source'!C571</x:f>
        <x:v>522273</x:v>
      </x:c>
      <x:c r="O541" s="11" t="n">
        <x:f>'Option source'!G571</x:f>
        <x:v>2.5</x:v>
      </x:c>
      <x:c r="P541" s="11" t="n">
        <x:f>'Option source'!F571</x:f>
        <x:v>4.5</x:v>
      </x:c>
      <x:c r="Q541" s="1" t="str">
        <x:v>Screen passed; indicative</x:v>
      </x:c>
      <x:c r="R541" s="1" t="n">
        <x:v>566</x:v>
      </x:c>
    </x:row>
    <x:row r="542" ht="21" customHeight="1">
      <x:c r="A542" s="12" t="n">
        <x:v>46267</x:v>
      </x:c>
      <x:c r="B542" s="1" t="str">
        <x:v>GFGC9500OC</x:v>
      </x:c>
      <x:c r="C542" s="1" t="str">
        <x:v>call</x:v>
      </x:c>
      <x:c r="D542" s="11" t="n">
        <x:v>9500</x:v>
      </x:c>
      <x:c r="E542" s="11" t="n">
        <x:f>'Option source'!B457</x:f>
        <x:v>20.75</x:v>
      </x:c>
      <x:c r="F542" s="11" t="n">
        <x:v>7170</x:v>
      </x:c>
      <x:c r="G542" s="18" t="n">
        <x:v>44</x:v>
      </x:c>
      <x:c r="H542" s="11" t="n">
        <x:f>MAX(IF(C542="call",F542-D542,D542-F542),0)</x:f>
        <x:v>0</x:v>
      </x:c>
      <x:c r="I542" s="11" t="n">
        <x:f>E542-H542</x:f>
        <x:v>20.75</x:v>
      </x:c>
      <x:c r="J542" s="13" t="n">
        <x:f>D542/F542</x:f>
        <x:v>1.3249651324965133</x:v>
      </x:c>
      <x:c r="K542" s="13" t="n">
        <x:v>0.4132088330934477</x:v>
      </x:c>
      <x:c r="L542" s="17" t="n">
        <x:v>0.0507596455701904</x:v>
      </x:c>
      <x:c r="M542" s="17" t="n">
        <x:v>2.5985206500121807</x:v>
      </x:c>
      <x:c r="N542" s="11" t="n">
        <x:f>'Option source'!C457</x:f>
        <x:v>7407056.5</x:v>
      </x:c>
      <x:c r="O542" s="11" t="n">
        <x:f>'Option source'!G457</x:f>
        <x:v>17.5</x:v>
      </x:c>
      <x:c r="P542" s="11" t="n">
        <x:f>'Option source'!F457</x:f>
        <x:v>21</x:v>
      </x:c>
      <x:c r="Q542" s="1" t="str">
        <x:v>Screen passed; indicative</x:v>
      </x:c>
      <x:c r="R542" s="1" t="n">
        <x:v>452</x:v>
      </x:c>
    </x:row>
    <x:row r="543" ht="21" customHeight="1">
      <x:c r="A543" s="12" t="n">
        <x:v>46267</x:v>
      </x:c>
      <x:c r="B543" s="1" t="str">
        <x:v>GFGC4800OC</x:v>
      </x:c>
      <x:c r="C543" s="1" t="str">
        <x:v>call</x:v>
      </x:c>
      <x:c r="D543" s="11" t="n">
        <x:v>4800</x:v>
      </x:c>
      <x:c r="E543" s="11" t="n">
        <x:f>'Option source'!B70</x:f>
        <x:v>2375</x:v>
      </x:c>
      <x:c r="F543" s="11" t="n">
        <x:v>7170</x:v>
      </x:c>
      <x:c r="G543" s="18" t="n">
        <x:v>44</x:v>
      </x:c>
      <x:c r="H543" s="11" t="n">
        <x:f>MAX(IF(C543="call",F543-D543,D543-F543),0)</x:f>
        <x:v>2370</x:v>
      </x:c>
      <x:c r="I543" s="11" t="n">
        <x:f>E543-H543</x:f>
        <x:v>5</x:v>
      </x:c>
      <x:c r="J543" s="13" t="n">
        <x:f>D543/F543</x:f>
        <x:v>0.6694560669456067</x:v>
      </x:c>
      <x:c r="K543" s="13"/>
      <x:c r="L543" s="17"/>
      <x:c r="M543" s="17"/>
      <x:c r="N543" s="11" t="n">
        <x:f>'Option source'!C70</x:f>
        <x:v>0</x:v>
      </x:c>
      <x:c r="O543" s="11" t="n">
        <x:f>'Option source'!G70</x:f>
        <x:v>2375</x:v>
      </x:c>
      <x:c r="P543" s="11" t="n">
        <x:f>'Option source'!F70</x:f>
        <x:v>2375</x:v>
      </x:c>
      <x:c r="Q543" s="1" t="str">
        <x:v>Zero reported volume</x:v>
      </x:c>
      <x:c r="R543" s="1" t="n">
        <x:v>65</x:v>
      </x:c>
    </x:row>
    <x:row r="544" ht="21" customHeight="1">
      <x:c r="A544" s="12" t="n">
        <x:v>46267</x:v>
      </x:c>
      <x:c r="B544" s="1" t="str">
        <x:v>GFGV4800OC</x:v>
      </x:c>
      <x:c r="C544" s="1" t="str">
        <x:v>put</x:v>
      </x:c>
      <x:c r="D544" s="11" t="n">
        <x:v>4800</x:v>
      </x:c>
      <x:c r="E544" s="11" t="n">
        <x:f>'Option source'!B552</x:f>
        <x:v>1.74</x:v>
      </x:c>
      <x:c r="F544" s="11" t="n">
        <x:v>7170</x:v>
      </x:c>
      <x:c r="G544" s="18" t="n">
        <x:v>44</x:v>
      </x:c>
      <x:c r="H544" s="11" t="n">
        <x:f>MAX(IF(C544="call",F544-D544,D544-F544),0)</x:f>
        <x:v>0</x:v>
      </x:c>
      <x:c r="I544" s="11" t="n">
        <x:f>E544-H544</x:f>
        <x:v>1.74</x:v>
      </x:c>
      <x:c r="J544" s="13" t="n">
        <x:f>D544/F544</x:f>
        <x:v>0.6694560669456067</x:v>
      </x:c>
      <x:c r="K544" s="13" t="n">
        <x:v>0.4946921272443001</x:v>
      </x:c>
      <x:c r="L544" s="17" t="n">
        <x:v>-0.004234059120730382</x:v>
      </x:c>
      <x:c r="M544" s="17" t="n">
        <x:v>0.3103199522495154</x:v>
      </x:c>
      <x:c r="N544" s="11" t="n">
        <x:f>'Option source'!C552</x:f>
        <x:v>180760.3</x:v>
      </x:c>
      <x:c r="O544" s="11" t="n">
        <x:f>'Option source'!G552</x:f>
        <x:v>1.7</x:v>
      </x:c>
      <x:c r="P544" s="11" t="n">
        <x:f>'Option source'!F552</x:f>
        <x:v>3.2</x:v>
      </x:c>
      <x:c r="Q544" s="1" t="str">
        <x:v>Screen passed; indicative</x:v>
      </x:c>
      <x:c r="R544" s="1" t="n">
        <x:v>547</x:v>
      </x:c>
    </x:row>
    <x:row r="545" ht="21" customHeight="1">
      <x:c r="A545" s="12" t="n">
        <x:v>46267</x:v>
      </x:c>
      <x:c r="B545" s="1" t="str">
        <x:v>GFGC4600OC</x:v>
      </x:c>
      <x:c r="C545" s="1" t="str">
        <x:v>call</x:v>
      </x:c>
      <x:c r="D545" s="11" t="n">
        <x:v>4600</x:v>
      </x:c>
      <x:c r="E545" s="11" t="n">
        <x:f>'Option source'!B53</x:f>
        <x:v>2384.72</x:v>
      </x:c>
      <x:c r="F545" s="11" t="n">
        <x:v>7170</x:v>
      </x:c>
      <x:c r="G545" s="18" t="n">
        <x:v>44</x:v>
      </x:c>
      <x:c r="H545" s="11" t="n">
        <x:f>MAX(IF(C545="call",F545-D545,D545-F545),0)</x:f>
        <x:v>2570</x:v>
      </x:c>
      <x:c r="I545" s="11" t="n">
        <x:f>E545-H545</x:f>
        <x:v>-185.2800000000002</x:v>
      </x:c>
      <x:c r="J545" s="13" t="n">
        <x:f>D545/F545</x:f>
        <x:v>0.6415620641562064</x:v>
      </x:c>
      <x:c r="K545" s="13"/>
      <x:c r="L545" s="17"/>
      <x:c r="M545" s="17"/>
      <x:c r="N545" s="11" t="n">
        <x:f>'Option source'!C53</x:f>
        <x:v>0</x:v>
      </x:c>
      <x:c r="O545" s="11" t="n">
        <x:f>'Option source'!G53</x:f>
        <x:v>2384.72</x:v>
      </x:c>
      <x:c r="P545" s="11" t="n">
        <x:f>'Option source'!F53</x:f>
        <x:v>2384.72</x:v>
      </x:c>
      <x:c r="Q545" s="1" t="str">
        <x:v>Zero reported volume; Below intrinsic value</x:v>
      </x:c>
      <x:c r="R545" s="1" t="n">
        <x:v>48</x:v>
      </x:c>
    </x:row>
    <x:row r="546" ht="21" customHeight="1">
      <x:c r="A546" s="12" t="n">
        <x:v>46267</x:v>
      </x:c>
      <x:c r="B546" s="1" t="str">
        <x:v>GFGV4600OC</x:v>
      </x:c>
      <x:c r="C546" s="1" t="str">
        <x:v>put</x:v>
      </x:c>
      <x:c r="D546" s="11" t="n">
        <x:v>4600</x:v>
      </x:c>
      <x:c r="E546" s="11" t="n">
        <x:f>'Option source'!B533</x:f>
        <x:v>1.38</x:v>
      </x:c>
      <x:c r="F546" s="11" t="n">
        <x:v>7170</x:v>
      </x:c>
      <x:c r="G546" s="18" t="n">
        <x:v>44</x:v>
      </x:c>
      <x:c r="H546" s="11" t="n">
        <x:f>MAX(IF(C546="call",F546-D546,D546-F546),0)</x:f>
        <x:v>0</x:v>
      </x:c>
      <x:c r="I546" s="11" t="n">
        <x:f>E546-H546</x:f>
        <x:v>1.38</x:v>
      </x:c>
      <x:c r="J546" s="13" t="n">
        <x:f>D546/F546</x:f>
        <x:v>0.6415620641562064</x:v>
      </x:c>
      <x:c r="K546" s="13" t="n">
        <x:v>0.5261426227429737</x:v>
      </x:c>
      <x:c r="L546" s="17" t="n">
        <x:v>-0.0032739302129861647</x:v>
      </x:c>
      <x:c r="M546" s="17" t="n">
        <x:v>0.24640076728866853</x:v>
      </x:c>
      <x:c r="N546" s="11" t="n">
        <x:f>'Option source'!C533</x:f>
        <x:v>364480.59</x:v>
      </x:c>
      <x:c r="O546" s="11" t="n">
        <x:f>'Option source'!G533</x:f>
        <x:v>1.3</x:v>
      </x:c>
      <x:c r="P546" s="11" t="n">
        <x:f>'Option source'!F533</x:f>
        <x:v>1.9</x:v>
      </x:c>
      <x:c r="Q546" s="1" t="str">
        <x:v>Screen passed; indicative</x:v>
      </x:c>
      <x:c r="R546" s="1" t="n">
        <x:v>528</x:v>
      </x:c>
    </x:row>
    <x:row r="547" ht="21" customHeight="1">
      <x:c r="A547" s="12" t="n">
        <x:v>46267</x:v>
      </x:c>
      <x:c r="B547" s="1" t="str">
        <x:v>GFGC9900OC</x:v>
      </x:c>
      <x:c r="C547" s="1" t="str">
        <x:v>call</x:v>
      </x:c>
      <x:c r="D547" s="11" t="n">
        <x:v>9900</x:v>
      </x:c>
      <x:c r="E547" s="11" t="n">
        <x:f>'Option source'!B476</x:f>
        <x:v>12.28</x:v>
      </x:c>
      <x:c r="F547" s="11" t="n">
        <x:v>7170</x:v>
      </x:c>
      <x:c r="G547" s="18" t="n">
        <x:v>44</x:v>
      </x:c>
      <x:c r="H547" s="11" t="n">
        <x:f>MAX(IF(C547="call",F547-D547,D547-F547),0)</x:f>
        <x:v>0</x:v>
      </x:c>
      <x:c r="I547" s="11" t="n">
        <x:f>E547-H547</x:f>
        <x:v>12.28</x:v>
      </x:c>
      <x:c r="J547" s="13" t="n">
        <x:f>D547/F547</x:f>
        <x:v>1.3807531380753137</x:v>
      </x:c>
      <x:c r="K547" s="13" t="n">
        <x:v>0.4260996046081593</x:v>
      </x:c>
      <x:c r="L547" s="17" t="n">
        <x:v>0.031276017355552355</x:v>
      </x:c>
      <x:c r="M547" s="17" t="n">
        <x:v>1.7533033276145402</x:v>
      </x:c>
      <x:c r="N547" s="11" t="n">
        <x:f>'Option source'!C476</x:f>
        <x:v>2429018.75</x:v>
      </x:c>
      <x:c r="O547" s="11" t="n">
        <x:f>'Option source'!G476</x:f>
        <x:v>10.5</x:v>
      </x:c>
      <x:c r="P547" s="11" t="n">
        <x:f>'Option source'!F476</x:f>
        <x:v>13</x:v>
      </x:c>
      <x:c r="Q547" s="1" t="str">
        <x:v>Screen passed; indicative</x:v>
      </x:c>
      <x:c r="R547" s="1" t="n">
        <x:v>471</x:v>
      </x:c>
    </x:row>
    <x:row r="548" ht="21" customHeight="1">
      <x:c r="A548" s="12" t="n">
        <x:v>46267</x:v>
      </x:c>
      <x:c r="B548" s="1" t="str">
        <x:v>GFGC4400OC</x:v>
      </x:c>
      <x:c r="C548" s="1" t="str">
        <x:v>call</x:v>
      </x:c>
      <x:c r="D548" s="11" t="n">
        <x:v>4400</x:v>
      </x:c>
      <x:c r="E548" s="11" t="n">
        <x:f>'Option source'!B34</x:f>
        <x:v>2849.09</x:v>
      </x:c>
      <x:c r="F548" s="11" t="n">
        <x:v>7170</x:v>
      </x:c>
      <x:c r="G548" s="18" t="n">
        <x:v>44</x:v>
      </x:c>
      <x:c r="H548" s="11" t="n">
        <x:f>MAX(IF(C548="call",F548-D548,D548-F548),0)</x:f>
        <x:v>2770</x:v>
      </x:c>
      <x:c r="I548" s="11" t="n">
        <x:f>E548-H548</x:f>
        <x:v>79.09000000000015</x:v>
      </x:c>
      <x:c r="J548" s="13" t="n">
        <x:f>D548/F548</x:f>
        <x:v>0.6136680613668062</x:v>
      </x:c>
      <x:c r="K548" s="13"/>
      <x:c r="L548" s="17"/>
      <x:c r="M548" s="17"/>
      <x:c r="N548" s="11" t="n">
        <x:f>'Option source'!C34</x:f>
        <x:v>1133656</x:v>
      </x:c>
      <x:c r="O548" s="11" t="n">
        <x:f>'Option source'!G34</x:f>
        <x:v>2819.19</x:v>
      </x:c>
      <x:c r="P548" s="11" t="n">
        <x:f>'Option source'!F34</x:f>
        <x:v>2819.19</x:v>
      </x:c>
      <x:c r="Q548" s="1" t="str">
        <x:v>Price outside daily range</x:v>
      </x:c>
      <x:c r="R548" s="1" t="n">
        <x:v>29</x:v>
      </x:c>
    </x:row>
    <x:row r="549" ht="21" customHeight="1">
      <x:c r="A549" s="12" t="n">
        <x:v>46267</x:v>
      </x:c>
      <x:c r="B549" s="1" t="str">
        <x:v>GFGV4400OC</x:v>
      </x:c>
      <x:c r="C549" s="1" t="str">
        <x:v>put</x:v>
      </x:c>
      <x:c r="D549" s="11" t="n">
        <x:v>4400</x:v>
      </x:c>
      <x:c r="E549" s="11" t="n">
        <x:f>'Option source'!B514</x:f>
        <x:v>1.28</x:v>
      </x:c>
      <x:c r="F549" s="11" t="n">
        <x:v>7170</x:v>
      </x:c>
      <x:c r="G549" s="18" t="n">
        <x:v>44</x:v>
      </x:c>
      <x:c r="H549" s="11" t="n">
        <x:f>MAX(IF(C549="call",F549-D549,D549-F549),0)</x:f>
        <x:v>0</x:v>
      </x:c>
      <x:c r="I549" s="11" t="n">
        <x:f>E549-H549</x:f>
        <x:v>1.28</x:v>
      </x:c>
      <x:c r="J549" s="13" t="n">
        <x:f>D549/F549</x:f>
        <x:v>0.6136680613668062</x:v>
      </x:c>
      <x:c r="K549" s="13" t="n">
        <x:v>0.5660004552820574</x:v>
      </x:c>
      <x:c r="L549" s="17" t="n">
        <x:v>-0.0028280126530879635</x:v>
      </x:c>
      <x:c r="M549" s="17" t="n">
        <x:v>0.21595668922380654</x:v>
      </x:c>
      <x:c r="N549" s="11" t="n">
        <x:f>'Option source'!C514</x:f>
        <x:v>108466.7</x:v>
      </x:c>
      <x:c r="O549" s="11" t="n">
        <x:f>'Option source'!G514</x:f>
        <x:v>1</x:v>
      </x:c>
      <x:c r="P549" s="11" t="n">
        <x:f>'Option source'!F514</x:f>
        <x:v>1.8</x:v>
      </x:c>
      <x:c r="Q549" s="1" t="str">
        <x:v>Screen passed; indicative</x:v>
      </x:c>
      <x:c r="R549" s="1" t="n">
        <x:v>509</x:v>
      </x:c>
    </x:row>
    <x:row r="550" ht="21" customHeight="1">
      <x:c r="A550" s="12" t="n">
        <x:v>46267</x:v>
      </x:c>
      <x:c r="B550" s="1" t="str">
        <x:v>GFGC4200OC</x:v>
      </x:c>
      <x:c r="C550" s="1" t="str">
        <x:v>call</x:v>
      </x:c>
      <x:c r="D550" s="11" t="n">
        <x:v>4200</x:v>
      </x:c>
      <x:c r="E550" s="11" t="n">
        <x:f>'Option source'!B15</x:f>
        <x:v>3017.35</x:v>
      </x:c>
      <x:c r="F550" s="11" t="n">
        <x:v>7170</x:v>
      </x:c>
      <x:c r="G550" s="18" t="n">
        <x:v>44</x:v>
      </x:c>
      <x:c r="H550" s="11" t="n">
        <x:f>MAX(IF(C550="call",F550-D550,D550-F550),0)</x:f>
        <x:v>2970</x:v>
      </x:c>
      <x:c r="I550" s="11" t="n">
        <x:f>E550-H550</x:f>
        <x:v>47.34999999999991</x:v>
      </x:c>
      <x:c r="J550" s="13" t="n">
        <x:f>D550/F550</x:f>
        <x:v>0.5857740585774058</x:v>
      </x:c>
      <x:c r="K550" s="13"/>
      <x:c r="L550" s="17"/>
      <x:c r="M550" s="17"/>
      <x:c r="N550" s="11" t="n">
        <x:f>'Option source'!C15</x:f>
        <x:v>0</x:v>
      </x:c>
      <x:c r="O550" s="11" t="n">
        <x:f>'Option source'!G15</x:f>
        <x:v>2946.11</x:v>
      </x:c>
      <x:c r="P550" s="11" t="n">
        <x:f>'Option source'!F15</x:f>
        <x:v>2946.11</x:v>
      </x:c>
      <x:c r="Q550" s="1" t="str">
        <x:v>Zero reported volume; Price outside daily range</x:v>
      </x:c>
      <x:c r="R550" s="1" t="n">
        <x:v>10</x:v>
      </x:c>
    </x:row>
    <x:row r="551" ht="21" customHeight="1">
      <x:c r="A551" s="12" t="n">
        <x:v>46267</x:v>
      </x:c>
      <x:c r="B551" s="1" t="str">
        <x:v>GFGV4200OC</x:v>
      </x:c>
      <x:c r="C551" s="1" t="str">
        <x:v>put</x:v>
      </x:c>
      <x:c r="D551" s="11" t="n">
        <x:v>4200</x:v>
      </x:c>
      <x:c r="E551" s="11" t="n">
        <x:f>'Option source'!B495</x:f>
        <x:v>0.9</x:v>
      </x:c>
      <x:c r="F551" s="11" t="n">
        <x:v>7170</x:v>
      </x:c>
      <x:c r="G551" s="18" t="n">
        <x:v>44</x:v>
      </x:c>
      <x:c r="H551" s="11" t="n">
        <x:f>MAX(IF(C551="call",F551-D551,D551-F551),0)</x:f>
        <x:v>0</x:v>
      </x:c>
      <x:c r="I551" s="11" t="n">
        <x:f>E551-H551</x:f>
        <x:v>0.9</x:v>
      </x:c>
      <x:c r="J551" s="13" t="n">
        <x:f>D551/F551</x:f>
        <x:v>0.5857740585774058</x:v>
      </x:c>
      <x:c r="K551" s="13" t="n">
        <x:v>0.5915612097434</x:v>
      </x:c>
      <x:c r="L551" s="17" t="n">
        <x:v>-0.001971416591120878</x:v>
      </x:c>
      <x:c r="M551" s="17" t="n">
        <x:v>0.1557847579927858</x:v>
      </x:c>
      <x:c r="N551" s="11" t="n">
        <x:f>'Option source'!C495</x:f>
        <x:v>84805.8</x:v>
      </x:c>
      <x:c r="O551" s="11" t="n">
        <x:f>'Option source'!G495</x:f>
        <x:v>0.88</x:v>
      </x:c>
      <x:c r="P551" s="11" t="n">
        <x:f>'Option source'!F495</x:f>
        <x:v>1.3</x:v>
      </x:c>
      <x:c r="Q551" s="1" t="str">
        <x:v>Screen passed; indicative</x:v>
      </x:c>
      <x:c r="R551" s="1" t="n">
        <x:v>490</x:v>
      </x:c>
    </x:row>
    <x:row r="552" ht="21" customHeight="1">
      <x:c r="A552" s="12" t="n">
        <x:v>46266</x:v>
      </x:c>
      <x:c r="B552" s="1" t="str">
        <x:v>GFGC7000OC</x:v>
      </x:c>
      <x:c r="C552" s="1" t="str">
        <x:v>call</x:v>
      </x:c>
      <x:c r="D552" s="11" t="n">
        <x:v>7000</x:v>
      </x:c>
      <x:c r="E552" s="11" t="n">
        <x:f>'Option source'!B266</x:f>
        <x:v>562.73</x:v>
      </x:c>
      <x:c r="F552" s="11" t="n">
        <x:v>7060</x:v>
      </x:c>
      <x:c r="G552" s="18" t="n">
        <x:v>45</x:v>
      </x:c>
      <x:c r="H552" s="11" t="n">
        <x:f>MAX(IF(C552="call",F552-D552,D552-F552),0)</x:f>
        <x:v>60</x:v>
      </x:c>
      <x:c r="I552" s="11" t="n">
        <x:f>E552-H552</x:f>
        <x:v>502.73</x:v>
      </x:c>
      <x:c r="J552" s="13" t="n">
        <x:f>D552/F552</x:f>
        <x:v>0.9915014164305949</x:v>
      </x:c>
      <x:c r="K552" s="13" t="n">
        <x:v>0.39901259711553155</x:v>
      </x:c>
      <x:c r="L552" s="17" t="n">
        <x:v>0.6535654570338498</x:v>
      </x:c>
      <x:c r="M552" s="17" t="n">
        <x:v>9.147455018061208</x:v>
      </x:c>
      <x:c r="N552" s="11" t="n">
        <x:f>'Option source'!C266</x:f>
        <x:v>401417760</x:v>
      </x:c>
      <x:c r="O552" s="11" t="n">
        <x:f>'Option source'!G266</x:f>
        <x:v>508.33</x:v>
      </x:c>
      <x:c r="P552" s="11" t="n">
        <x:f>'Option source'!F266</x:f>
        <x:v>645</x:v>
      </x:c>
      <x:c r="Q552" s="1" t="str">
        <x:v>Screen passed; indicative</x:v>
      </x:c>
      <x:c r="R552" s="1" t="n">
        <x:v>261</x:v>
      </x:c>
    </x:row>
    <x:row r="553" ht="21" customHeight="1">
      <x:c r="A553" s="12" t="n">
        <x:v>46266</x:v>
      </x:c>
      <x:c r="B553" s="1" t="str">
        <x:v>GFGV7000OC</x:v>
      </x:c>
      <x:c r="C553" s="1" t="str">
        <x:v>put</x:v>
      </x:c>
      <x:c r="D553" s="11" t="n">
        <x:v>7000</x:v>
      </x:c>
      <x:c r="E553" s="11" t="n">
        <x:f>'Option source'!B760</x:f>
        <x:v>334.82</x:v>
      </x:c>
      <x:c r="F553" s="11" t="n">
        <x:v>7060</x:v>
      </x:c>
      <x:c r="G553" s="18" t="n">
        <x:v>45</x:v>
      </x:c>
      <x:c r="H553" s="11" t="n">
        <x:f>MAX(IF(C553="call",F553-D553,D553-F553),0)</x:f>
        <x:v>0</x:v>
      </x:c>
      <x:c r="I553" s="11" t="n">
        <x:f>E553-H553</x:f>
        <x:v>334.82</x:v>
      </x:c>
      <x:c r="J553" s="13" t="n">
        <x:f>D553/F553</x:f>
        <x:v>0.9915014164305949</x:v>
      </x:c>
      <x:c r="K553" s="13" t="n">
        <x:v>0.4667867214665472</x:v>
      </x:c>
      <x:c r="L553" s="17" t="n">
        <x:v>-0.35954025036213744</x:v>
      </x:c>
      <x:c r="M553" s="17" t="n">
        <x:v>9.270028620376335</x:v>
      </x:c>
      <x:c r="N553" s="11" t="n">
        <x:f>'Option source'!C760</x:f>
        <x:v>161734720</x:v>
      </x:c>
      <x:c r="O553" s="11" t="n">
        <x:f>'Option source'!G760</x:f>
        <x:v>285</x:v>
      </x:c>
      <x:c r="P553" s="11" t="n">
        <x:f>'Option source'!F760</x:f>
        <x:v>400</x:v>
      </x:c>
      <x:c r="Q553" s="1" t="str">
        <x:v>Screen passed; indicative</x:v>
      </x:c>
      <x:c r="R553" s="1" t="n">
        <x:v>755</x:v>
      </x:c>
    </x:row>
    <x:row r="554" ht="21" customHeight="1">
      <x:c r="A554" s="12" t="n">
        <x:v>46266</x:v>
      </x:c>
      <x:c r="B554" s="1" t="str">
        <x:v>GFGC7200OC</x:v>
      </x:c>
      <x:c r="C554" s="1" t="str">
        <x:v>call</x:v>
      </x:c>
      <x:c r="D554" s="11" t="n">
        <x:v>7200</x:v>
      </x:c>
      <x:c r="E554" s="11" t="n">
        <x:f>'Option source'!B285</x:f>
        <x:v>464.15</x:v>
      </x:c>
      <x:c r="F554" s="11" t="n">
        <x:v>7060</x:v>
      </x:c>
      <x:c r="G554" s="18" t="n">
        <x:v>45</x:v>
      </x:c>
      <x:c r="H554" s="11" t="n">
        <x:f>MAX(IF(C554="call",F554-D554,D554-F554),0)</x:f>
        <x:v>0</x:v>
      </x:c>
      <x:c r="I554" s="11" t="n">
        <x:f>E554-H554</x:f>
        <x:v>464.15</x:v>
      </x:c>
      <x:c r="J554" s="13" t="n">
        <x:f>D554/F554</x:f>
        <x:v>1.019830028328612</x:v>
      </x:c>
      <x:c r="K554" s="13" t="n">
        <x:v>0.4088541051698612</x:v>
      </x:c>
      <x:c r="L554" s="17" t="n">
        <x:v>0.5763788616685559</x:v>
      </x:c>
      <x:c r="M554" s="17" t="n">
        <x:v>9.70770042887532</x:v>
      </x:c>
      <x:c r="N554" s="11" t="n">
        <x:f>'Option source'!C285</x:f>
        <x:v>667446912</x:v>
      </x:c>
      <x:c r="O554" s="11" t="n">
        <x:f>'Option source'!G285</x:f>
        <x:v>403</x:v>
      </x:c>
      <x:c r="P554" s="11" t="n">
        <x:f>'Option source'!F285</x:f>
        <x:v>531</x:v>
      </x:c>
      <x:c r="Q554" s="1" t="str">
        <x:v>Screen passed; indicative</x:v>
      </x:c>
      <x:c r="R554" s="1" t="n">
        <x:v>280</x:v>
      </x:c>
    </x:row>
    <x:row r="555" ht="21" customHeight="1">
      <x:c r="A555" s="12" t="n">
        <x:v>46266</x:v>
      </x:c>
      <x:c r="B555" s="1" t="str">
        <x:v>GFGV7200OC</x:v>
      </x:c>
      <x:c r="C555" s="1" t="str">
        <x:v>put</x:v>
      </x:c>
      <x:c r="D555" s="11" t="n">
        <x:v>7200</x:v>
      </x:c>
      <x:c r="E555" s="11" t="n">
        <x:f>'Option source'!B779</x:f>
        <x:v>431.34</x:v>
      </x:c>
      <x:c r="F555" s="11" t="n">
        <x:v>7060</x:v>
      </x:c>
      <x:c r="G555" s="18" t="n">
        <x:v>45</x:v>
      </x:c>
      <x:c r="H555" s="11" t="n">
        <x:f>MAX(IF(C555="call",F555-D555,D555-F555),0)</x:f>
        <x:v>140</x:v>
      </x:c>
      <x:c r="I555" s="11" t="n">
        <x:f>E555-H555</x:f>
        <x:v>291.34</x:v>
      </x:c>
      <x:c r="J555" s="13" t="n">
        <x:f>D555/F555</x:f>
        <x:v>1.019830028328612</x:v>
      </x:c>
      <x:c r="K555" s="13" t="n">
        <x:v>0.4660848725260893</x:v>
      </x:c>
      <x:c r="L555" s="17" t="n">
        <x:v>-0.4254989035082726</x:v>
      </x:c>
      <x:c r="M555" s="17" t="n">
        <x:v>9.716555887310372</x:v>
      </x:c>
      <x:c r="N555" s="11" t="n">
        <x:f>'Option source'!C779</x:f>
        <x:v>63324888</x:v>
      </x:c>
      <x:c r="O555" s="11" t="n">
        <x:f>'Option source'!G779</x:f>
        <x:v>372.05</x:v>
      </x:c>
      <x:c r="P555" s="11" t="n">
        <x:f>'Option source'!F779</x:f>
        <x:v>490</x:v>
      </x:c>
      <x:c r="Q555" s="1" t="str">
        <x:v>Screen passed; indicative</x:v>
      </x:c>
      <x:c r="R555" s="1" t="n">
        <x:v>774</x:v>
      </x:c>
    </x:row>
    <x:row r="556" ht="21" customHeight="1">
      <x:c r="A556" s="12" t="n">
        <x:v>46266</x:v>
      </x:c>
      <x:c r="B556" s="1" t="str">
        <x:v>GFGC6800OC</x:v>
      </x:c>
      <x:c r="C556" s="1" t="str">
        <x:v>call</x:v>
      </x:c>
      <x:c r="D556" s="11" t="n">
        <x:v>6800</x:v>
      </x:c>
      <x:c r="E556" s="11" t="n">
        <x:f>'Option source'!B247</x:f>
        <x:v>688.81</x:v>
      </x:c>
      <x:c r="F556" s="11" t="n">
        <x:v>7060</x:v>
      </x:c>
      <x:c r="G556" s="18" t="n">
        <x:v>45</x:v>
      </x:c>
      <x:c r="H556" s="11" t="n">
        <x:f>MAX(IF(C556="call",F556-D556,D556-F556),0)</x:f>
        <x:v>260</x:v>
      </x:c>
      <x:c r="I556" s="11" t="n">
        <x:f>E556-H556</x:f>
        <x:v>428.80999999999995</x:v>
      </x:c>
      <x:c r="J556" s="13" t="n">
        <x:f>D556/F556</x:f>
        <x:v>0.9631728045325779</x:v>
      </x:c>
      <x:c r="K556" s="13" t="n">
        <x:v>0.4024266444942288</x:v>
      </x:c>
      <x:c r="L556" s="17" t="n">
        <x:v>0.7250647649525719</x:v>
      </x:c>
      <x:c r="M556" s="17" t="n">
        <x:v>8.270537871527065</x:v>
      </x:c>
      <x:c r="N556" s="11" t="n">
        <x:f>'Option source'!C247</x:f>
        <x:v>310467520</x:v>
      </x:c>
      <x:c r="O556" s="11" t="n">
        <x:f>'Option source'!G247</x:f>
        <x:v>630</x:v>
      </x:c>
      <x:c r="P556" s="11" t="n">
        <x:f>'Option source'!F247</x:f>
        <x:v>760</x:v>
      </x:c>
      <x:c r="Q556" s="1" t="str">
        <x:v>Screen passed; indicative</x:v>
      </x:c>
      <x:c r="R556" s="1" t="n">
        <x:v>242</x:v>
      </x:c>
    </x:row>
    <x:row r="557" ht="21" customHeight="1">
      <x:c r="A557" s="12" t="n">
        <x:v>46266</x:v>
      </x:c>
      <x:c r="B557" s="1" t="str">
        <x:v>GFGV6800OC</x:v>
      </x:c>
      <x:c r="C557" s="1" t="str">
        <x:v>put</x:v>
      </x:c>
      <x:c r="D557" s="11" t="n">
        <x:v>6800</x:v>
      </x:c>
      <x:c r="E557" s="11" t="n">
        <x:f>'Option source'!B741</x:f>
        <x:v>251.94</x:v>
      </x:c>
      <x:c r="F557" s="11" t="n">
        <x:v>7060</x:v>
      </x:c>
      <x:c r="G557" s="18" t="n">
        <x:v>45</x:v>
      </x:c>
      <x:c r="H557" s="11" t="n">
        <x:f>MAX(IF(C557="call",F557-D557,D557-F557),0)</x:f>
        <x:v>0</x:v>
      </x:c>
      <x:c r="I557" s="11" t="n">
        <x:f>E557-H557</x:f>
        <x:v>251.94</x:v>
      </x:c>
      <x:c r="J557" s="13" t="n">
        <x:f>D557/F557</x:f>
        <x:v>0.9631728045325779</x:v>
      </x:c>
      <x:c r="K557" s="13" t="n">
        <x:v>0.4658220081375012</x:v>
      </x:c>
      <x:c r="L557" s="17" t="n">
        <x:v>-0.2955228011355576</x:v>
      </x:c>
      <x:c r="M557" s="17" t="n">
        <x:v>8.560144044174011</x:v>
      </x:c>
      <x:c r="N557" s="11" t="n">
        <x:f>'Option source'!C741</x:f>
        <x:v>67521120</x:v>
      </x:c>
      <x:c r="O557" s="11" t="n">
        <x:f>'Option source'!G741</x:f>
        <x:v>215</x:v>
      </x:c>
      <x:c r="P557" s="11" t="n">
        <x:f>'Option source'!F741</x:f>
        <x:v>315</x:v>
      </x:c>
      <x:c r="Q557" s="1" t="str">
        <x:v>Screen passed; indicative</x:v>
      </x:c>
      <x:c r="R557" s="1" t="n">
        <x:v>736</x:v>
      </x:c>
    </x:row>
    <x:row r="558" ht="21" customHeight="1">
      <x:c r="A558" s="12" t="n">
        <x:v>46266</x:v>
      </x:c>
      <x:c r="B558" s="1" t="str">
        <x:v>GFGC7400OC</x:v>
      </x:c>
      <x:c r="C558" s="1" t="str">
        <x:v>call</x:v>
      </x:c>
      <x:c r="D558" s="11" t="n">
        <x:v>7400</x:v>
      </x:c>
      <x:c r="E558" s="11" t="n">
        <x:f>'Option source'!B304</x:f>
        <x:v>372.77</x:v>
      </x:c>
      <x:c r="F558" s="11" t="n">
        <x:v>7060</x:v>
      </x:c>
      <x:c r="G558" s="18" t="n">
        <x:v>45</x:v>
      </x:c>
      <x:c r="H558" s="11" t="n">
        <x:f>MAX(IF(C558="call",F558-D558,D558-F558),0)</x:f>
        <x:v>0</x:v>
      </x:c>
      <x:c r="I558" s="11" t="n">
        <x:f>E558-H558</x:f>
        <x:v>372.77</x:v>
      </x:c>
      <x:c r="J558" s="13" t="n">
        <x:f>D558/F558</x:f>
        <x:v>1.048158640226629</x:v>
      </x:c>
      <x:c r="K558" s="13" t="n">
        <x:v>0.4102681346153475</x:v>
      </x:c>
      <x:c r="L558" s="17" t="n">
        <x:v>0.5009062495938202</x:v>
      </x:c>
      <x:c r="M558" s="17" t="n">
        <x:v>9.889480329718028</x:v>
      </x:c>
      <x:c r="N558" s="11" t="n">
        <x:f>'Option source'!C304</x:f>
        <x:v>632641600</x:v>
      </x:c>
      <x:c r="O558" s="11" t="n">
        <x:f>'Option source'!G304</x:f>
        <x:v>331.01</x:v>
      </x:c>
      <x:c r="P558" s="11" t="n">
        <x:f>'Option source'!F304</x:f>
        <x:v>430</x:v>
      </x:c>
      <x:c r="Q558" s="1" t="str">
        <x:v>Screen passed; indicative</x:v>
      </x:c>
      <x:c r="R558" s="1" t="n">
        <x:v>299</x:v>
      </x:c>
    </x:row>
    <x:row r="559" ht="21" customHeight="1">
      <x:c r="A559" s="12" t="n">
        <x:v>46266</x:v>
      </x:c>
      <x:c r="B559" s="1" t="str">
        <x:v>GFGV7400OC</x:v>
      </x:c>
      <x:c r="C559" s="1" t="str">
        <x:v>put</x:v>
      </x:c>
      <x:c r="D559" s="11" t="n">
        <x:v>7400</x:v>
      </x:c>
      <x:c r="E559" s="11" t="n">
        <x:f>'Option source'!B798</x:f>
        <x:v>538.73</x:v>
      </x:c>
      <x:c r="F559" s="11" t="n">
        <x:v>7060</x:v>
      </x:c>
      <x:c r="G559" s="18" t="n">
        <x:v>45</x:v>
      </x:c>
      <x:c r="H559" s="11" t="n">
        <x:f>MAX(IF(C559="call",F559-D559,D559-F559),0)</x:f>
        <x:v>340</x:v>
      </x:c>
      <x:c r="I559" s="11" t="n">
        <x:f>E559-H559</x:f>
        <x:v>198.73000000000002</x:v>
      </x:c>
      <x:c r="J559" s="13" t="n">
        <x:f>D559/F559</x:f>
        <x:v>1.048158640226629</x:v>
      </x:c>
      <x:c r="K559" s="13" t="n">
        <x:v>0.4598050667399749</x:v>
      </x:c>
      <x:c r="L559" s="17" t="n">
        <x:v>-0.4926265574607206</x:v>
      </x:c>
      <x:c r="M559" s="17" t="n">
        <x:v>9.887816660345726</x:v>
      </x:c>
      <x:c r="N559" s="11" t="n">
        <x:f>'Option source'!C798</x:f>
        <x:v>17777200</x:v>
      </x:c>
      <x:c r="O559" s="11" t="n">
        <x:f>'Option source'!G798</x:f>
        <x:v>499.99</x:v>
      </x:c>
      <x:c r="P559" s="11" t="n">
        <x:f>'Option source'!F798</x:f>
        <x:v>566.48</x:v>
      </x:c>
      <x:c r="Q559" s="1" t="str">
        <x:v>Screen passed; indicative</x:v>
      </x:c>
      <x:c r="R559" s="1" t="n">
        <x:v>793</x:v>
      </x:c>
    </x:row>
    <x:row r="560" ht="21" customHeight="1">
      <x:c r="A560" s="12" t="n">
        <x:v>46266</x:v>
      </x:c>
      <x:c r="B560" s="1" t="str">
        <x:v>GFGC6600OC</x:v>
      </x:c>
      <x:c r="C560" s="1" t="str">
        <x:v>call</x:v>
      </x:c>
      <x:c r="D560" s="11" t="n">
        <x:v>6600</x:v>
      </x:c>
      <x:c r="E560" s="11" t="n">
        <x:f>'Option source'!B228</x:f>
        <x:v>808.51</x:v>
      </x:c>
      <x:c r="F560" s="11" t="n">
        <x:v>7060</x:v>
      </x:c>
      <x:c r="G560" s="18" t="n">
        <x:v>45</x:v>
      </x:c>
      <x:c r="H560" s="11" t="n">
        <x:f>MAX(IF(C560="call",F560-D560,D560-F560),0)</x:f>
        <x:v>460</x:v>
      </x:c>
      <x:c r="I560" s="11" t="n">
        <x:f>E560-H560</x:f>
        <x:v>348.51</x:v>
      </x:c>
      <x:c r="J560" s="13" t="n">
        <x:f>D560/F560</x:f>
        <x:v>0.9348441926345609</x:v>
      </x:c>
      <x:c r="K560" s="13" t="n">
        <x:v>0.3772491981942556</x:v>
      </x:c>
      <x:c r="L560" s="17" t="n">
        <x:v>0.8034745711154476</x:v>
      </x:c>
      <x:c r="M560" s="17" t="n">
        <x:v>6.867037140379282</x:v>
      </x:c>
      <x:c r="N560" s="11" t="n">
        <x:f>'Option source'!C228</x:f>
        <x:v>30988906</x:v>
      </x:c>
      <x:c r="O560" s="11" t="n">
        <x:f>'Option source'!G228</x:f>
        <x:v>763.57</x:v>
      </x:c>
      <x:c r="P560" s="11" t="n">
        <x:f>'Option source'!F228</x:f>
        <x:v>890</x:v>
      </x:c>
      <x:c r="Q560" s="1" t="str">
        <x:v>Screen passed; indicative</x:v>
      </x:c>
      <x:c r="R560" s="1" t="n">
        <x:v>223</x:v>
      </x:c>
    </x:row>
    <x:row r="561" ht="21" customHeight="1">
      <x:c r="A561" s="12" t="n">
        <x:v>46266</x:v>
      </x:c>
      <x:c r="B561" s="1" t="str">
        <x:v>GFGV6600OC</x:v>
      </x:c>
      <x:c r="C561" s="1" t="str">
        <x:v>put</x:v>
      </x:c>
      <x:c r="D561" s="11" t="n">
        <x:v>6600</x:v>
      </x:c>
      <x:c r="E561" s="11" t="n">
        <x:f>'Option source'!B722</x:f>
        <x:v>178.65</x:v>
      </x:c>
      <x:c r="F561" s="11" t="n">
        <x:v>7060</x:v>
      </x:c>
      <x:c r="G561" s="18" t="n">
        <x:v>45</x:v>
      </x:c>
      <x:c r="H561" s="11" t="n">
        <x:f>MAX(IF(C561="call",F561-D561,D561-F561),0)</x:f>
        <x:v>0</x:v>
      </x:c>
      <x:c r="I561" s="11" t="n">
        <x:f>E561-H561</x:f>
        <x:v>178.65</x:v>
      </x:c>
      <x:c r="J561" s="13" t="n">
        <x:f>D561/F561</x:f>
        <x:v>0.9348441926345609</x:v>
      </x:c>
      <x:c r="K561" s="13" t="n">
        <x:v>0.45881739334528965</x:v>
      </x:c>
      <x:c r="L561" s="17" t="n">
        <x:v>-0.2331992081315738</x:v>
      </x:c>
      <x:c r="M561" s="17" t="n">
        <x:v>7.5854064112709105</x:v>
      </x:c>
      <x:c r="N561" s="11" t="n">
        <x:f>'Option source'!C722</x:f>
        <x:v>218682928</x:v>
      </x:c>
      <x:c r="O561" s="11" t="n">
        <x:f>'Option source'!G722</x:f>
        <x:v>158.05</x:v>
      </x:c>
      <x:c r="P561" s="11" t="n">
        <x:f>'Option source'!F722</x:f>
        <x:v>240</x:v>
      </x:c>
      <x:c r="Q561" s="1" t="str">
        <x:v>Screen passed; indicative</x:v>
      </x:c>
      <x:c r="R561" s="1" t="n">
        <x:v>717</x:v>
      </x:c>
    </x:row>
    <x:row r="562" ht="21" customHeight="1">
      <x:c r="A562" s="12" t="n">
        <x:v>46266</x:v>
      </x:c>
      <x:c r="B562" s="1" t="str">
        <x:v>GFGC7600OC</x:v>
      </x:c>
      <x:c r="C562" s="1" t="str">
        <x:v>call</x:v>
      </x:c>
      <x:c r="D562" s="11" t="n">
        <x:v>7600</x:v>
      </x:c>
      <x:c r="E562" s="11" t="n">
        <x:f>'Option source'!B323</x:f>
        <x:v>295.41</x:v>
      </x:c>
      <x:c r="F562" s="11" t="n">
        <x:v>7060</x:v>
      </x:c>
      <x:c r="G562" s="18" t="n">
        <x:v>45</x:v>
      </x:c>
      <x:c r="H562" s="11" t="n">
        <x:f>MAX(IF(C562="call",F562-D562,D562-F562),0)</x:f>
        <x:v>0</x:v>
      </x:c>
      <x:c r="I562" s="11" t="n">
        <x:f>E562-H562</x:f>
        <x:v>295.41</x:v>
      </x:c>
      <x:c r="J562" s="13" t="n">
        <x:f>D562/F562</x:f>
        <x:v>1.0764872521246458</x:v>
      </x:c>
      <x:c r="K562" s="13" t="n">
        <x:v>0.4114480253274744</x:v>
      </x:c>
      <x:c r="L562" s="17" t="n">
        <x:v>0.4278242951368259</x:v>
      </x:c>
      <x:c r="M562" s="17" t="n">
        <x:v>9.727213282691388</x:v>
      </x:c>
      <x:c r="N562" s="11" t="n">
        <x:f>'Option source'!C323</x:f>
        <x:v>604005568</x:v>
      </x:c>
      <x:c r="O562" s="11" t="n">
        <x:f>'Option source'!G323</x:f>
        <x:v>250</x:v>
      </x:c>
      <x:c r="P562" s="11" t="n">
        <x:f>'Option source'!F323</x:f>
        <x:v>350</x:v>
      </x:c>
      <x:c r="Q562" s="1" t="str">
        <x:v>Screen passed; indicative</x:v>
      </x:c>
      <x:c r="R562" s="1" t="n">
        <x:v>318</x:v>
      </x:c>
    </x:row>
    <x:row r="563" ht="21" customHeight="1">
      <x:c r="A563" s="12" t="n">
        <x:v>46266</x:v>
      </x:c>
      <x:c r="B563" s="1" t="str">
        <x:v>GFGV7600OC</x:v>
      </x:c>
      <x:c r="C563" s="1" t="str">
        <x:v>put</x:v>
      </x:c>
      <x:c r="D563" s="11" t="n">
        <x:v>7600</x:v>
      </x:c>
      <x:c r="E563" s="11" t="n">
        <x:f>'Option source'!B817</x:f>
        <x:v>660.35</x:v>
      </x:c>
      <x:c r="F563" s="11" t="n">
        <x:v>7060</x:v>
      </x:c>
      <x:c r="G563" s="18" t="n">
        <x:v>45</x:v>
      </x:c>
      <x:c r="H563" s="11" t="n">
        <x:f>MAX(IF(C563="call",F563-D563,D563-F563),0)</x:f>
        <x:v>540</x:v>
      </x:c>
      <x:c r="I563" s="11" t="n">
        <x:f>E563-H563</x:f>
        <x:v>120.35000000000002</x:v>
      </x:c>
      <x:c r="J563" s="13" t="n">
        <x:f>D563/F563</x:f>
        <x:v>1.0764872521246458</x:v>
      </x:c>
      <x:c r="K563" s="13" t="n">
        <x:v>0.45010226761196176</x:v>
      </x:c>
      <x:c r="L563" s="17" t="n">
        <x:v>-0.5609206163794236</x:v>
      </x:c>
      <x:c r="M563" s="17" t="n">
        <x:v>9.773974248105413</x:v>
      </x:c>
      <x:c r="N563" s="11" t="n">
        <x:f>'Option source'!C817</x:f>
        <x:v>2586524.5</x:v>
      </x:c>
      <x:c r="O563" s="11" t="n">
        <x:f>'Option source'!G817</x:f>
        <x:v>625</x:v>
      </x:c>
      <x:c r="P563" s="11" t="n">
        <x:f>'Option source'!F817</x:f>
        <x:v>698.9</x:v>
      </x:c>
      <x:c r="Q563" s="1" t="str">
        <x:v>Screen passed; indicative</x:v>
      </x:c>
      <x:c r="R563" s="1" t="n">
        <x:v>812</x:v>
      </x:c>
    </x:row>
    <x:row r="564" ht="21" customHeight="1">
      <x:c r="A564" s="12" t="n">
        <x:v>46266</x:v>
      </x:c>
      <x:c r="B564" s="1" t="str">
        <x:v>GFGC6400OC</x:v>
      </x:c>
      <x:c r="C564" s="1" t="str">
        <x:v>call</x:v>
      </x:c>
      <x:c r="D564" s="11" t="n">
        <x:v>6400</x:v>
      </x:c>
      <x:c r="E564" s="11" t="n">
        <x:f>'Option source'!B209</x:f>
        <x:v>909.97</x:v>
      </x:c>
      <x:c r="F564" s="11" t="n">
        <x:v>7060</x:v>
      </x:c>
      <x:c r="G564" s="18" t="n">
        <x:v>45</x:v>
      </x:c>
      <x:c r="H564" s="11" t="n">
        <x:f>MAX(IF(C564="call",F564-D564,D564-F564),0)</x:f>
        <x:v>660</x:v>
      </x:c>
      <x:c r="I564" s="11" t="n">
        <x:f>E564-H564</x:f>
        <x:v>249.97000000000003</x:v>
      </x:c>
      <x:c r="J564" s="13" t="n">
        <x:f>D564/F564</x:f>
        <x:v>0.9065155807365439</x:v>
      </x:c>
      <x:c r="K564" s="13" t="n">
        <x:v>0.2571470569957165</x:v>
      </x:c>
      <x:c r="L564" s="17" t="n">
        <x:v>0.9384387112146284</x:v>
      </x:c>
      <x:c r="M564" s="17" t="n">
        <x:v>3.0128996110836668</x:v>
      </x:c>
      <x:c r="N564" s="11" t="n">
        <x:f>'Option source'!C209</x:f>
        <x:v>14920983</x:v>
      </x:c>
      <x:c r="O564" s="11" t="n">
        <x:f>'Option source'!G209</x:f>
        <x:v>890</x:v>
      </x:c>
      <x:c r="P564" s="11" t="n">
        <x:f>'Option source'!F209</x:f>
        <x:v>1050</x:v>
      </x:c>
      <x:c r="Q564" s="1" t="str">
        <x:v>Screen passed; indicative</x:v>
      </x:c>
      <x:c r="R564" s="1" t="n">
        <x:v>204</x:v>
      </x:c>
    </x:row>
    <x:row r="565" ht="21" customHeight="1">
      <x:c r="A565" s="12" t="n">
        <x:v>46266</x:v>
      </x:c>
      <x:c r="B565" s="1" t="str">
        <x:v>GFGV6400OC</x:v>
      </x:c>
      <x:c r="C565" s="1" t="str">
        <x:v>put</x:v>
      </x:c>
      <x:c r="D565" s="11" t="n">
        <x:v>6400</x:v>
      </x:c>
      <x:c r="E565" s="11" t="n">
        <x:f>'Option source'!B703</x:f>
        <x:v>127.45</x:v>
      </x:c>
      <x:c r="F565" s="11" t="n">
        <x:v>7060</x:v>
      </x:c>
      <x:c r="G565" s="18" t="n">
        <x:v>45</x:v>
      </x:c>
      <x:c r="H565" s="11" t="n">
        <x:f>MAX(IF(C565="call",F565-D565,D565-F565),0)</x:f>
        <x:v>0</x:v>
      </x:c>
      <x:c r="I565" s="11" t="n">
        <x:f>E565-H565</x:f>
        <x:v>127.45</x:v>
      </x:c>
      <x:c r="J565" s="13" t="n">
        <x:f>D565/F565</x:f>
        <x:v>0.9065155807365439</x:v>
      </x:c>
      <x:c r="K565" s="13" t="n">
        <x:v>0.4607756665500051</x:v>
      </x:c>
      <x:c r="L565" s="17" t="n">
        <x:v>-0.1797971819372407</x:v>
      </x:c>
      <x:c r="M565" s="17" t="n">
        <x:v>6.5001125398807105</x:v>
      </x:c>
      <x:c r="N565" s="11" t="n">
        <x:f>'Option source'!C703</x:f>
        <x:v>108462736</x:v>
      </x:c>
      <x:c r="O565" s="11" t="n">
        <x:f>'Option source'!G703</x:f>
        <x:v>110</x:v>
      </x:c>
      <x:c r="P565" s="11" t="n">
        <x:f>'Option source'!F703</x:f>
        <x:v>165</x:v>
      </x:c>
      <x:c r="Q565" s="1" t="str">
        <x:v>Screen passed; indicative</x:v>
      </x:c>
      <x:c r="R565" s="1" t="n">
        <x:v>698</x:v>
      </x:c>
    </x:row>
    <x:row r="566" ht="21" customHeight="1">
      <x:c r="A566" s="12" t="n">
        <x:v>46266</x:v>
      </x:c>
      <x:c r="B566" s="1" t="str">
        <x:v>GFGC7800OC</x:v>
      </x:c>
      <x:c r="C566" s="1" t="str">
        <x:v>call</x:v>
      </x:c>
      <x:c r="D566" s="11" t="n">
        <x:v>7800</x:v>
      </x:c>
      <x:c r="E566" s="11" t="n">
        <x:f>'Option source'!B342</x:f>
        <x:v>232.85</x:v>
      </x:c>
      <x:c r="F566" s="11" t="n">
        <x:v>7060</x:v>
      </x:c>
      <x:c r="G566" s="18" t="n">
        <x:v>45</x:v>
      </x:c>
      <x:c r="H566" s="11" t="n">
        <x:f>MAX(IF(C566="call",F566-D566,D566-F566),0)</x:f>
        <x:v>0</x:v>
      </x:c>
      <x:c r="I566" s="11" t="n">
        <x:f>E566-H566</x:f>
        <x:v>232.85</x:v>
      </x:c>
      <x:c r="J566" s="13" t="n">
        <x:f>D566/F566</x:f>
        <x:v>1.1048158640226629</x:v>
      </x:c>
      <x:c r="K566" s="13" t="n">
        <x:v>0.4143751779646812</x:v>
      </x:c>
      <x:c r="L566" s="17" t="n">
        <x:v>0.3601206153173835</x:v>
      </x:c>
      <x:c r="M566" s="17" t="n">
        <x:v>9.275192234973186</x:v>
      </x:c>
      <x:c r="N566" s="11" t="n">
        <x:f>'Option source'!C342</x:f>
        <x:v>234654592</x:v>
      </x:c>
      <x:c r="O566" s="11" t="n">
        <x:f>'Option source'!G342</x:f>
        <x:v>190</x:v>
      </x:c>
      <x:c r="P566" s="11" t="n">
        <x:f>'Option source'!F342</x:f>
        <x:v>280</x:v>
      </x:c>
      <x:c r="Q566" s="1" t="str">
        <x:v>Screen passed; indicative</x:v>
      </x:c>
      <x:c r="R566" s="1" t="n">
        <x:v>337</x:v>
      </x:c>
    </x:row>
    <x:row r="567" ht="21" customHeight="1">
      <x:c r="A567" s="12" t="n">
        <x:v>46266</x:v>
      </x:c>
      <x:c r="B567" s="1" t="str">
        <x:v>GFGV7800OC</x:v>
      </x:c>
      <x:c r="C567" s="1" t="str">
        <x:v>put</x:v>
      </x:c>
      <x:c r="D567" s="11" t="n">
        <x:v>7800</x:v>
      </x:c>
      <x:c r="E567" s="11" t="n">
        <x:f>'Option source'!B836</x:f>
        <x:v>798.65</x:v>
      </x:c>
      <x:c r="F567" s="11" t="n">
        <x:v>7060</x:v>
      </x:c>
      <x:c r="G567" s="18" t="n">
        <x:v>45</x:v>
      </x:c>
      <x:c r="H567" s="11" t="n">
        <x:f>MAX(IF(C567="call",F567-D567,D567-F567),0)</x:f>
        <x:v>740</x:v>
      </x:c>
      <x:c r="I567" s="11" t="n">
        <x:f>E567-H567</x:f>
        <x:v>58.64999999999998</x:v>
      </x:c>
      <x:c r="J567" s="13" t="n">
        <x:f>D567/F567</x:f>
        <x:v>1.1048158640226629</x:v>
      </x:c>
      <x:c r="K567" s="13" t="n">
        <x:v>0.4383480159119972</x:v>
      </x:c>
      <x:c r="L567" s="17" t="n">
        <x:v>-0.6294371585310704</x:v>
      </x:c>
      <x:c r="M567" s="17" t="n">
        <x:v>9.364297484834553</x:v>
      </x:c>
      <x:c r="N567" s="11" t="n">
        <x:f>'Option source'!C836</x:f>
        <x:v>2430883.25</x:v>
      </x:c>
      <x:c r="O567" s="11" t="n">
        <x:f>'Option source'!G836</x:f>
        <x:v>750.05</x:v>
      </x:c>
      <x:c r="P567" s="11" t="n">
        <x:f>'Option source'!F836</x:f>
        <x:v>940.81</x:v>
      </x:c>
      <x:c r="Q567" s="1" t="str">
        <x:v>Screen passed; indicative</x:v>
      </x:c>
      <x:c r="R567" s="1" t="n">
        <x:v>831</x:v>
      </x:c>
    </x:row>
    <x:row r="568" ht="21" customHeight="1">
      <x:c r="A568" s="12" t="n">
        <x:v>46266</x:v>
      </x:c>
      <x:c r="B568" s="1" t="str">
        <x:v>GFGC6200OC</x:v>
      </x:c>
      <x:c r="C568" s="1" t="str">
        <x:v>call</x:v>
      </x:c>
      <x:c r="D568" s="11" t="n">
        <x:v>6200</x:v>
      </x:c>
      <x:c r="E568" s="11" t="n">
        <x:f>'Option source'!B190</x:f>
        <x:v>1069</x:v>
      </x:c>
      <x:c r="F568" s="11" t="n">
        <x:v>7060</x:v>
      </x:c>
      <x:c r="G568" s="18" t="n">
        <x:v>45</x:v>
      </x:c>
      <x:c r="H568" s="11" t="n">
        <x:f>MAX(IF(C568="call",F568-D568,D568-F568),0)</x:f>
        <x:v>860</x:v>
      </x:c>
      <x:c r="I568" s="11" t="n">
        <x:f>E568-H568</x:f>
        <x:v>209</x:v>
      </x:c>
      <x:c r="J568" s="13" t="n">
        <x:f>D568/F568</x:f>
        <x:v>0.8781869688385269</x:v>
      </x:c>
      <x:c r="K568" s="13"/>
      <x:c r="L568" s="17"/>
      <x:c r="M568" s="17"/>
      <x:c r="N568" s="11" t="n">
        <x:f>'Option source'!C190</x:f>
        <x:v>0</x:v>
      </x:c>
      <x:c r="O568" s="11" t="n">
        <x:f>'Option source'!G190</x:f>
        <x:v>971.66</x:v>
      </x:c>
      <x:c r="P568" s="11" t="n">
        <x:f>'Option source'!F190</x:f>
        <x:v>1080</x:v>
      </x:c>
      <x:c r="Q568" s="1" t="str">
        <x:v>Zero reported volume</x:v>
      </x:c>
      <x:c r="R568" s="1" t="n">
        <x:v>185</x:v>
      </x:c>
    </x:row>
    <x:row r="569" ht="21" customHeight="1">
      <x:c r="A569" s="12" t="n">
        <x:v>46266</x:v>
      </x:c>
      <x:c r="B569" s="1" t="str">
        <x:v>GFGV6200OC</x:v>
      </x:c>
      <x:c r="C569" s="1" t="str">
        <x:v>put</x:v>
      </x:c>
      <x:c r="D569" s="11" t="n">
        <x:v>6200</x:v>
      </x:c>
      <x:c r="E569" s="11" t="n">
        <x:f>'Option source'!B684</x:f>
        <x:v>85.04</x:v>
      </x:c>
      <x:c r="F569" s="11" t="n">
        <x:v>7060</x:v>
      </x:c>
      <x:c r="G569" s="18" t="n">
        <x:v>45</x:v>
      </x:c>
      <x:c r="H569" s="11" t="n">
        <x:f>MAX(IF(C569="call",F569-D569,D569-F569),0)</x:f>
        <x:v>0</x:v>
      </x:c>
      <x:c r="I569" s="11" t="n">
        <x:f>E569-H569</x:f>
        <x:v>85.04</x:v>
      </x:c>
      <x:c r="J569" s="13" t="n">
        <x:f>D569/F569</x:f>
        <x:v>0.8781869688385269</x:v>
      </x:c>
      <x:c r="K569" s="13" t="n">
        <x:v>0.45764389127840127</x:v>
      </x:c>
      <x:c r="L569" s="17" t="n">
        <x:v>-0.13159520009967873</x:v>
      </x:c>
      <x:c r="M569" s="17" t="n">
        <x:v>5.288451586671718</x:v>
      </x:c>
      <x:c r="N569" s="11" t="n">
        <x:f>'Option source'!C684</x:f>
        <x:v>47338000</x:v>
      </x:c>
      <x:c r="O569" s="11" t="n">
        <x:f>'Option source'!G684</x:f>
        <x:v>74</x:v>
      </x:c>
      <x:c r="P569" s="11" t="n">
        <x:f>'Option source'!F684</x:f>
        <x:v>105.98</x:v>
      </x:c>
      <x:c r="Q569" s="1" t="str">
        <x:v>Screen passed; indicative</x:v>
      </x:c>
      <x:c r="R569" s="1" t="n">
        <x:v>679</x:v>
      </x:c>
    </x:row>
    <x:row r="570" ht="21" customHeight="1">
      <x:c r="A570" s="12" t="n">
        <x:v>46266</x:v>
      </x:c>
      <x:c r="B570" s="1" t="str">
        <x:v>GFGC8000OC</x:v>
      </x:c>
      <x:c r="C570" s="1" t="str">
        <x:v>call</x:v>
      </x:c>
      <x:c r="D570" s="11" t="n">
        <x:v>8000</x:v>
      </x:c>
      <x:c r="E570" s="11" t="n">
        <x:f>'Option source'!B361</x:f>
        <x:v>181.31</x:v>
      </x:c>
      <x:c r="F570" s="11" t="n">
        <x:v>7060</x:v>
      </x:c>
      <x:c r="G570" s="18" t="n">
        <x:v>45</x:v>
      </x:c>
      <x:c r="H570" s="11" t="n">
        <x:f>MAX(IF(C570="call",F570-D570,D570-F570),0)</x:f>
        <x:v>0</x:v>
      </x:c>
      <x:c r="I570" s="11" t="n">
        <x:f>E570-H570</x:f>
        <x:v>181.31</x:v>
      </x:c>
      <x:c r="J570" s="13" t="n">
        <x:f>D570/F570</x:f>
        <x:v>1.13314447592068</x:v>
      </x:c>
      <x:c r="K570" s="13" t="n">
        <x:v>0.4166403572229778</x:v>
      </x:c>
      <x:c r="L570" s="17" t="n">
        <x:v>0.29859026126637933</x:v>
      </x:c>
      <x:c r="M570" s="17" t="n">
        <x:v>8.600664891527678</x:v>
      </x:c>
      <x:c r="N570" s="11" t="n">
        <x:f>'Option source'!C361</x:f>
        <x:v>510256160</x:v>
      </x:c>
      <x:c r="O570" s="11" t="n">
        <x:f>'Option source'!G361</x:f>
        <x:v>150</x:v>
      </x:c>
      <x:c r="P570" s="11" t="n">
        <x:f>'Option source'!F361</x:f>
        <x:v>218</x:v>
      </x:c>
      <x:c r="Q570" s="1" t="str">
        <x:v>Screen passed; indicative</x:v>
      </x:c>
      <x:c r="R570" s="1" t="n">
        <x:v>356</x:v>
      </x:c>
    </x:row>
    <x:row r="571" ht="21" customHeight="1">
      <x:c r="A571" s="12" t="n">
        <x:v>46266</x:v>
      </x:c>
      <x:c r="B571" s="1" t="str">
        <x:v>GFGV8000OC</x:v>
      </x:c>
      <x:c r="C571" s="1" t="str">
        <x:v>put</x:v>
      </x:c>
      <x:c r="D571" s="11" t="n">
        <x:v>8000</x:v>
      </x:c>
      <x:c r="E571" s="11" t="n">
        <x:f>'Option source'!B855</x:f>
        <x:v>960</x:v>
      </x:c>
      <x:c r="F571" s="11" t="n">
        <x:v>7060</x:v>
      </x:c>
      <x:c r="G571" s="18" t="n">
        <x:v>45</x:v>
      </x:c>
      <x:c r="H571" s="11" t="n">
        <x:f>MAX(IF(C571="call",F571-D571,D571-F571),0)</x:f>
        <x:v>940</x:v>
      </x:c>
      <x:c r="I571" s="11" t="n">
        <x:f>E571-H571</x:f>
        <x:v>20</x:v>
      </x:c>
      <x:c r="J571" s="13" t="n">
        <x:f>D571/F571</x:f>
        <x:v>1.13314447592068</x:v>
      </x:c>
      <x:c r="K571" s="13" t="n">
        <x:v>0.4317071726255273</x:v>
      </x:c>
      <x:c r="L571" s="17" t="n">
        <x:v>-0.6931566217514106</x:v>
      </x:c>
      <x:c r="M571" s="17" t="n">
        <x:v>8.706358610868852</x:v>
      </x:c>
      <x:c r="N571" s="11" t="n">
        <x:f>'Option source'!C855</x:f>
        <x:v>562751.31</x:v>
      </x:c>
      <x:c r="O571" s="11" t="n">
        <x:f>'Option source'!G855</x:f>
        <x:v>877.66</x:v>
      </x:c>
      <x:c r="P571" s="11" t="n">
        <x:f>'Option source'!F855</x:f>
        <x:v>961.15</x:v>
      </x:c>
      <x:c r="Q571" s="1" t="str">
        <x:v>Screen passed; indicative</x:v>
      </x:c>
      <x:c r="R571" s="1" t="n">
        <x:v>850</x:v>
      </x:c>
    </x:row>
    <x:row r="572" ht="21" customHeight="1">
      <x:c r="A572" s="12" t="n">
        <x:v>46266</x:v>
      </x:c>
      <x:c r="B572" s="1" t="str">
        <x:v>GFGC6000OC</x:v>
      </x:c>
      <x:c r="C572" s="1" t="str">
        <x:v>call</x:v>
      </x:c>
      <x:c r="D572" s="11" t="n">
        <x:v>6000</x:v>
      </x:c>
      <x:c r="E572" s="11" t="n">
        <x:f>'Option source'!B171</x:f>
        <x:v>1200</x:v>
      </x:c>
      <x:c r="F572" s="11" t="n">
        <x:v>7060</x:v>
      </x:c>
      <x:c r="G572" s="18" t="n">
        <x:v>45</x:v>
      </x:c>
      <x:c r="H572" s="11" t="n">
        <x:f>MAX(IF(C572="call",F572-D572,D572-F572),0)</x:f>
        <x:v>1060</x:v>
      </x:c>
      <x:c r="I572" s="11" t="n">
        <x:f>E572-H572</x:f>
        <x:v>140</x:v>
      </x:c>
      <x:c r="J572" s="13" t="n">
        <x:f>D572/F572</x:f>
        <x:v>0.8498583569405099</x:v>
      </x:c>
      <x:c r="K572" s="13"/>
      <x:c r="L572" s="17"/>
      <x:c r="M572" s="17"/>
      <x:c r="N572" s="11" t="n">
        <x:f>'Option source'!C171</x:f>
        <x:v>0</x:v>
      </x:c>
      <x:c r="O572" s="11" t="n">
        <x:f>'Option source'!G171</x:f>
        <x:v>1300</x:v>
      </x:c>
      <x:c r="P572" s="11" t="n">
        <x:f>'Option source'!F171</x:f>
        <x:v>1440</x:v>
      </x:c>
      <x:c r="Q572" s="1" t="str">
        <x:v>Zero reported volume; Price outside daily range</x:v>
      </x:c>
      <x:c r="R572" s="1" t="n">
        <x:v>166</x:v>
      </x:c>
    </x:row>
    <x:row r="573" ht="21" customHeight="1">
      <x:c r="A573" s="12" t="n">
        <x:v>46266</x:v>
      </x:c>
      <x:c r="B573" s="1" t="str">
        <x:v>GFGV6000OC</x:v>
      </x:c>
      <x:c r="C573" s="1" t="str">
        <x:v>put</x:v>
      </x:c>
      <x:c r="D573" s="11" t="n">
        <x:v>6000</x:v>
      </x:c>
      <x:c r="E573" s="11" t="n">
        <x:f>'Option source'!B665</x:f>
        <x:v>56.43</x:v>
      </x:c>
      <x:c r="F573" s="11" t="n">
        <x:v>7060</x:v>
      </x:c>
      <x:c r="G573" s="18" t="n">
        <x:v>45</x:v>
      </x:c>
      <x:c r="H573" s="11" t="n">
        <x:f>MAX(IF(C573="call",F573-D573,D573-F573),0)</x:f>
        <x:v>0</x:v>
      </x:c>
      <x:c r="I573" s="11" t="n">
        <x:f>E573-H573</x:f>
        <x:v>56.43</x:v>
      </x:c>
      <x:c r="J573" s="13" t="n">
        <x:f>D573/F573</x:f>
        <x:v>0.8498583569405099</x:v>
      </x:c>
      <x:c r="K573" s="13" t="n">
        <x:v>0.46083092321668323</x:v>
      </x:c>
      <x:c r="L573" s="17" t="n">
        <x:v>-0.09427088755465174</x:v>
      </x:c>
      <x:c r="M573" s="17" t="n">
        <x:v>4.166125123237154</x:v>
      </x:c>
      <x:c r="N573" s="11" t="n">
        <x:f>'Option source'!C665</x:f>
        <x:v>33882444</x:v>
      </x:c>
      <x:c r="O573" s="11" t="n">
        <x:f>'Option source'!G665</x:f>
        <x:v>45.51</x:v>
      </x:c>
      <x:c r="P573" s="11" t="n">
        <x:f>'Option source'!F665</x:f>
        <x:v>74.99</x:v>
      </x:c>
      <x:c r="Q573" s="1" t="str">
        <x:v>Screen passed; indicative</x:v>
      </x:c>
      <x:c r="R573" s="1" t="n">
        <x:v>660</x:v>
      </x:c>
    </x:row>
    <x:row r="574" ht="21" customHeight="1">
      <x:c r="A574" s="12" t="n">
        <x:v>46266</x:v>
      </x:c>
      <x:c r="B574" s="1" t="str">
        <x:v>GFGC8300OC</x:v>
      </x:c>
      <x:c r="C574" s="1" t="str">
        <x:v>call</x:v>
      </x:c>
      <x:c r="D574" s="11" t="n">
        <x:v>8300</x:v>
      </x:c>
      <x:c r="E574" s="11" t="n">
        <x:f>'Option source'!B380</x:f>
        <x:v>117.76</x:v>
      </x:c>
      <x:c r="F574" s="11" t="n">
        <x:v>7060</x:v>
      </x:c>
      <x:c r="G574" s="18" t="n">
        <x:v>45</x:v>
      </x:c>
      <x:c r="H574" s="11" t="n">
        <x:f>MAX(IF(C574="call",F574-D574,D574-F574),0)</x:f>
        <x:v>0</x:v>
      </x:c>
      <x:c r="I574" s="11" t="n">
        <x:f>E574-H574</x:f>
        <x:v>117.76</x:v>
      </x:c>
      <x:c r="J574" s="13" t="n">
        <x:f>D574/F574</x:f>
        <x:v>1.1756373937677054</x:v>
      </x:c>
      <x:c r="K574" s="13" t="n">
        <x:v>0.4135651033280267</x:v>
      </x:c>
      <x:c r="L574" s="17" t="n">
        <x:v>0.21564359305949085</x:v>
      </x:c>
      <x:c r="M574" s="17" t="n">
        <x:v>7.255768672750669</x:v>
      </x:c>
      <x:c r="N574" s="11" t="n">
        <x:f>'Option source'!C380</x:f>
        <x:v>88963832</x:v>
      </x:c>
      <x:c r="O574" s="11" t="n">
        <x:f>'Option source'!G380</x:f>
        <x:v>94</x:v>
      </x:c>
      <x:c r="P574" s="11" t="n">
        <x:f>'Option source'!F380</x:f>
        <x:v>147.41</x:v>
      </x:c>
      <x:c r="Q574" s="1" t="str">
        <x:v>Screen passed; indicative</x:v>
      </x:c>
      <x:c r="R574" s="1" t="n">
        <x:v>375</x:v>
      </x:c>
    </x:row>
    <x:row r="575" ht="21" customHeight="1">
      <x:c r="A575" s="12" t="n">
        <x:v>46266</x:v>
      </x:c>
      <x:c r="B575" s="1" t="str">
        <x:v>GFGV8300OC</x:v>
      </x:c>
      <x:c r="C575" s="1" t="str">
        <x:v>put</x:v>
      </x:c>
      <x:c r="D575" s="11" t="n">
        <x:v>8300</x:v>
      </x:c>
      <x:c r="E575" s="11" t="n">
        <x:f>'Option source'!B874</x:f>
        <x:v>1260</x:v>
      </x:c>
      <x:c r="F575" s="11" t="n">
        <x:v>7060</x:v>
      </x:c>
      <x:c r="G575" s="18" t="n">
        <x:v>45</x:v>
      </x:c>
      <x:c r="H575" s="11" t="n">
        <x:f>MAX(IF(C575="call",F575-D575,D575-F575),0)</x:f>
        <x:v>1240</x:v>
      </x:c>
      <x:c r="I575" s="11" t="n">
        <x:f>E575-H575</x:f>
        <x:v>20</x:v>
      </x:c>
      <x:c r="J575" s="13" t="n">
        <x:f>D575/F575</x:f>
        <x:v>1.1756373937677054</x:v>
      </x:c>
      <x:c r="K575" s="13"/>
      <x:c r="L575" s="17"/>
      <x:c r="M575" s="17"/>
      <x:c r="N575" s="11" t="n">
        <x:f>'Option source'!C874</x:f>
        <x:v>0</x:v>
      </x:c>
      <x:c r="O575" s="11" t="n">
        <x:f>'Option source'!G874</x:f>
        <x:v>1260</x:v>
      </x:c>
      <x:c r="P575" s="11" t="n">
        <x:f>'Option source'!F874</x:f>
        <x:v>1260</x:v>
      </x:c>
      <x:c r="Q575" s="1" t="str">
        <x:v>Zero reported volume</x:v>
      </x:c>
      <x:c r="R575" s="1" t="n">
        <x:v>869</x:v>
      </x:c>
    </x:row>
    <x:row r="576" ht="21" customHeight="1">
      <x:c r="A576" s="12" t="n">
        <x:v>46266</x:v>
      </x:c>
      <x:c r="B576" s="1" t="str">
        <x:v>GFGV5800OC</x:v>
      </x:c>
      <x:c r="C576" s="1" t="str">
        <x:v>put</x:v>
      </x:c>
      <x:c r="D576" s="11" t="n">
        <x:v>5800</x:v>
      </x:c>
      <x:c r="E576" s="11" t="n">
        <x:f>'Option source'!B646</x:f>
        <x:v>33.95</x:v>
      </x:c>
      <x:c r="F576" s="11" t="n">
        <x:v>7060</x:v>
      </x:c>
      <x:c r="G576" s="18" t="n">
        <x:v>45</x:v>
      </x:c>
      <x:c r="H576" s="11" t="n">
        <x:f>MAX(IF(C576="call",F576-D576,D576-F576),0)</x:f>
        <x:v>0</x:v>
      </x:c>
      <x:c r="I576" s="11" t="n">
        <x:f>E576-H576</x:f>
        <x:v>33.95</x:v>
      </x:c>
      <x:c r="J576" s="13" t="n">
        <x:f>D576/F576</x:f>
        <x:v>0.8215297450424929</x:v>
      </x:c>
      <x:c r="K576" s="13" t="n">
        <x:v>0.4565173136713009</x:v>
      </x:c>
      <x:c r="L576" s="17" t="n">
        <x:v>-0.06210943577590422</x:v>
      </x:c>
      <x:c r="M576" s="17" t="n">
        <x:v>3.033819288305985</x:v>
      </x:c>
      <x:c r="N576" s="11" t="n">
        <x:f>'Option source'!C646</x:f>
        <x:v>7760197.5</x:v>
      </x:c>
      <x:c r="O576" s="11" t="n">
        <x:f>'Option source'!G646</x:f>
        <x:v>28</x:v>
      </x:c>
      <x:c r="P576" s="11" t="n">
        <x:f>'Option source'!F646</x:f>
        <x:v>49</x:v>
      </x:c>
      <x:c r="Q576" s="1" t="str">
        <x:v>Screen passed; indicative</x:v>
      </x:c>
      <x:c r="R576" s="1" t="n">
        <x:v>641</x:v>
      </x:c>
    </x:row>
    <x:row r="577" ht="21" customHeight="1">
      <x:c r="A577" s="12" t="n">
        <x:v>46266</x:v>
      </x:c>
      <x:c r="B577" s="1" t="str">
        <x:v>GFGC5600OC</x:v>
      </x:c>
      <x:c r="C577" s="1" t="str">
        <x:v>call</x:v>
      </x:c>
      <x:c r="D577" s="11" t="n">
        <x:v>5600</x:v>
      </x:c>
      <x:c r="E577" s="11" t="n">
        <x:f>'Option source'!B142</x:f>
        <x:v>1600</x:v>
      </x:c>
      <x:c r="F577" s="11" t="n">
        <x:v>7060</x:v>
      </x:c>
      <x:c r="G577" s="18" t="n">
        <x:v>45</x:v>
      </x:c>
      <x:c r="H577" s="11" t="n">
        <x:f>MAX(IF(C577="call",F577-D577,D577-F577),0)</x:f>
        <x:v>1460</x:v>
      </x:c>
      <x:c r="I577" s="11" t="n">
        <x:f>E577-H577</x:f>
        <x:v>140</x:v>
      </x:c>
      <x:c r="J577" s="13" t="n">
        <x:f>D577/F577</x:f>
        <x:v>0.7932011331444759</x:v>
      </x:c>
      <x:c r="K577" s="13"/>
      <x:c r="L577" s="17"/>
      <x:c r="M577" s="17"/>
      <x:c r="N577" s="11" t="n">
        <x:f>'Option source'!C142</x:f>
        <x:v>5124500</x:v>
      </x:c>
      <x:c r="O577" s="11" t="n">
        <x:f>'Option source'!G142</x:f>
        <x:v>1563</x:v>
      </x:c>
      <x:c r="P577" s="11" t="n">
        <x:f>'Option source'!F142</x:f>
        <x:v>1640</x:v>
      </x:c>
      <x:c r="Q577" s="1" t="str">
        <x:v>No stable model IV</x:v>
      </x:c>
      <x:c r="R577" s="1" t="n">
        <x:v>137</x:v>
      </x:c>
    </x:row>
    <x:row r="578" ht="21" customHeight="1">
      <x:c r="A578" s="12" t="n">
        <x:v>46266</x:v>
      </x:c>
      <x:c r="B578" s="1" t="str">
        <x:v>GFGV5600OC</x:v>
      </x:c>
      <x:c r="C578" s="1" t="str">
        <x:v>put</x:v>
      </x:c>
      <x:c r="D578" s="11" t="n">
        <x:v>5600</x:v>
      </x:c>
      <x:c r="E578" s="11" t="n">
        <x:f>'Option source'!B627</x:f>
        <x:v>20.3</x:v>
      </x:c>
      <x:c r="F578" s="11" t="n">
        <x:v>7060</x:v>
      </x:c>
      <x:c r="G578" s="18" t="n">
        <x:v>45</x:v>
      </x:c>
      <x:c r="H578" s="11" t="n">
        <x:f>MAX(IF(C578="call",F578-D578,D578-F578),0)</x:f>
        <x:v>0</x:v>
      </x:c>
      <x:c r="I578" s="11" t="n">
        <x:f>E578-H578</x:f>
        <x:v>20.3</x:v>
      </x:c>
      <x:c r="J578" s="13" t="n">
        <x:f>D578/F578</x:f>
        <x:v>0.7932011331444759</x:v>
      </x:c>
      <x:c r="K578" s="13" t="n">
        <x:v>0.4586085860087714</x:v>
      </x:c>
      <x:c r="L578" s="17" t="n">
        <x:v>-0.04015010746046421</x:v>
      </x:c>
      <x:c r="M578" s="17" t="n">
        <x:v>2.1426999992828293</x:v>
      </x:c>
      <x:c r="N578" s="11" t="n">
        <x:f>'Option source'!C627</x:f>
        <x:v>10112513</x:v>
      </x:c>
      <x:c r="O578" s="11" t="n">
        <x:f>'Option source'!G627</x:f>
        <x:v>12.6</x:v>
      </x:c>
      <x:c r="P578" s="11" t="n">
        <x:f>'Option source'!F627</x:f>
        <x:v>26.99</x:v>
      </x:c>
      <x:c r="Q578" s="1" t="str">
        <x:v>Screen passed; indicative</x:v>
      </x:c>
      <x:c r="R578" s="1" t="n">
        <x:v>622</x:v>
      </x:c>
    </x:row>
    <x:row r="579" ht="21" customHeight="1">
      <x:c r="A579" s="12" t="n">
        <x:v>46266</x:v>
      </x:c>
      <x:c r="B579" s="1" t="str">
        <x:v>GFGC8600OC</x:v>
      </x:c>
      <x:c r="C579" s="1" t="str">
        <x:v>call</x:v>
      </x:c>
      <x:c r="D579" s="11" t="n">
        <x:v>8600</x:v>
      </x:c>
      <x:c r="E579" s="11" t="n">
        <x:f>'Option source'!B399</x:f>
        <x:v>73.38</x:v>
      </x:c>
      <x:c r="F579" s="11" t="n">
        <x:v>7060</x:v>
      </x:c>
      <x:c r="G579" s="18" t="n">
        <x:v>45</x:v>
      </x:c>
      <x:c r="H579" s="11" t="n">
        <x:f>MAX(IF(C579="call",F579-D579,D579-F579),0)</x:f>
        <x:v>0</x:v>
      </x:c>
      <x:c r="I579" s="11" t="n">
        <x:f>E579-H579</x:f>
        <x:v>73.38</x:v>
      </x:c>
      <x:c r="J579" s="13" t="n">
        <x:f>D579/F579</x:f>
        <x:v>1.2181303116147308</x:v>
      </x:c>
      <x:c r="K579" s="13" t="n">
        <x:v>0.40994436886188623</x:v>
      </x:c>
      <x:c r="L579" s="17" t="n">
        <x:v>0.14873043193797084</x:v>
      </x:c>
      <x:c r="M579" s="17" t="n">
        <x:v>5.747142130246787</x:v>
      </x:c>
      <x:c r="N579" s="11" t="n">
        <x:f>'Option source'!C399</x:f>
        <x:v>73585792</x:v>
      </x:c>
      <x:c r="O579" s="11" t="n">
        <x:f>'Option source'!G399</x:f>
        <x:v>60</x:v>
      </x:c>
      <x:c r="P579" s="11" t="n">
        <x:f>'Option source'!F399</x:f>
        <x:v>96</x:v>
      </x:c>
      <x:c r="Q579" s="1" t="str">
        <x:v>Screen passed; indicative</x:v>
      </x:c>
      <x:c r="R579" s="1" t="n">
        <x:v>394</x:v>
      </x:c>
    </x:row>
    <x:row r="580" ht="21" customHeight="1">
      <x:c r="A580" s="12" t="n">
        <x:v>46266</x:v>
      </x:c>
      <x:c r="B580" s="1" t="str">
        <x:v>GFGV8600OC</x:v>
      </x:c>
      <x:c r="C580" s="1" t="str">
        <x:v>put</x:v>
      </x:c>
      <x:c r="D580" s="11" t="n">
        <x:v>8600</x:v>
      </x:c>
      <x:c r="E580" s="11" t="n">
        <x:f>'Option source'!B893</x:f>
        <x:v>1650</x:v>
      </x:c>
      <x:c r="F580" s="11" t="n">
        <x:v>7060</x:v>
      </x:c>
      <x:c r="G580" s="18" t="n">
        <x:v>45</x:v>
      </x:c>
      <x:c r="H580" s="11" t="n">
        <x:f>MAX(IF(C580="call",F580-D580,D580-F580),0)</x:f>
        <x:v>1540</x:v>
      </x:c>
      <x:c r="I580" s="11" t="n">
        <x:f>E580-H580</x:f>
        <x:v>110</x:v>
      </x:c>
      <x:c r="J580" s="13" t="n">
        <x:f>D580/F580</x:f>
        <x:v>1.2181303116147308</x:v>
      </x:c>
      <x:c r="K580" s="13"/>
      <x:c r="L580" s="17"/>
      <x:c r="M580" s="17"/>
      <x:c r="N580" s="11" t="n">
        <x:f>'Option source'!C893</x:f>
        <x:v>0</x:v>
      </x:c>
      <x:c r="O580" s="11" t="n">
        <x:f>'Option source'!G893</x:f>
        <x:v>1500</x:v>
      </x:c>
      <x:c r="P580" s="11" t="n">
        <x:f>'Option source'!F893</x:f>
        <x:v>1500</x:v>
      </x:c>
      <x:c r="Q580" s="1" t="str">
        <x:v>Zero reported volume; Price outside daily range</x:v>
      </x:c>
      <x:c r="R580" s="1" t="n">
        <x:v>888</x:v>
      </x:c>
    </x:row>
    <x:row r="581" ht="21" customHeight="1">
      <x:c r="A581" s="12" t="n">
        <x:v>46266</x:v>
      </x:c>
      <x:c r="B581" s="1" t="str">
        <x:v>GFGC5400OC</x:v>
      </x:c>
      <x:c r="C581" s="1" t="str">
        <x:v>call</x:v>
      </x:c>
      <x:c r="D581" s="11" t="n">
        <x:v>5400</x:v>
      </x:c>
      <x:c r="E581" s="11" t="n">
        <x:f>'Option source'!B124</x:f>
        <x:v>1790</x:v>
      </x:c>
      <x:c r="F581" s="11" t="n">
        <x:v>7060</x:v>
      </x:c>
      <x:c r="G581" s="18" t="n">
        <x:v>45</x:v>
      </x:c>
      <x:c r="H581" s="11" t="n">
        <x:f>MAX(IF(C581="call",F581-D581,D581-F581),0)</x:f>
        <x:v>1660</x:v>
      </x:c>
      <x:c r="I581" s="11" t="n">
        <x:f>E581-H581</x:f>
        <x:v>130</x:v>
      </x:c>
      <x:c r="J581" s="13" t="n">
        <x:f>D581/F581</x:f>
        <x:v>0.7648725212464589</x:v>
      </x:c>
      <x:c r="K581" s="13"/>
      <x:c r="L581" s="17"/>
      <x:c r="M581" s="17"/>
      <x:c r="N581" s="11" t="n">
        <x:f>'Option source'!C124</x:f>
        <x:v>2144391.25</x:v>
      </x:c>
      <x:c r="O581" s="11" t="n">
        <x:f>'Option source'!G124</x:f>
        <x:v>1700</x:v>
      </x:c>
      <x:c r="P581" s="11" t="n">
        <x:f>'Option source'!F124</x:f>
        <x:v>1822.64</x:v>
      </x:c>
      <x:c r="Q581" s="1" t="str">
        <x:v>No stable model IV</x:v>
      </x:c>
      <x:c r="R581" s="1" t="n">
        <x:v>119</x:v>
      </x:c>
    </x:row>
    <x:row r="582" ht="21" customHeight="1">
      <x:c r="A582" s="12" t="n">
        <x:v>46266</x:v>
      </x:c>
      <x:c r="B582" s="1" t="str">
        <x:v>GFGV5400OC</x:v>
      </x:c>
      <x:c r="C582" s="1" t="str">
        <x:v>put</x:v>
      </x:c>
      <x:c r="D582" s="11" t="n">
        <x:v>5400</x:v>
      </x:c>
      <x:c r="E582" s="11" t="n">
        <x:f>'Option source'!B608</x:f>
        <x:v>11.07</x:v>
      </x:c>
      <x:c r="F582" s="11" t="n">
        <x:v>7060</x:v>
      </x:c>
      <x:c r="G582" s="18" t="n">
        <x:v>45</x:v>
      </x:c>
      <x:c r="H582" s="11" t="n">
        <x:f>MAX(IF(C582="call",F582-D582,D582-F582),0)</x:f>
        <x:v>0</x:v>
      </x:c>
      <x:c r="I582" s="11" t="n">
        <x:f>E582-H582</x:f>
        <x:v>11.07</x:v>
      </x:c>
      <x:c r="J582" s="13" t="n">
        <x:f>D582/F582</x:f>
        <x:v>0.7648725212464589</x:v>
      </x:c>
      <x:c r="K582" s="13" t="n">
        <x:v>0.4570374349476346</x:v>
      </x:c>
      <x:c r="L582" s="17" t="n">
        <x:v>-0.02379399378278413</x:v>
      </x:c>
      <x:c r="M582" s="17" t="n">
        <x:v>1.3899053209246364</x:v>
      </x:c>
      <x:c r="N582" s="11" t="n">
        <x:f>'Option source'!C608</x:f>
        <x:v>2846356.75</x:v>
      </x:c>
      <x:c r="O582" s="11" t="n">
        <x:f>'Option source'!G608</x:f>
        <x:v>7</x:v>
      </x:c>
      <x:c r="P582" s="11" t="n">
        <x:f>'Option source'!F608</x:f>
        <x:v>16.4</x:v>
      </x:c>
      <x:c r="Q582" s="1" t="str">
        <x:v>Screen passed; indicative</x:v>
      </x:c>
      <x:c r="R582" s="1" t="n">
        <x:v>603</x:v>
      </x:c>
    </x:row>
    <x:row r="583" ht="21" customHeight="1">
      <x:c r="A583" s="12" t="n">
        <x:v>46266</x:v>
      </x:c>
      <x:c r="B583" s="1" t="str">
        <x:v>GFGC8900OC</x:v>
      </x:c>
      <x:c r="C583" s="1" t="str">
        <x:v>call</x:v>
      </x:c>
      <x:c r="D583" s="11" t="n">
        <x:v>8900</x:v>
      </x:c>
      <x:c r="E583" s="11" t="n">
        <x:f>'Option source'!B418</x:f>
        <x:v>45.91</x:v>
      </x:c>
      <x:c r="F583" s="11" t="n">
        <x:v>7060</x:v>
      </x:c>
      <x:c r="G583" s="18" t="n">
        <x:v>45</x:v>
      </x:c>
      <x:c r="H583" s="11" t="n">
        <x:f>MAX(IF(C583="call",F583-D583,D583-F583),0)</x:f>
        <x:v>0</x:v>
      </x:c>
      <x:c r="I583" s="11" t="n">
        <x:f>E583-H583</x:f>
        <x:v>45.91</x:v>
      </x:c>
      <x:c r="J583" s="13" t="n">
        <x:f>D583/F583</x:f>
        <x:v>1.2606232294617563</x:v>
      </x:c>
      <x:c r="K583" s="13" t="n">
        <x:v>0.41083689142966967</x:v>
      </x:c>
      <x:c r="L583" s="17" t="n">
        <x:v>0.10079831013355063</x:v>
      </x:c>
      <x:c r="M583" s="17" t="n">
        <x:v>4.375799848955377</x:v>
      </x:c>
      <x:c r="N583" s="11" t="n">
        <x:f>'Option source'!C418</x:f>
        <x:v>23777724</x:v>
      </x:c>
      <x:c r="O583" s="11" t="n">
        <x:f>'Option source'!G418</x:f>
        <x:v>41.71</x:v>
      </x:c>
      <x:c r="P583" s="11" t="n">
        <x:f>'Option source'!F418</x:f>
        <x:v>62</x:v>
      </x:c>
      <x:c r="Q583" s="1" t="str">
        <x:v>Screen passed; indicative</x:v>
      </x:c>
      <x:c r="R583" s="1" t="n">
        <x:v>413</x:v>
      </x:c>
    </x:row>
    <x:row r="584" ht="21" customHeight="1">
      <x:c r="A584" s="12" t="n">
        <x:v>46266</x:v>
      </x:c>
      <x:c r="B584" s="1" t="str">
        <x:v>GFGV8900OC</x:v>
      </x:c>
      <x:c r="C584" s="1" t="str">
        <x:v>put</x:v>
      </x:c>
      <x:c r="D584" s="11" t="n">
        <x:v>8900</x:v>
      </x:c>
      <x:c r="E584" s="11" t="n">
        <x:f>'Option source'!B908</x:f>
        <x:v>2022.5</x:v>
      </x:c>
      <x:c r="F584" s="11" t="n">
        <x:v>7060</x:v>
      </x:c>
      <x:c r="G584" s="18" t="n">
        <x:v>45</x:v>
      </x:c>
      <x:c r="H584" s="11" t="n">
        <x:f>MAX(IF(C584="call",F584-D584,D584-F584),0)</x:f>
        <x:v>1840</x:v>
      </x:c>
      <x:c r="I584" s="11" t="n">
        <x:f>E584-H584</x:f>
        <x:v>182.5</x:v>
      </x:c>
      <x:c r="J584" s="13" t="n">
        <x:f>D584/F584</x:f>
        <x:v>1.2606232294617563</x:v>
      </x:c>
      <x:c r="K584" s="13"/>
      <x:c r="L584" s="17"/>
      <x:c r="M584" s="17"/>
      <x:c r="N584" s="11" t="n">
        <x:f>'Option source'!C908</x:f>
        <x:v>0</x:v>
      </x:c>
      <x:c r="O584" s="11" t="n">
        <x:f>'Option source'!G908</x:f>
        <x:v>2022.5</x:v>
      </x:c>
      <x:c r="P584" s="11" t="n">
        <x:f>'Option source'!F908</x:f>
        <x:v>2037.67</x:v>
      </x:c>
      <x:c r="Q584" s="1" t="str">
        <x:v>Zero reported volume</x:v>
      </x:c>
      <x:c r="R584" s="1" t="n">
        <x:v>903</x:v>
      </x:c>
    </x:row>
    <x:row r="585" ht="21" customHeight="1">
      <x:c r="A585" s="12" t="n">
        <x:v>46266</x:v>
      </x:c>
      <x:c r="B585" s="1" t="str">
        <x:v>GFGC5200OC</x:v>
      </x:c>
      <x:c r="C585" s="1" t="str">
        <x:v>call</x:v>
      </x:c>
      <x:c r="D585" s="11" t="n">
        <x:v>5200</x:v>
      </x:c>
      <x:c r="E585" s="11" t="n">
        <x:f>'Option source'!B105</x:f>
        <x:v>1991.75</x:v>
      </x:c>
      <x:c r="F585" s="11" t="n">
        <x:v>7060</x:v>
      </x:c>
      <x:c r="G585" s="18" t="n">
        <x:v>45</x:v>
      </x:c>
      <x:c r="H585" s="11" t="n">
        <x:f>MAX(IF(C585="call",F585-D585,D585-F585),0)</x:f>
        <x:v>1860</x:v>
      </x:c>
      <x:c r="I585" s="11" t="n">
        <x:f>E585-H585</x:f>
        <x:v>131.75</x:v>
      </x:c>
      <x:c r="J585" s="13" t="n">
        <x:f>D585/F585</x:f>
        <x:v>0.7365439093484419</x:v>
      </x:c>
      <x:c r="K585" s="13"/>
      <x:c r="L585" s="17"/>
      <x:c r="M585" s="17"/>
      <x:c r="N585" s="11" t="n">
        <x:f>'Option source'!C105</x:f>
        <x:v>11462760</x:v>
      </x:c>
      <x:c r="O585" s="11" t="n">
        <x:f>'Option source'!G105</x:f>
        <x:v>1988</x:v>
      </x:c>
      <x:c r="P585" s="11" t="n">
        <x:f>'Option source'!F105</x:f>
        <x:v>2044.31</x:v>
      </x:c>
      <x:c r="Q585" s="1" t="str">
        <x:v>No stable model IV</x:v>
      </x:c>
      <x:c r="R585" s="1" t="n">
        <x:v>100</x:v>
      </x:c>
    </x:row>
    <x:row r="586" ht="21" customHeight="1">
      <x:c r="A586" s="12" t="n">
        <x:v>46266</x:v>
      </x:c>
      <x:c r="B586" s="1" t="str">
        <x:v>GFGV5200OC</x:v>
      </x:c>
      <x:c r="C586" s="1" t="str">
        <x:v>put</x:v>
      </x:c>
      <x:c r="D586" s="11" t="n">
        <x:v>5200</x:v>
      </x:c>
      <x:c r="E586" s="11" t="n">
        <x:f>'Option source'!B589</x:f>
        <x:v>6.67</x:v>
      </x:c>
      <x:c r="F586" s="11" t="n">
        <x:v>7060</x:v>
      </x:c>
      <x:c r="G586" s="18" t="n">
        <x:v>45</x:v>
      </x:c>
      <x:c r="H586" s="11" t="n">
        <x:f>MAX(IF(C586="call",F586-D586,D586-F586),0)</x:f>
        <x:v>0</x:v>
      </x:c>
      <x:c r="I586" s="11" t="n">
        <x:f>E586-H586</x:f>
        <x:v>6.67</x:v>
      </x:c>
      <x:c r="J586" s="13" t="n">
        <x:f>D586/F586</x:f>
        <x:v>0.7365439093484419</x:v>
      </x:c>
      <x:c r="K586" s="13" t="n">
        <x:v>0.46748517614861773</x:v>
      </x:c>
      <x:c r="L586" s="17" t="n">
        <x:v>-0.014991921169122513</x:v>
      </x:c>
      <x:c r="M586" s="17" t="n">
        <x:v>0.9383474193134531</x:v>
      </x:c>
      <x:c r="N586" s="11" t="n">
        <x:f>'Option source'!C589</x:f>
        <x:v>1065283.38</x:v>
      </x:c>
      <x:c r="O586" s="11" t="n">
        <x:f>'Option source'!G589</x:f>
        <x:v>6</x:v>
      </x:c>
      <x:c r="P586" s="11" t="n">
        <x:f>'Option source'!F589</x:f>
        <x:v>10.4</x:v>
      </x:c>
      <x:c r="Q586" s="1" t="str">
        <x:v>Screen passed; indicative</x:v>
      </x:c>
      <x:c r="R586" s="1" t="n">
        <x:v>584</x:v>
      </x:c>
    </x:row>
    <x:row r="587" ht="21" customHeight="1">
      <x:c r="A587" s="12" t="n">
        <x:v>46266</x:v>
      </x:c>
      <x:c r="B587" s="1" t="str">
        <x:v>GFGC5000OC</x:v>
      </x:c>
      <x:c r="C587" s="1" t="str">
        <x:v>call</x:v>
      </x:c>
      <x:c r="D587" s="11" t="n">
        <x:v>5000</x:v>
      </x:c>
      <x:c r="E587" s="11" t="n">
        <x:f>'Option source'!B86</x:f>
        <x:v>2180</x:v>
      </x:c>
      <x:c r="F587" s="11" t="n">
        <x:v>7060</x:v>
      </x:c>
      <x:c r="G587" s="18" t="n">
        <x:v>45</x:v>
      </x:c>
      <x:c r="H587" s="11" t="n">
        <x:f>MAX(IF(C587="call",F587-D587,D587-F587),0)</x:f>
        <x:v>2060</x:v>
      </x:c>
      <x:c r="I587" s="11" t="n">
        <x:f>E587-H587</x:f>
        <x:v>120</x:v>
      </x:c>
      <x:c r="J587" s="13" t="n">
        <x:f>D587/F587</x:f>
        <x:v>0.7082152974504249</x:v>
      </x:c>
      <x:c r="K587" s="13"/>
      <x:c r="L587" s="17"/>
      <x:c r="M587" s="17"/>
      <x:c r="N587" s="11" t="n">
        <x:f>'Option source'!C86</x:f>
        <x:v>6172276.5</x:v>
      </x:c>
      <x:c r="O587" s="11" t="n">
        <x:f>'Option source'!G86</x:f>
        <x:v>2203.6</x:v>
      </x:c>
      <x:c r="P587" s="11" t="n">
        <x:f>'Option source'!F86</x:f>
        <x:v>2300</x:v>
      </x:c>
      <x:c r="Q587" s="1" t="str">
        <x:v>Price outside daily range</x:v>
      </x:c>
      <x:c r="R587" s="1" t="n">
        <x:v>81</x:v>
      </x:c>
    </x:row>
    <x:row r="588" ht="21" customHeight="1">
      <x:c r="A588" s="12" t="n">
        <x:v>46266</x:v>
      </x:c>
      <x:c r="B588" s="1" t="str">
        <x:v>GFGV5000OC</x:v>
      </x:c>
      <x:c r="C588" s="1" t="str">
        <x:v>put</x:v>
      </x:c>
      <x:c r="D588" s="11" t="n">
        <x:v>5000</x:v>
      </x:c>
      <x:c r="E588" s="11" t="n">
        <x:f>'Option source'!B570</x:f>
        <x:v>3.51</x:v>
      </x:c>
      <x:c r="F588" s="11" t="n">
        <x:v>7060</x:v>
      </x:c>
      <x:c r="G588" s="18" t="n">
        <x:v>45</x:v>
      </x:c>
      <x:c r="H588" s="11" t="n">
        <x:f>MAX(IF(C588="call",F588-D588,D588-F588),0)</x:f>
        <x:v>0</x:v>
      </x:c>
      <x:c r="I588" s="11" t="n">
        <x:f>E588-H588</x:f>
        <x:v>3.51</x:v>
      </x:c>
      <x:c r="J588" s="13" t="n">
        <x:f>D588/F588</x:f>
        <x:v>0.7082152974504249</x:v>
      </x:c>
      <x:c r="K588" s="13" t="n">
        <x:v>0.4710609204172844</x:v>
      </x:c>
      <x:c r="L588" s="17" t="n">
        <x:v>-0.008373724714599184</x:v>
      </x:c>
      <x:c r="M588" s="17" t="n">
        <x:v>0.5656102298216727</x:v>
      </x:c>
      <x:c r="N588" s="11" t="n">
        <x:f>'Option source'!C570</x:f>
        <x:v>266406.91</x:v>
      </x:c>
      <x:c r="O588" s="11" t="n">
        <x:f>'Option source'!G570</x:f>
        <x:v>3.01</x:v>
      </x:c>
      <x:c r="P588" s="11" t="n">
        <x:f>'Option source'!F570</x:f>
        <x:v>5</x:v>
      </x:c>
      <x:c r="Q588" s="1" t="str">
        <x:v>Screen passed; indicative</x:v>
      </x:c>
      <x:c r="R588" s="1" t="n">
        <x:v>565</x:v>
      </x:c>
    </x:row>
    <x:row r="589" ht="21" customHeight="1">
      <x:c r="A589" s="12" t="n">
        <x:v>46266</x:v>
      </x:c>
      <x:c r="B589" s="1" t="str">
        <x:v>GFGC9200OC</x:v>
      </x:c>
      <x:c r="C589" s="1" t="str">
        <x:v>call</x:v>
      </x:c>
      <x:c r="D589" s="11" t="n">
        <x:v>9200</x:v>
      </x:c>
      <x:c r="E589" s="11" t="n">
        <x:f>'Option source'!B437</x:f>
        <x:v>29.8</x:v>
      </x:c>
      <x:c r="F589" s="11" t="n">
        <x:v>7060</x:v>
      </x:c>
      <x:c r="G589" s="18" t="n">
        <x:v>45</x:v>
      </x:c>
      <x:c r="H589" s="11" t="n">
        <x:f>MAX(IF(C589="call",F589-D589,D589-F589),0)</x:f>
        <x:v>0</x:v>
      </x:c>
      <x:c r="I589" s="11" t="n">
        <x:f>E589-H589</x:f>
        <x:v>29.8</x:v>
      </x:c>
      <x:c r="J589" s="13" t="n">
        <x:f>D589/F589</x:f>
        <x:v>1.3031161473087818</x:v>
      </x:c>
      <x:c r="K589" s="13" t="n">
        <x:v>0.4169646158413556</x:v>
      </x:c>
      <x:c r="L589" s="17" t="n">
        <x:v>0.06909657411693665</x:v>
      </x:c>
      <x:c r="M589" s="17" t="n">
        <x:v>3.2952832350220955</x:v>
      </x:c>
      <x:c r="N589" s="11" t="n">
        <x:f>'Option source'!C437</x:f>
        <x:v>10516781</x:v>
      </x:c>
      <x:c r="O589" s="11" t="n">
        <x:f>'Option source'!G437</x:f>
        <x:v>25.11</x:v>
      </x:c>
      <x:c r="P589" s="11" t="n">
        <x:f>'Option source'!F437</x:f>
        <x:v>38</x:v>
      </x:c>
      <x:c r="Q589" s="1" t="str">
        <x:v>Screen passed; indicative</x:v>
      </x:c>
      <x:c r="R589" s="1" t="n">
        <x:v>432</x:v>
      </x:c>
    </x:row>
    <x:row r="590" ht="21" customHeight="1">
      <x:c r="A590" s="12" t="n">
        <x:v>46266</x:v>
      </x:c>
      <x:c r="B590" s="1" t="str">
        <x:v>GFGC4800OC</x:v>
      </x:c>
      <x:c r="C590" s="1" t="str">
        <x:v>call</x:v>
      </x:c>
      <x:c r="D590" s="11" t="n">
        <x:v>4800</x:v>
      </x:c>
      <x:c r="E590" s="11" t="n">
        <x:f>'Option source'!B69</x:f>
        <x:v>2375</x:v>
      </x:c>
      <x:c r="F590" s="11" t="n">
        <x:v>7060</x:v>
      </x:c>
      <x:c r="G590" s="18" t="n">
        <x:v>45</x:v>
      </x:c>
      <x:c r="H590" s="11" t="n">
        <x:f>MAX(IF(C590="call",F590-D590,D590-F590),0)</x:f>
        <x:v>2260</x:v>
      </x:c>
      <x:c r="I590" s="11" t="n">
        <x:f>E590-H590</x:f>
        <x:v>115</x:v>
      </x:c>
      <x:c r="J590" s="13" t="n">
        <x:f>D590/F590</x:f>
        <x:v>0.6798866855524079</x:v>
      </x:c>
      <x:c r="K590" s="13"/>
      <x:c r="L590" s="17"/>
      <x:c r="M590" s="17"/>
      <x:c r="N590" s="11" t="n">
        <x:f>'Option source'!C69</x:f>
        <x:v>475000</x:v>
      </x:c>
      <x:c r="O590" s="11" t="n">
        <x:f>'Option source'!G69</x:f>
        <x:v>0</x:v>
      </x:c>
      <x:c r="P590" s="11" t="n">
        <x:f>'Option source'!F69</x:f>
        <x:v>0</x:v>
      </x:c>
      <x:c r="Q590" s="1" t="str">
        <x:v>Price outside daily range</x:v>
      </x:c>
      <x:c r="R590" s="1" t="n">
        <x:v>64</x:v>
      </x:c>
    </x:row>
    <x:row r="591" ht="21" customHeight="1">
      <x:c r="A591" s="12" t="n">
        <x:v>46266</x:v>
      </x:c>
      <x:c r="B591" s="1" t="str">
        <x:v>GFGV4800OC</x:v>
      </x:c>
      <x:c r="C591" s="1" t="str">
        <x:v>put</x:v>
      </x:c>
      <x:c r="D591" s="11" t="n">
        <x:v>4800</x:v>
      </x:c>
      <x:c r="E591" s="11" t="n">
        <x:f>'Option source'!B551</x:f>
        <x:v>2.89</x:v>
      </x:c>
      <x:c r="F591" s="11" t="n">
        <x:v>7060</x:v>
      </x:c>
      <x:c r="G591" s="18" t="n">
        <x:v>45</x:v>
      </x:c>
      <x:c r="H591" s="11" t="n">
        <x:f>MAX(IF(C591="call",F591-D591,D591-F591),0)</x:f>
        <x:v>0</x:v>
      </x:c>
      <x:c r="I591" s="11" t="n">
        <x:f>E591-H591</x:f>
        <x:v>2.89</x:v>
      </x:c>
      <x:c r="J591" s="13" t="n">
        <x:f>D591/F591</x:f>
        <x:v>0.6798866855524079</x:v>
      </x:c>
      <x:c r="K591" s="13" t="n">
        <x:v>0.5039221307657531</x:v>
      </x:c>
      <x:c r="L591" s="17" t="n">
        <x:v>-0.006604530678993692</x:v>
      </x:c>
      <x:c r="M591" s="17" t="n">
        <x:v>0.4588774214292045</x:v>
      </x:c>
      <x:c r="N591" s="11" t="n">
        <x:f>'Option source'!C551</x:f>
        <x:v>86461.4</x:v>
      </x:c>
      <x:c r="O591" s="11" t="n">
        <x:f>'Option source'!G551</x:f>
        <x:v>1.91</x:v>
      </x:c>
      <x:c r="P591" s="11" t="n">
        <x:f>'Option source'!F551</x:f>
        <x:v>3.7</x:v>
      </x:c>
      <x:c r="Q591" s="1" t="str">
        <x:v>Screen passed; indicative</x:v>
      </x:c>
      <x:c r="R591" s="1" t="n">
        <x:v>546</x:v>
      </x:c>
    </x:row>
    <x:row r="592" ht="21" customHeight="1">
      <x:c r="A592" s="12" t="n">
        <x:v>46266</x:v>
      </x:c>
      <x:c r="B592" s="1" t="str">
        <x:v>GFGC9500OC</x:v>
      </x:c>
      <x:c r="C592" s="1" t="str">
        <x:v>call</x:v>
      </x:c>
      <x:c r="D592" s="11" t="n">
        <x:v>9500</x:v>
      </x:c>
      <x:c r="E592" s="11" t="n">
        <x:f>'Option source'!B456</x:f>
        <x:v>19.03</x:v>
      </x:c>
      <x:c r="F592" s="11" t="n">
        <x:v>7060</x:v>
      </x:c>
      <x:c r="G592" s="18" t="n">
        <x:v>45</x:v>
      </x:c>
      <x:c r="H592" s="11" t="n">
        <x:f>MAX(IF(C592="call",F592-D592,D592-F592),0)</x:f>
        <x:v>0</x:v>
      </x:c>
      <x:c r="I592" s="11" t="n">
        <x:f>E592-H592</x:f>
        <x:v>19.03</x:v>
      </x:c>
      <x:c r="J592" s="13" t="n">
        <x:f>D592/F592</x:f>
        <x:v>1.3456090651558075</x:v>
      </x:c>
      <x:c r="K592" s="13" t="n">
        <x:v>0.4219204283729594</x:v>
      </x:c>
      <x:c r="L592" s="17" t="n">
        <x:v>0.046477825499187365</x:v>
      </x:c>
      <x:c r="M592" s="17" t="n">
        <x:v>2.4115261512689568</x:v>
      </x:c>
      <x:c r="N592" s="11" t="n">
        <x:f>'Option source'!C456</x:f>
        <x:v>5774791</x:v>
      </x:c>
      <x:c r="O592" s="11" t="n">
        <x:f>'Option source'!G456</x:f>
        <x:v>17.5</x:v>
      </x:c>
      <x:c r="P592" s="11" t="n">
        <x:f>'Option source'!F456</x:f>
        <x:v>25.45</x:v>
      </x:c>
      <x:c r="Q592" s="1" t="str">
        <x:v>Screen passed; indicative</x:v>
      </x:c>
      <x:c r="R592" s="1" t="n">
        <x:v>451</x:v>
      </x:c>
    </x:row>
    <x:row r="593" ht="21" customHeight="1">
      <x:c r="A593" s="12" t="n">
        <x:v>46266</x:v>
      </x:c>
      <x:c r="B593" s="1" t="str">
        <x:v>GFGC4600OC</x:v>
      </x:c>
      <x:c r="C593" s="1" t="str">
        <x:v>call</x:v>
      </x:c>
      <x:c r="D593" s="11" t="n">
        <x:v>4600</x:v>
      </x:c>
      <x:c r="E593" s="11" t="n">
        <x:f>'Option source'!B52</x:f>
        <x:v>2384.72</x:v>
      </x:c>
      <x:c r="F593" s="11" t="n">
        <x:v>7060</x:v>
      </x:c>
      <x:c r="G593" s="18" t="n">
        <x:v>45</x:v>
      </x:c>
      <x:c r="H593" s="11" t="n">
        <x:f>MAX(IF(C593="call",F593-D593,D593-F593),0)</x:f>
        <x:v>2460</x:v>
      </x:c>
      <x:c r="I593" s="11" t="n">
        <x:f>E593-H593</x:f>
        <x:v>-75.2800000000002</x:v>
      </x:c>
      <x:c r="J593" s="13" t="n">
        <x:f>D593/F593</x:f>
        <x:v>0.6515580736543909</x:v>
      </x:c>
      <x:c r="K593" s="13"/>
      <x:c r="L593" s="17"/>
      <x:c r="M593" s="17"/>
      <x:c r="N593" s="11" t="n">
        <x:f>'Option source'!C52</x:f>
        <x:v>0</x:v>
      </x:c>
      <x:c r="O593" s="11" t="n">
        <x:f>'Option source'!G52</x:f>
        <x:v>2384.72</x:v>
      </x:c>
      <x:c r="P593" s="11" t="n">
        <x:f>'Option source'!F52</x:f>
        <x:v>2384.72</x:v>
      </x:c>
      <x:c r="Q593" s="1" t="str">
        <x:v>Zero reported volume; Below intrinsic value</x:v>
      </x:c>
      <x:c r="R593" s="1" t="n">
        <x:v>47</x:v>
      </x:c>
    </x:row>
    <x:row r="594" ht="21" customHeight="1">
      <x:c r="A594" s="12" t="n">
        <x:v>46266</x:v>
      </x:c>
      <x:c r="B594" s="1" t="str">
        <x:v>GFGV4600OC</x:v>
      </x:c>
      <x:c r="C594" s="1" t="str">
        <x:v>put</x:v>
      </x:c>
      <x:c r="D594" s="11" t="n">
        <x:v>4600</x:v>
      </x:c>
      <x:c r="E594" s="11" t="n">
        <x:f>'Option source'!B532</x:f>
        <x:v>1.53</x:v>
      </x:c>
      <x:c r="F594" s="11" t="n">
        <x:v>7060</x:v>
      </x:c>
      <x:c r="G594" s="18" t="n">
        <x:v>45</x:v>
      </x:c>
      <x:c r="H594" s="11" t="n">
        <x:f>MAX(IF(C594="call",F594-D594,D594-F594),0)</x:f>
        <x:v>0</x:v>
      </x:c>
      <x:c r="I594" s="11" t="n">
        <x:f>E594-H594</x:f>
        <x:v>1.53</x:v>
      </x:c>
      <x:c r="J594" s="13" t="n">
        <x:f>D594/F594</x:f>
        <x:v>0.6515580736543909</x:v>
      </x:c>
      <x:c r="K594" s="13" t="n">
        <x:v>0.5118861582643235</x:v>
      </x:c>
      <x:c r="L594" s="17" t="n">
        <x:v>-0.003691092502818849</x:v>
      </x:c>
      <x:c r="M594" s="17" t="n">
        <x:v>0.27326973708013275</x:v>
      </x:c>
      <x:c r="N594" s="11" t="n">
        <x:f>'Option source'!C532</x:f>
        <x:v>206873.5</x:v>
      </x:c>
      <x:c r="O594" s="11" t="n">
        <x:f>'Option source'!G532</x:f>
        <x:v>1.33</x:v>
      </x:c>
      <x:c r="P594" s="11" t="n">
        <x:f>'Option source'!F532</x:f>
        <x:v>2.45</x:v>
      </x:c>
      <x:c r="Q594" s="1" t="str">
        <x:v>Screen passed; indicative</x:v>
      </x:c>
      <x:c r="R594" s="1" t="n">
        <x:v>527</x:v>
      </x:c>
    </x:row>
    <x:row r="595" ht="21" customHeight="1">
      <x:c r="A595" s="12" t="n">
        <x:v>46266</x:v>
      </x:c>
      <x:c r="B595" s="1" t="str">
        <x:v>GFGC4400OC</x:v>
      </x:c>
      <x:c r="C595" s="1" t="str">
        <x:v>call</x:v>
      </x:c>
      <x:c r="D595" s="11" t="n">
        <x:v>4400</x:v>
      </x:c>
      <x:c r="E595" s="11" t="n">
        <x:f>'Option source'!B33</x:f>
        <x:v>2746.82</x:v>
      </x:c>
      <x:c r="F595" s="11" t="n">
        <x:v>7060</x:v>
      </x:c>
      <x:c r="G595" s="18" t="n">
        <x:v>45</x:v>
      </x:c>
      <x:c r="H595" s="11" t="n">
        <x:f>MAX(IF(C595="call",F595-D595,D595-F595),0)</x:f>
        <x:v>2660</x:v>
      </x:c>
      <x:c r="I595" s="11" t="n">
        <x:f>E595-H595</x:f>
        <x:v>86.82000000000016</x:v>
      </x:c>
      <x:c r="J595" s="13" t="n">
        <x:f>D595/F595</x:f>
        <x:v>0.623229461756374</x:v>
      </x:c>
      <x:c r="K595" s="13"/>
      <x:c r="L595" s="17"/>
      <x:c r="M595" s="17"/>
      <x:c r="N595" s="11" t="n">
        <x:f>'Option source'!C33</x:f>
        <x:v>2197454</x:v>
      </x:c>
      <x:c r="O595" s="11" t="n">
        <x:f>'Option source'!G33</x:f>
        <x:v>2731.87</x:v>
      </x:c>
      <x:c r="P595" s="11" t="n">
        <x:f>'Option source'!F33</x:f>
        <x:v>2751.8</x:v>
      </x:c>
      <x:c r="Q595" s="1" t="str">
        <x:v>No stable model IV</x:v>
      </x:c>
      <x:c r="R595" s="1" t="n">
        <x:v>28</x:v>
      </x:c>
    </x:row>
    <x:row r="596" ht="21" customHeight="1">
      <x:c r="A596" s="12" t="n">
        <x:v>46266</x:v>
      </x:c>
      <x:c r="B596" s="1" t="str">
        <x:v>GFGV4400OC</x:v>
      </x:c>
      <x:c r="C596" s="1" t="str">
        <x:v>put</x:v>
      </x:c>
      <x:c r="D596" s="11" t="n">
        <x:v>4400</x:v>
      </x:c>
      <x:c r="E596" s="11" t="n">
        <x:f>'Option source'!B513</x:f>
        <x:v>1.22</x:v>
      </x:c>
      <x:c r="F596" s="11" t="n">
        <x:v>7060</x:v>
      </x:c>
      <x:c r="G596" s="18" t="n">
        <x:v>45</x:v>
      </x:c>
      <x:c r="H596" s="11" t="n">
        <x:f>MAX(IF(C596="call",F596-D596,D596-F596),0)</x:f>
        <x:v>0</x:v>
      </x:c>
      <x:c r="I596" s="11" t="n">
        <x:f>E596-H596</x:f>
        <x:v>1.22</x:v>
      </x:c>
      <x:c r="J596" s="13" t="n">
        <x:f>D596/F596</x:f>
        <x:v>0.623229461756374</x:v>
      </x:c>
      <x:c r="K596" s="13" t="n">
        <x:v>0.5433006891914207</x:v>
      </x:c>
      <x:c r="L596" s="17" t="n">
        <x:v>-0.0028208272851634186</x:v>
      </x:c>
      <x:c r="M596" s="17" t="n">
        <x:v>0.2145534266401169</x:v>
      </x:c>
      <x:c r="N596" s="11" t="n">
        <x:f>'Option source'!C513</x:f>
        <x:v>289874.59</x:v>
      </x:c>
      <x:c r="O596" s="11" t="n">
        <x:f>'Option source'!G513</x:f>
        <x:v>1.1</x:v>
      </x:c>
      <x:c r="P596" s="11" t="n">
        <x:f>'Option source'!F513</x:f>
        <x:v>1.7</x:v>
      </x:c>
      <x:c r="Q596" s="1" t="str">
        <x:v>Screen passed; indicative</x:v>
      </x:c>
      <x:c r="R596" s="1" t="n">
        <x:v>508</x:v>
      </x:c>
    </x:row>
    <x:row r="597" ht="21" customHeight="1">
      <x:c r="A597" s="12" t="n">
        <x:v>46266</x:v>
      </x:c>
      <x:c r="B597" s="1" t="str">
        <x:v>GFGC9900OC</x:v>
      </x:c>
      <x:c r="C597" s="1" t="str">
        <x:v>call</x:v>
      </x:c>
      <x:c r="D597" s="11" t="n">
        <x:v>9900</x:v>
      </x:c>
      <x:c r="E597" s="11" t="n">
        <x:f>'Option source'!B475</x:f>
        <x:v>11.44</x:v>
      </x:c>
      <x:c r="F597" s="11" t="n">
        <x:v>7060</x:v>
      </x:c>
      <x:c r="G597" s="18" t="n">
        <x:v>45</x:v>
      </x:c>
      <x:c r="H597" s="11" t="n">
        <x:f>MAX(IF(C597="call",F597-D597,D597-F597),0)</x:f>
        <x:v>0</x:v>
      </x:c>
      <x:c r="I597" s="11" t="n">
        <x:f>E597-H597</x:f>
        <x:v>11.44</x:v>
      </x:c>
      <x:c r="J597" s="13" t="n">
        <x:f>D597/F597</x:f>
        <x:v>1.4022662889518414</x:v>
      </x:c>
      <x:c r="K597" s="13" t="n">
        <x:v>0.4348648744516074</x:v>
      </x:c>
      <x:c r="L597" s="17" t="n">
        <x:v>0.02900450309085778</x:v>
      </x:c>
      <x:c r="M597" s="17" t="n">
        <x:v>1.6401175228706664</x:v>
      </x:c>
      <x:c r="N597" s="11" t="n">
        <x:f>'Option source'!C475</x:f>
        <x:v>2408503.25</x:v>
      </x:c>
      <x:c r="O597" s="11" t="n">
        <x:f>'Option source'!G475</x:f>
        <x:v>10.84</x:v>
      </x:c>
      <x:c r="P597" s="11" t="n">
        <x:f>'Option source'!F475</x:f>
        <x:v>15.2</x:v>
      </x:c>
      <x:c r="Q597" s="1" t="str">
        <x:v>Screen passed; indicative</x:v>
      </x:c>
      <x:c r="R597" s="1" t="n">
        <x:v>470</x:v>
      </x:c>
    </x:row>
    <x:row r="598" ht="21" customHeight="1">
      <x:c r="A598" s="12" t="n">
        <x:v>46266</x:v>
      </x:c>
      <x:c r="B598" s="1" t="str">
        <x:v>GFGC4200OC</x:v>
      </x:c>
      <x:c r="C598" s="1" t="str">
        <x:v>call</x:v>
      </x:c>
      <x:c r="D598" s="11" t="n">
        <x:v>4200</x:v>
      </x:c>
      <x:c r="E598" s="11" t="n">
        <x:f>'Option source'!B14</x:f>
        <x:v>3017.35</x:v>
      </x:c>
      <x:c r="F598" s="11" t="n">
        <x:v>7060</x:v>
      </x:c>
      <x:c r="G598" s="18" t="n">
        <x:v>45</x:v>
      </x:c>
      <x:c r="H598" s="11" t="n">
        <x:f>MAX(IF(C598="call",F598-D598,D598-F598),0)</x:f>
        <x:v>2860</x:v>
      </x:c>
      <x:c r="I598" s="11" t="n">
        <x:f>E598-H598</x:f>
        <x:v>157.3499999999999</x:v>
      </x:c>
      <x:c r="J598" s="13" t="n">
        <x:f>D598/F598</x:f>
        <x:v>0.5949008498583569</x:v>
      </x:c>
      <x:c r="K598" s="13"/>
      <x:c r="L598" s="17"/>
      <x:c r="M598" s="17"/>
      <x:c r="N598" s="11" t="n">
        <x:f>'Option source'!C14</x:f>
        <x:v>890957</x:v>
      </x:c>
      <x:c r="O598" s="11" t="n">
        <x:f>'Option source'!G14</x:f>
        <x:v>2946.11</x:v>
      </x:c>
      <x:c r="P598" s="11" t="n">
        <x:f>'Option source'!F14</x:f>
        <x:v>2946.11</x:v>
      </x:c>
      <x:c r="Q598" s="1" t="str">
        <x:v>Price outside daily range</x:v>
      </x:c>
      <x:c r="R598" s="1" t="n">
        <x:v>9</x:v>
      </x:c>
    </x:row>
    <x:row r="599" ht="21" customHeight="1">
      <x:c r="A599" s="12" t="n">
        <x:v>46266</x:v>
      </x:c>
      <x:c r="B599" s="1" t="str">
        <x:v>GFGV4200OC</x:v>
      </x:c>
      <x:c r="C599" s="1" t="str">
        <x:v>put</x:v>
      </x:c>
      <x:c r="D599" s="11" t="n">
        <x:v>4200</x:v>
      </x:c>
      <x:c r="E599" s="11" t="n">
        <x:f>'Option source'!B494</x:f>
        <x:v>0.97</x:v>
      </x:c>
      <x:c r="F599" s="11" t="n">
        <x:v>7060</x:v>
      </x:c>
      <x:c r="G599" s="18" t="n">
        <x:v>45</x:v>
      </x:c>
      <x:c r="H599" s="11" t="n">
        <x:f>MAX(IF(C599="call",F599-D599,D599-F599),0)</x:f>
        <x:v>0</x:v>
      </x:c>
      <x:c r="I599" s="11" t="n">
        <x:f>E599-H599</x:f>
        <x:v>0.97</x:v>
      </x:c>
      <x:c r="J599" s="13" t="n">
        <x:f>D599/F599</x:f>
        <x:v>0.5949008498583569</x:v>
      </x:c>
      <x:c r="K599" s="13" t="n">
        <x:v>0.5766748231285745</x:v>
      </x:c>
      <x:c r="L599" s="17" t="n">
        <x:v>-0.0021938767128693026</x:v>
      </x:c>
      <x:c r="M599" s="17" t="n">
        <x:v>0.170930274780751</x:v>
      </x:c>
      <x:c r="N599" s="11" t="n">
        <x:f>'Option source'!C494</x:f>
        <x:v>129405</x:v>
      </x:c>
      <x:c r="O599" s="11" t="n">
        <x:f>'Option source'!G494</x:f>
        <x:v>0.81</x:v>
      </x:c>
      <x:c r="P599" s="11" t="n">
        <x:f>'Option source'!F494</x:f>
        <x:v>1.5</x:v>
      </x:c>
      <x:c r="Q599" s="1" t="str">
        <x:v>Screen passed; indicative</x:v>
      </x:c>
      <x:c r="R599" s="1" t="n">
        <x:v>489</x:v>
      </x:c>
    </x:row>
    <x:row r="600" ht="21" customHeight="1">
      <x:c r="A600" s="12" t="n">
        <x:v>46265</x:v>
      </x:c>
      <x:c r="B600" s="1" t="str">
        <x:v>GFGC7000OC</x:v>
      </x:c>
      <x:c r="C600" s="1" t="str">
        <x:v>call</x:v>
      </x:c>
      <x:c r="D600" s="11" t="n">
        <x:v>7000</x:v>
      </x:c>
      <x:c r="E600" s="11" t="n">
        <x:f>'Option source'!B265</x:f>
        <x:v>552.7</x:v>
      </x:c>
      <x:c r="F600" s="11" t="n">
        <x:v>7015</x:v>
      </x:c>
      <x:c r="G600" s="18" t="n">
        <x:v>46</x:v>
      </x:c>
      <x:c r="H600" s="11" t="n">
        <x:f>MAX(IF(C600="call",F600-D600,D600-F600),0)</x:f>
        <x:v>15</x:v>
      </x:c>
      <x:c r="I600" s="11" t="n">
        <x:f>E600-H600</x:f>
        <x:v>537.7</x:v>
      </x:c>
      <x:c r="J600" s="13" t="n">
        <x:f>D600/F600</x:f>
        <x:v>0.9978617248752673</x:v>
      </x:c>
      <x:c r="K600" s="13" t="n">
        <x:v>0.411524425546115</x:v>
      </x:c>
      <x:c r="L600" s="17" t="n">
        <x:v>0.6355145266274163</x:v>
      </x:c>
      <x:c r="M600" s="17" t="n">
        <x:v>9.35620722225601</x:v>
      </x:c>
      <x:c r="N600" s="11" t="n">
        <x:f>'Option source'!C265</x:f>
        <x:v>264683120</x:v>
      </x:c>
      <x:c r="O600" s="11" t="n">
        <x:f>'Option source'!G265</x:f>
        <x:v>440</x:v>
      </x:c>
      <x:c r="P600" s="11" t="n">
        <x:f>'Option source'!F265</x:f>
        <x:v>609.99</x:v>
      </x:c>
      <x:c r="Q600" s="1" t="str">
        <x:v>Screen passed; indicative</x:v>
      </x:c>
      <x:c r="R600" s="1" t="n">
        <x:v>260</x:v>
      </x:c>
    </x:row>
    <x:row r="601" ht="21" customHeight="1">
      <x:c r="A601" s="12" t="n">
        <x:v>46265</x:v>
      </x:c>
      <x:c r="B601" s="1" t="str">
        <x:v>GFGV7000OC</x:v>
      </x:c>
      <x:c r="C601" s="1" t="str">
        <x:v>put</x:v>
      </x:c>
      <x:c r="D601" s="11" t="n">
        <x:v>7000</x:v>
      </x:c>
      <x:c r="E601" s="11" t="n">
        <x:f>'Option source'!B759</x:f>
        <x:v>346.09</x:v>
      </x:c>
      <x:c r="F601" s="11" t="n">
        <x:v>7015</x:v>
      </x:c>
      <x:c r="G601" s="18" t="n">
        <x:v>46</x:v>
      </x:c>
      <x:c r="H601" s="11" t="n">
        <x:f>MAX(IF(C601="call",F601-D601,D601-F601),0)</x:f>
        <x:v>0</x:v>
      </x:c>
      <x:c r="I601" s="11" t="n">
        <x:f>E601-H601</x:f>
        <x:v>346.09</x:v>
      </x:c>
      <x:c r="J601" s="13" t="n">
        <x:f>D601/F601</x:f>
        <x:v>0.9978617248752673</x:v>
      </x:c>
      <x:c r="K601" s="13" t="n">
        <x:v>0.45661493481980087</x:v>
      </x:c>
      <x:c r="L601" s="17" t="n">
        <x:v>-0.37164658698133524</x:v>
      </x:c>
      <x:c r="M601" s="17" t="n">
        <x:v>9.416304007095368</x:v>
      </x:c>
      <x:c r="N601" s="11" t="n">
        <x:f>'Option source'!C759</x:f>
        <x:v>147815968</x:v>
      </x:c>
      <x:c r="O601" s="11" t="n">
        <x:f>'Option source'!G759</x:f>
        <x:v>310</x:v>
      </x:c>
      <x:c r="P601" s="11" t="n">
        <x:f>'Option source'!F759</x:f>
        <x:v>429.48</x:v>
      </x:c>
      <x:c r="Q601" s="1" t="str">
        <x:v>Screen passed; indicative</x:v>
      </x:c>
      <x:c r="R601" s="1" t="n">
        <x:v>754</x:v>
      </x:c>
    </x:row>
    <x:row r="602" ht="21" customHeight="1">
      <x:c r="A602" s="12" t="n">
        <x:v>46265</x:v>
      </x:c>
      <x:c r="B602" s="1" t="str">
        <x:v>GFGC7200OC</x:v>
      </x:c>
      <x:c r="C602" s="1" t="str">
        <x:v>call</x:v>
      </x:c>
      <x:c r="D602" s="11" t="n">
        <x:v>7200</x:v>
      </x:c>
      <x:c r="E602" s="11" t="n">
        <x:f>'Option source'!B284</x:f>
        <x:v>453.57</x:v>
      </x:c>
      <x:c r="F602" s="11" t="n">
        <x:v>7015</x:v>
      </x:c>
      <x:c r="G602" s="18" t="n">
        <x:v>46</x:v>
      </x:c>
      <x:c r="H602" s="11" t="n">
        <x:f>MAX(IF(C602="call",F602-D602,D602-F602),0)</x:f>
        <x:v>0</x:v>
      </x:c>
      <x:c r="I602" s="11" t="n">
        <x:f>E602-H602</x:f>
        <x:v>453.57</x:v>
      </x:c>
      <x:c r="J602" s="13" t="n">
        <x:f>D602/F602</x:f>
        <x:v>1.0263720598717034</x:v>
      </x:c>
      <x:c r="K602" s="13" t="n">
        <x:v>0.41670617297712087</x:v>
      </x:c>
      <x:c r="L602" s="17" t="n">
        <x:v>0.5610307399921886</x:v>
      </x:c>
      <x:c r="M602" s="17" t="n">
        <x:v>9.818569322554856</x:v>
      </x:c>
      <x:c r="N602" s="11" t="n">
        <x:f>'Option source'!C284</x:f>
        <x:v>375388416</x:v>
      </x:c>
      <x:c r="O602" s="11" t="n">
        <x:f>'Option source'!G284</x:f>
        <x:v>359.99</x:v>
      </x:c>
      <x:c r="P602" s="11" t="n">
        <x:f>'Option source'!F284</x:f>
        <x:v>500</x:v>
      </x:c>
      <x:c r="Q602" s="1" t="str">
        <x:v>Screen passed; indicative</x:v>
      </x:c>
      <x:c r="R602" s="1" t="n">
        <x:v>279</x:v>
      </x:c>
    </x:row>
    <x:row r="603" ht="21" customHeight="1">
      <x:c r="A603" s="12" t="n">
        <x:v>46265</x:v>
      </x:c>
      <x:c r="B603" s="1" t="str">
        <x:v>GFGV7200OC</x:v>
      </x:c>
      <x:c r="C603" s="1" t="str">
        <x:v>put</x:v>
      </x:c>
      <x:c r="D603" s="11" t="n">
        <x:v>7200</x:v>
      </x:c>
      <x:c r="E603" s="11" t="n">
        <x:f>'Option source'!B778</x:f>
        <x:v>447.89</x:v>
      </x:c>
      <x:c r="F603" s="11" t="n">
        <x:v>7015</x:v>
      </x:c>
      <x:c r="G603" s="18" t="n">
        <x:v>46</x:v>
      </x:c>
      <x:c r="H603" s="11" t="n">
        <x:f>MAX(IF(C603="call",F603-D603,D603-F603),0)</x:f>
        <x:v>185</x:v>
      </x:c>
      <x:c r="I603" s="11" t="n">
        <x:f>E603-H603</x:f>
        <x:v>262.89</x:v>
      </x:c>
      <x:c r="J603" s="13" t="n">
        <x:f>D603/F603</x:f>
        <x:v>1.0263720598717034</x:v>
      </x:c>
      <x:c r="K603" s="13" t="n">
        <x:v>0.45739566646022123</x:v>
      </x:c>
      <x:c r="L603" s="17" t="n">
        <x:v>-0.43891414184320465</x:v>
      </x:c>
      <x:c r="M603" s="17" t="n">
        <x:v>9.81835841324645</x:v>
      </x:c>
      <x:c r="N603" s="11" t="n">
        <x:f>'Option source'!C778</x:f>
        <x:v>12358046</x:v>
      </x:c>
      <x:c r="O603" s="11" t="n">
        <x:f>'Option source'!G778</x:f>
        <x:v>414.11</x:v>
      </x:c>
      <x:c r="P603" s="11" t="n">
        <x:f>'Option source'!F778</x:f>
        <x:v>529.99</x:v>
      </x:c>
      <x:c r="Q603" s="1" t="str">
        <x:v>Screen passed; indicative</x:v>
      </x:c>
      <x:c r="R603" s="1" t="n">
        <x:v>773</x:v>
      </x:c>
    </x:row>
    <x:row r="604" ht="21" customHeight="1">
      <x:c r="A604" s="12" t="n">
        <x:v>46265</x:v>
      </x:c>
      <x:c r="B604" s="1" t="str">
        <x:v>GFGC6800OC</x:v>
      </x:c>
      <x:c r="C604" s="1" t="str">
        <x:v>call</x:v>
      </x:c>
      <x:c r="D604" s="11" t="n">
        <x:v>6800</x:v>
      </x:c>
      <x:c r="E604" s="11" t="n">
        <x:f>'Option source'!B246</x:f>
        <x:v>661.02</x:v>
      </x:c>
      <x:c r="F604" s="11" t="n">
        <x:v>7015</x:v>
      </x:c>
      <x:c r="G604" s="18" t="n">
        <x:v>46</x:v>
      </x:c>
      <x:c r="H604" s="11" t="n">
        <x:f>MAX(IF(C604="call",F604-D604,D604-F604),0)</x:f>
        <x:v>215</x:v>
      </x:c>
      <x:c r="I604" s="11" t="n">
        <x:f>E604-H604</x:f>
        <x:v>446.02</x:v>
      </x:c>
      <x:c r="J604" s="13" t="n">
        <x:f>D604/F604</x:f>
        <x:v>0.9693513898788311</x:v>
      </x:c>
      <x:c r="K604" s="13" t="n">
        <x:v>0.39913219267692046</x:v>
      </x:c>
      <x:c r="L604" s="17" t="n">
        <x:v>0.7113608185338874</x:v>
      </x:c>
      <x:c r="M604" s="17" t="n">
        <x:v>8.505743653483089</x:v>
      </x:c>
      <x:c r="N604" s="11" t="n">
        <x:f>'Option source'!C246</x:f>
        <x:v>177637984</x:v>
      </x:c>
      <x:c r="O604" s="11" t="n">
        <x:f>'Option source'!G246</x:f>
        <x:v>534</x:v>
      </x:c>
      <x:c r="P604" s="11" t="n">
        <x:f>'Option source'!F246</x:f>
        <x:v>720</x:v>
      </x:c>
      <x:c r="Q604" s="1" t="str">
        <x:v>Screen passed; indicative</x:v>
      </x:c>
      <x:c r="R604" s="1" t="n">
        <x:v>241</x:v>
      </x:c>
    </x:row>
    <x:row r="605" ht="21" customHeight="1">
      <x:c r="A605" s="12" t="n">
        <x:v>46265</x:v>
      </x:c>
      <x:c r="B605" s="1" t="str">
        <x:v>GFGV6800OC</x:v>
      </x:c>
      <x:c r="C605" s="1" t="str">
        <x:v>put</x:v>
      </x:c>
      <x:c r="D605" s="11" t="n">
        <x:v>6800</x:v>
      </x:c>
      <x:c r="E605" s="11" t="n">
        <x:f>'Option source'!B740</x:f>
        <x:v>262.94</x:v>
      </x:c>
      <x:c r="F605" s="11" t="n">
        <x:v>7015</x:v>
      </x:c>
      <x:c r="G605" s="18" t="n">
        <x:v>46</x:v>
      </x:c>
      <x:c r="H605" s="11" t="n">
        <x:f>MAX(IF(C605="call",F605-D605,D605-F605),0)</x:f>
        <x:v>0</x:v>
      </x:c>
      <x:c r="I605" s="11" t="n">
        <x:f>E605-H605</x:f>
        <x:v>262.94</x:v>
      </x:c>
      <x:c r="J605" s="13" t="n">
        <x:f>D605/F605</x:f>
        <x:v>0.9693513898788311</x:v>
      </x:c>
      <x:c r="K605" s="13" t="n">
        <x:v>0.45819238339894774</x:v>
      </x:c>
      <x:c r="L605" s="17" t="n">
        <x:v>-0.3067314639339913</x:v>
      </x:c>
      <x:c r="M605" s="17" t="n">
        <x:v>8.745049992075028</x:v>
      </x:c>
      <x:c r="N605" s="11" t="n">
        <x:f>'Option source'!C740</x:f>
        <x:v>172245376</x:v>
      </x:c>
      <x:c r="O605" s="11" t="n">
        <x:f>'Option source'!G740</x:f>
        <x:v>235</x:v>
      </x:c>
      <x:c r="P605" s="11" t="n">
        <x:f>'Option source'!F740</x:f>
        <x:v>338.98</x:v>
      </x:c>
      <x:c r="Q605" s="1" t="str">
        <x:v>Screen passed; indicative</x:v>
      </x:c>
      <x:c r="R605" s="1" t="n">
        <x:v>735</x:v>
      </x:c>
    </x:row>
    <x:row r="606" ht="21" customHeight="1">
      <x:c r="A606" s="12" t="n">
        <x:v>46265</x:v>
      </x:c>
      <x:c r="B606" s="1" t="str">
        <x:v>GFGC7400OC</x:v>
      </x:c>
      <x:c r="C606" s="1" t="str">
        <x:v>call</x:v>
      </x:c>
      <x:c r="D606" s="11" t="n">
        <x:v>7400</x:v>
      </x:c>
      <x:c r="E606" s="11" t="n">
        <x:f>'Option source'!B303</x:f>
        <x:v>370.64</x:v>
      </x:c>
      <x:c r="F606" s="11" t="n">
        <x:v>7015</x:v>
      </x:c>
      <x:c r="G606" s="18" t="n">
        <x:v>46</x:v>
      </x:c>
      <x:c r="H606" s="11" t="n">
        <x:f>MAX(IF(C606="call",F606-D606,D606-F606),0)</x:f>
        <x:v>0</x:v>
      </x:c>
      <x:c r="I606" s="11" t="n">
        <x:f>E606-H606</x:f>
        <x:v>370.64</x:v>
      </x:c>
      <x:c r="J606" s="13" t="n">
        <x:f>D606/F606</x:f>
        <x:v>1.0548823948681396</x:v>
      </x:c>
      <x:c r="K606" s="13" t="n">
        <x:v>0.42341749678501683</x:v>
      </x:c>
      <x:c r="L606" s="17" t="n">
        <x:v>0.4885259514434696</x:v>
      </x:c>
      <x:c r="M606" s="17" t="n">
        <x:v>9.930944388640205</x:v>
      </x:c>
      <x:c r="N606" s="11" t="n">
        <x:f>'Option source'!C303</x:f>
        <x:v>459135296</x:v>
      </x:c>
      <x:c r="O606" s="11" t="n">
        <x:f>'Option source'!G303</x:f>
        <x:v>270</x:v>
      </x:c>
      <x:c r="P606" s="11" t="n">
        <x:f>'Option source'!F303</x:f>
        <x:v>410</x:v>
      </x:c>
      <x:c r="Q606" s="1" t="str">
        <x:v>Screen passed; indicative</x:v>
      </x:c>
      <x:c r="R606" s="1" t="n">
        <x:v>298</x:v>
      </x:c>
    </x:row>
    <x:row r="607" ht="21" customHeight="1">
      <x:c r="A607" s="12" t="n">
        <x:v>46265</x:v>
      </x:c>
      <x:c r="B607" s="1" t="str">
        <x:v>GFGV7400OC</x:v>
      </x:c>
      <x:c r="C607" s="1" t="str">
        <x:v>put</x:v>
      </x:c>
      <x:c r="D607" s="11" t="n">
        <x:v>7400</x:v>
      </x:c>
      <x:c r="E607" s="11" t="n">
        <x:f>'Option source'!B797</x:f>
        <x:v>560.79</x:v>
      </x:c>
      <x:c r="F607" s="11" t="n">
        <x:v>7015</x:v>
      </x:c>
      <x:c r="G607" s="18" t="n">
        <x:v>46</x:v>
      </x:c>
      <x:c r="H607" s="11" t="n">
        <x:f>MAX(IF(C607="call",F607-D607,D607-F607),0)</x:f>
        <x:v>385</x:v>
      </x:c>
      <x:c r="I607" s="11" t="n">
        <x:f>E607-H607</x:f>
        <x:v>175.78999999999996</x:v>
      </x:c>
      <x:c r="J607" s="13" t="n">
        <x:f>D607/F607</x:f>
        <x:v>1.0548823948681396</x:v>
      </x:c>
      <x:c r="K607" s="13" t="n">
        <x:v>0.4525906382960435</x:v>
      </x:c>
      <x:c r="L607" s="17" t="n">
        <x:v>-0.5067371017939395</x:v>
      </x:c>
      <x:c r="M607" s="17" t="n">
        <x:v>9.93363713995452</x:v>
      </x:c>
      <x:c r="N607" s="11" t="n">
        <x:f>'Option source'!C797</x:f>
        <x:v>29710064</x:v>
      </x:c>
      <x:c r="O607" s="11" t="n">
        <x:f>'Option source'!G797</x:f>
        <x:v>511</x:v>
      </x:c>
      <x:c r="P607" s="11" t="n">
        <x:f>'Option source'!F797</x:f>
        <x:v>606.79</x:v>
      </x:c>
      <x:c r="Q607" s="1" t="str">
        <x:v>Screen passed; indicative</x:v>
      </x:c>
      <x:c r="R607" s="1" t="n">
        <x:v>792</x:v>
      </x:c>
    </x:row>
    <x:row r="608" ht="21" customHeight="1">
      <x:c r="A608" s="12" t="n">
        <x:v>46265</x:v>
      </x:c>
      <x:c r="B608" s="1" t="str">
        <x:v>GFGC6600OC</x:v>
      </x:c>
      <x:c r="C608" s="1" t="str">
        <x:v>call</x:v>
      </x:c>
      <x:c r="D608" s="11" t="n">
        <x:v>6600</x:v>
      </x:c>
      <x:c r="E608" s="11" t="n">
        <x:f>'Option source'!B227</x:f>
        <x:v>785.86</x:v>
      </x:c>
      <x:c r="F608" s="11" t="n">
        <x:v>7015</x:v>
      </x:c>
      <x:c r="G608" s="18" t="n">
        <x:v>46</x:v>
      </x:c>
      <x:c r="H608" s="11" t="n">
        <x:f>MAX(IF(C608="call",F608-D608,D608-F608),0)</x:f>
        <x:v>415</x:v>
      </x:c>
      <x:c r="I608" s="11" t="n">
        <x:f>E608-H608</x:f>
        <x:v>370.86</x:v>
      </x:c>
      <x:c r="J608" s="13" t="n">
        <x:f>D608/F608</x:f>
        <x:v>0.9408410548823949</x:v>
      </x:c>
      <x:c r="K608" s="13" t="n">
        <x:v>0.3859946580605843</x:v>
      </x:c>
      <x:c r="L608" s="17" t="n">
        <x:v>0.7850753671792264</x:v>
      </x:c>
      <x:c r="M608" s="17" t="n">
        <x:v>7.275073713006833</x:v>
      </x:c>
      <x:c r="N608" s="11" t="n">
        <x:f>'Option source'!C227</x:f>
        <x:v>21813032</x:v>
      </x:c>
      <x:c r="O608" s="11" t="n">
        <x:f>'Option source'!G227</x:f>
        <x:v>670</x:v>
      </x:c>
      <x:c r="P608" s="11" t="n">
        <x:f>'Option source'!F227</x:f>
        <x:v>885</x:v>
      </x:c>
      <x:c r="Q608" s="1" t="str">
        <x:v>Screen passed; indicative</x:v>
      </x:c>
      <x:c r="R608" s="1" t="n">
        <x:v>222</x:v>
      </x:c>
    </x:row>
    <x:row r="609" ht="21" customHeight="1">
      <x:c r="A609" s="12" t="n">
        <x:v>46265</x:v>
      </x:c>
      <x:c r="B609" s="1" t="str">
        <x:v>GFGV6600OC</x:v>
      </x:c>
      <x:c r="C609" s="1" t="str">
        <x:v>put</x:v>
      </x:c>
      <x:c r="D609" s="11" t="n">
        <x:v>6600</x:v>
      </x:c>
      <x:c r="E609" s="11" t="n">
        <x:f>'Option source'!B721</x:f>
        <x:v>193.67</x:v>
      </x:c>
      <x:c r="F609" s="11" t="n">
        <x:v>7015</x:v>
      </x:c>
      <x:c r="G609" s="18" t="n">
        <x:v>46</x:v>
      </x:c>
      <x:c r="H609" s="11" t="n">
        <x:f>MAX(IF(C609="call",F609-D609,D609-F609),0)</x:f>
        <x:v>0</x:v>
      </x:c>
      <x:c r="I609" s="11" t="n">
        <x:f>E609-H609</x:f>
        <x:v>193.67</x:v>
      </x:c>
      <x:c r="J609" s="13" t="n">
        <x:f>D609/F609</x:f>
        <x:v>0.9408410548823949</x:v>
      </x:c>
      <x:c r="K609" s="13" t="n">
        <x:v>0.4589293716750684</x:v>
      </x:c>
      <x:c r="L609" s="17" t="n">
        <x:v>-0.24578241760041752</x:v>
      </x:c>
      <x:c r="M609" s="17" t="n">
        <x:v>7.84220224682857</x:v>
      </x:c>
      <x:c r="N609" s="11" t="n">
        <x:f>'Option source'!C721</x:f>
        <x:v>162617312</x:v>
      </x:c>
      <x:c r="O609" s="11" t="n">
        <x:f>'Option source'!G721</x:f>
        <x:v>168</x:v>
      </x:c>
      <x:c r="P609" s="11" t="n">
        <x:f>'Option source'!F721</x:f>
        <x:v>248.1</x:v>
      </x:c>
      <x:c r="Q609" s="1" t="str">
        <x:v>Screen passed; indicative</x:v>
      </x:c>
      <x:c r="R609" s="1" t="n">
        <x:v>716</x:v>
      </x:c>
    </x:row>
    <x:row r="610" ht="21" customHeight="1">
      <x:c r="A610" s="12" t="n">
        <x:v>46265</x:v>
      </x:c>
      <x:c r="B610" s="1" t="str">
        <x:v>GFGC7600OC</x:v>
      </x:c>
      <x:c r="C610" s="1" t="str">
        <x:v>call</x:v>
      </x:c>
      <x:c r="D610" s="11" t="n">
        <x:v>7600</x:v>
      </x:c>
      <x:c r="E610" s="11" t="n">
        <x:f>'Option source'!B322</x:f>
        <x:v>290.9</x:v>
      </x:c>
      <x:c r="F610" s="11" t="n">
        <x:v>7015</x:v>
      </x:c>
      <x:c r="G610" s="18" t="n">
        <x:v>46</x:v>
      </x:c>
      <x:c r="H610" s="11" t="n">
        <x:f>MAX(IF(C610="call",F610-D610,D610-F610),0)</x:f>
        <x:v>0</x:v>
      </x:c>
      <x:c r="I610" s="11" t="n">
        <x:f>E610-H610</x:f>
        <x:v>290.9</x:v>
      </x:c>
      <x:c r="J610" s="13" t="n">
        <x:f>D610/F610</x:f>
        <x:v>1.0833927298645758</x:v>
      </x:c>
      <x:c r="K610" s="13" t="n">
        <x:v>0.4195258066334785</x:v>
      </x:c>
      <x:c r="L610" s="17" t="n">
        <x:v>0.41703603286790486</x:v>
      </x:c>
      <x:c r="M610" s="17" t="n">
        <x:v>9.719439596636972</x:v>
      </x:c>
      <x:c r="N610" s="11" t="n">
        <x:f>'Option source'!C322</x:f>
        <x:v>436639936</x:v>
      </x:c>
      <x:c r="O610" s="11" t="n">
        <x:f>'Option source'!G322</x:f>
        <x:v>215.03</x:v>
      </x:c>
      <x:c r="P610" s="11" t="n">
        <x:f>'Option source'!F322</x:f>
        <x:v>329</x:v>
      </x:c>
      <x:c r="Q610" s="1" t="str">
        <x:v>Screen passed; indicative</x:v>
      </x:c>
      <x:c r="R610" s="1" t="n">
        <x:v>317</x:v>
      </x:c>
    </x:row>
    <x:row r="611" ht="21" customHeight="1">
      <x:c r="A611" s="12" t="n">
        <x:v>46265</x:v>
      </x:c>
      <x:c r="B611" s="1" t="str">
        <x:v>GFGV7600OC</x:v>
      </x:c>
      <x:c r="C611" s="1" t="str">
        <x:v>put</x:v>
      </x:c>
      <x:c r="D611" s="11" t="n">
        <x:v>7600</x:v>
      </x:c>
      <x:c r="E611" s="11" t="n">
        <x:f>'Option source'!B816</x:f>
        <x:v>677.61</x:v>
      </x:c>
      <x:c r="F611" s="11" t="n">
        <x:v>7015</x:v>
      </x:c>
      <x:c r="G611" s="18" t="n">
        <x:v>46</x:v>
      </x:c>
      <x:c r="H611" s="11" t="n">
        <x:f>MAX(IF(C611="call",F611-D611,D611-F611),0)</x:f>
        <x:v>585</x:v>
      </x:c>
      <x:c r="I611" s="11" t="n">
        <x:f>E611-H611</x:f>
        <x:v>92.61000000000001</x:v>
      </x:c>
      <x:c r="J611" s="13" t="n">
        <x:f>D611/F611</x:f>
        <x:v>1.0833927298645758</x:v>
      </x:c>
      <x:c r="K611" s="13" t="n">
        <x:v>0.432223099253069</x:v>
      </x:c>
      <x:c r="L611" s="17" t="n">
        <x:v>-0.5788242880379793</x:v>
      </x:c>
      <x:c r="M611" s="17" t="n">
        <x:v>9.740489254753507</x:v>
      </x:c>
      <x:c r="N611" s="11" t="n">
        <x:f>'Option source'!C816</x:f>
        <x:v>1608724.62</x:v>
      </x:c>
      <x:c r="O611" s="11" t="n">
        <x:f>'Option source'!G816</x:f>
        <x:v>626</x:v>
      </x:c>
      <x:c r="P611" s="11" t="n">
        <x:f>'Option source'!F816</x:f>
        <x:v>700.5</x:v>
      </x:c>
      <x:c r="Q611" s="1" t="str">
        <x:v>Screen passed; indicative</x:v>
      </x:c>
      <x:c r="R611" s="1" t="n">
        <x:v>811</x:v>
      </x:c>
    </x:row>
    <x:row r="612" ht="21" customHeight="1">
      <x:c r="A612" s="12" t="n">
        <x:v>46265</x:v>
      </x:c>
      <x:c r="B612" s="1" t="str">
        <x:v>GFGC6400OC</x:v>
      </x:c>
      <x:c r="C612" s="1" t="str">
        <x:v>call</x:v>
      </x:c>
      <x:c r="D612" s="11" t="n">
        <x:v>6400</x:v>
      </x:c>
      <x:c r="E612" s="11" t="n">
        <x:f>'Option source'!B208</x:f>
        <x:v>925</x:v>
      </x:c>
      <x:c r="F612" s="11" t="n">
        <x:v>7015</x:v>
      </x:c>
      <x:c r="G612" s="18" t="n">
        <x:v>46</x:v>
      </x:c>
      <x:c r="H612" s="11" t="n">
        <x:f>MAX(IF(C612="call",F612-D612,D612-F612),0)</x:f>
        <x:v>615</x:v>
      </x:c>
      <x:c r="I612" s="11" t="n">
        <x:f>E612-H612</x:f>
        <x:v>310</x:v>
      </x:c>
      <x:c r="J612" s="13" t="n">
        <x:f>D612/F612</x:f>
        <x:v>0.9123307198859587</x:v>
      </x:c>
      <x:c r="K612" s="13" t="n">
        <x:v>0.3679010300264446</x:v>
      </x:c>
      <x:c r="L612" s="17" t="n">
        <x:v>0.8548127970187878</x:v>
      </x:c>
      <x:c r="M612" s="17" t="n">
        <x:v>5.6809983547895015</x:v>
      </x:c>
      <x:c r="N612" s="11" t="n">
        <x:f>'Option source'!C208</x:f>
        <x:v>37233648</x:v>
      </x:c>
      <x:c r="O612" s="11" t="n">
        <x:f>'Option source'!G208</x:f>
        <x:v>798</x:v>
      </x:c>
      <x:c r="P612" s="11" t="n">
        <x:f>'Option source'!F208</x:f>
        <x:v>1000</x:v>
      </x:c>
      <x:c r="Q612" s="1" t="str">
        <x:v>Screen passed; indicative</x:v>
      </x:c>
      <x:c r="R612" s="1" t="n">
        <x:v>203</x:v>
      </x:c>
    </x:row>
    <x:row r="613" ht="21" customHeight="1">
      <x:c r="A613" s="12" t="n">
        <x:v>46265</x:v>
      </x:c>
      <x:c r="B613" s="1" t="str">
        <x:v>GFGV6400OC</x:v>
      </x:c>
      <x:c r="C613" s="1" t="str">
        <x:v>put</x:v>
      </x:c>
      <x:c r="D613" s="11" t="n">
        <x:v>6400</x:v>
      </x:c>
      <x:c r="E613" s="11" t="n">
        <x:f>'Option source'!B702</x:f>
        <x:v>137.67</x:v>
      </x:c>
      <x:c r="F613" s="11" t="n">
        <x:v>7015</x:v>
      </x:c>
      <x:c r="G613" s="18" t="n">
        <x:v>46</x:v>
      </x:c>
      <x:c r="H613" s="11" t="n">
        <x:f>MAX(IF(C613="call",F613-D613,D613-F613),0)</x:f>
        <x:v>0</x:v>
      </x:c>
      <x:c r="I613" s="11" t="n">
        <x:f>E613-H613</x:f>
        <x:v>137.67</x:v>
      </x:c>
      <x:c r="J613" s="13" t="n">
        <x:f>D613/F613</x:f>
        <x:v>0.9123307198859587</x:v>
      </x:c>
      <x:c r="K613" s="13" t="n">
        <x:v>0.45952999670839634</x:v>
      </x:c>
      <x:c r="L613" s="17" t="n">
        <x:v>-0.19057932255411303</x:v>
      </x:c>
      <x:c r="M613" s="17" t="n">
        <x:v>6.770591723769354</x:v>
      </x:c>
      <x:c r="N613" s="11" t="n">
        <x:f>'Option source'!C702</x:f>
        <x:v>88075136</x:v>
      </x:c>
      <x:c r="O613" s="11" t="n">
        <x:f>'Option source'!G702</x:f>
        <x:v>115.4</x:v>
      </x:c>
      <x:c r="P613" s="11" t="n">
        <x:f>'Option source'!F702</x:f>
        <x:v>196.11</x:v>
      </x:c>
      <x:c r="Q613" s="1" t="str">
        <x:v>Screen passed; indicative</x:v>
      </x:c>
      <x:c r="R613" s="1" t="n">
        <x:v>697</x:v>
      </x:c>
    </x:row>
    <x:row r="614" ht="21" customHeight="1">
      <x:c r="A614" s="12" t="n">
        <x:v>46265</x:v>
      </x:c>
      <x:c r="B614" s="1" t="str">
        <x:v>GFGC7800OC</x:v>
      </x:c>
      <x:c r="C614" s="1" t="str">
        <x:v>call</x:v>
      </x:c>
      <x:c r="D614" s="11" t="n">
        <x:v>7800</x:v>
      </x:c>
      <x:c r="E614" s="11" t="n">
        <x:f>'Option source'!B341</x:f>
        <x:v>228.38</x:v>
      </x:c>
      <x:c r="F614" s="11" t="n">
        <x:v>7015</x:v>
      </x:c>
      <x:c r="G614" s="18" t="n">
        <x:v>46</x:v>
      </x:c>
      <x:c r="H614" s="11" t="n">
        <x:f>MAX(IF(C614="call",F614-D614,D614-F614),0)</x:f>
        <x:v>0</x:v>
      </x:c>
      <x:c r="I614" s="11" t="n">
        <x:f>E614-H614</x:f>
        <x:v>228.38</x:v>
      </x:c>
      <x:c r="J614" s="13" t="n">
        <x:f>D614/F614</x:f>
        <x:v>1.1119030648610122</x:v>
      </x:c>
      <x:c r="K614" s="13" t="n">
        <x:v>0.42022641649949233</x:v>
      </x:c>
      <x:c r="L614" s="17" t="n">
        <x:v>0.3508584690532841</x:v>
      </x:c>
      <x:c r="M614" s="17" t="n">
        <x:v>9.23243968696055</x:v>
      </x:c>
      <x:c r="N614" s="11" t="n">
        <x:f>'Option source'!C341</x:f>
        <x:v>221219120</x:v>
      </x:c>
      <x:c r="O614" s="11" t="n">
        <x:f>'Option source'!G341</x:f>
        <x:v>166.34</x:v>
      </x:c>
      <x:c r="P614" s="11" t="n">
        <x:f>'Option source'!F341</x:f>
        <x:v>260</x:v>
      </x:c>
      <x:c r="Q614" s="1" t="str">
        <x:v>Screen passed; indicative</x:v>
      </x:c>
      <x:c r="R614" s="1" t="n">
        <x:v>336</x:v>
      </x:c>
    </x:row>
    <x:row r="615" ht="21" customHeight="1">
      <x:c r="A615" s="12" t="n">
        <x:v>46265</x:v>
      </x:c>
      <x:c r="B615" s="1" t="str">
        <x:v>GFGV7800OC</x:v>
      </x:c>
      <x:c r="C615" s="1" t="str">
        <x:v>put</x:v>
      </x:c>
      <x:c r="D615" s="11" t="n">
        <x:v>7800</x:v>
      </x:c>
      <x:c r="E615" s="11" t="n">
        <x:f>'Option source'!B835</x:f>
        <x:v>790.81</x:v>
      </x:c>
      <x:c r="F615" s="11" t="n">
        <x:v>7015</x:v>
      </x:c>
      <x:c r="G615" s="18" t="n">
        <x:v>46</x:v>
      </x:c>
      <x:c r="H615" s="11" t="n">
        <x:f>MAX(IF(C615="call",F615-D615,D615-F615),0)</x:f>
        <x:v>785</x:v>
      </x:c>
      <x:c r="I615" s="11" t="n">
        <x:f>E615-H615</x:f>
        <x:v>5.809999999999945</x:v>
      </x:c>
      <x:c r="J615" s="13" t="n">
        <x:f>D615/F615</x:f>
        <x:v>1.1119030648610122</x:v>
      </x:c>
      <x:c r="K615" s="13" t="n">
        <x:v>0.3534919528071546</x:v>
      </x:c>
      <x:c r="L615" s="17" t="n">
        <x:v>-0.684825944161643</x:v>
      </x:c>
      <x:c r="M615" s="17" t="n">
        <x:v>8.848737558264817</x:v>
      </x:c>
      <x:c r="N615" s="11" t="n">
        <x:f>'Option source'!C835</x:f>
        <x:v>7598978</x:v>
      </x:c>
      <x:c r="O615" s="11" t="n">
        <x:f>'Option source'!G835</x:f>
        <x:v>731.89</x:v>
      </x:c>
      <x:c r="P615" s="11" t="n">
        <x:f>'Option source'!F835</x:f>
        <x:v>968</x:v>
      </x:c>
      <x:c r="Q615" s="1" t="str">
        <x:v>Screen passed; indicative</x:v>
      </x:c>
      <x:c r="R615" s="1" t="n">
        <x:v>830</x:v>
      </x:c>
    </x:row>
    <x:row r="616" ht="21" customHeight="1">
      <x:c r="A616" s="12" t="n">
        <x:v>46265</x:v>
      </x:c>
      <x:c r="B616" s="1" t="str">
        <x:v>GFGC6200OC</x:v>
      </x:c>
      <x:c r="C616" s="1" t="str">
        <x:v>call</x:v>
      </x:c>
      <x:c r="D616" s="11" t="n">
        <x:v>6200</x:v>
      </x:c>
      <x:c r="E616" s="11" t="n">
        <x:f>'Option source'!B189</x:f>
        <x:v>1069</x:v>
      </x:c>
      <x:c r="F616" s="11" t="n">
        <x:v>7015</x:v>
      </x:c>
      <x:c r="G616" s="18" t="n">
        <x:v>46</x:v>
      </x:c>
      <x:c r="H616" s="11" t="n">
        <x:f>MAX(IF(C616="call",F616-D616,D616-F616),0)</x:f>
        <x:v>815</x:v>
      </x:c>
      <x:c r="I616" s="11" t="n">
        <x:f>E616-H616</x:f>
        <x:v>254</x:v>
      </x:c>
      <x:c r="J616" s="13" t="n">
        <x:f>D616/F616</x:f>
        <x:v>0.8838203848895224</x:v>
      </x:c>
      <x:c r="K616" s="13" t="n">
        <x:v>0.31451772181878945</x:v>
      </x:c>
      <x:c r="L616" s="17" t="n">
        <x:v>0.9332632551262487</x:v>
      </x:c>
      <x:c r="M616" s="17" t="n">
        <x:v>3.222807348909289</x:v>
      </x:c>
      <x:c r="N616" s="11" t="n">
        <x:f>'Option source'!C189</x:f>
        <x:v>4061122.25</x:v>
      </x:c>
      <x:c r="O616" s="11" t="n">
        <x:f>'Option source'!G189</x:f>
        <x:v>971.66</x:v>
      </x:c>
      <x:c r="P616" s="11" t="n">
        <x:f>'Option source'!F189</x:f>
        <x:v>1080</x:v>
      </x:c>
      <x:c r="Q616" s="1" t="str">
        <x:v>Screen passed; indicative</x:v>
      </x:c>
      <x:c r="R616" s="1" t="n">
        <x:v>184</x:v>
      </x:c>
    </x:row>
    <x:row r="617" ht="21" customHeight="1">
      <x:c r="A617" s="12" t="n">
        <x:v>46265</x:v>
      </x:c>
      <x:c r="B617" s="1" t="str">
        <x:v>GFGV6200OC</x:v>
      </x:c>
      <x:c r="C617" s="1" t="str">
        <x:v>put</x:v>
      </x:c>
      <x:c r="D617" s="11" t="n">
        <x:v>6200</x:v>
      </x:c>
      <x:c r="E617" s="11" t="n">
        <x:f>'Option source'!B683</x:f>
        <x:v>90.19</x:v>
      </x:c>
      <x:c r="F617" s="11" t="n">
        <x:v>7015</x:v>
      </x:c>
      <x:c r="G617" s="18" t="n">
        <x:v>46</x:v>
      </x:c>
      <x:c r="H617" s="11" t="n">
        <x:f>MAX(IF(C617="call",F617-D617,D617-F617),0)</x:f>
        <x:v>0</x:v>
      </x:c>
      <x:c r="I617" s="11" t="n">
        <x:f>E617-H617</x:f>
        <x:v>90.19</x:v>
      </x:c>
      <x:c r="J617" s="13" t="n">
        <x:f>D617/F617</x:f>
        <x:v>0.8838203848895224</x:v>
      </x:c>
      <x:c r="K617" s="13" t="n">
        <x:v>0.45149535243776306</x:v>
      </x:c>
      <x:c r="L617" s="17" t="n">
        <x:v>-0.13861780217758013</x:v>
      </x:c>
      <x:c r="M617" s="17" t="n">
        <x:v>5.505642794416486</x:v>
      </x:c>
      <x:c r="N617" s="11" t="n">
        <x:f>'Option source'!C683</x:f>
        <x:v>65154644</x:v>
      </x:c>
      <x:c r="O617" s="11" t="n">
        <x:f>'Option source'!G683</x:f>
        <x:v>80</x:v>
      </x:c>
      <x:c r="P617" s="11" t="n">
        <x:f>'Option source'!F683</x:f>
        <x:v>135</x:v>
      </x:c>
      <x:c r="Q617" s="1" t="str">
        <x:v>Screen passed; indicative</x:v>
      </x:c>
      <x:c r="R617" s="1" t="n">
        <x:v>678</x:v>
      </x:c>
    </x:row>
    <x:row r="618" ht="21" customHeight="1">
      <x:c r="A618" s="12" t="n">
        <x:v>46265</x:v>
      </x:c>
      <x:c r="B618" s="1" t="str">
        <x:v>GFGC8000OC</x:v>
      </x:c>
      <x:c r="C618" s="1" t="str">
        <x:v>call</x:v>
      </x:c>
      <x:c r="D618" s="11" t="n">
        <x:v>8000</x:v>
      </x:c>
      <x:c r="E618" s="11" t="n">
        <x:f>'Option source'!B360</x:f>
        <x:v>178.25</x:v>
      </x:c>
      <x:c r="F618" s="11" t="n">
        <x:v>7015</x:v>
      </x:c>
      <x:c r="G618" s="18" t="n">
        <x:v>46</x:v>
      </x:c>
      <x:c r="H618" s="11" t="n">
        <x:f>MAX(IF(C618="call",F618-D618,D618-F618),0)</x:f>
        <x:v>0</x:v>
      </x:c>
      <x:c r="I618" s="11" t="n">
        <x:f>E618-H618</x:f>
        <x:v>178.25</x:v>
      </x:c>
      <x:c r="J618" s="13" t="n">
        <x:f>D618/F618</x:f>
        <x:v>1.1404133998574484</x:v>
      </x:c>
      <x:c r="K618" s="13" t="n">
        <x:v>0.4221266025789364</x:v>
      </x:c>
      <x:c r="L618" s="17" t="n">
        <x:v>0.29131271311493656</x:v>
      </x:c>
      <x:c r="M618" s="17" t="n">
        <x:v>8.542592924303811</x:v>
      </x:c>
      <x:c r="N618" s="11" t="n">
        <x:f>'Option source'!C360</x:f>
        <x:v>547044864</x:v>
      </x:c>
      <x:c r="O618" s="11" t="n">
        <x:f>'Option source'!G360</x:f>
        <x:v>121</x:v>
      </x:c>
      <x:c r="P618" s="11" t="n">
        <x:f>'Option source'!F360</x:f>
        <x:v>200</x:v>
      </x:c>
      <x:c r="Q618" s="1" t="str">
        <x:v>Screen passed; indicative</x:v>
      </x:c>
      <x:c r="R618" s="1" t="n">
        <x:v>355</x:v>
      </x:c>
    </x:row>
    <x:row r="619" ht="21" customHeight="1">
      <x:c r="A619" s="12" t="n">
        <x:v>46265</x:v>
      </x:c>
      <x:c r="B619" s="1" t="str">
        <x:v>GFGV8000OC</x:v>
      </x:c>
      <x:c r="C619" s="1" t="str">
        <x:v>put</x:v>
      </x:c>
      <x:c r="D619" s="11" t="n">
        <x:v>8000</x:v>
      </x:c>
      <x:c r="E619" s="11" t="n">
        <x:f>'Option source'!B854</x:f>
        <x:v>950</x:v>
      </x:c>
      <x:c r="F619" s="11" t="n">
        <x:v>7015</x:v>
      </x:c>
      <x:c r="G619" s="18" t="n">
        <x:v>46</x:v>
      </x:c>
      <x:c r="H619" s="11" t="n">
        <x:f>MAX(IF(C619="call",F619-D619,D619-F619),0)</x:f>
        <x:v>985</x:v>
      </x:c>
      <x:c r="I619" s="11" t="n">
        <x:f>E619-H619</x:f>
        <x:v>-35</x:v>
      </x:c>
      <x:c r="J619" s="13" t="n">
        <x:f>D619/F619</x:f>
        <x:v>1.1404133998574484</x:v>
      </x:c>
      <x:c r="K619" s="13"/>
      <x:c r="L619" s="17"/>
      <x:c r="M619" s="17"/>
      <x:c r="N619" s="11" t="n">
        <x:f>'Option source'!C854</x:f>
        <x:v>2310116.5</x:v>
      </x:c>
      <x:c r="O619" s="11" t="n">
        <x:f>'Option source'!G854</x:f>
        <x:v>880.45</x:v>
      </x:c>
      <x:c r="P619" s="11" t="n">
        <x:f>'Option source'!F854</x:f>
        <x:v>1107.95</x:v>
      </x:c>
      <x:c r="Q619" s="1" t="str">
        <x:v>Below intrinsic value</x:v>
      </x:c>
      <x:c r="R619" s="1" t="n">
        <x:v>849</x:v>
      </x:c>
    </x:row>
    <x:row r="620" ht="21" customHeight="1">
      <x:c r="A620" s="12" t="n">
        <x:v>46265</x:v>
      </x:c>
      <x:c r="B620" s="1" t="str">
        <x:v>GFGC6000OC</x:v>
      </x:c>
      <x:c r="C620" s="1" t="str">
        <x:v>call</x:v>
      </x:c>
      <x:c r="D620" s="11" t="n">
        <x:v>6000</x:v>
      </x:c>
      <x:c r="E620" s="11" t="n">
        <x:f>'Option source'!B170</x:f>
        <x:v>1200</x:v>
      </x:c>
      <x:c r="F620" s="11" t="n">
        <x:v>7015</x:v>
      </x:c>
      <x:c r="G620" s="18" t="n">
        <x:v>46</x:v>
      </x:c>
      <x:c r="H620" s="11" t="n">
        <x:f>MAX(IF(C620="call",F620-D620,D620-F620),0)</x:f>
        <x:v>1015</x:v>
      </x:c>
      <x:c r="I620" s="11" t="n">
        <x:f>E620-H620</x:f>
        <x:v>185</x:v>
      </x:c>
      <x:c r="J620" s="13" t="n">
        <x:f>D620/F620</x:f>
        <x:v>0.8553100498930862</x:v>
      </x:c>
      <x:c r="K620" s="13"/>
      <x:c r="L620" s="17"/>
      <x:c r="M620" s="17"/>
      <x:c r="N620" s="11" t="n">
        <x:f>'Option source'!C170</x:f>
        <x:v>682000</x:v>
      </x:c>
      <x:c r="O620" s="11" t="n">
        <x:f>'Option source'!G170</x:f>
        <x:v>1300</x:v>
      </x:c>
      <x:c r="P620" s="11" t="n">
        <x:f>'Option source'!F170</x:f>
        <x:v>1440</x:v>
      </x:c>
      <x:c r="Q620" s="1" t="str">
        <x:v>Price outside daily range</x:v>
      </x:c>
      <x:c r="R620" s="1" t="n">
        <x:v>165</x:v>
      </x:c>
    </x:row>
    <x:row r="621" ht="21" customHeight="1">
      <x:c r="A621" s="12" t="n">
        <x:v>46265</x:v>
      </x:c>
      <x:c r="B621" s="1" t="str">
        <x:v>GFGV6000OC</x:v>
      </x:c>
      <x:c r="C621" s="1" t="str">
        <x:v>put</x:v>
      </x:c>
      <x:c r="D621" s="11" t="n">
        <x:v>6000</x:v>
      </x:c>
      <x:c r="E621" s="11" t="n">
        <x:f>'Option source'!B664</x:f>
        <x:v>61.12</x:v>
      </x:c>
      <x:c r="F621" s="11" t="n">
        <x:v>7015</x:v>
      </x:c>
      <x:c r="G621" s="18" t="n">
        <x:v>46</x:v>
      </x:c>
      <x:c r="H621" s="11" t="n">
        <x:f>MAX(IF(C621="call",F621-D621,D621-F621),0)</x:f>
        <x:v>0</x:v>
      </x:c>
      <x:c r="I621" s="11" t="n">
        <x:f>E621-H621</x:f>
        <x:v>61.12</x:v>
      </x:c>
      <x:c r="J621" s="13" t="n">
        <x:f>D621/F621</x:f>
        <x:v>0.8553100498930862</x:v>
      </x:c>
      <x:c r="K621" s="13" t="n">
        <x:v>0.4567758386107198</x:v>
      </x:c>
      <x:c r="L621" s="17" t="n">
        <x:v>-0.10061351220582926</x:v>
      </x:c>
      <x:c r="M621" s="17" t="n">
        <x:v>4.390074041408207</x:v>
      </x:c>
      <x:c r="N621" s="11" t="n">
        <x:f>'Option source'!C664</x:f>
        <x:v>42206504</x:v>
      </x:c>
      <x:c r="O621" s="11" t="n">
        <x:f>'Option source'!G664</x:f>
        <x:v>52</x:v>
      </x:c>
      <x:c r="P621" s="11" t="n">
        <x:f>'Option source'!F664</x:f>
        <x:v>80</x:v>
      </x:c>
      <x:c r="Q621" s="1" t="str">
        <x:v>Screen passed; indicative</x:v>
      </x:c>
      <x:c r="R621" s="1" t="n">
        <x:v>659</x:v>
      </x:c>
    </x:row>
    <x:row r="622" ht="21" customHeight="1">
      <x:c r="A622" s="12" t="n">
        <x:v>46265</x:v>
      </x:c>
      <x:c r="B622" s="1" t="str">
        <x:v>GFGV5800OC</x:v>
      </x:c>
      <x:c r="C622" s="1" t="str">
        <x:v>put</x:v>
      </x:c>
      <x:c r="D622" s="11" t="n">
        <x:v>5800</x:v>
      </x:c>
      <x:c r="E622" s="11" t="n">
        <x:f>'Option source'!B645</x:f>
        <x:v>36.96</x:v>
      </x:c>
      <x:c r="F622" s="11" t="n">
        <x:v>7015</x:v>
      </x:c>
      <x:c r="G622" s="18" t="n">
        <x:v>46</x:v>
      </x:c>
      <x:c r="H622" s="11" t="n">
        <x:f>MAX(IF(C622="call",F622-D622,D622-F622),0)</x:f>
        <x:v>0</x:v>
      </x:c>
      <x:c r="I622" s="11" t="n">
        <x:f>E622-H622</x:f>
        <x:v>36.96</x:v>
      </x:c>
      <x:c r="J622" s="13" t="n">
        <x:f>D622/F622</x:f>
        <x:v>0.82679971489665</x:v>
      </x:c>
      <x:c r="K622" s="13" t="n">
        <x:v>0.45253982755145694</x:v>
      </x:c>
      <x:c r="L622" s="17" t="n">
        <x:v>-0.06686689227715092</x:v>
      </x:c>
      <x:c r="M622" s="17" t="n">
        <x:v>3.2276691700423883</x:v>
      </x:c>
      <x:c r="N622" s="11" t="n">
        <x:f>'Option source'!C645</x:f>
        <x:v>9169526</x:v>
      </x:c>
      <x:c r="O622" s="11" t="n">
        <x:f>'Option source'!G645</x:f>
        <x:v>32.5</x:v>
      </x:c>
      <x:c r="P622" s="11" t="n">
        <x:f>'Option source'!F645</x:f>
        <x:v>65</x:v>
      </x:c>
      <x:c r="Q622" s="1" t="str">
        <x:v>Screen passed; indicative</x:v>
      </x:c>
      <x:c r="R622" s="1" t="n">
        <x:v>640</x:v>
      </x:c>
    </x:row>
    <x:row r="623" ht="21" customHeight="1">
      <x:c r="A623" s="12" t="n">
        <x:v>46265</x:v>
      </x:c>
      <x:c r="B623" s="1" t="str">
        <x:v>GFGC8300OC</x:v>
      </x:c>
      <x:c r="C623" s="1" t="str">
        <x:v>call</x:v>
      </x:c>
      <x:c r="D623" s="11" t="n">
        <x:v>8300</x:v>
      </x:c>
      <x:c r="E623" s="11" t="n">
        <x:f>'Option source'!B379</x:f>
        <x:v>114.25</x:v>
      </x:c>
      <x:c r="F623" s="11" t="n">
        <x:v>7015</x:v>
      </x:c>
      <x:c r="G623" s="18" t="n">
        <x:v>46</x:v>
      </x:c>
      <x:c r="H623" s="11" t="n">
        <x:f>MAX(IF(C623="call",F623-D623,D623-F623),0)</x:f>
        <x:v>0</x:v>
      </x:c>
      <x:c r="I623" s="11" t="n">
        <x:f>E623-H623</x:f>
        <x:v>114.25</x:v>
      </x:c>
      <x:c r="J623" s="13" t="n">
        <x:f>D623/F623</x:f>
        <x:v>1.1831789023521027</x:v>
      </x:c>
      <x:c r="K623" s="13" t="n">
        <x:v>0.41582406162632646</x:v>
      </x:c>
      <x:c r="L623" s="17" t="n">
        <x:v>0.20910724079715717</x:v>
      </x:c>
      <x:c r="M623" s="17" t="n">
        <x:v>7.159253358557977</x:v>
      </x:c>
      <x:c r="N623" s="11" t="n">
        <x:f>'Option source'!C379</x:f>
        <x:v>86548000</x:v>
      </x:c>
      <x:c r="O623" s="11" t="n">
        <x:f>'Option source'!G379</x:f>
        <x:v>83</x:v>
      </x:c>
      <x:c r="P623" s="11" t="n">
        <x:f>'Option source'!F379</x:f>
        <x:v>138.85</x:v>
      </x:c>
      <x:c r="Q623" s="1" t="str">
        <x:v>Screen passed; indicative</x:v>
      </x:c>
      <x:c r="R623" s="1" t="n">
        <x:v>374</x:v>
      </x:c>
    </x:row>
    <x:row r="624" ht="21" customHeight="1">
      <x:c r="A624" s="12" t="n">
        <x:v>46265</x:v>
      </x:c>
      <x:c r="B624" s="1" t="str">
        <x:v>GFGV8300OC</x:v>
      </x:c>
      <x:c r="C624" s="1" t="str">
        <x:v>put</x:v>
      </x:c>
      <x:c r="D624" s="11" t="n">
        <x:v>8300</x:v>
      </x:c>
      <x:c r="E624" s="11" t="n">
        <x:f>'Option source'!B873</x:f>
        <x:v>1260</x:v>
      </x:c>
      <x:c r="F624" s="11" t="n">
        <x:v>7015</x:v>
      </x:c>
      <x:c r="G624" s="18" t="n">
        <x:v>46</x:v>
      </x:c>
      <x:c r="H624" s="11" t="n">
        <x:f>MAX(IF(C624="call",F624-D624,D624-F624),0)</x:f>
        <x:v>1285</x:v>
      </x:c>
      <x:c r="I624" s="11" t="n">
        <x:f>E624-H624</x:f>
        <x:v>-25</x:v>
      </x:c>
      <x:c r="J624" s="13" t="n">
        <x:f>D624/F624</x:f>
        <x:v>1.1831789023521027</x:v>
      </x:c>
      <x:c r="K624" s="13"/>
      <x:c r="L624" s="17"/>
      <x:c r="M624" s="17"/>
      <x:c r="N624" s="11" t="n">
        <x:f>'Option source'!C873</x:f>
        <x:v>252000</x:v>
      </x:c>
      <x:c r="O624" s="11" t="n">
        <x:f>'Option source'!G873</x:f>
        <x:v>0</x:v>
      </x:c>
      <x:c r="P624" s="11" t="n">
        <x:f>'Option source'!F873</x:f>
        <x:v>0</x:v>
      </x:c>
      <x:c r="Q624" s="1" t="str">
        <x:v>Price outside daily range; Below intrinsic value</x:v>
      </x:c>
      <x:c r="R624" s="1" t="n">
        <x:v>868</x:v>
      </x:c>
    </x:row>
    <x:row r="625" ht="21" customHeight="1">
      <x:c r="A625" s="12" t="n">
        <x:v>46265</x:v>
      </x:c>
      <x:c r="B625" s="1" t="str">
        <x:v>GFGC5600OC</x:v>
      </x:c>
      <x:c r="C625" s="1" t="str">
        <x:v>call</x:v>
      </x:c>
      <x:c r="D625" s="11" t="n">
        <x:v>5600</x:v>
      </x:c>
      <x:c r="E625" s="11" t="n">
        <x:f>'Option source'!B141</x:f>
        <x:v>1311.48</x:v>
      </x:c>
      <x:c r="F625" s="11" t="n">
        <x:v>7015</x:v>
      </x:c>
      <x:c r="G625" s="18" t="n">
        <x:v>46</x:v>
      </x:c>
      <x:c r="H625" s="11" t="n">
        <x:f>MAX(IF(C625="call",F625-D625,D625-F625),0)</x:f>
        <x:v>1415</x:v>
      </x:c>
      <x:c r="I625" s="11" t="n">
        <x:f>E625-H625</x:f>
        <x:v>-103.51999999999998</x:v>
      </x:c>
      <x:c r="J625" s="13" t="n">
        <x:f>D625/F625</x:f>
        <x:v>0.7982893799002139</x:v>
      </x:c>
      <x:c r="K625" s="13"/>
      <x:c r="L625" s="17"/>
      <x:c r="M625" s="17"/>
      <x:c r="N625" s="11" t="n">
        <x:f>'Option source'!C141</x:f>
        <x:v>0</x:v>
      </x:c>
      <x:c r="O625" s="11" t="n">
        <x:f>'Option source'!G141</x:f>
        <x:v>1311.48</x:v>
      </x:c>
      <x:c r="P625" s="11" t="n">
        <x:f>'Option source'!F141</x:f>
        <x:v>1311.48</x:v>
      </x:c>
      <x:c r="Q625" s="1" t="str">
        <x:v>Zero reported volume; Below intrinsic value</x:v>
      </x:c>
      <x:c r="R625" s="1" t="n">
        <x:v>136</x:v>
      </x:c>
    </x:row>
    <x:row r="626" ht="21" customHeight="1">
      <x:c r="A626" s="12" t="n">
        <x:v>46265</x:v>
      </x:c>
      <x:c r="B626" s="1" t="str">
        <x:v>GFGV5600OC</x:v>
      </x:c>
      <x:c r="C626" s="1" t="str">
        <x:v>put</x:v>
      </x:c>
      <x:c r="D626" s="11" t="n">
        <x:v>5600</x:v>
      </x:c>
      <x:c r="E626" s="11" t="n">
        <x:f>'Option source'!B626</x:f>
        <x:v>22.98</x:v>
      </x:c>
      <x:c r="F626" s="11" t="n">
        <x:v>7015</x:v>
      </x:c>
      <x:c r="G626" s="18" t="n">
        <x:v>46</x:v>
      </x:c>
      <x:c r="H626" s="11" t="n">
        <x:f>MAX(IF(C626="call",F626-D626,D626-F626),0)</x:f>
        <x:v>0</x:v>
      </x:c>
      <x:c r="I626" s="11" t="n">
        <x:f>E626-H626</x:f>
        <x:v>22.98</x:v>
      </x:c>
      <x:c r="J626" s="13" t="n">
        <x:f>D626/F626</x:f>
        <x:v>0.7982893799002139</x:v>
      </x:c>
      <x:c r="K626" s="13" t="n">
        <x:v>0.457384488840347</x:v>
      </x:c>
      <x:c r="L626" s="17" t="n">
        <x:v>-0.04442623699244708</x:v>
      </x:c>
      <x:c r="M626" s="17" t="n">
        <x:v>2.3362531417138315</x:v>
      </x:c>
      <x:c r="N626" s="11" t="n">
        <x:f>'Option source'!C626</x:f>
        <x:v>7310410.5</x:v>
      </x:c>
      <x:c r="O626" s="11" t="n">
        <x:f>'Option source'!G626</x:f>
        <x:v>20</x:v>
      </x:c>
      <x:c r="P626" s="11" t="n">
        <x:f>'Option source'!F626</x:f>
        <x:v>34</x:v>
      </x:c>
      <x:c r="Q626" s="1" t="str">
        <x:v>Screen passed; indicative</x:v>
      </x:c>
      <x:c r="R626" s="1" t="n">
        <x:v>621</x:v>
      </x:c>
    </x:row>
    <x:row r="627" ht="21" customHeight="1">
      <x:c r="A627" s="12" t="n">
        <x:v>46265</x:v>
      </x:c>
      <x:c r="B627" s="1" t="str">
        <x:v>GFGC8600OC</x:v>
      </x:c>
      <x:c r="C627" s="1" t="str">
        <x:v>call</x:v>
      </x:c>
      <x:c r="D627" s="11" t="n">
        <x:v>8600</x:v>
      </x:c>
      <x:c r="E627" s="11" t="n">
        <x:f>'Option source'!B398</x:f>
        <x:v>73.69</x:v>
      </x:c>
      <x:c r="F627" s="11" t="n">
        <x:v>7015</x:v>
      </x:c>
      <x:c r="G627" s="18" t="n">
        <x:v>46</x:v>
      </x:c>
      <x:c r="H627" s="11" t="n">
        <x:f>MAX(IF(C627="call",F627-D627,D627-F627),0)</x:f>
        <x:v>0</x:v>
      </x:c>
      <x:c r="I627" s="11" t="n">
        <x:f>E627-H627</x:f>
        <x:v>73.69</x:v>
      </x:c>
      <x:c r="J627" s="13" t="n">
        <x:f>D627/F627</x:f>
        <x:v>1.225944404846757</x:v>
      </x:c>
      <x:c r="K627" s="13" t="n">
        <x:v>0.41615696313537764</x:v>
      </x:c>
      <x:c r="L627" s="17" t="n">
        <x:v>0.14706741677492124</x:v>
      </x:c>
      <x:c r="M627" s="17" t="n">
        <x:v>5.730312863386407</x:v>
      </x:c>
      <x:c r="N627" s="11" t="n">
        <x:f>'Option source'!C398</x:f>
        <x:v>147705424</x:v>
      </x:c>
      <x:c r="O627" s="11" t="n">
        <x:f>'Option source'!G398</x:f>
        <x:v>52</x:v>
      </x:c>
      <x:c r="P627" s="11" t="n">
        <x:f>'Option source'!F398</x:f>
        <x:v>90</x:v>
      </x:c>
      <x:c r="Q627" s="1" t="str">
        <x:v>Screen passed; indicative</x:v>
      </x:c>
      <x:c r="R627" s="1" t="n">
        <x:v>393</x:v>
      </x:c>
    </x:row>
    <x:row r="628" ht="21" customHeight="1">
      <x:c r="A628" s="12" t="n">
        <x:v>46265</x:v>
      </x:c>
      <x:c r="B628" s="1" t="str">
        <x:v>GFGV8600OC</x:v>
      </x:c>
      <x:c r="C628" s="1" t="str">
        <x:v>put</x:v>
      </x:c>
      <x:c r="D628" s="11" t="n">
        <x:v>8600</x:v>
      </x:c>
      <x:c r="E628" s="11" t="n">
        <x:f>'Option source'!B892</x:f>
        <x:v>1650</x:v>
      </x:c>
      <x:c r="F628" s="11" t="n">
        <x:v>7015</x:v>
      </x:c>
      <x:c r="G628" s="18" t="n">
        <x:v>46</x:v>
      </x:c>
      <x:c r="H628" s="11" t="n">
        <x:f>MAX(IF(C628="call",F628-D628,D628-F628),0)</x:f>
        <x:v>1585</x:v>
      </x:c>
      <x:c r="I628" s="11" t="n">
        <x:f>E628-H628</x:f>
        <x:v>65</x:v>
      </x:c>
      <x:c r="J628" s="13" t="n">
        <x:f>D628/F628</x:f>
        <x:v>1.225944404846757</x:v>
      </x:c>
      <x:c r="K628" s="13"/>
      <x:c r="L628" s="17"/>
      <x:c r="M628" s="17"/>
      <x:c r="N628" s="11" t="n">
        <x:f>'Option source'!C892</x:f>
        <x:v>315000</x:v>
      </x:c>
      <x:c r="O628" s="11" t="n">
        <x:f>'Option source'!G892</x:f>
        <x:v>1500</x:v>
      </x:c>
      <x:c r="P628" s="11" t="n">
        <x:f>'Option source'!F892</x:f>
        <x:v>1500</x:v>
      </x:c>
      <x:c r="Q628" s="1" t="str">
        <x:v>Price outside daily range</x:v>
      </x:c>
      <x:c r="R628" s="1" t="n">
        <x:v>887</x:v>
      </x:c>
    </x:row>
    <x:row r="629" ht="21" customHeight="1">
      <x:c r="A629" s="12" t="n">
        <x:v>46265</x:v>
      </x:c>
      <x:c r="B629" s="1" t="str">
        <x:v>GFGC5400OC</x:v>
      </x:c>
      <x:c r="C629" s="1" t="str">
        <x:v>call</x:v>
      </x:c>
      <x:c r="D629" s="11" t="n">
        <x:v>5400</x:v>
      </x:c>
      <x:c r="E629" s="11" t="n">
        <x:f>'Option source'!B123</x:f>
        <x:v>1812</x:v>
      </x:c>
      <x:c r="F629" s="11" t="n">
        <x:v>7015</x:v>
      </x:c>
      <x:c r="G629" s="18" t="n">
        <x:v>46</x:v>
      </x:c>
      <x:c r="H629" s="11" t="n">
        <x:f>MAX(IF(C629="call",F629-D629,D629-F629),0)</x:f>
        <x:v>1615</x:v>
      </x:c>
      <x:c r="I629" s="11" t="n">
        <x:f>E629-H629</x:f>
        <x:v>197</x:v>
      </x:c>
      <x:c r="J629" s="13" t="n">
        <x:f>D629/F629</x:f>
        <x:v>0.7697790449037776</x:v>
      </x:c>
      <x:c r="K629" s="13"/>
      <x:c r="L629" s="17"/>
      <x:c r="M629" s="17"/>
      <x:c r="N629" s="11" t="n">
        <x:f>'Option source'!C123</x:f>
        <x:v>2818746.75</x:v>
      </x:c>
      <x:c r="O629" s="11" t="n">
        <x:f>'Option source'!G123</x:f>
        <x:v>1616.01</x:v>
      </x:c>
      <x:c r="P629" s="11" t="n">
        <x:f>'Option source'!F123</x:f>
        <x:v>1812</x:v>
      </x:c>
      <x:c r="Q629" s="1" t="str">
        <x:v>No stable model IV</x:v>
      </x:c>
      <x:c r="R629" s="1" t="n">
        <x:v>118</x:v>
      </x:c>
    </x:row>
    <x:row r="630" ht="21" customHeight="1">
      <x:c r="A630" s="12" t="n">
        <x:v>46265</x:v>
      </x:c>
      <x:c r="B630" s="1" t="str">
        <x:v>GFGV5400OC</x:v>
      </x:c>
      <x:c r="C630" s="1" t="str">
        <x:v>put</x:v>
      </x:c>
      <x:c r="D630" s="11" t="n">
        <x:v>5400</x:v>
      </x:c>
      <x:c r="E630" s="11" t="n">
        <x:f>'Option source'!B607</x:f>
        <x:v>12.73</x:v>
      </x:c>
      <x:c r="F630" s="11" t="n">
        <x:v>7015</x:v>
      </x:c>
      <x:c r="G630" s="18" t="n">
        <x:v>46</x:v>
      </x:c>
      <x:c r="H630" s="11" t="n">
        <x:f>MAX(IF(C630="call",F630-D630,D630-F630),0)</x:f>
        <x:v>0</x:v>
      </x:c>
      <x:c r="I630" s="11" t="n">
        <x:f>E630-H630</x:f>
        <x:v>12.73</x:v>
      </x:c>
      <x:c r="J630" s="13" t="n">
        <x:f>D630/F630</x:f>
        <x:v>0.7697790449037776</x:v>
      </x:c>
      <x:c r="K630" s="13" t="n">
        <x:v>0.45586917741261423</x:v>
      </x:c>
      <x:c r="L630" s="17" t="n">
        <x:v>-0.02672177685592736</x:v>
      </x:c>
      <x:c r="M630" s="17" t="n">
        <x:v>1.5389060315157548</x:v>
      </x:c>
      <x:c r="N630" s="11" t="n">
        <x:f>'Option source'!C607</x:f>
        <x:v>2412650.5</x:v>
      </x:c>
      <x:c r="O630" s="11" t="n">
        <x:f>'Option source'!G607</x:f>
        <x:v>10.01</x:v>
      </x:c>
      <x:c r="P630" s="11" t="n">
        <x:f>'Option source'!F607</x:f>
        <x:v>18</x:v>
      </x:c>
      <x:c r="Q630" s="1" t="str">
        <x:v>Screen passed; indicative</x:v>
      </x:c>
      <x:c r="R630" s="1" t="n">
        <x:v>602</x:v>
      </x:c>
    </x:row>
    <x:row r="631" ht="21" customHeight="1">
      <x:c r="A631" s="12" t="n">
        <x:v>46265</x:v>
      </x:c>
      <x:c r="B631" s="1" t="str">
        <x:v>GFGC5200OC</x:v>
      </x:c>
      <x:c r="C631" s="1" t="str">
        <x:v>call</x:v>
      </x:c>
      <x:c r="D631" s="11" t="n">
        <x:v>5200</x:v>
      </x:c>
      <x:c r="E631" s="11" t="n">
        <x:f>'Option source'!B104</x:f>
        <x:v>1677.12</x:v>
      </x:c>
      <x:c r="F631" s="11" t="n">
        <x:v>7015</x:v>
      </x:c>
      <x:c r="G631" s="18" t="n">
        <x:v>46</x:v>
      </x:c>
      <x:c r="H631" s="11" t="n">
        <x:f>MAX(IF(C631="call",F631-D631,D631-F631),0)</x:f>
        <x:v>1815</x:v>
      </x:c>
      <x:c r="I631" s="11" t="n">
        <x:f>E631-H631</x:f>
        <x:v>-137.8800000000001</x:v>
      </x:c>
      <x:c r="J631" s="13" t="n">
        <x:f>D631/F631</x:f>
        <x:v>0.7412687099073414</x:v>
      </x:c>
      <x:c r="K631" s="13"/>
      <x:c r="L631" s="17"/>
      <x:c r="M631" s="17"/>
      <x:c r="N631" s="11" t="n">
        <x:f>'Option source'!C104</x:f>
        <x:v>0</x:v>
      </x:c>
      <x:c r="O631" s="11" t="n">
        <x:f>'Option source'!G104</x:f>
        <x:v>1810</x:v>
      </x:c>
      <x:c r="P631" s="11" t="n">
        <x:f>'Option source'!F104</x:f>
        <x:v>1810</x:v>
      </x:c>
      <x:c r="Q631" s="1" t="str">
        <x:v>Zero reported volume; Price outside daily range; Below intrinsic value</x:v>
      </x:c>
      <x:c r="R631" s="1" t="n">
        <x:v>99</x:v>
      </x:c>
    </x:row>
    <x:row r="632" ht="21" customHeight="1">
      <x:c r="A632" s="12" t="n">
        <x:v>46265</x:v>
      </x:c>
      <x:c r="B632" s="1" t="str">
        <x:v>GFGV5200OC</x:v>
      </x:c>
      <x:c r="C632" s="1" t="str">
        <x:v>put</x:v>
      </x:c>
      <x:c r="D632" s="11" t="n">
        <x:v>5200</x:v>
      </x:c>
      <x:c r="E632" s="11" t="n">
        <x:f>'Option source'!B588</x:f>
        <x:v>7.67</x:v>
      </x:c>
      <x:c r="F632" s="11" t="n">
        <x:v>7015</x:v>
      </x:c>
      <x:c r="G632" s="18" t="n">
        <x:v>46</x:v>
      </x:c>
      <x:c r="H632" s="11" t="n">
        <x:f>MAX(IF(C632="call",F632-D632,D632-F632),0)</x:f>
        <x:v>0</x:v>
      </x:c>
      <x:c r="I632" s="11" t="n">
        <x:f>E632-H632</x:f>
        <x:v>7.67</x:v>
      </x:c>
      <x:c r="J632" s="13" t="n">
        <x:f>D632/F632</x:f>
        <x:v>0.7412687099073414</x:v>
      </x:c>
      <x:c r="K632" s="13" t="n">
        <x:v>0.46556423758728505</x:v>
      </x:c>
      <x:c r="L632" s="17" t="n">
        <x:v>-0.01688308156458662</x:v>
      </x:c>
      <x:c r="M632" s="17" t="n">
        <x:v>1.0437464971894013</x:v>
      </x:c>
      <x:c r="N632" s="11" t="n">
        <x:f>'Option source'!C588</x:f>
        <x:v>1655363.75</x:v>
      </x:c>
      <x:c r="O632" s="11" t="n">
        <x:f>'Option source'!G588</x:f>
        <x:v>6.75</x:v>
      </x:c>
      <x:c r="P632" s="11" t="n">
        <x:f>'Option source'!F588</x:f>
        <x:v>9.98</x:v>
      </x:c>
      <x:c r="Q632" s="1" t="str">
        <x:v>Screen passed; indicative</x:v>
      </x:c>
      <x:c r="R632" s="1" t="n">
        <x:v>583</x:v>
      </x:c>
    </x:row>
    <x:row r="633" ht="21" customHeight="1">
      <x:c r="A633" s="12" t="n">
        <x:v>46265</x:v>
      </x:c>
      <x:c r="B633" s="1" t="str">
        <x:v>GFGC8900OC</x:v>
      </x:c>
      <x:c r="C633" s="1" t="str">
        <x:v>call</x:v>
      </x:c>
      <x:c r="D633" s="11" t="n">
        <x:v>8900</x:v>
      </x:c>
      <x:c r="E633" s="11" t="n">
        <x:f>'Option source'!B417</x:f>
        <x:v>46.66</x:v>
      </x:c>
      <x:c r="F633" s="11" t="n">
        <x:v>7015</x:v>
      </x:c>
      <x:c r="G633" s="18" t="n">
        <x:v>46</x:v>
      </x:c>
      <x:c r="H633" s="11" t="n">
        <x:f>MAX(IF(C633="call",F633-D633,D633-F633),0)</x:f>
        <x:v>0</x:v>
      </x:c>
      <x:c r="I633" s="11" t="n">
        <x:f>E633-H633</x:f>
        <x:v>46.66</x:v>
      </x:c>
      <x:c r="J633" s="13" t="n">
        <x:f>D633/F633</x:f>
        <x:v>1.2687099073414112</x:v>
      </x:c>
      <x:c r="K633" s="13" t="n">
        <x:v>0.41709607848769414</x:v>
      </x:c>
      <x:c r="L633" s="17" t="n">
        <x:v>0.10062973116435472</x:v>
      </x:c>
      <x:c r="M633" s="17" t="n">
        <x:v>4.390590243708078</x:v>
      </x:c>
      <x:c r="N633" s="11" t="n">
        <x:f>'Option source'!C417</x:f>
        <x:v>18052144</x:v>
      </x:c>
      <x:c r="O633" s="11" t="n">
        <x:f>'Option source'!G417</x:f>
        <x:v>37</x:v>
      </x:c>
      <x:c r="P633" s="11" t="n">
        <x:f>'Option source'!F417</x:f>
        <x:v>60</x:v>
      </x:c>
      <x:c r="Q633" s="1" t="str">
        <x:v>Screen passed; indicative</x:v>
      </x:c>
      <x:c r="R633" s="1" t="n">
        <x:v>412</x:v>
      </x:c>
    </x:row>
    <x:row r="634" ht="21" customHeight="1">
      <x:c r="A634" s="12" t="n">
        <x:v>46265</x:v>
      </x:c>
      <x:c r="B634" s="1" t="str">
        <x:v>GFGV8900OC</x:v>
      </x:c>
      <x:c r="C634" s="1" t="str">
        <x:v>put</x:v>
      </x:c>
      <x:c r="D634" s="11" t="n">
        <x:v>8900</x:v>
      </x:c>
      <x:c r="E634" s="11" t="n">
        <x:f>'Option source'!B907</x:f>
        <x:v>2022.5</x:v>
      </x:c>
      <x:c r="F634" s="11" t="n">
        <x:v>7015</x:v>
      </x:c>
      <x:c r="G634" s="18" t="n">
        <x:v>46</x:v>
      </x:c>
      <x:c r="H634" s="11" t="n">
        <x:f>MAX(IF(C634="call",F634-D634,D634-F634),0)</x:f>
        <x:v>1885</x:v>
      </x:c>
      <x:c r="I634" s="11" t="n">
        <x:f>E634-H634</x:f>
        <x:v>137.5</x:v>
      </x:c>
      <x:c r="J634" s="13" t="n">
        <x:f>D634/F634</x:f>
        <x:v>1.2687099073414112</x:v>
      </x:c>
      <x:c r="K634" s="13"/>
      <x:c r="L634" s="17"/>
      <x:c r="M634" s="17"/>
      <x:c r="N634" s="11" t="n">
        <x:f>'Option source'!C907</x:f>
        <x:v>0</x:v>
      </x:c>
      <x:c r="O634" s="11" t="n">
        <x:f>'Option source'!G907</x:f>
        <x:v>2022.5</x:v>
      </x:c>
      <x:c r="P634" s="11" t="n">
        <x:f>'Option source'!F907</x:f>
        <x:v>2037.67</x:v>
      </x:c>
      <x:c r="Q634" s="1" t="str">
        <x:v>Zero reported volume</x:v>
      </x:c>
      <x:c r="R634" s="1" t="n">
        <x:v>902</x:v>
      </x:c>
    </x:row>
    <x:row r="635" ht="21" customHeight="1">
      <x:c r="A635" s="12" t="n">
        <x:v>46265</x:v>
      </x:c>
      <x:c r="B635" s="1" t="str">
        <x:v>GFGC5000OC</x:v>
      </x:c>
      <x:c r="C635" s="1" t="str">
        <x:v>call</x:v>
      </x:c>
      <x:c r="D635" s="11" t="n">
        <x:v>5000</x:v>
      </x:c>
      <x:c r="E635" s="11" t="n">
        <x:f>'Option source'!B85</x:f>
        <x:v>1997.87</x:v>
      </x:c>
      <x:c r="F635" s="11" t="n">
        <x:v>7015</x:v>
      </x:c>
      <x:c r="G635" s="18" t="n">
        <x:v>46</x:v>
      </x:c>
      <x:c r="H635" s="11" t="n">
        <x:f>MAX(IF(C635="call",F635-D635,D635-F635),0)</x:f>
        <x:v>2015</x:v>
      </x:c>
      <x:c r="I635" s="11" t="n">
        <x:f>E635-H635</x:f>
        <x:v>-17.13000000000011</x:v>
      </x:c>
      <x:c r="J635" s="13" t="n">
        <x:f>D635/F635</x:f>
        <x:v>0.7127583749109052</x:v>
      </x:c>
      <x:c r="K635" s="13"/>
      <x:c r="L635" s="17"/>
      <x:c r="M635" s="17"/>
      <x:c r="N635" s="11" t="n">
        <x:f>'Option source'!C85</x:f>
        <x:v>399574.59</x:v>
      </x:c>
      <x:c r="O635" s="11" t="n">
        <x:f>'Option source'!G85</x:f>
        <x:v>0</x:v>
      </x:c>
      <x:c r="P635" s="11" t="n">
        <x:f>'Option source'!F85</x:f>
        <x:v>0</x:v>
      </x:c>
      <x:c r="Q635" s="1" t="str">
        <x:v>Price outside daily range; Below intrinsic value</x:v>
      </x:c>
      <x:c r="R635" s="1" t="n">
        <x:v>80</x:v>
      </x:c>
    </x:row>
    <x:row r="636" ht="21" customHeight="1">
      <x:c r="A636" s="12" t="n">
        <x:v>46265</x:v>
      </x:c>
      <x:c r="B636" s="1" t="str">
        <x:v>GFGV5000OC</x:v>
      </x:c>
      <x:c r="C636" s="1" t="str">
        <x:v>put</x:v>
      </x:c>
      <x:c r="D636" s="11" t="n">
        <x:v>5000</x:v>
      </x:c>
      <x:c r="E636" s="11" t="n">
        <x:f>'Option source'!B569</x:f>
        <x:v>4.26</x:v>
      </x:c>
      <x:c r="F636" s="11" t="n">
        <x:v>7015</x:v>
      </x:c>
      <x:c r="G636" s="18" t="n">
        <x:v>46</x:v>
      </x:c>
      <x:c r="H636" s="11" t="n">
        <x:f>MAX(IF(C636="call",F636-D636,D636-F636),0)</x:f>
        <x:v>0</x:v>
      </x:c>
      <x:c r="I636" s="11" t="n">
        <x:f>E636-H636</x:f>
        <x:v>4.26</x:v>
      </x:c>
      <x:c r="J636" s="13" t="n">
        <x:f>D636/F636</x:f>
        <x:v>0.7127583749109052</x:v>
      </x:c>
      <x:c r="K636" s="13" t="n">
        <x:v>0.4720168580799542</x:v>
      </x:c>
      <x:c r="L636" s="17" t="n">
        <x:v>-0.009898659152999256</x:v>
      </x:c>
      <x:c r="M636" s="17" t="n">
        <x:v>0.6578553624948893</x:v>
      </x:c>
      <x:c r="N636" s="11" t="n">
        <x:f>'Option source'!C569</x:f>
        <x:v>932553.5</x:v>
      </x:c>
      <x:c r="O636" s="11" t="n">
        <x:f>'Option source'!G569</x:f>
        <x:v>3.5</x:v>
      </x:c>
      <x:c r="P636" s="11" t="n">
        <x:f>'Option source'!F569</x:f>
        <x:v>6.99</x:v>
      </x:c>
      <x:c r="Q636" s="1" t="str">
        <x:v>Screen passed; indicative</x:v>
      </x:c>
      <x:c r="R636" s="1" t="n">
        <x:v>564</x:v>
      </x:c>
    </x:row>
    <x:row r="637" ht="21" customHeight="1">
      <x:c r="A637" s="12" t="n">
        <x:v>46265</x:v>
      </x:c>
      <x:c r="B637" s="1" t="str">
        <x:v>GFGC9200OC</x:v>
      </x:c>
      <x:c r="C637" s="1" t="str">
        <x:v>call</x:v>
      </x:c>
      <x:c r="D637" s="11" t="n">
        <x:v>9200</x:v>
      </x:c>
      <x:c r="E637" s="11" t="n">
        <x:f>'Option source'!B436</x:f>
        <x:v>29.82</x:v>
      </x:c>
      <x:c r="F637" s="11" t="n">
        <x:v>7015</x:v>
      </x:c>
      <x:c r="G637" s="18" t="n">
        <x:v>46</x:v>
      </x:c>
      <x:c r="H637" s="11" t="n">
        <x:f>MAX(IF(C637="call",F637-D637,D637-F637),0)</x:f>
        <x:v>0</x:v>
      </x:c>
      <x:c r="I637" s="11" t="n">
        <x:f>E637-H637</x:f>
        <x:v>29.82</x:v>
      </x:c>
      <x:c r="J637" s="13" t="n">
        <x:f>D637/F637</x:f>
        <x:v>1.3114754098360655</x:v>
      </x:c>
      <x:c r="K637" s="13" t="n">
        <x:v>0.42069164540522497</x:v>
      </x:c>
      <x:c r="L637" s="17" t="n">
        <x:v>0.06840721397902853</x:v>
      </x:c>
      <x:c r="M637" s="17" t="n">
        <x:v>3.2849639668895594</x:v>
      </x:c>
      <x:c r="N637" s="11" t="n">
        <x:f>'Option source'!C436</x:f>
        <x:v>17902278</x:v>
      </x:c>
      <x:c r="O637" s="11" t="n">
        <x:f>'Option source'!G436</x:f>
        <x:v>20.15</x:v>
      </x:c>
      <x:c r="P637" s="11" t="n">
        <x:f>'Option source'!F436</x:f>
        <x:v>35.44</x:v>
      </x:c>
      <x:c r="Q637" s="1" t="str">
        <x:v>Screen passed; indicative</x:v>
      </x:c>
      <x:c r="R637" s="1" t="n">
        <x:v>431</x:v>
      </x:c>
    </x:row>
    <x:row r="638" ht="21" customHeight="1">
      <x:c r="A638" s="12" t="n">
        <x:v>46265</x:v>
      </x:c>
      <x:c r="B638" s="1" t="str">
        <x:v>GFGC4800OC</x:v>
      </x:c>
      <x:c r="C638" s="1" t="str">
        <x:v>call</x:v>
      </x:c>
      <x:c r="D638" s="11" t="n">
        <x:v>4800</x:v>
      </x:c>
      <x:c r="E638" s="11" t="n">
        <x:f>'Option source'!B68</x:f>
        <x:v>2050</x:v>
      </x:c>
      <x:c r="F638" s="11" t="n">
        <x:v>7015</x:v>
      </x:c>
      <x:c r="G638" s="18" t="n">
        <x:v>46</x:v>
      </x:c>
      <x:c r="H638" s="11" t="n">
        <x:f>MAX(IF(C638="call",F638-D638,D638-F638),0)</x:f>
        <x:v>2215</x:v>
      </x:c>
      <x:c r="I638" s="11" t="n">
        <x:f>E638-H638</x:f>
        <x:v>-165</x:v>
      </x:c>
      <x:c r="J638" s="13" t="n">
        <x:f>D638/F638</x:f>
        <x:v>0.684248039914469</x:v>
      </x:c>
      <x:c r="K638" s="13"/>
      <x:c r="L638" s="17"/>
      <x:c r="M638" s="17"/>
      <x:c r="N638" s="11" t="n">
        <x:f>'Option source'!C68</x:f>
        <x:v>0</x:v>
      </x:c>
      <x:c r="O638" s="11" t="n">
        <x:f>'Option source'!G68</x:f>
        <x:v>2050</x:v>
      </x:c>
      <x:c r="P638" s="11" t="n">
        <x:f>'Option source'!F68</x:f>
        <x:v>2104.21</x:v>
      </x:c>
      <x:c r="Q638" s="1" t="str">
        <x:v>Zero reported volume; Below intrinsic value</x:v>
      </x:c>
      <x:c r="R638" s="1" t="n">
        <x:v>63</x:v>
      </x:c>
    </x:row>
    <x:row r="639" ht="21" customHeight="1">
      <x:c r="A639" s="12" t="n">
        <x:v>46265</x:v>
      </x:c>
      <x:c r="B639" s="1" t="str">
        <x:v>GFGV4800OC</x:v>
      </x:c>
      <x:c r="C639" s="1" t="str">
        <x:v>put</x:v>
      </x:c>
      <x:c r="D639" s="11" t="n">
        <x:v>4800</x:v>
      </x:c>
      <x:c r="E639" s="11" t="n">
        <x:f>'Option source'!B550</x:f>
        <x:v>2.54</x:v>
      </x:c>
      <x:c r="F639" s="11" t="n">
        <x:v>7015</x:v>
      </x:c>
      <x:c r="G639" s="18" t="n">
        <x:v>46</x:v>
      </x:c>
      <x:c r="H639" s="11" t="n">
        <x:f>MAX(IF(C639="call",F639-D639,D639-F639),0)</x:f>
        <x:v>0</x:v>
      </x:c>
      <x:c r="I639" s="11" t="n">
        <x:f>E639-H639</x:f>
        <x:v>2.54</x:v>
      </x:c>
      <x:c r="J639" s="13" t="n">
        <x:f>D639/F639</x:f>
        <x:v>0.684248039914469</x:v>
      </x:c>
      <x:c r="K639" s="13" t="n">
        <x:v>0.4850628329248411</x:v>
      </x:c>
      <x:c r="L639" s="17" t="n">
        <x:v>-0.006051474759724451</x:v>
      </x:c>
      <x:c r="M639" s="17" t="n">
        <x:v>0.4266491471630506</x:v>
      </x:c>
      <x:c r="N639" s="11" t="n">
        <x:f>'Option source'!C550</x:f>
        <x:v>443499.31</x:v>
      </x:c>
      <x:c r="O639" s="11" t="n">
        <x:f>'Option source'!G550</x:f>
        <x:v>1</x:v>
      </x:c>
      <x:c r="P639" s="11" t="n">
        <x:f>'Option source'!F550</x:f>
        <x:v>5</x:v>
      </x:c>
      <x:c r="Q639" s="1" t="str">
        <x:v>Screen passed; indicative</x:v>
      </x:c>
      <x:c r="R639" s="1" t="n">
        <x:v>545</x:v>
      </x:c>
    </x:row>
    <x:row r="640" ht="21" customHeight="1">
      <x:c r="A640" s="12" t="n">
        <x:v>46265</x:v>
      </x:c>
      <x:c r="B640" s="1" t="str">
        <x:v>GFGC4600OC</x:v>
      </x:c>
      <x:c r="C640" s="1" t="str">
        <x:v>call</x:v>
      </x:c>
      <x:c r="D640" s="11" t="n">
        <x:v>4600</x:v>
      </x:c>
      <x:c r="E640" s="11" t="n">
        <x:f>'Option source'!B51</x:f>
        <x:v>2384.72</x:v>
      </x:c>
      <x:c r="F640" s="11" t="n">
        <x:v>7015</x:v>
      </x:c>
      <x:c r="G640" s="18" t="n">
        <x:v>46</x:v>
      </x:c>
      <x:c r="H640" s="11" t="n">
        <x:f>MAX(IF(C640="call",F640-D640,D640-F640),0)</x:f>
        <x:v>2415</x:v>
      </x:c>
      <x:c r="I640" s="11" t="n">
        <x:f>E640-H640</x:f>
        <x:v>-30.2800000000002</x:v>
      </x:c>
      <x:c r="J640" s="13" t="n">
        <x:f>D640/F640</x:f>
        <x:v>0.6557377049180327</x:v>
      </x:c>
      <x:c r="K640" s="13"/>
      <x:c r="L640" s="17"/>
      <x:c r="M640" s="17"/>
      <x:c r="N640" s="11" t="n">
        <x:f>'Option source'!C51</x:f>
        <x:v>476944.41</x:v>
      </x:c>
      <x:c r="O640" s="11" t="n">
        <x:f>'Option source'!G51</x:f>
        <x:v>0</x:v>
      </x:c>
      <x:c r="P640" s="11" t="n">
        <x:f>'Option source'!F51</x:f>
        <x:v>0</x:v>
      </x:c>
      <x:c r="Q640" s="1" t="str">
        <x:v>Price outside daily range; Below intrinsic value</x:v>
      </x:c>
      <x:c r="R640" s="1" t="n">
        <x:v>46</x:v>
      </x:c>
    </x:row>
    <x:row r="641" ht="21" customHeight="1">
      <x:c r="A641" s="12" t="n">
        <x:v>46265</x:v>
      </x:c>
      <x:c r="B641" s="1" t="str">
        <x:v>GFGV4600OC</x:v>
      </x:c>
      <x:c r="C641" s="1" t="str">
        <x:v>put</x:v>
      </x:c>
      <x:c r="D641" s="11" t="n">
        <x:v>4600</x:v>
      </x:c>
      <x:c r="E641" s="11" t="n">
        <x:f>'Option source'!B531</x:f>
        <x:v>1.8</x:v>
      </x:c>
      <x:c r="F641" s="11" t="n">
        <x:v>7015</x:v>
      </x:c>
      <x:c r="G641" s="18" t="n">
        <x:v>46</x:v>
      </x:c>
      <x:c r="H641" s="11" t="n">
        <x:f>MAX(IF(C641="call",F641-D641,D641-F641),0)</x:f>
        <x:v>0</x:v>
      </x:c>
      <x:c r="I641" s="11" t="n">
        <x:f>E641-H641</x:f>
        <x:v>1.8</x:v>
      </x:c>
      <x:c r="J641" s="13" t="n">
        <x:f>D641/F641</x:f>
        <x:v>0.6557377049180327</x:v>
      </x:c>
      <x:c r="K641" s="13" t="n">
        <x:v>0.5095381658699849</x:v>
      </x:c>
      <x:c r="L641" s="17" t="n">
        <x:v>-0.004239622641686758</x:v>
      </x:c>
      <x:c r="M641" s="17" t="n">
        <x:v>0.3107998317846823</x:v>
      </x:c>
      <x:c r="N641" s="11" t="n">
        <x:f>'Option source'!C531</x:f>
        <x:v>410284.41</x:v>
      </x:c>
      <x:c r="O641" s="11" t="n">
        <x:f>'Option source'!G531</x:f>
        <x:v>1</x:v>
      </x:c>
      <x:c r="P641" s="11" t="n">
        <x:f>'Option source'!F531</x:f>
        <x:v>2.7</x:v>
      </x:c>
      <x:c r="Q641" s="1" t="str">
        <x:v>Screen passed; indicative</x:v>
      </x:c>
      <x:c r="R641" s="1" t="n">
        <x:v>526</x:v>
      </x:c>
    </x:row>
    <x:row r="642" ht="21" customHeight="1">
      <x:c r="A642" s="12" t="n">
        <x:v>46265</x:v>
      </x:c>
      <x:c r="B642" s="1" t="str">
        <x:v>GFGC9500OC</x:v>
      </x:c>
      <x:c r="C642" s="1" t="str">
        <x:v>call</x:v>
      </x:c>
      <x:c r="D642" s="11" t="n">
        <x:v>9500</x:v>
      </x:c>
      <x:c r="E642" s="11" t="n">
        <x:f>'Option source'!B455</x:f>
        <x:v>18.1</x:v>
      </x:c>
      <x:c r="F642" s="11" t="n">
        <x:v>7015</x:v>
      </x:c>
      <x:c r="G642" s="18" t="n">
        <x:v>46</x:v>
      </x:c>
      <x:c r="H642" s="11" t="n">
        <x:f>MAX(IF(C642="call",F642-D642,D642-F642),0)</x:f>
        <x:v>0</x:v>
      </x:c>
      <x:c r="I642" s="11" t="n">
        <x:f>E642-H642</x:f>
        <x:v>18.1</x:v>
      </x:c>
      <x:c r="J642" s="13" t="n">
        <x:f>D642/F642</x:f>
        <x:v>1.35424091233072</x:v>
      </x:c>
      <x:c r="K642" s="13" t="n">
        <x:v>0.4209430116638122</x:v>
      </x:c>
      <x:c r="L642" s="17" t="n">
        <x:v>0.04442356427311114</x:v>
      </x:c>
      <x:c r="M642" s="17" t="n">
        <x:v>2.3361398900567014</x:v>
      </x:c>
      <x:c r="N642" s="11" t="n">
        <x:f>'Option source'!C455</x:f>
        <x:v>7441443</x:v>
      </x:c>
      <x:c r="O642" s="11" t="n">
        <x:f>'Option source'!G455</x:f>
        <x:v>16</x:v>
      </x:c>
      <x:c r="P642" s="11" t="n">
        <x:f>'Option source'!F455</x:f>
        <x:v>23</x:v>
      </x:c>
      <x:c r="Q642" s="1" t="str">
        <x:v>Screen passed; indicative</x:v>
      </x:c>
      <x:c r="R642" s="1" t="n">
        <x:v>450</x:v>
      </x:c>
    </x:row>
    <x:row r="643" ht="21" customHeight="1">
      <x:c r="A643" s="12" t="n">
        <x:v>46265</x:v>
      </x:c>
      <x:c r="B643" s="1" t="str">
        <x:v>GFGC4400OC</x:v>
      </x:c>
      <x:c r="C643" s="1" t="str">
        <x:v>call</x:v>
      </x:c>
      <x:c r="D643" s="11" t="n">
        <x:v>4400</x:v>
      </x:c>
      <x:c r="E643" s="11" t="n">
        <x:f>'Option source'!B32</x:f>
        <x:v>2429.97</x:v>
      </x:c>
      <x:c r="F643" s="11" t="n">
        <x:v>7015</x:v>
      </x:c>
      <x:c r="G643" s="18" t="n">
        <x:v>46</x:v>
      </x:c>
      <x:c r="H643" s="11" t="n">
        <x:f>MAX(IF(C643="call",F643-D643,D643-F643),0)</x:f>
        <x:v>2615</x:v>
      </x:c>
      <x:c r="I643" s="11" t="n">
        <x:f>E643-H643</x:f>
        <x:v>-185.0300000000002</x:v>
      </x:c>
      <x:c r="J643" s="13" t="n">
        <x:f>D643/F643</x:f>
        <x:v>0.6272273699215966</x:v>
      </x:c>
      <x:c r="K643" s="13"/>
      <x:c r="L643" s="17"/>
      <x:c r="M643" s="17"/>
      <x:c r="N643" s="11" t="n">
        <x:f>'Option source'!C32</x:f>
        <x:v>0</x:v>
      </x:c>
      <x:c r="O643" s="11" t="n">
        <x:f>'Option source'!G32</x:f>
        <x:v>2429.97</x:v>
      </x:c>
      <x:c r="P643" s="11" t="n">
        <x:f>'Option source'!F32</x:f>
        <x:v>2429.97</x:v>
      </x:c>
      <x:c r="Q643" s="1" t="str">
        <x:v>Zero reported volume; Below intrinsic value</x:v>
      </x:c>
      <x:c r="R643" s="1" t="n">
        <x:v>27</x:v>
      </x:c>
    </x:row>
    <x:row r="644" ht="21" customHeight="1">
      <x:c r="A644" s="12" t="n">
        <x:v>46265</x:v>
      </x:c>
      <x:c r="B644" s="1" t="str">
        <x:v>GFGV4400OC</x:v>
      </x:c>
      <x:c r="C644" s="1" t="str">
        <x:v>put</x:v>
      </x:c>
      <x:c r="D644" s="11" t="n">
        <x:v>4400</x:v>
      </x:c>
      <x:c r="E644" s="11" t="n">
        <x:f>'Option source'!B512</x:f>
        <x:v>1.18</x:v>
      </x:c>
      <x:c r="F644" s="11" t="n">
        <x:v>7015</x:v>
      </x:c>
      <x:c r="G644" s="18" t="n">
        <x:v>46</x:v>
      </x:c>
      <x:c r="H644" s="11" t="n">
        <x:f>MAX(IF(C644="call",F644-D644,D644-F644),0)</x:f>
        <x:v>0</x:v>
      </x:c>
      <x:c r="I644" s="11" t="n">
        <x:f>E644-H644</x:f>
        <x:v>1.18</x:v>
      </x:c>
      <x:c r="J644" s="13" t="n">
        <x:f>D644/F644</x:f>
        <x:v>0.6272273699215966</x:v>
      </x:c>
      <x:c r="K644" s="13" t="n">
        <x:v>0.5304020581895066</x:v>
      </x:c>
      <x:c r="L644" s="17" t="n">
        <x:v>-0.002784316322311242</x:v>
      </x:c>
      <x:c r="M644" s="17" t="n">
        <x:v>0.21302294219367632</x:v>
      </x:c>
      <x:c r="N644" s="11" t="n">
        <x:f>'Option source'!C512</x:f>
        <x:v>142381.2</x:v>
      </x:c>
      <x:c r="O644" s="11" t="n">
        <x:f>'Option source'!G512</x:f>
        <x:v>1</x:v>
      </x:c>
      <x:c r="P644" s="11" t="n">
        <x:f>'Option source'!F512</x:f>
        <x:v>2.6</x:v>
      </x:c>
      <x:c r="Q644" s="1" t="str">
        <x:v>Screen passed; indicative</x:v>
      </x:c>
      <x:c r="R644" s="1" t="n">
        <x:v>507</x:v>
      </x:c>
    </x:row>
    <x:row r="645" ht="21" customHeight="1">
      <x:c r="A645" s="12" t="n">
        <x:v>46265</x:v>
      </x:c>
      <x:c r="B645" s="1" t="str">
        <x:v>GFGC4200OC</x:v>
      </x:c>
      <x:c r="C645" s="1" t="str">
        <x:v>call</x:v>
      </x:c>
      <x:c r="D645" s="11" t="n">
        <x:v>4200</x:v>
      </x:c>
      <x:c r="E645" s="11" t="n">
        <x:f>'Option source'!B13</x:f>
        <x:v>2933.39</x:v>
      </x:c>
      <x:c r="F645" s="11" t="n">
        <x:v>7015</x:v>
      </x:c>
      <x:c r="G645" s="18" t="n">
        <x:v>46</x:v>
      </x:c>
      <x:c r="H645" s="11" t="n">
        <x:f>MAX(IF(C645="call",F645-D645,D645-F645),0)</x:f>
        <x:v>2815</x:v>
      </x:c>
      <x:c r="I645" s="11" t="n">
        <x:f>E645-H645</x:f>
        <x:v>118.38999999999987</x:v>
      </x:c>
      <x:c r="J645" s="13" t="n">
        <x:f>D645/F645</x:f>
        <x:v>0.5987170349251604</x:v>
      </x:c>
      <x:c r="K645" s="13"/>
      <x:c r="L645" s="17"/>
      <x:c r="M645" s="17"/>
      <x:c r="N645" s="11" t="n">
        <x:f>'Option source'!C13</x:f>
        <x:v>4581830</x:v>
      </x:c>
      <x:c r="O645" s="11" t="n">
        <x:f>'Option source'!G13</x:f>
        <x:v>2853.68</x:v>
      </x:c>
      <x:c r="P645" s="11" t="n">
        <x:f>'Option source'!F13</x:f>
        <x:v>2853.68</x:v>
      </x:c>
      <x:c r="Q645" s="1" t="str">
        <x:v>Price outside daily range</x:v>
      </x:c>
      <x:c r="R645" s="1" t="n">
        <x:v>8</x:v>
      </x:c>
    </x:row>
    <x:row r="646" ht="21" customHeight="1">
      <x:c r="A646" s="12" t="n">
        <x:v>46265</x:v>
      </x:c>
      <x:c r="B646" s="1" t="str">
        <x:v>GFGV4200OC</x:v>
      </x:c>
      <x:c r="C646" s="1" t="str">
        <x:v>put</x:v>
      </x:c>
      <x:c r="D646" s="11" t="n">
        <x:v>4200</x:v>
      </x:c>
      <x:c r="E646" s="11" t="n">
        <x:f>'Option source'!B493</x:f>
        <x:v>0.9</x:v>
      </x:c>
      <x:c r="F646" s="11" t="n">
        <x:v>7015</x:v>
      </x:c>
      <x:c r="G646" s="18" t="n">
        <x:v>46</x:v>
      </x:c>
      <x:c r="H646" s="11" t="n">
        <x:f>MAX(IF(C646="call",F646-D646,D646-F646),0)</x:f>
        <x:v>0</x:v>
      </x:c>
      <x:c r="I646" s="11" t="n">
        <x:f>E646-H646</x:f>
        <x:v>0.9</x:v>
      </x:c>
      <x:c r="J646" s="13" t="n">
        <x:f>D646/F646</x:f>
        <x:v>0.5987170349251604</x:v>
      </x:c>
      <x:c r="K646" s="13" t="n">
        <x:v>0.5609693427530895</x:v>
      </x:c>
      <x:c r="L646" s="17" t="n">
        <x:v>-0.00208337205454856</x:v>
      </x:c>
      <x:c r="M646" s="17" t="n">
        <x:v>0.16385523405072802</x:v>
      </x:c>
      <x:c r="N646" s="11" t="n">
        <x:f>'Option source'!C493</x:f>
        <x:v>158150.41</x:v>
      </x:c>
      <x:c r="O646" s="11" t="n">
        <x:f>'Option source'!G493</x:f>
        <x:v>0.7</x:v>
      </x:c>
      <x:c r="P646" s="11" t="n">
        <x:f>'Option source'!F493</x:f>
        <x:v>2.5</x:v>
      </x:c>
      <x:c r="Q646" s="1" t="str">
        <x:v>Screen passed; indicative</x:v>
      </x:c>
      <x:c r="R646" s="1" t="n">
        <x:v>488</x:v>
      </x:c>
    </x:row>
    <x:row r="647" ht="21" customHeight="1">
      <x:c r="A647" s="12" t="n">
        <x:v>46265</x:v>
      </x:c>
      <x:c r="B647" s="1" t="str">
        <x:v>GFGC9900OC</x:v>
      </x:c>
      <x:c r="C647" s="1" t="str">
        <x:v>call</x:v>
      </x:c>
      <x:c r="D647" s="11" t="n">
        <x:v>9900</x:v>
      </x:c>
      <x:c r="E647" s="11" t="n">
        <x:f>'Option source'!B474</x:f>
        <x:v>12.79</x:v>
      </x:c>
      <x:c r="F647" s="11" t="n">
        <x:v>7015</x:v>
      </x:c>
      <x:c r="G647" s="18" t="n">
        <x:v>46</x:v>
      </x:c>
      <x:c r="H647" s="11" t="n">
        <x:f>MAX(IF(C647="call",F647-D647,D647-F647),0)</x:f>
        <x:v>0</x:v>
      </x:c>
      <x:c r="I647" s="11" t="n">
        <x:f>E647-H647</x:f>
        <x:v>12.79</x:v>
      </x:c>
      <x:c r="J647" s="13" t="n">
        <x:f>D647/F647</x:f>
        <x:v>1.4112615823235923</x:v>
      </x:c>
      <x:c r="K647" s="13" t="n">
        <x:v>0.4450078879004442</x:v>
      </x:c>
      <x:c r="L647" s="17" t="n">
        <x:v>0.03128386835151337</x:v>
      </x:c>
      <x:c r="M647" s="17" t="n">
        <x:v>1.754317931915512</x:v>
      </x:c>
      <x:c r="N647" s="11" t="n">
        <x:f>'Option source'!C474</x:f>
        <x:v>5916067</x:v>
      </x:c>
      <x:c r="O647" s="11" t="n">
        <x:f>'Option source'!G474</x:f>
        <x:v>6.07</x:v>
      </x:c>
      <x:c r="P647" s="11" t="n">
        <x:f>'Option source'!F474</x:f>
        <x:v>13.8</x:v>
      </x:c>
      <x:c r="Q647" s="1" t="str">
        <x:v>Screen passed; indicative</x:v>
      </x:c>
      <x:c r="R647" s="1" t="n">
        <x:v>469</x:v>
      </x:c>
    </x:row>
    <x:row r="648" ht="21" customHeight="1">
      <x:c r="A648" s="12" t="n">
        <x:v>46262</x:v>
      </x:c>
      <x:c r="B648" s="1" t="str">
        <x:v>GFGC6800OC</x:v>
      </x:c>
      <x:c r="C648" s="1" t="str">
        <x:v>call</x:v>
      </x:c>
      <x:c r="D648" s="11" t="n">
        <x:v>6800</x:v>
      </x:c>
      <x:c r="E648" s="11" t="n">
        <x:f>'Option source'!B245</x:f>
        <x:v>532.71</x:v>
      </x:c>
      <x:c r="F648" s="11" t="n">
        <x:v>6810</x:v>
      </x:c>
      <x:c r="G648" s="18" t="n">
        <x:v>49</x:v>
      </x:c>
      <x:c r="H648" s="11" t="n">
        <x:f>MAX(IF(C648="call",F648-D648,D648-F648),0)</x:f>
        <x:v>10</x:v>
      </x:c>
      <x:c r="I648" s="11" t="n">
        <x:f>E648-H648</x:f>
        <x:v>522.71</x:v>
      </x:c>
      <x:c r="J648" s="13" t="n">
        <x:f>D648/F648</x:f>
        <x:v>0.9985315712187959</x:v>
      </x:c>
      <x:c r="K648" s="13" t="n">
        <x:v>0.38728894327852403</x:v>
      </x:c>
      <x:c r="L648" s="17" t="n">
        <x:v>0.6424902495209768</x:v>
      </x:c>
      <x:c r="M648" s="17" t="n">
        <x:v>9.312361440230488</x:v>
      </x:c>
      <x:c r="N648" s="11" t="n">
        <x:f>'Option source'!C245</x:f>
        <x:v>147764528</x:v>
      </x:c>
      <x:c r="O648" s="11" t="n">
        <x:f>'Option source'!G245</x:f>
        <x:v>470</x:v>
      </x:c>
      <x:c r="P648" s="11" t="n">
        <x:f>'Option source'!F245</x:f>
        <x:v>600.01</x:v>
      </x:c>
      <x:c r="Q648" s="1" t="str">
        <x:v>Screen passed; indicative</x:v>
      </x:c>
      <x:c r="R648" s="1" t="n">
        <x:v>240</x:v>
      </x:c>
    </x:row>
    <x:row r="649" ht="21" customHeight="1">
      <x:c r="A649" s="12" t="n">
        <x:v>46262</x:v>
      </x:c>
      <x:c r="B649" s="1" t="str">
        <x:v>GFGV6800OC</x:v>
      </x:c>
      <x:c r="C649" s="1" t="str">
        <x:v>put</x:v>
      </x:c>
      <x:c r="D649" s="11" t="n">
        <x:v>6800</x:v>
      </x:c>
      <x:c r="E649" s="11" t="n">
        <x:f>'Option source'!B739</x:f>
        <x:v>332.14</x:v>
      </x:c>
      <x:c r="F649" s="11" t="n">
        <x:v>6810</x:v>
      </x:c>
      <x:c r="G649" s="18" t="n">
        <x:v>49</x:v>
      </x:c>
      <x:c r="H649" s="11" t="n">
        <x:f>MAX(IF(C649="call",F649-D649,D649-F649),0)</x:f>
        <x:v>0</x:v>
      </x:c>
      <x:c r="I649" s="11" t="n">
        <x:f>E649-H649</x:f>
        <x:v>332.14</x:v>
      </x:c>
      <x:c r="J649" s="13" t="n">
        <x:f>D649/F649</x:f>
        <x:v>0.9985315712187959</x:v>
      </x:c>
      <x:c r="K649" s="13" t="n">
        <x:v>0.4415569311611701</x:v>
      </x:c>
      <x:c r="L649" s="17" t="n">
        <x:v>-0.36733849693428033</x:v>
      </x:c>
      <x:c r="M649" s="17" t="n">
        <x:v>9.398686228386618</x:v>
      </x:c>
      <x:c r="N649" s="11" t="n">
        <x:f>'Option source'!C739</x:f>
        <x:v>117761568</x:v>
      </x:c>
      <x:c r="O649" s="11" t="n">
        <x:f>'Option source'!G739</x:f>
        <x:v>324.99</x:v>
      </x:c>
      <x:c r="P649" s="11" t="n">
        <x:f>'Option source'!F739</x:f>
        <x:v>399.99</x:v>
      </x:c>
      <x:c r="Q649" s="1" t="str">
        <x:v>Screen passed; indicative</x:v>
      </x:c>
      <x:c r="R649" s="1" t="n">
        <x:v>734</x:v>
      </x:c>
    </x:row>
    <x:row r="650" ht="21" customHeight="1">
      <x:c r="A650" s="12" t="n">
        <x:v>46262</x:v>
      </x:c>
      <x:c r="B650" s="1" t="str">
        <x:v>GFGC7000OC</x:v>
      </x:c>
      <x:c r="C650" s="1" t="str">
        <x:v>call</x:v>
      </x:c>
      <x:c r="D650" s="11" t="n">
        <x:v>7000</x:v>
      </x:c>
      <x:c r="E650" s="11" t="n">
        <x:f>'Option source'!B264</x:f>
        <x:v>438.78</x:v>
      </x:c>
      <x:c r="F650" s="11" t="n">
        <x:v>6810</x:v>
      </x:c>
      <x:c r="G650" s="18" t="n">
        <x:v>49</x:v>
      </x:c>
      <x:c r="H650" s="11" t="n">
        <x:f>MAX(IF(C650="call",F650-D650,D650-F650),0)</x:f>
        <x:v>0</x:v>
      </x:c>
      <x:c r="I650" s="11" t="n">
        <x:f>E650-H650</x:f>
        <x:v>438.78</x:v>
      </x:c>
      <x:c r="J650" s="13" t="n">
        <x:f>D650/F650</x:f>
        <x:v>1.0279001468428781</x:v>
      </x:c>
      <x:c r="K650" s="13" t="n">
        <x:v>0.39881475191189764</x:v>
      </x:c>
      <x:c r="L650" s="17" t="n">
        <x:v>0.5637001859024869</x:v>
      </x:c>
      <x:c r="M650" s="17" t="n">
        <x:v>9.827090623732099</x:v>
      </x:c>
      <x:c r="N650" s="11" t="n">
        <x:f>'Option source'!C264</x:f>
        <x:v>207209360</x:v>
      </x:c>
      <x:c r="O650" s="11" t="n">
        <x:f>'Option source'!G264</x:f>
        <x:v>380</x:v>
      </x:c>
      <x:c r="P650" s="11" t="n">
        <x:f>'Option source'!F264</x:f>
        <x:v>485</x:v>
      </x:c>
      <x:c r="Q650" s="1" t="str">
        <x:v>Screen passed; indicative</x:v>
      </x:c>
      <x:c r="R650" s="1" t="n">
        <x:v>259</x:v>
      </x:c>
    </x:row>
    <x:row r="651" ht="21" customHeight="1">
      <x:c r="A651" s="12" t="n">
        <x:v>46262</x:v>
      </x:c>
      <x:c r="B651" s="1" t="str">
        <x:v>GFGV7000OC</x:v>
      </x:c>
      <x:c r="C651" s="1" t="str">
        <x:v>put</x:v>
      </x:c>
      <x:c r="D651" s="11" t="n">
        <x:v>7000</x:v>
      </x:c>
      <x:c r="E651" s="11" t="n">
        <x:f>'Option source'!B758</x:f>
        <x:v>436.88</x:v>
      </x:c>
      <x:c r="F651" s="11" t="n">
        <x:v>6810</x:v>
      </x:c>
      <x:c r="G651" s="18" t="n">
        <x:v>49</x:v>
      </x:c>
      <x:c r="H651" s="11" t="n">
        <x:f>MAX(IF(C651="call",F651-D651,D651-F651),0)</x:f>
        <x:v>190</x:v>
      </x:c>
      <x:c r="I651" s="11" t="n">
        <x:f>E651-H651</x:f>
        <x:v>246.88</x:v>
      </x:c>
      <x:c r="J651" s="13" t="n">
        <x:f>D651/F651</x:f>
        <x:v>1.0279001468428781</x:v>
      </x:c>
      <x:c r="K651" s="13" t="n">
        <x:v>0.44514349004253373</x:v>
      </x:c>
      <x:c r="L651" s="17" t="n">
        <x:v>-0.43653533348440066</x:v>
      </x:c>
      <x:c r="M651" s="17" t="n">
        <x:v>9.828031220743123</x:v>
      </x:c>
      <x:c r="N651" s="11" t="n">
        <x:f>'Option source'!C758</x:f>
        <x:v>113558816</x:v>
      </x:c>
      <x:c r="O651" s="11" t="n">
        <x:f>'Option source'!G758</x:f>
        <x:v>420</x:v>
      </x:c>
      <x:c r="P651" s="11" t="n">
        <x:f>'Option source'!F758</x:f>
        <x:v>494.78</x:v>
      </x:c>
      <x:c r="Q651" s="1" t="str">
        <x:v>Screen passed; indicative</x:v>
      </x:c>
      <x:c r="R651" s="1" t="n">
        <x:v>753</x:v>
      </x:c>
    </x:row>
    <x:row r="652" ht="21" customHeight="1">
      <x:c r="A652" s="12" t="n">
        <x:v>46262</x:v>
      </x:c>
      <x:c r="B652" s="1" t="str">
        <x:v>GFGC6600OC</x:v>
      </x:c>
      <x:c r="C652" s="1" t="str">
        <x:v>call</x:v>
      </x:c>
      <x:c r="D652" s="11" t="n">
        <x:v>6600</x:v>
      </x:c>
      <x:c r="E652" s="11" t="n">
        <x:f>'Option source'!B226</x:f>
        <x:v>651.81</x:v>
      </x:c>
      <x:c r="F652" s="11" t="n">
        <x:v>6810</x:v>
      </x:c>
      <x:c r="G652" s="18" t="n">
        <x:v>49</x:v>
      </x:c>
      <x:c r="H652" s="11" t="n">
        <x:f>MAX(IF(C652="call",F652-D652,D652-F652),0)</x:f>
        <x:v>210</x:v>
      </x:c>
      <x:c r="I652" s="11" t="n">
        <x:f>E652-H652</x:f>
        <x:v>441.80999999999995</x:v>
      </x:c>
      <x:c r="J652" s="13" t="n">
        <x:f>D652/F652</x:f>
        <x:v>0.9691629955947136</x:v>
      </x:c>
      <x:c r="K652" s="13" t="n">
        <x:v>0.3853973576224705</x:v>
      </x:c>
      <x:c r="L652" s="17" t="n">
        <x:v>0.7182434298836738</x:v>
      </x:c>
      <x:c r="M652" s="17" t="n">
        <x:v>8.42472852054022</x:v>
      </x:c>
      <x:c r="N652" s="11" t="n">
        <x:f>'Option source'!C226</x:f>
        <x:v>55706680</x:v>
      </x:c>
      <x:c r="O652" s="11" t="n">
        <x:f>'Option source'!G226</x:f>
        <x:v>580</x:v>
      </x:c>
      <x:c r="P652" s="11" t="n">
        <x:f>'Option source'!F226</x:f>
        <x:v>690.79</x:v>
      </x:c>
      <x:c r="Q652" s="1" t="str">
        <x:v>Screen passed; indicative</x:v>
      </x:c>
      <x:c r="R652" s="1" t="n">
        <x:v>221</x:v>
      </x:c>
    </x:row>
    <x:row r="653" ht="21" customHeight="1">
      <x:c r="A653" s="12" t="n">
        <x:v>46262</x:v>
      </x:c>
      <x:c r="B653" s="1" t="str">
        <x:v>GFGV6600OC</x:v>
      </x:c>
      <x:c r="C653" s="1" t="str">
        <x:v>put</x:v>
      </x:c>
      <x:c r="D653" s="11" t="n">
        <x:v>6600</x:v>
      </x:c>
      <x:c r="E653" s="11" t="n">
        <x:f>'Option source'!B720</x:f>
        <x:v>249.3</x:v>
      </x:c>
      <x:c r="F653" s="11" t="n">
        <x:v>6810</x:v>
      </x:c>
      <x:c r="G653" s="18" t="n">
        <x:v>49</x:v>
      </x:c>
      <x:c r="H653" s="11" t="n">
        <x:f>MAX(IF(C653="call",F653-D653,D653-F653),0)</x:f>
        <x:v>0</x:v>
      </x:c>
      <x:c r="I653" s="11" t="n">
        <x:f>E653-H653</x:f>
        <x:v>249.3</x:v>
      </x:c>
      <x:c r="J653" s="13" t="n">
        <x:f>D653/F653</x:f>
        <x:v>0.9691629955947136</x:v>
      </x:c>
      <x:c r="K653" s="13" t="n">
        <x:v>0.44278600062040085</x:v>
      </x:c>
      <x:c r="L653" s="17" t="n">
        <x:v>-0.3006855200031393</x:v>
      </x:c>
      <x:c r="M653" s="17" t="n">
        <x:v>8.68444635359517</x:v>
      </x:c>
      <x:c r="N653" s="11" t="n">
        <x:f>'Option source'!C720</x:f>
        <x:v>305045952</x:v>
      </x:c>
      <x:c r="O653" s="11" t="n">
        <x:f>'Option source'!G720</x:f>
        <x:v>200</x:v>
      </x:c>
      <x:c r="P653" s="11" t="n">
        <x:f>'Option source'!F720</x:f>
        <x:v>301.98</x:v>
      </x:c>
      <x:c r="Q653" s="1" t="str">
        <x:v>Screen passed; indicative</x:v>
      </x:c>
      <x:c r="R653" s="1" t="n">
        <x:v>715</x:v>
      </x:c>
    </x:row>
    <x:row r="654" ht="21" customHeight="1">
      <x:c r="A654" s="12" t="n">
        <x:v>46262</x:v>
      </x:c>
      <x:c r="B654" s="1" t="str">
        <x:v>GFGC7200OC</x:v>
      </x:c>
      <x:c r="C654" s="1" t="str">
        <x:v>call</x:v>
      </x:c>
      <x:c r="D654" s="11" t="n">
        <x:v>7200</x:v>
      </x:c>
      <x:c r="E654" s="11" t="n">
        <x:f>'Option source'!B283</x:f>
        <x:v>358.14</x:v>
      </x:c>
      <x:c r="F654" s="11" t="n">
        <x:v>6810</x:v>
      </x:c>
      <x:c r="G654" s="18" t="n">
        <x:v>49</x:v>
      </x:c>
      <x:c r="H654" s="11" t="n">
        <x:f>MAX(IF(C654="call",F654-D654,D654-F654),0)</x:f>
        <x:v>0</x:v>
      </x:c>
      <x:c r="I654" s="11" t="n">
        <x:f>E654-H654</x:f>
        <x:v>358.14</x:v>
      </x:c>
      <x:c r="J654" s="13" t="n">
        <x:f>D654/F654</x:f>
        <x:v>1.0572687224669604</x:v>
      </x:c>
      <x:c r="K654" s="13" t="n">
        <x:v>0.40795896880472715</x:v>
      </x:c>
      <x:c r="L654" s="17" t="n">
        <x:v>0.4886756061988659</x:v>
      </x:c>
      <x:c r="M654" s="17" t="n">
        <x:v>9.950244862575122</x:v>
      </x:c>
      <x:c r="N654" s="11" t="n">
        <x:f>'Option source'!C283</x:f>
        <x:v>296442560</x:v>
      </x:c>
      <x:c r="O654" s="11" t="n">
        <x:f>'Option source'!G283</x:f>
        <x:v>292</x:v>
      </x:c>
      <x:c r="P654" s="11" t="n">
        <x:f>'Option source'!F283</x:f>
        <x:v>388.01</x:v>
      </x:c>
      <x:c r="Q654" s="1" t="str">
        <x:v>Screen passed; indicative</x:v>
      </x:c>
      <x:c r="R654" s="1" t="n">
        <x:v>278</x:v>
      </x:c>
    </x:row>
    <x:row r="655" ht="21" customHeight="1">
      <x:c r="A655" s="12" t="n">
        <x:v>46262</x:v>
      </x:c>
      <x:c r="B655" s="1" t="str">
        <x:v>GFGV7200OC</x:v>
      </x:c>
      <x:c r="C655" s="1" t="str">
        <x:v>put</x:v>
      </x:c>
      <x:c r="D655" s="11" t="n">
        <x:v>7200</x:v>
      </x:c>
      <x:c r="E655" s="11" t="n">
        <x:f>'Option source'!B777</x:f>
        <x:v>544.22</x:v>
      </x:c>
      <x:c r="F655" s="11" t="n">
        <x:v>6810</x:v>
      </x:c>
      <x:c r="G655" s="18" t="n">
        <x:v>49</x:v>
      </x:c>
      <x:c r="H655" s="11" t="n">
        <x:f>MAX(IF(C655="call",F655-D655,D655-F655),0)</x:f>
        <x:v>390</x:v>
      </x:c>
      <x:c r="I655" s="11" t="n">
        <x:f>E655-H655</x:f>
        <x:v>154.22000000000003</x:v>
      </x:c>
      <x:c r="J655" s="13" t="n">
        <x:f>D655/F655</x:f>
        <x:v>1.0572687224669604</x:v>
      </x:c>
      <x:c r="K655" s="13" t="n">
        <x:v>0.43335529903315306</x:v>
      </x:c>
      <x:c r="L655" s="17" t="n">
        <x:v>-0.5070583676633338</x:v>
      </x:c>
      <x:c r="M655" s="17" t="n">
        <x:v>9.952697500386371</x:v>
      </x:c>
      <x:c r="N655" s="11" t="n">
        <x:f>'Option source'!C777</x:f>
        <x:v>25656718</x:v>
      </x:c>
      <x:c r="O655" s="11" t="n">
        <x:f>'Option source'!G777</x:f>
        <x:v>525</x:v>
      </x:c>
      <x:c r="P655" s="11" t="n">
        <x:f>'Option source'!F777</x:f>
        <x:v>615</x:v>
      </x:c>
      <x:c r="Q655" s="1" t="str">
        <x:v>Screen passed; indicative</x:v>
      </x:c>
      <x:c r="R655" s="1" t="n">
        <x:v>772</x:v>
      </x:c>
    </x:row>
    <x:row r="656" ht="21" customHeight="1">
      <x:c r="A656" s="12" t="n">
        <x:v>46262</x:v>
      </x:c>
      <x:c r="B656" s="1" t="str">
        <x:v>GFGC6400OC</x:v>
      </x:c>
      <x:c r="C656" s="1" t="str">
        <x:v>call</x:v>
      </x:c>
      <x:c r="D656" s="11" t="n">
        <x:v>6400</x:v>
      </x:c>
      <x:c r="E656" s="11" t="n">
        <x:f>'Option source'!B207</x:f>
        <x:v>775</x:v>
      </x:c>
      <x:c r="F656" s="11" t="n">
        <x:v>6810</x:v>
      </x:c>
      <x:c r="G656" s="18" t="n">
        <x:v>49</x:v>
      </x:c>
      <x:c r="H656" s="11" t="n">
        <x:f>MAX(IF(C656="call",F656-D656,D656-F656),0)</x:f>
        <x:v>410</x:v>
      </x:c>
      <x:c r="I656" s="11" t="n">
        <x:f>E656-H656</x:f>
        <x:v>365</x:v>
      </x:c>
      <x:c r="J656" s="13" t="n">
        <x:f>D656/F656</x:f>
        <x:v>0.9397944199706314</x:v>
      </x:c>
      <x:c r="K656" s="13" t="n">
        <x:v>0.3678539569987508</x:v>
      </x:c>
      <x:c r="L656" s="17" t="n">
        <x:v>0.7958552385558213</x:v>
      </x:c>
      <x:c r="M656" s="17" t="n">
        <x:v>7.07177981666205</x:v>
      </x:c>
      <x:c r="N656" s="11" t="n">
        <x:f>'Option source'!C207</x:f>
        <x:v>25748998</x:v>
      </x:c>
      <x:c r="O656" s="11" t="n">
        <x:f>'Option source'!G207</x:f>
        <x:v>700</x:v>
      </x:c>
      <x:c r="P656" s="11" t="n">
        <x:f>'Option source'!F207</x:f>
        <x:v>840</x:v>
      </x:c>
      <x:c r="Q656" s="1" t="str">
        <x:v>Screen passed; indicative</x:v>
      </x:c>
      <x:c r="R656" s="1" t="n">
        <x:v>202</x:v>
      </x:c>
    </x:row>
    <x:row r="657" ht="21" customHeight="1">
      <x:c r="A657" s="12" t="n">
        <x:v>46262</x:v>
      </x:c>
      <x:c r="B657" s="1" t="str">
        <x:v>GFGV6400OC</x:v>
      </x:c>
      <x:c r="C657" s="1" t="str">
        <x:v>put</x:v>
      </x:c>
      <x:c r="D657" s="11" t="n">
        <x:v>6400</x:v>
      </x:c>
      <x:c r="E657" s="11" t="n">
        <x:f>'Option source'!B701</x:f>
        <x:v>179.89</x:v>
      </x:c>
      <x:c r="F657" s="11" t="n">
        <x:v>6810</x:v>
      </x:c>
      <x:c r="G657" s="18" t="n">
        <x:v>49</x:v>
      </x:c>
      <x:c r="H657" s="11" t="n">
        <x:f>MAX(IF(C657="call",F657-D657,D657-F657),0)</x:f>
        <x:v>0</x:v>
      </x:c>
      <x:c r="I657" s="11" t="n">
        <x:f>E657-H657</x:f>
        <x:v>179.89</x:v>
      </x:c>
      <x:c r="J657" s="13" t="n">
        <x:f>D657/F657</x:f>
        <x:v>0.9397944199706314</x:v>
      </x:c>
      <x:c r="K657" s="13" t="n">
        <x:v>0.4419611285287244</x:v>
      </x:c>
      <x:c r="L657" s="17" t="n">
        <x:v>-0.2378828407769873</x:v>
      </x:c>
      <x:c r="M657" s="17" t="n">
        <x:v>7.719297587621226</x:v>
      </x:c>
      <x:c r="N657" s="11" t="n">
        <x:f>'Option source'!C701</x:f>
        <x:v>177694320</x:v>
      </x:c>
      <x:c r="O657" s="11" t="n">
        <x:f>'Option source'!G701</x:f>
        <x:v>170</x:v>
      </x:c>
      <x:c r="P657" s="11" t="n">
        <x:f>'Option source'!F701</x:f>
        <x:v>220</x:v>
      </x:c>
      <x:c r="Q657" s="1" t="str">
        <x:v>Screen passed; indicative</x:v>
      </x:c>
      <x:c r="R657" s="1" t="n">
        <x:v>696</x:v>
      </x:c>
    </x:row>
    <x:row r="658" ht="21" customHeight="1">
      <x:c r="A658" s="12" t="n">
        <x:v>46262</x:v>
      </x:c>
      <x:c r="B658" s="1" t="str">
        <x:v>GFGC7400OC</x:v>
      </x:c>
      <x:c r="C658" s="1" t="str">
        <x:v>call</x:v>
      </x:c>
      <x:c r="D658" s="11" t="n">
        <x:v>7400</x:v>
      </x:c>
      <x:c r="E658" s="11" t="n">
        <x:f>'Option source'!B302</x:f>
        <x:v>280.61</x:v>
      </x:c>
      <x:c r="F658" s="11" t="n">
        <x:v>6810</x:v>
      </x:c>
      <x:c r="G658" s="18" t="n">
        <x:v>49</x:v>
      </x:c>
      <x:c r="H658" s="11" t="n">
        <x:f>MAX(IF(C658="call",F658-D658,D658-F658),0)</x:f>
        <x:v>0</x:v>
      </x:c>
      <x:c r="I658" s="11" t="n">
        <x:f>E658-H658</x:f>
        <x:v>280.61</x:v>
      </x:c>
      <x:c r="J658" s="13" t="n">
        <x:f>D658/F658</x:f>
        <x:v>1.0866372980910426</x:v>
      </x:c>
      <x:c r="K658" s="13" t="n">
        <x:v>0.4060185090030064</x:v>
      </x:c>
      <x:c r="L658" s="17" t="n">
        <x:v>0.4155013129572811</x:v>
      </x:c>
      <x:c r="M658" s="17" t="n">
        <x:v>9.730127419657522</x:v>
      </x:c>
      <x:c r="N658" s="11" t="n">
        <x:f>'Option source'!C302</x:f>
        <x:v>309063168</x:v>
      </x:c>
      <x:c r="O658" s="11" t="n">
        <x:f>'Option source'!G302</x:f>
        <x:v>220.65</x:v>
      </x:c>
      <x:c r="P658" s="11" t="n">
        <x:f>'Option source'!F302</x:f>
        <x:v>330</x:v>
      </x:c>
      <x:c r="Q658" s="1" t="str">
        <x:v>Screen passed; indicative</x:v>
      </x:c>
      <x:c r="R658" s="1" t="n">
        <x:v>297</x:v>
      </x:c>
    </x:row>
    <x:row r="659" ht="21" customHeight="1">
      <x:c r="A659" s="12" t="n">
        <x:v>46262</x:v>
      </x:c>
      <x:c r="B659" s="1" t="str">
        <x:v>GFGV7400OC</x:v>
      </x:c>
      <x:c r="C659" s="1" t="str">
        <x:v>put</x:v>
      </x:c>
      <x:c r="D659" s="11" t="n">
        <x:v>7400</x:v>
      </x:c>
      <x:c r="E659" s="11" t="n">
        <x:f>'Option source'!B796</x:f>
        <x:v>657.34</x:v>
      </x:c>
      <x:c r="F659" s="11" t="n">
        <x:v>6810</x:v>
      </x:c>
      <x:c r="G659" s="18" t="n">
        <x:v>49</x:v>
      </x:c>
      <x:c r="H659" s="11" t="n">
        <x:f>MAX(IF(C659="call",F659-D659,D659-F659),0)</x:f>
        <x:v>590</x:v>
      </x:c>
      <x:c r="I659" s="11" t="n">
        <x:f>E659-H659</x:f>
        <x:v>67.34000000000003</x:v>
      </x:c>
      <x:c r="J659" s="13" t="n">
        <x:f>D659/F659</x:f>
        <x:v>1.0866372980910426</x:v>
      </x:c>
      <x:c r="K659" s="13"/>
      <x:c r="L659" s="17"/>
      <x:c r="M659" s="17"/>
      <x:c r="N659" s="11" t="n">
        <x:f>'Option source'!C796</x:f>
        <x:v>29957128</x:v>
      </x:c>
      <x:c r="O659" s="11" t="n">
        <x:f>'Option source'!G796</x:f>
        <x:v>661.58</x:v>
      </x:c>
      <x:c r="P659" s="11" t="n">
        <x:f>'Option source'!F796</x:f>
        <x:v>741</x:v>
      </x:c>
      <x:c r="Q659" s="1" t="str">
        <x:v>Price outside daily range</x:v>
      </x:c>
      <x:c r="R659" s="1" t="n">
        <x:v>791</x:v>
      </x:c>
    </x:row>
    <x:row r="660" ht="21" customHeight="1">
      <x:c r="A660" s="12" t="n">
        <x:v>46262</x:v>
      </x:c>
      <x:c r="B660" s="1" t="str">
        <x:v>GFGC6200OC</x:v>
      </x:c>
      <x:c r="C660" s="1" t="str">
        <x:v>call</x:v>
      </x:c>
      <x:c r="D660" s="11" t="n">
        <x:v>6200</x:v>
      </x:c>
      <x:c r="E660" s="11" t="n">
        <x:f>'Option source'!B188</x:f>
        <x:v>870</x:v>
      </x:c>
      <x:c r="F660" s="11" t="n">
        <x:v>6810</x:v>
      </x:c>
      <x:c r="G660" s="18" t="n">
        <x:v>49</x:v>
      </x:c>
      <x:c r="H660" s="11" t="n">
        <x:f>MAX(IF(C660="call",F660-D660,D660-F660),0)</x:f>
        <x:v>610</x:v>
      </x:c>
      <x:c r="I660" s="11" t="n">
        <x:f>E660-H660</x:f>
        <x:v>260</x:v>
      </x:c>
      <x:c r="J660" s="13" t="n">
        <x:f>D660/F660</x:f>
        <x:v>0.9104258443465492</x:v>
      </x:c>
      <x:c r="K660" s="13" t="n">
        <x:v>0.23924394876136465</x:v>
      </x:c>
      <x:c r="L660" s="17" t="n">
        <x:v>0.9422361857769821</x:v>
      </x:c>
      <x:c r="M660" s="17" t="n">
        <x:v>2.8850310208795067</x:v>
      </x:c>
      <x:c r="N660" s="11" t="n">
        <x:f>'Option source'!C188</x:f>
        <x:v>3803161.5</x:v>
      </x:c>
      <x:c r="O660" s="11" t="n">
        <x:f>'Option source'!G188</x:f>
        <x:v>833.09</x:v>
      </x:c>
      <x:c r="P660" s="11" t="n">
        <x:f>'Option source'!F188</x:f>
        <x:v>983.31</x:v>
      </x:c>
      <x:c r="Q660" s="1" t="str">
        <x:v>Screen passed; indicative</x:v>
      </x:c>
      <x:c r="R660" s="1" t="n">
        <x:v>183</x:v>
      </x:c>
    </x:row>
    <x:row r="661" ht="21" customHeight="1">
      <x:c r="A661" s="12" t="n">
        <x:v>46262</x:v>
      </x:c>
      <x:c r="B661" s="1" t="str">
        <x:v>GFGV6200OC</x:v>
      </x:c>
      <x:c r="C661" s="1" t="str">
        <x:v>put</x:v>
      </x:c>
      <x:c r="D661" s="11" t="n">
        <x:v>6200</x:v>
      </x:c>
      <x:c r="E661" s="11" t="n">
        <x:f>'Option source'!B682</x:f>
        <x:v>125.54</x:v>
      </x:c>
      <x:c r="F661" s="11" t="n">
        <x:v>6810</x:v>
      </x:c>
      <x:c r="G661" s="18" t="n">
        <x:v>49</x:v>
      </x:c>
      <x:c r="H661" s="11" t="n">
        <x:f>MAX(IF(C661="call",F661-D661,D661-F661),0)</x:f>
        <x:v>0</x:v>
      </x:c>
      <x:c r="I661" s="11" t="n">
        <x:f>E661-H661</x:f>
        <x:v>125.54</x:v>
      </x:c>
      <x:c r="J661" s="13" t="n">
        <x:f>D661/F661</x:f>
        <x:v>0.9104258443465492</x:v>
      </x:c>
      <x:c r="K661" s="13" t="n">
        <x:v>0.4421981532572362</x:v>
      </x:c>
      <x:c r="L661" s="17" t="n">
        <x:v>-0.18173063688799862</x:v>
      </x:c>
      <x:c r="M661" s="17" t="n">
        <x:v>6.586690455335204</x:v>
      </x:c>
      <x:c r="N661" s="11" t="n">
        <x:f>'Option source'!C682</x:f>
        <x:v>84735464</x:v>
      </x:c>
      <x:c r="O661" s="11" t="n">
        <x:f>'Option source'!G682</x:f>
        <x:v>124</x:v>
      </x:c>
      <x:c r="P661" s="11" t="n">
        <x:f>'Option source'!F682</x:f>
        <x:v>159</x:v>
      </x:c>
      <x:c r="Q661" s="1" t="str">
        <x:v>Screen passed; indicative</x:v>
      </x:c>
      <x:c r="R661" s="1" t="n">
        <x:v>677</x:v>
      </x:c>
    </x:row>
    <x:row r="662" ht="21" customHeight="1">
      <x:c r="A662" s="12" t="n">
        <x:v>46262</x:v>
      </x:c>
      <x:c r="B662" s="1" t="str">
        <x:v>GFGC7600OC</x:v>
      </x:c>
      <x:c r="C662" s="1" t="str">
        <x:v>call</x:v>
      </x:c>
      <x:c r="D662" s="11" t="n">
        <x:v>7600</x:v>
      </x:c>
      <x:c r="E662" s="11" t="n">
        <x:f>'Option source'!B321</x:f>
        <x:v>220.2</x:v>
      </x:c>
      <x:c r="F662" s="11" t="n">
        <x:v>6810</x:v>
      </x:c>
      <x:c r="G662" s="18" t="n">
        <x:v>49</x:v>
      </x:c>
      <x:c r="H662" s="11" t="n">
        <x:f>MAX(IF(C662="call",F662-D662,D662-F662),0)</x:f>
        <x:v>0</x:v>
      </x:c>
      <x:c r="I662" s="11" t="n">
        <x:f>E662-H662</x:f>
        <x:v>220.2</x:v>
      </x:c>
      <x:c r="J662" s="13" t="n">
        <x:f>D662/F662</x:f>
        <x:v>1.1160058737151248</x:v>
      </x:c>
      <x:c r="K662" s="13" t="n">
        <x:v>0.40837537540996427</x:v>
      </x:c>
      <x:c r="L662" s="17" t="n">
        <x:v>0.3484331411574212</x:v>
      </x:c>
      <x:c r="M662" s="17" t="n">
        <x:v>9.226907514137611</x:v>
      </x:c>
      <x:c r="N662" s="11" t="n">
        <x:f>'Option source'!C321</x:f>
        <x:v>148961920</x:v>
      </x:c>
      <x:c r="O662" s="11" t="n">
        <x:f>'Option source'!G321</x:f>
        <x:v>180.9</x:v>
      </x:c>
      <x:c r="P662" s="11" t="n">
        <x:f>'Option source'!F321</x:f>
        <x:v>245.9</x:v>
      </x:c>
      <x:c r="Q662" s="1" t="str">
        <x:v>Screen passed; indicative</x:v>
      </x:c>
      <x:c r="R662" s="1" t="n">
        <x:v>316</x:v>
      </x:c>
    </x:row>
    <x:row r="663" ht="21" customHeight="1">
      <x:c r="A663" s="12" t="n">
        <x:v>46262</x:v>
      </x:c>
      <x:c r="B663" s="1" t="str">
        <x:v>GFGV7600OC</x:v>
      </x:c>
      <x:c r="C663" s="1" t="str">
        <x:v>put</x:v>
      </x:c>
      <x:c r="D663" s="11" t="n">
        <x:v>7600</x:v>
      </x:c>
      <x:c r="E663" s="11" t="n">
        <x:f>'Option source'!B815</x:f>
        <x:v>811.29</x:v>
      </x:c>
      <x:c r="F663" s="11" t="n">
        <x:v>6810</x:v>
      </x:c>
      <x:c r="G663" s="18" t="n">
        <x:v>49</x:v>
      </x:c>
      <x:c r="H663" s="11" t="n">
        <x:f>MAX(IF(C663="call",F663-D663,D663-F663),0)</x:f>
        <x:v>790</x:v>
      </x:c>
      <x:c r="I663" s="11" t="n">
        <x:f>E663-H663</x:f>
        <x:v>21.289999999999964</x:v>
      </x:c>
      <x:c r="J663" s="13" t="n">
        <x:f>D663/F663</x:f>
        <x:v>1.1160058737151248</x:v>
      </x:c>
      <x:c r="K663" s="13" t="n">
        <x:v>0.39497844763397194</x:v>
      </x:c>
      <x:c r="L663" s="17" t="n">
        <x:v>-0.6582746558272334</x:v>
      </x:c>
      <x:c r="M663" s="17" t="n">
        <x:v>9.160186060650531</x:v>
      </x:c>
      <x:c r="N663" s="11" t="n">
        <x:f>'Option source'!C815</x:f>
        <x:v>913518</x:v>
      </x:c>
      <x:c r="O663" s="11" t="n">
        <x:f>'Option source'!G815</x:f>
        <x:v>802.59</x:v>
      </x:c>
      <x:c r="P663" s="11" t="n">
        <x:f>'Option source'!F815</x:f>
        <x:v>850</x:v>
      </x:c>
      <x:c r="Q663" s="1" t="str">
        <x:v>Screen passed; indicative</x:v>
      </x:c>
      <x:c r="R663" s="1" t="n">
        <x:v>810</x:v>
      </x:c>
    </x:row>
    <x:row r="664" ht="21" customHeight="1">
      <x:c r="A664" s="12" t="n">
        <x:v>46262</x:v>
      </x:c>
      <x:c r="B664" s="1" t="str">
        <x:v>GFGC6000OC</x:v>
      </x:c>
      <x:c r="C664" s="1" t="str">
        <x:v>call</x:v>
      </x:c>
      <x:c r="D664" s="11" t="n">
        <x:v>6000</x:v>
      </x:c>
      <x:c r="E664" s="11" t="n">
        <x:f>'Option source'!B169</x:f>
        <x:v>1178.78</x:v>
      </x:c>
      <x:c r="F664" s="11" t="n">
        <x:v>6810</x:v>
      </x:c>
      <x:c r="G664" s="18" t="n">
        <x:v>49</x:v>
      </x:c>
      <x:c r="H664" s="11" t="n">
        <x:f>MAX(IF(C664="call",F664-D664,D664-F664),0)</x:f>
        <x:v>810</x:v>
      </x:c>
      <x:c r="I664" s="11" t="n">
        <x:f>E664-H664</x:f>
        <x:v>368.78</x:v>
      </x:c>
      <x:c r="J664" s="13" t="n">
        <x:f>D664/F664</x:f>
        <x:v>0.8810572687224669</x:v>
      </x:c>
      <x:c r="K664" s="13"/>
      <x:c r="L664" s="17"/>
      <x:c r="M664" s="17"/>
      <x:c r="N664" s="11" t="n">
        <x:f>'Option source'!C169</x:f>
        <x:v>0</x:v>
      </x:c>
      <x:c r="O664" s="11" t="n">
        <x:f>'Option source'!G169</x:f>
        <x:v>1165</x:v>
      </x:c>
      <x:c r="P664" s="11" t="n">
        <x:f>'Option source'!F169</x:f>
        <x:v>1200</x:v>
      </x:c>
      <x:c r="Q664" s="1" t="str">
        <x:v>Zero reported volume</x:v>
      </x:c>
      <x:c r="R664" s="1" t="n">
        <x:v>164</x:v>
      </x:c>
    </x:row>
    <x:row r="665" ht="21" customHeight="1">
      <x:c r="A665" s="12" t="n">
        <x:v>46262</x:v>
      </x:c>
      <x:c r="B665" s="1" t="str">
        <x:v>GFGV6000OC</x:v>
      </x:c>
      <x:c r="C665" s="1" t="str">
        <x:v>put</x:v>
      </x:c>
      <x:c r="D665" s="11" t="n">
        <x:v>6000</x:v>
      </x:c>
      <x:c r="E665" s="11" t="n">
        <x:f>'Option source'!B663</x:f>
        <x:v>83.64</x:v>
      </x:c>
      <x:c r="F665" s="11" t="n">
        <x:v>6810</x:v>
      </x:c>
      <x:c r="G665" s="18" t="n">
        <x:v>49</x:v>
      </x:c>
      <x:c r="H665" s="11" t="n">
        <x:f>MAX(IF(C665="call",F665-D665,D665-F665),0)</x:f>
        <x:v>0</x:v>
      </x:c>
      <x:c r="I665" s="11" t="n">
        <x:f>E665-H665</x:f>
        <x:v>83.64</x:v>
      </x:c>
      <x:c r="J665" s="13" t="n">
        <x:f>D665/F665</x:f>
        <x:v>0.8810572687224669</x:v>
      </x:c>
      <x:c r="K665" s="13" t="n">
        <x:v>0.44035858471892675</x:v>
      </x:c>
      <x:c r="L665" s="17" t="n">
        <x:v>-0.132395805482027</x:v>
      </x:c>
      <x:c r="M665" s="17" t="n">
        <x:v>5.3453905434415345</x:v>
      </x:c>
      <x:c r="N665" s="11" t="n">
        <x:f>'Option source'!C663</x:f>
        <x:v>94850992</x:v>
      </x:c>
      <x:c r="O665" s="11" t="n">
        <x:f>'Option source'!G663</x:f>
        <x:v>81</x:v>
      </x:c>
      <x:c r="P665" s="11" t="n">
        <x:f>'Option source'!F663</x:f>
        <x:v>108.2</x:v>
      </x:c>
      <x:c r="Q665" s="1" t="str">
        <x:v>Screen passed; indicative</x:v>
      </x:c>
      <x:c r="R665" s="1" t="n">
        <x:v>658</x:v>
      </x:c>
    </x:row>
    <x:row r="666" ht="21" customHeight="1">
      <x:c r="A666" s="12" t="n">
        <x:v>46262</x:v>
      </x:c>
      <x:c r="B666" s="1" t="str">
        <x:v>GFGC7800OC</x:v>
      </x:c>
      <x:c r="C666" s="1" t="str">
        <x:v>call</x:v>
      </x:c>
      <x:c r="D666" s="11" t="n">
        <x:v>7800</x:v>
      </x:c>
      <x:c r="E666" s="11" t="n">
        <x:f>'Option source'!B340</x:f>
        <x:v>169.15</x:v>
      </x:c>
      <x:c r="F666" s="11" t="n">
        <x:v>6810</x:v>
      </x:c>
      <x:c r="G666" s="18" t="n">
        <x:v>49</x:v>
      </x:c>
      <x:c r="H666" s="11" t="n">
        <x:f>MAX(IF(C666="call",F666-D666,D666-F666),0)</x:f>
        <x:v>0</x:v>
      </x:c>
      <x:c r="I666" s="11" t="n">
        <x:f>E666-H666</x:f>
        <x:v>169.15</x:v>
      </x:c>
      <x:c r="J666" s="13" t="n">
        <x:f>D666/F666</x:f>
        <x:v>1.145374449339207</x:v>
      </x:c>
      <x:c r="K666" s="13" t="n">
        <x:v>0.40838848662484073</x:v>
      </x:c>
      <x:c r="L666" s="17" t="n">
        <x:v>0.2866723777892064</x:v>
      </x:c>
      <x:c r="M666" s="17" t="n">
        <x:v>8.49468881662154</x:v>
      </x:c>
      <x:c r="N666" s="11" t="n">
        <x:f>'Option source'!C340</x:f>
        <x:v>85362800</x:v>
      </x:c>
      <x:c r="O666" s="11" t="n">
        <x:f>'Option source'!G340</x:f>
        <x:v>143</x:v>
      </x:c>
      <x:c r="P666" s="11" t="n">
        <x:f>'Option source'!F340</x:f>
        <x:v>196</x:v>
      </x:c>
      <x:c r="Q666" s="1" t="str">
        <x:v>Screen passed; indicative</x:v>
      </x:c>
      <x:c r="R666" s="1" t="n">
        <x:v>335</x:v>
      </x:c>
    </x:row>
    <x:row r="667" ht="21" customHeight="1">
      <x:c r="A667" s="12" t="n">
        <x:v>46262</x:v>
      </x:c>
      <x:c r="B667" s="1" t="str">
        <x:v>GFGV7800OC</x:v>
      </x:c>
      <x:c r="C667" s="1" t="str">
        <x:v>put</x:v>
      </x:c>
      <x:c r="D667" s="11" t="n">
        <x:v>7800</x:v>
      </x:c>
      <x:c r="E667" s="11" t="n">
        <x:f>'Option source'!B834</x:f>
        <x:v>905</x:v>
      </x:c>
      <x:c r="F667" s="11" t="n">
        <x:v>6810</x:v>
      </x:c>
      <x:c r="G667" s="18" t="n">
        <x:v>49</x:v>
      </x:c>
      <x:c r="H667" s="11" t="n">
        <x:f>MAX(IF(C667="call",F667-D667,D667-F667),0)</x:f>
        <x:v>990</x:v>
      </x:c>
      <x:c r="I667" s="11" t="n">
        <x:f>E667-H667</x:f>
        <x:v>-85</x:v>
      </x:c>
      <x:c r="J667" s="13" t="n">
        <x:f>D667/F667</x:f>
        <x:v>1.145374449339207</x:v>
      </x:c>
      <x:c r="K667" s="13"/>
      <x:c r="L667" s="17"/>
      <x:c r="M667" s="17"/>
      <x:c r="N667" s="11" t="n">
        <x:f>'Option source'!C834</x:f>
        <x:v>0</x:v>
      </x:c>
      <x:c r="O667" s="11" t="n">
        <x:f>'Option source'!G834</x:f>
        <x:v>770</x:v>
      </x:c>
      <x:c r="P667" s="11" t="n">
        <x:f>'Option source'!F834</x:f>
        <x:v>910</x:v>
      </x:c>
      <x:c r="Q667" s="1" t="str">
        <x:v>Zero reported volume; Below intrinsic value</x:v>
      </x:c>
      <x:c r="R667" s="1" t="n">
        <x:v>829</x:v>
      </x:c>
    </x:row>
    <x:row r="668" ht="21" customHeight="1">
      <x:c r="A668" s="12" t="n">
        <x:v>46262</x:v>
      </x:c>
      <x:c r="B668" s="1" t="str">
        <x:v>GFGV5800OC</x:v>
      </x:c>
      <x:c r="C668" s="1" t="str">
        <x:v>put</x:v>
      </x:c>
      <x:c r="D668" s="11" t="n">
        <x:v>5800</x:v>
      </x:c>
      <x:c r="E668" s="11" t="n">
        <x:f>'Option source'!B644</x:f>
        <x:v>52.04</x:v>
      </x:c>
      <x:c r="F668" s="11" t="n">
        <x:v>6810</x:v>
      </x:c>
      <x:c r="G668" s="18" t="n">
        <x:v>49</x:v>
      </x:c>
      <x:c r="H668" s="11" t="n">
        <x:f>MAX(IF(C668="call",F668-D668,D668-F668),0)</x:f>
        <x:v>0</x:v>
      </x:c>
      <x:c r="I668" s="11" t="n">
        <x:f>E668-H668</x:f>
        <x:v>52.04</x:v>
      </x:c>
      <x:c r="J668" s="13" t="n">
        <x:f>D668/F668</x:f>
        <x:v>0.8516886930983847</x:v>
      </x:c>
      <x:c r="K668" s="13" t="n">
        <x:v>0.43722802645198033</x:v>
      </x:c>
      <x:c r="L668" s="17" t="n">
        <x:v>-0.09116878575176346</x:v>
      </x:c>
      <x:c r="M668" s="17" t="n">
        <x:v>4.090904929986413</x:v>
      </x:c>
      <x:c r="N668" s="11" t="n">
        <x:f>'Option source'!C644</x:f>
        <x:v>29709064</x:v>
      </x:c>
      <x:c r="O668" s="11" t="n">
        <x:f>'Option source'!G644</x:f>
        <x:v>50.01</x:v>
      </x:c>
      <x:c r="P668" s="11" t="n">
        <x:f>'Option source'!F644</x:f>
        <x:v>73</x:v>
      </x:c>
      <x:c r="Q668" s="1" t="str">
        <x:v>Screen passed; indicative</x:v>
      </x:c>
      <x:c r="R668" s="1" t="n">
        <x:v>639</x:v>
      </x:c>
    </x:row>
    <x:row r="669" ht="21" customHeight="1">
      <x:c r="A669" s="12" t="n">
        <x:v>46262</x:v>
      </x:c>
      <x:c r="B669" s="1" t="str">
        <x:v>GFGC8000OC</x:v>
      </x:c>
      <x:c r="C669" s="1" t="str">
        <x:v>call</x:v>
      </x:c>
      <x:c r="D669" s="11" t="n">
        <x:v>8000</x:v>
      </x:c>
      <x:c r="E669" s="11" t="n">
        <x:f>'Option source'!B359</x:f>
        <x:v>129.19</x:v>
      </x:c>
      <x:c r="F669" s="11" t="n">
        <x:v>6810</x:v>
      </x:c>
      <x:c r="G669" s="18" t="n">
        <x:v>49</x:v>
      </x:c>
      <x:c r="H669" s="11" t="n">
        <x:f>MAX(IF(C669="call",F669-D669,D669-F669),0)</x:f>
        <x:v>0</x:v>
      </x:c>
      <x:c r="I669" s="11" t="n">
        <x:f>E669-H669</x:f>
        <x:v>129.19</x:v>
      </x:c>
      <x:c r="J669" s="13" t="n">
        <x:f>D669/F669</x:f>
        <x:v>1.1747430249632893</x:v>
      </x:c>
      <x:c r="K669" s="13" t="n">
        <x:v>0.40959376992261454</x:v>
      </x:c>
      <x:c r="L669" s="17" t="n">
        <x:v>0.23277558160565978</x:v>
      </x:c>
      <x:c r="M669" s="17" t="n">
        <x:v>7.627364327165476</x:v>
      </x:c>
      <x:c r="N669" s="11" t="n">
        <x:f>'Option source'!C359</x:f>
        <x:v>306326336</x:v>
      </x:c>
      <x:c r="O669" s="11" t="n">
        <x:f>'Option source'!G359</x:f>
        <x:v>110</x:v>
      </x:c>
      <x:c r="P669" s="11" t="n">
        <x:f>'Option source'!F359</x:f>
        <x:v>156</x:v>
      </x:c>
      <x:c r="Q669" s="1" t="str">
        <x:v>Screen passed; indicative</x:v>
      </x:c>
      <x:c r="R669" s="1" t="n">
        <x:v>354</x:v>
      </x:c>
    </x:row>
    <x:row r="670" ht="21" customHeight="1">
      <x:c r="A670" s="12" t="n">
        <x:v>46262</x:v>
      </x:c>
      <x:c r="B670" s="1" t="str">
        <x:v>GFGV8000OC</x:v>
      </x:c>
      <x:c r="C670" s="1" t="str">
        <x:v>put</x:v>
      </x:c>
      <x:c r="D670" s="11" t="n">
        <x:v>8000</x:v>
      </x:c>
      <x:c r="E670" s="11" t="n">
        <x:f>'Option source'!B853</x:f>
        <x:v>1225</x:v>
      </x:c>
      <x:c r="F670" s="11" t="n">
        <x:v>6810</x:v>
      </x:c>
      <x:c r="G670" s="18" t="n">
        <x:v>49</x:v>
      </x:c>
      <x:c r="H670" s="11" t="n">
        <x:f>MAX(IF(C670="call",F670-D670,D670-F670),0)</x:f>
        <x:v>1190</x:v>
      </x:c>
      <x:c r="I670" s="11" t="n">
        <x:f>E670-H670</x:f>
        <x:v>35</x:v>
      </x:c>
      <x:c r="J670" s="13" t="n">
        <x:f>D670/F670</x:f>
        <x:v>1.1747430249632893</x:v>
      </x:c>
      <x:c r="K670" s="13" t="n">
        <x:v>0.5302435411654541</x:v>
      </x:c>
      <x:c r="L670" s="17" t="n">
        <x:v>-0.7000410027225843</x:v>
      </x:c>
      <x:c r="M670" s="17" t="n">
        <x:v>8.67495686024744</x:v>
      </x:c>
      <x:c r="N670" s="11" t="n">
        <x:f>'Option source'!C853</x:f>
        <x:v>2458600.25</x:v>
      </x:c>
      <x:c r="O670" s="11" t="n">
        <x:f>'Option source'!G853</x:f>
        <x:v>1166</x:v>
      </x:c>
      <x:c r="P670" s="11" t="n">
        <x:f>'Option source'!F853</x:f>
        <x:v>1259</x:v>
      </x:c>
      <x:c r="Q670" s="1" t="str">
        <x:v>Screen passed; indicative</x:v>
      </x:c>
      <x:c r="R670" s="1" t="n">
        <x:v>848</x:v>
      </x:c>
    </x:row>
    <x:row r="671" ht="21" customHeight="1">
      <x:c r="A671" s="12" t="n">
        <x:v>46262</x:v>
      </x:c>
      <x:c r="B671" s="1" t="str">
        <x:v>GFGC5600OC</x:v>
      </x:c>
      <x:c r="C671" s="1" t="str">
        <x:v>call</x:v>
      </x:c>
      <x:c r="D671" s="11" t="n">
        <x:v>5600</x:v>
      </x:c>
      <x:c r="E671" s="11" t="n">
        <x:f>'Option source'!B140</x:f>
        <x:v>1311.48</x:v>
      </x:c>
      <x:c r="F671" s="11" t="n">
        <x:v>6810</x:v>
      </x:c>
      <x:c r="G671" s="18" t="n">
        <x:v>49</x:v>
      </x:c>
      <x:c r="H671" s="11" t="n">
        <x:f>MAX(IF(C671="call",F671-D671,D671-F671),0)</x:f>
        <x:v>1210</x:v>
      </x:c>
      <x:c r="I671" s="11" t="n">
        <x:f>E671-H671</x:f>
        <x:v>101.48000000000002</x:v>
      </x:c>
      <x:c r="J671" s="13" t="n">
        <x:f>D671/F671</x:f>
        <x:v>0.8223201174743024</x:v>
      </x:c>
      <x:c r="K671" s="13"/>
      <x:c r="L671" s="17"/>
      <x:c r="M671" s="17"/>
      <x:c r="N671" s="11" t="n">
        <x:f>'Option source'!C140</x:f>
        <x:v>262295.19</x:v>
      </x:c>
      <x:c r="O671" s="11" t="n">
        <x:f>'Option source'!G140</x:f>
        <x:v>0</x:v>
      </x:c>
      <x:c r="P671" s="11" t="n">
        <x:f>'Option source'!F140</x:f>
        <x:v>0</x:v>
      </x:c>
      <x:c r="Q671" s="1" t="str">
        <x:v>Price outside daily range</x:v>
      </x:c>
      <x:c r="R671" s="1" t="n">
        <x:v>135</x:v>
      </x:c>
    </x:row>
    <x:row r="672" ht="21" customHeight="1">
      <x:c r="A672" s="12" t="n">
        <x:v>46262</x:v>
      </x:c>
      <x:c r="B672" s="1" t="str">
        <x:v>GFGV5600OC</x:v>
      </x:c>
      <x:c r="C672" s="1" t="str">
        <x:v>put</x:v>
      </x:c>
      <x:c r="D672" s="11" t="n">
        <x:v>5600</x:v>
      </x:c>
      <x:c r="E672" s="11" t="n">
        <x:f>'Option source'!B625</x:f>
        <x:v>32.76</x:v>
      </x:c>
      <x:c r="F672" s="11" t="n">
        <x:v>6810</x:v>
      </x:c>
      <x:c r="G672" s="18" t="n">
        <x:v>49</x:v>
      </x:c>
      <x:c r="H672" s="11" t="n">
        <x:f>MAX(IF(C672="call",F672-D672,D672-F672),0)</x:f>
        <x:v>0</x:v>
      </x:c>
      <x:c r="I672" s="11" t="n">
        <x:f>E672-H672</x:f>
        <x:v>32.76</x:v>
      </x:c>
      <x:c r="J672" s="13" t="n">
        <x:f>D672/F672</x:f>
        <x:v>0.8223201174743024</x:v>
      </x:c>
      <x:c r="K672" s="13" t="n">
        <x:v>0.44038470486260617</x:v>
      </x:c>
      <x:c r="L672" s="17" t="n">
        <x:v>-0.061456204661937575</x:v>
      </x:c>
      <x:c r="M672" s="17" t="n">
        <x:v>3.0285822502640696</x:v>
      </x:c>
      <x:c r="N672" s="11" t="n">
        <x:f>'Option source'!C625</x:f>
        <x:v>14065054</x:v>
      </x:c>
      <x:c r="O672" s="11" t="n">
        <x:f>'Option source'!G625</x:f>
        <x:v>30</x:v>
      </x:c>
      <x:c r="P672" s="11" t="n">
        <x:f>'Option source'!F625</x:f>
        <x:v>49</x:v>
      </x:c>
      <x:c r="Q672" s="1" t="str">
        <x:v>Screen passed; indicative</x:v>
      </x:c>
      <x:c r="R672" s="1" t="n">
        <x:v>620</x:v>
      </x:c>
    </x:row>
    <x:row r="673" ht="21" customHeight="1">
      <x:c r="A673" s="12" t="n">
        <x:v>46262</x:v>
      </x:c>
      <x:c r="B673" s="1" t="str">
        <x:v>GFGC5400OC</x:v>
      </x:c>
      <x:c r="C673" s="1" t="str">
        <x:v>call</x:v>
      </x:c>
      <x:c r="D673" s="11" t="n">
        <x:v>5400</x:v>
      </x:c>
      <x:c r="E673" s="11" t="n">
        <x:f>'Option source'!B122</x:f>
        <x:v>1552.16</x:v>
      </x:c>
      <x:c r="F673" s="11" t="n">
        <x:v>6810</x:v>
      </x:c>
      <x:c r="G673" s="18" t="n">
        <x:v>49</x:v>
      </x:c>
      <x:c r="H673" s="11" t="n">
        <x:f>MAX(IF(C673="call",F673-D673,D673-F673),0)</x:f>
        <x:v>1410</x:v>
      </x:c>
      <x:c r="I673" s="11" t="n">
        <x:f>E673-H673</x:f>
        <x:v>142.16000000000008</x:v>
      </x:c>
      <x:c r="J673" s="13" t="n">
        <x:f>D673/F673</x:f>
        <x:v>0.7929515418502202</x:v>
      </x:c>
      <x:c r="K673" s="13"/>
      <x:c r="L673" s="17"/>
      <x:c r="M673" s="17"/>
      <x:c r="N673" s="11" t="n">
        <x:f>'Option source'!C122</x:f>
        <x:v>3828404.75</x:v>
      </x:c>
      <x:c r="O673" s="11" t="n">
        <x:f>'Option source'!G122</x:f>
        <x:v>1489.86</x:v>
      </x:c>
      <x:c r="P673" s="11" t="n">
        <x:f>'Option source'!F122</x:f>
        <x:v>1610</x:v>
      </x:c>
      <x:c r="Q673" s="1" t="str">
        <x:v>No stable model IV</x:v>
      </x:c>
      <x:c r="R673" s="1" t="n">
        <x:v>117</x:v>
      </x:c>
    </x:row>
    <x:row r="674" ht="21" customHeight="1">
      <x:c r="A674" s="12" t="n">
        <x:v>46262</x:v>
      </x:c>
      <x:c r="B674" s="1" t="str">
        <x:v>GFGV5400OC</x:v>
      </x:c>
      <x:c r="C674" s="1" t="str">
        <x:v>put</x:v>
      </x:c>
      <x:c r="D674" s="11" t="n">
        <x:v>5400</x:v>
      </x:c>
      <x:c r="E674" s="11" t="n">
        <x:f>'Option source'!B606</x:f>
        <x:v>18.4</x:v>
      </x:c>
      <x:c r="F674" s="11" t="n">
        <x:v>6810</x:v>
      </x:c>
      <x:c r="G674" s="18" t="n">
        <x:v>49</x:v>
      </x:c>
      <x:c r="H674" s="11" t="n">
        <x:f>MAX(IF(C674="call",F674-D674,D674-F674),0)</x:f>
        <x:v>0</x:v>
      </x:c>
      <x:c r="I674" s="11" t="n">
        <x:f>E674-H674</x:f>
        <x:v>18.4</x:v>
      </x:c>
      <x:c r="J674" s="13" t="n">
        <x:f>D674/F674</x:f>
        <x:v>0.7929515418502202</x:v>
      </x:c>
      <x:c r="K674" s="13" t="n">
        <x:v>0.43845300446827085</x:v>
      </x:c>
      <x:c r="L674" s="17" t="n">
        <x:v>-0.037938036531013686</x:v>
      </x:c>
      <x:c r="M674" s="17" t="n">
        <x:v>2.0594791571224587</x:v>
      </x:c>
      <x:c r="N674" s="11" t="n">
        <x:f>'Option source'!C606</x:f>
        <x:v>9021038</x:v>
      </x:c>
      <x:c r="O674" s="11" t="n">
        <x:f>'Option source'!G606</x:f>
        <x:v>16</x:v>
      </x:c>
      <x:c r="P674" s="11" t="n">
        <x:f>'Option source'!F606</x:f>
        <x:v>29</x:v>
      </x:c>
      <x:c r="Q674" s="1" t="str">
        <x:v>Screen passed; indicative</x:v>
      </x:c>
      <x:c r="R674" s="1" t="n">
        <x:v>601</x:v>
      </x:c>
    </x:row>
    <x:row r="675" ht="21" customHeight="1">
      <x:c r="A675" s="12" t="n">
        <x:v>46262</x:v>
      </x:c>
      <x:c r="B675" s="1" t="str">
        <x:v>GFGC8300OC</x:v>
      </x:c>
      <x:c r="C675" s="1" t="str">
        <x:v>call</x:v>
      </x:c>
      <x:c r="D675" s="11" t="n">
        <x:v>8300</x:v>
      </x:c>
      <x:c r="E675" s="11" t="n">
        <x:f>'Option source'!B378</x:f>
        <x:v>86.22</x:v>
      </x:c>
      <x:c r="F675" s="11" t="n">
        <x:v>6810</x:v>
      </x:c>
      <x:c r="G675" s="18" t="n">
        <x:v>49</x:v>
      </x:c>
      <x:c r="H675" s="11" t="n">
        <x:f>MAX(IF(C675="call",F675-D675,D675-F675),0)</x:f>
        <x:v>0</x:v>
      </x:c>
      <x:c r="I675" s="11" t="n">
        <x:f>E675-H675</x:f>
        <x:v>86.22</x:v>
      </x:c>
      <x:c r="J675" s="13" t="n">
        <x:f>D675/F675</x:f>
        <x:v>1.2187958883994126</x:v>
      </x:c>
      <x:c r="K675" s="13" t="n">
        <x:v>0.41392936972025185</x:v>
      </x:c>
      <x:c r="L675" s="17" t="n">
        <x:v>0.1677112007916329</x:v>
      </x:c>
      <x:c r="M675" s="17" t="n">
        <x:v>6.259344649410582</x:v>
      </x:c>
      <x:c r="N675" s="11" t="n">
        <x:f>'Option source'!C378</x:f>
        <x:v>40344624</x:v>
      </x:c>
      <x:c r="O675" s="11" t="n">
        <x:f>'Option source'!G378</x:f>
        <x:v>75</x:v>
      </x:c>
      <x:c r="P675" s="11" t="n">
        <x:f>'Option source'!F378</x:f>
        <x:v>102.01</x:v>
      </x:c>
      <x:c r="Q675" s="1" t="str">
        <x:v>Screen passed; indicative</x:v>
      </x:c>
      <x:c r="R675" s="1" t="n">
        <x:v>373</x:v>
      </x:c>
    </x:row>
    <x:row r="676" ht="21" customHeight="1">
      <x:c r="A676" s="12" t="n">
        <x:v>46262</x:v>
      </x:c>
      <x:c r="B676" s="1" t="str">
        <x:v>GFGV8300OC</x:v>
      </x:c>
      <x:c r="C676" s="1" t="str">
        <x:v>put</x:v>
      </x:c>
      <x:c r="D676" s="11" t="n">
        <x:v>8300</x:v>
      </x:c>
      <x:c r="E676" s="11" t="n">
        <x:f>'Option source'!B872</x:f>
        <x:v>1291.94</x:v>
      </x:c>
      <x:c r="F676" s="11" t="n">
        <x:v>6810</x:v>
      </x:c>
      <x:c r="G676" s="18" t="n">
        <x:v>49</x:v>
      </x:c>
      <x:c r="H676" s="11" t="n">
        <x:f>MAX(IF(C676="call",F676-D676,D676-F676),0)</x:f>
        <x:v>1490</x:v>
      </x:c>
      <x:c r="I676" s="11" t="n">
        <x:f>E676-H676</x:f>
        <x:v>-198.05999999999995</x:v>
      </x:c>
      <x:c r="J676" s="13" t="n">
        <x:f>D676/F676</x:f>
        <x:v>1.2187958883994126</x:v>
      </x:c>
      <x:c r="K676" s="13"/>
      <x:c r="L676" s="17"/>
      <x:c r="M676" s="17"/>
      <x:c r="N676" s="11" t="n">
        <x:f>'Option source'!C872</x:f>
        <x:v>0</x:v>
      </x:c>
      <x:c r="O676" s="11" t="n">
        <x:f>'Option source'!G872</x:f>
        <x:v>1240</x:v>
      </x:c>
      <x:c r="P676" s="11" t="n">
        <x:f>'Option source'!F872</x:f>
        <x:v>1437.33</x:v>
      </x:c>
      <x:c r="Q676" s="1" t="str">
        <x:v>Zero reported volume; Below intrinsic value</x:v>
      </x:c>
      <x:c r="R676" s="1" t="n">
        <x:v>867</x:v>
      </x:c>
    </x:row>
    <x:row r="677" ht="21" customHeight="1">
      <x:c r="A677" s="12" t="n">
        <x:v>46262</x:v>
      </x:c>
      <x:c r="B677" s="1" t="str">
        <x:v>GFGC5200OC</x:v>
      </x:c>
      <x:c r="C677" s="1" t="str">
        <x:v>call</x:v>
      </x:c>
      <x:c r="D677" s="11" t="n">
        <x:v>5200</x:v>
      </x:c>
      <x:c r="E677" s="11" t="n">
        <x:f>'Option source'!B103</x:f>
        <x:v>1677.12</x:v>
      </x:c>
      <x:c r="F677" s="11" t="n">
        <x:v>6810</x:v>
      </x:c>
      <x:c r="G677" s="18" t="n">
        <x:v>49</x:v>
      </x:c>
      <x:c r="H677" s="11" t="n">
        <x:f>MAX(IF(C677="call",F677-D677,D677-F677),0)</x:f>
        <x:v>1610</x:v>
      </x:c>
      <x:c r="I677" s="11" t="n">
        <x:f>E677-H677</x:f>
        <x:v>67.11999999999989</x:v>
      </x:c>
      <x:c r="J677" s="13" t="n">
        <x:f>D677/F677</x:f>
        <x:v>0.7635829662261381</x:v>
      </x:c>
      <x:c r="K677" s="13"/>
      <x:c r="L677" s="17"/>
      <x:c r="M677" s="17"/>
      <x:c r="N677" s="11" t="n">
        <x:f>'Option source'!C103</x:f>
        <x:v>2326423.25</x:v>
      </x:c>
      <x:c r="O677" s="11" t="n">
        <x:f>'Option source'!G103</x:f>
        <x:v>1810</x:v>
      </x:c>
      <x:c r="P677" s="11" t="n">
        <x:f>'Option source'!F103</x:f>
        <x:v>1810</x:v>
      </x:c>
      <x:c r="Q677" s="1" t="str">
        <x:v>Price outside daily range</x:v>
      </x:c>
      <x:c r="R677" s="1" t="n">
        <x:v>98</x:v>
      </x:c>
    </x:row>
    <x:row r="678" ht="21" customHeight="1">
      <x:c r="A678" s="12" t="n">
        <x:v>46262</x:v>
      </x:c>
      <x:c r="B678" s="1" t="str">
        <x:v>GFGV5200OC</x:v>
      </x:c>
      <x:c r="C678" s="1" t="str">
        <x:v>put</x:v>
      </x:c>
      <x:c r="D678" s="11" t="n">
        <x:v>5200</x:v>
      </x:c>
      <x:c r="E678" s="11" t="n">
        <x:f>'Option source'!B587</x:f>
        <x:v>11.53</x:v>
      </x:c>
      <x:c r="F678" s="11" t="n">
        <x:v>6810</x:v>
      </x:c>
      <x:c r="G678" s="18" t="n">
        <x:v>49</x:v>
      </x:c>
      <x:c r="H678" s="11" t="n">
        <x:f>MAX(IF(C678="call",F678-D678,D678-F678),0)</x:f>
        <x:v>0</x:v>
      </x:c>
      <x:c r="I678" s="11" t="n">
        <x:f>E678-H678</x:f>
        <x:v>11.53</x:v>
      </x:c>
      <x:c r="J678" s="13" t="n">
        <x:f>D678/F678</x:f>
        <x:v>0.7635829662261381</x:v>
      </x:c>
      <x:c r="K678" s="13" t="n">
        <x:v>0.44934043641816857</x:v>
      </x:c>
      <x:c r="L678" s="17" t="n">
        <x:v>-0.024690019441148348</x:v>
      </x:c>
      <x:c r="M678" s="17" t="n">
        <x:v>1.4431191219148105</x:v>
      </x:c>
      <x:c r="N678" s="11" t="n">
        <x:f>'Option source'!C587</x:f>
        <x:v>2601694</x:v>
      </x:c>
      <x:c r="O678" s="11" t="n">
        <x:f>'Option source'!G587</x:f>
        <x:v>8</x:v>
      </x:c>
      <x:c r="P678" s="11" t="n">
        <x:f>'Option source'!F587</x:f>
        <x:v>19</x:v>
      </x:c>
      <x:c r="Q678" s="1" t="str">
        <x:v>Screen passed; indicative</x:v>
      </x:c>
      <x:c r="R678" s="1" t="n">
        <x:v>582</x:v>
      </x:c>
    </x:row>
    <x:row r="679" ht="21" customHeight="1">
      <x:c r="A679" s="12" t="n">
        <x:v>46262</x:v>
      </x:c>
      <x:c r="B679" s="1" t="str">
        <x:v>GFGC8600OC</x:v>
      </x:c>
      <x:c r="C679" s="1" t="str">
        <x:v>call</x:v>
      </x:c>
      <x:c r="D679" s="11" t="n">
        <x:v>8600</x:v>
      </x:c>
      <x:c r="E679" s="11" t="n">
        <x:f>'Option source'!B397</x:f>
        <x:v>55.3</x:v>
      </x:c>
      <x:c r="F679" s="11" t="n">
        <x:v>6810</x:v>
      </x:c>
      <x:c r="G679" s="18" t="n">
        <x:v>49</x:v>
      </x:c>
      <x:c r="H679" s="11" t="n">
        <x:f>MAX(IF(C679="call",F679-D679,D679-F679),0)</x:f>
        <x:v>0</x:v>
      </x:c>
      <x:c r="I679" s="11" t="n">
        <x:f>E679-H679</x:f>
        <x:v>55.3</x:v>
      </x:c>
      <x:c r="J679" s="13" t="n">
        <x:f>D679/F679</x:f>
        <x:v>1.262848751835536</x:v>
      </x:c>
      <x:c r="K679" s="13" t="n">
        <x:v>0.41515564026056206</x:v>
      </x:c>
      <x:c r="L679" s="17" t="n">
        <x:v>0.116360165772655</x:v>
      </x:c>
      <x:c r="M679" s="17" t="n">
        <x:v>4.883789571449453</x:v>
      </x:c>
      <x:c r="N679" s="11" t="n">
        <x:f>'Option source'!C397</x:f>
        <x:v>48912104</x:v>
      </x:c>
      <x:c r="O679" s="11" t="n">
        <x:f>'Option source'!G397</x:f>
        <x:v>50</x:v>
      </x:c>
      <x:c r="P679" s="11" t="n">
        <x:f>'Option source'!F397</x:f>
        <x:v>66</x:v>
      </x:c>
      <x:c r="Q679" s="1" t="str">
        <x:v>Screen passed; indicative</x:v>
      </x:c>
      <x:c r="R679" s="1" t="n">
        <x:v>392</x:v>
      </x:c>
    </x:row>
    <x:row r="680" ht="21" customHeight="1">
      <x:c r="A680" s="12" t="n">
        <x:v>46262</x:v>
      </x:c>
      <x:c r="B680" s="1" t="str">
        <x:v>GFGV8600OC</x:v>
      </x:c>
      <x:c r="C680" s="1" t="str">
        <x:v>put</x:v>
      </x:c>
      <x:c r="D680" s="11" t="n">
        <x:v>8600</x:v>
      </x:c>
      <x:c r="E680" s="11" t="n">
        <x:f>'Option source'!B891</x:f>
        <x:v>1850</x:v>
      </x:c>
      <x:c r="F680" s="11" t="n">
        <x:v>6810</x:v>
      </x:c>
      <x:c r="G680" s="18" t="n">
        <x:v>49</x:v>
      </x:c>
      <x:c r="H680" s="11" t="n">
        <x:f>MAX(IF(C680="call",F680-D680,D680-F680),0)</x:f>
        <x:v>1790</x:v>
      </x:c>
      <x:c r="I680" s="11" t="n">
        <x:f>E680-H680</x:f>
        <x:v>60</x:v>
      </x:c>
      <x:c r="J680" s="13" t="n">
        <x:f>D680/F680</x:f>
        <x:v>1.262848751835536</x:v>
      </x:c>
      <x:c r="K680" s="13"/>
      <x:c r="L680" s="17"/>
      <x:c r="M680" s="17"/>
      <x:c r="N680" s="11" t="n">
        <x:f>'Option source'!C891</x:f>
        <x:v>370000</x:v>
      </x:c>
      <x:c r="O680" s="11" t="n">
        <x:f>'Option source'!G891</x:f>
        <x:v>0</x:v>
      </x:c>
      <x:c r="P680" s="11" t="n">
        <x:f>'Option source'!F891</x:f>
        <x:v>0</x:v>
      </x:c>
      <x:c r="Q680" s="1" t="str">
        <x:v>Price outside daily range</x:v>
      </x:c>
      <x:c r="R680" s="1" t="n">
        <x:v>886</x:v>
      </x:c>
    </x:row>
    <x:row r="681" ht="21" customHeight="1">
      <x:c r="A681" s="12" t="n">
        <x:v>46262</x:v>
      </x:c>
      <x:c r="B681" s="1" t="str">
        <x:v>GFGC5000OC</x:v>
      </x:c>
      <x:c r="C681" s="1" t="str">
        <x:v>call</x:v>
      </x:c>
      <x:c r="D681" s="11" t="n">
        <x:v>5000</x:v>
      </x:c>
      <x:c r="E681" s="11" t="n">
        <x:f>'Option source'!B84</x:f>
        <x:v>1905</x:v>
      </x:c>
      <x:c r="F681" s="11" t="n">
        <x:v>6810</x:v>
      </x:c>
      <x:c r="G681" s="18" t="n">
        <x:v>49</x:v>
      </x:c>
      <x:c r="H681" s="11" t="n">
        <x:f>MAX(IF(C681="call",F681-D681,D681-F681),0)</x:f>
        <x:v>1810</x:v>
      </x:c>
      <x:c r="I681" s="11" t="n">
        <x:f>E681-H681</x:f>
        <x:v>95</x:v>
      </x:c>
      <x:c r="J681" s="13" t="n">
        <x:f>D681/F681</x:f>
        <x:v>0.7342143906020558</x:v>
      </x:c>
      <x:c r="K681" s="13"/>
      <x:c r="L681" s="17"/>
      <x:c r="M681" s="17"/>
      <x:c r="N681" s="11" t="n">
        <x:f>'Option source'!C84</x:f>
        <x:v>11458460</x:v>
      </x:c>
      <x:c r="O681" s="11" t="n">
        <x:f>'Option source'!G84</x:f>
        <x:v>1864.8</x:v>
      </x:c>
      <x:c r="P681" s="11" t="n">
        <x:f>'Option source'!F84</x:f>
        <x:v>2000</x:v>
      </x:c>
      <x:c r="Q681" s="1" t="str">
        <x:v>No stable model IV</x:v>
      </x:c>
      <x:c r="R681" s="1" t="n">
        <x:v>79</x:v>
      </x:c>
    </x:row>
    <x:row r="682" ht="21" customHeight="1">
      <x:c r="A682" s="12" t="n">
        <x:v>46262</x:v>
      </x:c>
      <x:c r="B682" s="1" t="str">
        <x:v>GFGV5000OC</x:v>
      </x:c>
      <x:c r="C682" s="1" t="str">
        <x:v>put</x:v>
      </x:c>
      <x:c r="D682" s="11" t="n">
        <x:v>5000</x:v>
      </x:c>
      <x:c r="E682" s="11" t="n">
        <x:f>'Option source'!B568</x:f>
        <x:v>6.09</x:v>
      </x:c>
      <x:c r="F682" s="11" t="n">
        <x:v>6810</x:v>
      </x:c>
      <x:c r="G682" s="18" t="n">
        <x:v>49</x:v>
      </x:c>
      <x:c r="H682" s="11" t="n">
        <x:f>MAX(IF(C682="call",F682-D682,D682-F682),0)</x:f>
        <x:v>0</x:v>
      </x:c>
      <x:c r="I682" s="11" t="n">
        <x:f>E682-H682</x:f>
        <x:v>6.09</x:v>
      </x:c>
      <x:c r="J682" s="13" t="n">
        <x:f>D682/F682</x:f>
        <x:v>0.7342143906020558</x:v>
      </x:c>
      <x:c r="K682" s="13" t="n">
        <x:v>0.4514235759936943</x:v>
      </x:c>
      <x:c r="L682" s="17" t="n">
        <x:v>-0.01411359827480152</x:v>
      </x:c>
      <x:c r="M682" s="17" t="n">
        <x:v>0.8966689622538025</x:v>
      </x:c>
      <x:c r="N682" s="11" t="n">
        <x:f>'Option source'!C568</x:f>
        <x:v>9428242</x:v>
      </x:c>
      <x:c r="O682" s="11" t="n">
        <x:f>'Option source'!G568</x:f>
        <x:v>5</x:v>
      </x:c>
      <x:c r="P682" s="11" t="n">
        <x:f>'Option source'!F568</x:f>
        <x:v>12.04</x:v>
      </x:c>
      <x:c r="Q682" s="1" t="str">
        <x:v>Screen passed; indicative</x:v>
      </x:c>
      <x:c r="R682" s="1" t="n">
        <x:v>563</x:v>
      </x:c>
    </x:row>
    <x:row r="683" ht="21" customHeight="1">
      <x:c r="A683" s="12" t="n">
        <x:v>46262</x:v>
      </x:c>
      <x:c r="B683" s="1" t="str">
        <x:v>GFGC4800OC</x:v>
      </x:c>
      <x:c r="C683" s="1" t="str">
        <x:v>call</x:v>
      </x:c>
      <x:c r="D683" s="11" t="n">
        <x:v>4800</x:v>
      </x:c>
      <x:c r="E683" s="11" t="n">
        <x:f>'Option source'!B67</x:f>
        <x:v>2050</x:v>
      </x:c>
      <x:c r="F683" s="11" t="n">
        <x:v>6810</x:v>
      </x:c>
      <x:c r="G683" s="18" t="n">
        <x:v>49</x:v>
      </x:c>
      <x:c r="H683" s="11" t="n">
        <x:f>MAX(IF(C683="call",F683-D683,D683-F683),0)</x:f>
        <x:v>2010</x:v>
      </x:c>
      <x:c r="I683" s="11" t="n">
        <x:f>E683-H683</x:f>
        <x:v>40</x:v>
      </x:c>
      <x:c r="J683" s="13" t="n">
        <x:f>D683/F683</x:f>
        <x:v>0.7048458149779736</x:v>
      </x:c>
      <x:c r="K683" s="13"/>
      <x:c r="L683" s="17"/>
      <x:c r="M683" s="17"/>
      <x:c r="N683" s="11" t="n">
        <x:f>'Option source'!C67</x:f>
        <x:v>2470841</x:v>
      </x:c>
      <x:c r="O683" s="11" t="n">
        <x:f>'Option source'!G67</x:f>
        <x:v>2050</x:v>
      </x:c>
      <x:c r="P683" s="11" t="n">
        <x:f>'Option source'!F67</x:f>
        <x:v>2104.21</x:v>
      </x:c>
      <x:c r="Q683" s="1" t="str">
        <x:v>No stable model IV</x:v>
      </x:c>
      <x:c r="R683" s="1" t="n">
        <x:v>62</x:v>
      </x:c>
    </x:row>
    <x:row r="684" ht="21" customHeight="1">
      <x:c r="A684" s="12" t="n">
        <x:v>46262</x:v>
      </x:c>
      <x:c r="B684" s="1" t="str">
        <x:v>GFGV4800OC</x:v>
      </x:c>
      <x:c r="C684" s="1" t="str">
        <x:v>put</x:v>
      </x:c>
      <x:c r="D684" s="11" t="n">
        <x:v>4800</x:v>
      </x:c>
      <x:c r="E684" s="11" t="n">
        <x:f>'Option source'!B549</x:f>
        <x:v>4.38</x:v>
      </x:c>
      <x:c r="F684" s="11" t="n">
        <x:v>6810</x:v>
      </x:c>
      <x:c r="G684" s="18" t="n">
        <x:v>49</x:v>
      </x:c>
      <x:c r="H684" s="11" t="n">
        <x:f>MAX(IF(C684="call",F684-D684,D684-F684),0)</x:f>
        <x:v>0</x:v>
      </x:c>
      <x:c r="I684" s="11" t="n">
        <x:f>E684-H684</x:f>
        <x:v>4.38</x:v>
      </x:c>
      <x:c r="J684" s="13" t="n">
        <x:f>D684/F684</x:f>
        <x:v>0.7048458149779736</x:v>
      </x:c>
      <x:c r="K684" s="13" t="n">
        <x:v>0.47589052565952394</x:v>
      </x:c>
      <x:c r="L684" s="17" t="n">
        <x:v>-0.010058436766036793</x:v>
      </x:c>
      <x:c r="M684" s="17" t="n">
        <x:v>0.6684045147165737</x:v>
      </x:c>
      <x:c r="N684" s="11" t="n">
        <x:f>'Option source'!C549</x:f>
        <x:v>1045957.69</x:v>
      </x:c>
      <x:c r="O684" s="11" t="n">
        <x:f>'Option source'!G549</x:f>
        <x:v>3.19</x:v>
      </x:c>
      <x:c r="P684" s="11" t="n">
        <x:f>'Option source'!F549</x:f>
        <x:v>8.95</x:v>
      </x:c>
      <x:c r="Q684" s="1" t="str">
        <x:v>Screen passed; indicative</x:v>
      </x:c>
      <x:c r="R684" s="1" t="n">
        <x:v>544</x:v>
      </x:c>
    </x:row>
    <x:row r="685" ht="21" customHeight="1">
      <x:c r="A685" s="12" t="n">
        <x:v>46262</x:v>
      </x:c>
      <x:c r="B685" s="1" t="str">
        <x:v>GFGC8900OC</x:v>
      </x:c>
      <x:c r="C685" s="1" t="str">
        <x:v>call</x:v>
      </x:c>
      <x:c r="D685" s="11" t="n">
        <x:v>8900</x:v>
      </x:c>
      <x:c r="E685" s="11" t="n">
        <x:f>'Option source'!B416</x:f>
        <x:v>36.23</x:v>
      </x:c>
      <x:c r="F685" s="11" t="n">
        <x:v>6810</x:v>
      </x:c>
      <x:c r="G685" s="18" t="n">
        <x:v>49</x:v>
      </x:c>
      <x:c r="H685" s="11" t="n">
        <x:f>MAX(IF(C685="call",F685-D685,D685-F685),0)</x:f>
        <x:v>0</x:v>
      </x:c>
      <x:c r="I685" s="11" t="n">
        <x:f>E685-H685</x:f>
        <x:v>36.23</x:v>
      </x:c>
      <x:c r="J685" s="13" t="n">
        <x:f>D685/F685</x:f>
        <x:v>1.3069016152716593</x:v>
      </x:c>
      <x:c r="K685" s="13" t="n">
        <x:v>0.42027304971293056</x:v>
      </x:c>
      <x:c r="L685" s="17" t="n">
        <x:v>0.0808073431691897</x:v>
      </x:c>
      <x:c r="M685" s="17" t="n">
        <x:v>3.7377128757148017</x:v>
      </x:c>
      <x:c r="N685" s="11" t="n">
        <x:f>'Option source'!C416</x:f>
        <x:v>13255130</x:v>
      </x:c>
      <x:c r="O685" s="11" t="n">
        <x:f>'Option source'!G416</x:f>
        <x:v>32.5</x:v>
      </x:c>
      <x:c r="P685" s="11" t="n">
        <x:f>'Option source'!F416</x:f>
        <x:v>41.06</x:v>
      </x:c>
      <x:c r="Q685" s="1" t="str">
        <x:v>Screen passed; indicative</x:v>
      </x:c>
      <x:c r="R685" s="1" t="n">
        <x:v>411</x:v>
      </x:c>
    </x:row>
    <x:row r="686" ht="21" customHeight="1">
      <x:c r="A686" s="12" t="n">
        <x:v>46262</x:v>
      </x:c>
      <x:c r="B686" s="1" t="str">
        <x:v>GFGV8900OC</x:v>
      </x:c>
      <x:c r="C686" s="1" t="str">
        <x:v>put</x:v>
      </x:c>
      <x:c r="D686" s="11" t="n">
        <x:v>8900</x:v>
      </x:c>
      <x:c r="E686" s="11" t="n">
        <x:f>'Option source'!B906</x:f>
        <x:v>2022.5</x:v>
      </x:c>
      <x:c r="F686" s="11" t="n">
        <x:v>6810</x:v>
      </x:c>
      <x:c r="G686" s="18" t="n">
        <x:v>49</x:v>
      </x:c>
      <x:c r="H686" s="11" t="n">
        <x:f>MAX(IF(C686="call",F686-D686,D686-F686),0)</x:f>
        <x:v>2090</x:v>
      </x:c>
      <x:c r="I686" s="11" t="n">
        <x:f>E686-H686</x:f>
        <x:v>-67.5</x:v>
      </x:c>
      <x:c r="J686" s="13" t="n">
        <x:f>D686/F686</x:f>
        <x:v>1.3069016152716593</x:v>
      </x:c>
      <x:c r="K686" s="13"/>
      <x:c r="L686" s="17"/>
      <x:c r="M686" s="17"/>
      <x:c r="N686" s="11" t="n">
        <x:f>'Option source'!C906</x:f>
        <x:v>0</x:v>
      </x:c>
      <x:c r="O686" s="11" t="n">
        <x:f>'Option source'!G906</x:f>
        <x:v>2022.5</x:v>
      </x:c>
      <x:c r="P686" s="11" t="n">
        <x:f>'Option source'!F906</x:f>
        <x:v>2037.67</x:v>
      </x:c>
      <x:c r="Q686" s="1" t="str">
        <x:v>Zero reported volume; Below intrinsic value</x:v>
      </x:c>
      <x:c r="R686" s="1" t="n">
        <x:v>901</x:v>
      </x:c>
    </x:row>
    <x:row r="687" ht="21" customHeight="1">
      <x:c r="A687" s="12" t="n">
        <x:v>46262</x:v>
      </x:c>
      <x:c r="B687" s="1" t="str">
        <x:v>GFGC4600OC</x:v>
      </x:c>
      <x:c r="C687" s="1" t="str">
        <x:v>call</x:v>
      </x:c>
      <x:c r="D687" s="11" t="n">
        <x:v>4600</x:v>
      </x:c>
      <x:c r="E687" s="11" t="n">
        <x:f>'Option source'!B50</x:f>
        <x:v>2400.31</x:v>
      </x:c>
      <x:c r="F687" s="11" t="n">
        <x:v>6810</x:v>
      </x:c>
      <x:c r="G687" s="18" t="n">
        <x:v>49</x:v>
      </x:c>
      <x:c r="H687" s="11" t="n">
        <x:f>MAX(IF(C687="call",F687-D687,D687-F687),0)</x:f>
        <x:v>2210</x:v>
      </x:c>
      <x:c r="I687" s="11" t="n">
        <x:f>E687-H687</x:f>
        <x:v>190.30999999999995</x:v>
      </x:c>
      <x:c r="J687" s="13" t="n">
        <x:f>D687/F687</x:f>
        <x:v>0.6754772393538914</x:v>
      </x:c>
      <x:c r="K687" s="13"/>
      <x:c r="L687" s="17"/>
      <x:c r="M687" s="17"/>
      <x:c r="N687" s="11" t="n">
        <x:f>'Option source'!C50</x:f>
        <x:v>0</x:v>
      </x:c>
      <x:c r="O687" s="11" t="n">
        <x:f>'Option source'!G50</x:f>
        <x:v>2400.31</x:v>
      </x:c>
      <x:c r="P687" s="11" t="n">
        <x:f>'Option source'!F50</x:f>
        <x:v>2400.31</x:v>
      </x:c>
      <x:c r="Q687" s="1" t="str">
        <x:v>Zero reported volume</x:v>
      </x:c>
      <x:c r="R687" s="1" t="n">
        <x:v>45</x:v>
      </x:c>
    </x:row>
    <x:row r="688" ht="21" customHeight="1">
      <x:c r="A688" s="12" t="n">
        <x:v>46262</x:v>
      </x:c>
      <x:c r="B688" s="1" t="str">
        <x:v>GFGV4600OC</x:v>
      </x:c>
      <x:c r="C688" s="1" t="str">
        <x:v>put</x:v>
      </x:c>
      <x:c r="D688" s="11" t="n">
        <x:v>4600</x:v>
      </x:c>
      <x:c r="E688" s="11" t="n">
        <x:f>'Option source'!B530</x:f>
        <x:v>3.3</x:v>
      </x:c>
      <x:c r="F688" s="11" t="n">
        <x:v>6810</x:v>
      </x:c>
      <x:c r="G688" s="18" t="n">
        <x:v>49</x:v>
      </x:c>
      <x:c r="H688" s="11" t="n">
        <x:f>MAX(IF(C688="call",F688-D688,D688-F688),0)</x:f>
        <x:v>0</x:v>
      </x:c>
      <x:c r="I688" s="11" t="n">
        <x:f>E688-H688</x:f>
        <x:v>3.3</x:v>
      </x:c>
      <x:c r="J688" s="13" t="n">
        <x:f>D688/F688</x:f>
        <x:v>0.6754772393538914</x:v>
      </x:c>
      <x:c r="K688" s="13" t="n">
        <x:v>0.50423288077956</x:v>
      </x:c>
      <x:c r="L688" s="17" t="n">
        <x:v>-0.007466924624524585</x:v>
      </x:c>
      <x:c r="M688" s="17" t="n">
        <x:v>0.5147224501143188</x:v>
      </x:c>
      <x:c r="N688" s="11" t="n">
        <x:f>'Option source'!C530</x:f>
        <x:v>800047</x:v>
      </x:c>
      <x:c r="O688" s="11" t="n">
        <x:f>'Option source'!G530</x:f>
        <x:v>2.51</x:v>
      </x:c>
      <x:c r="P688" s="11" t="n">
        <x:f>'Option source'!F530</x:f>
        <x:v>6.35</x:v>
      </x:c>
      <x:c r="Q688" s="1" t="str">
        <x:v>Screen passed; indicative</x:v>
      </x:c>
      <x:c r="R688" s="1" t="n">
        <x:v>525</x:v>
      </x:c>
    </x:row>
    <x:row r="689" ht="21" customHeight="1">
      <x:c r="A689" s="12" t="n">
        <x:v>46262</x:v>
      </x:c>
      <x:c r="B689" s="1" t="str">
        <x:v>GFGC9200OC</x:v>
      </x:c>
      <x:c r="C689" s="1" t="str">
        <x:v>call</x:v>
      </x:c>
      <x:c r="D689" s="11" t="n">
        <x:v>9200</x:v>
      </x:c>
      <x:c r="E689" s="11" t="n">
        <x:f>'Option source'!B435</x:f>
        <x:v>23.01</x:v>
      </x:c>
      <x:c r="F689" s="11" t="n">
        <x:v>6810</x:v>
      </x:c>
      <x:c r="G689" s="18" t="n">
        <x:v>49</x:v>
      </x:c>
      <x:c r="H689" s="11" t="n">
        <x:f>MAX(IF(C689="call",F689-D689,D689-F689),0)</x:f>
        <x:v>0</x:v>
      </x:c>
      <x:c r="I689" s="11" t="n">
        <x:f>E689-H689</x:f>
        <x:v>23.01</x:v>
      </x:c>
      <x:c r="J689" s="13" t="n">
        <x:f>D689/F689</x:f>
        <x:v>1.3509544787077827</x:v>
      </x:c>
      <x:c r="K689" s="13" t="n">
        <x:v>0.42313718995333327</x:v>
      </x:c>
      <x:c r="L689" s="17" t="n">
        <x:v>0.05446985803486351</x:v>
      </x:c>
      <x:c r="M689" s="17" t="n">
        <x:v>2.7544902675690297</x:v>
      </x:c>
      <x:c r="N689" s="11" t="n">
        <x:f>'Option source'!C435</x:f>
        <x:v>6507588.5</x:v>
      </x:c>
      <x:c r="O689" s="11" t="n">
        <x:f>'Option source'!G435</x:f>
        <x:v>21.16</x:v>
      </x:c>
      <x:c r="P689" s="11" t="n">
        <x:f>'Option source'!F435</x:f>
        <x:v>30.33</x:v>
      </x:c>
      <x:c r="Q689" s="1" t="str">
        <x:v>Screen passed; indicative</x:v>
      </x:c>
      <x:c r="R689" s="1" t="n">
        <x:v>430</x:v>
      </x:c>
    </x:row>
    <x:row r="690" ht="21" customHeight="1">
      <x:c r="A690" s="12" t="n">
        <x:v>46262</x:v>
      </x:c>
      <x:c r="B690" s="1" t="str">
        <x:v>GFGC4400OC</x:v>
      </x:c>
      <x:c r="C690" s="1" t="str">
        <x:v>call</x:v>
      </x:c>
      <x:c r="D690" s="11" t="n">
        <x:v>4400</x:v>
      </x:c>
      <x:c r="E690" s="11" t="n">
        <x:f>'Option source'!B31</x:f>
        <x:v>2429.97</x:v>
      </x:c>
      <x:c r="F690" s="11" t="n">
        <x:v>6810</x:v>
      </x:c>
      <x:c r="G690" s="18" t="n">
        <x:v>49</x:v>
      </x:c>
      <x:c r="H690" s="11" t="n">
        <x:f>MAX(IF(C690="call",F690-D690,D690-F690),0)</x:f>
        <x:v>2410</x:v>
      </x:c>
      <x:c r="I690" s="11" t="n">
        <x:f>E690-H690</x:f>
        <x:v>19.9699999999998</x:v>
      </x:c>
      <x:c r="J690" s="13" t="n">
        <x:f>D690/F690</x:f>
        <x:v>0.6461086637298091</x:v>
      </x:c>
      <x:c r="K690" s="13"/>
      <x:c r="L690" s="17"/>
      <x:c r="M690" s="17"/>
      <x:c r="N690" s="11" t="n">
        <x:f>'Option source'!C31</x:f>
        <x:v>485994</x:v>
      </x:c>
      <x:c r="O690" s="11" t="n">
        <x:f>'Option source'!G31</x:f>
        <x:v>0</x:v>
      </x:c>
      <x:c r="P690" s="11" t="n">
        <x:f>'Option source'!F31</x:f>
        <x:v>0</x:v>
      </x:c>
      <x:c r="Q690" s="1" t="str">
        <x:v>Price outside daily range</x:v>
      </x:c>
      <x:c r="R690" s="1" t="n">
        <x:v>26</x:v>
      </x:c>
    </x:row>
    <x:row r="691" ht="21" customHeight="1">
      <x:c r="A691" s="12" t="n">
        <x:v>46262</x:v>
      </x:c>
      <x:c r="B691" s="1" t="str">
        <x:v>GFGV4400OC</x:v>
      </x:c>
      <x:c r="C691" s="1" t="str">
        <x:v>put</x:v>
      </x:c>
      <x:c r="D691" s="11" t="n">
        <x:v>4400</x:v>
      </x:c>
      <x:c r="E691" s="11" t="n">
        <x:f>'Option source'!B511</x:f>
        <x:v>1.96</x:v>
      </x:c>
      <x:c r="F691" s="11" t="n">
        <x:v>6810</x:v>
      </x:c>
      <x:c r="G691" s="18" t="n">
        <x:v>49</x:v>
      </x:c>
      <x:c r="H691" s="11" t="n">
        <x:f>MAX(IF(C691="call",F691-D691,D691-F691),0)</x:f>
        <x:v>0</x:v>
      </x:c>
      <x:c r="I691" s="11" t="n">
        <x:f>E691-H691</x:f>
        <x:v>1.96</x:v>
      </x:c>
      <x:c r="J691" s="13" t="n">
        <x:f>D691/F691</x:f>
        <x:v>0.6461086637298091</x:v>
      </x:c>
      <x:c r="K691" s="13" t="n">
        <x:v>0.517456238387549</x:v>
      </x:c>
      <x:c r="L691" s="17" t="n">
        <x:v>-0.004513624730670518</x:v>
      </x:c>
      <x:c r="M691" s="17" t="n">
        <x:v>0.32932382193266013</x:v>
      </x:c>
      <x:c r="N691" s="11" t="n">
        <x:f>'Option source'!C511</x:f>
        <x:v>561700.81</x:v>
      </x:c>
      <x:c r="O691" s="11" t="n">
        <x:f>'Option source'!G511</x:f>
        <x:v>1.5</x:v>
      </x:c>
      <x:c r="P691" s="11" t="n">
        <x:f>'Option source'!F511</x:f>
        <x:v>5.2</x:v>
      </x:c>
      <x:c r="Q691" s="1" t="str">
        <x:v>Screen passed; indicative</x:v>
      </x:c>
      <x:c r="R691" s="1" t="n">
        <x:v>506</x:v>
      </x:c>
    </x:row>
    <x:row r="692" ht="21" customHeight="1">
      <x:c r="A692" s="12" t="n">
        <x:v>46262</x:v>
      </x:c>
      <x:c r="B692" s="1" t="str">
        <x:v>GFGC4200OC</x:v>
      </x:c>
      <x:c r="C692" s="1" t="str">
        <x:v>call</x:v>
      </x:c>
      <x:c r="D692" s="11" t="n">
        <x:v>4200</x:v>
      </x:c>
      <x:c r="E692" s="11" t="n">
        <x:f>'Option source'!B12</x:f>
        <x:v>2666.16</x:v>
      </x:c>
      <x:c r="F692" s="11" t="n">
        <x:v>6810</x:v>
      </x:c>
      <x:c r="G692" s="18" t="n">
        <x:v>49</x:v>
      </x:c>
      <x:c r="H692" s="11" t="n">
        <x:f>MAX(IF(C692="call",F692-D692,D692-F692),0)</x:f>
        <x:v>2610</x:v>
      </x:c>
      <x:c r="I692" s="11" t="n">
        <x:f>E692-H692</x:f>
        <x:v>56.159999999999854</x:v>
      </x:c>
      <x:c r="J692" s="13" t="n">
        <x:f>D692/F692</x:f>
        <x:v>0.6167400881057269</x:v>
      </x:c>
      <x:c r="K692" s="13"/>
      <x:c r="L692" s="17"/>
      <x:c r="M692" s="17"/>
      <x:c r="N692" s="11" t="n">
        <x:f>'Option source'!C12</x:f>
        <x:v>19534206</x:v>
      </x:c>
      <x:c r="O692" s="11" t="n">
        <x:f>'Option source'!G12</x:f>
        <x:v>2623.86</x:v>
      </x:c>
      <x:c r="P692" s="11" t="n">
        <x:f>'Option source'!F12</x:f>
        <x:v>2728.37</x:v>
      </x:c>
      <x:c r="Q692" s="1" t="str">
        <x:v>No stable model IV</x:v>
      </x:c>
      <x:c r="R692" s="1" t="n">
        <x:v>7</x:v>
      </x:c>
    </x:row>
    <x:row r="693" ht="21" customHeight="1">
      <x:c r="A693" s="12" t="n">
        <x:v>46262</x:v>
      </x:c>
      <x:c r="B693" s="1" t="str">
        <x:v>GFGV4200OC</x:v>
      </x:c>
      <x:c r="C693" s="1" t="str">
        <x:v>put</x:v>
      </x:c>
      <x:c r="D693" s="11" t="n">
        <x:v>4200</x:v>
      </x:c>
      <x:c r="E693" s="11" t="n">
        <x:f>'Option source'!B492</x:f>
        <x:v>1.74</x:v>
      </x:c>
      <x:c r="F693" s="11" t="n">
        <x:v>6810</x:v>
      </x:c>
      <x:c r="G693" s="18" t="n">
        <x:v>49</x:v>
      </x:c>
      <x:c r="H693" s="11" t="n">
        <x:f>MAX(IF(C693="call",F693-D693,D693-F693),0)</x:f>
        <x:v>0</x:v>
      </x:c>
      <x:c r="I693" s="11" t="n">
        <x:f>E693-H693</x:f>
        <x:v>1.74</x:v>
      </x:c>
      <x:c r="J693" s="13" t="n">
        <x:f>D693/F693</x:f>
        <x:v>0.6167400881057269</x:v>
      </x:c>
      <x:c r="K693" s="13" t="n">
        <x:v>0.5563231330661563</x:v>
      </x:c>
      <x:c r="L693" s="17" t="n">
        <x:v>-0.0037861113074280084</x:v>
      </x:c>
      <x:c r="M693" s="17" t="n">
        <x:v>0.2814005690320441</x:v>
      </x:c>
      <x:c r="N693" s="11" t="n">
        <x:f>'Option source'!C492</x:f>
        <x:v>931454</x:v>
      </x:c>
      <x:c r="O693" s="11" t="n">
        <x:f>'Option source'!G492</x:f>
        <x:v>1.3</x:v>
      </x:c>
      <x:c r="P693" s="11" t="n">
        <x:f>'Option source'!F492</x:f>
        <x:v>4</x:v>
      </x:c>
      <x:c r="Q693" s="1" t="str">
        <x:v>Screen passed; indicative</x:v>
      </x:c>
      <x:c r="R693" s="1" t="n">
        <x:v>487</x:v>
      </x:c>
    </x:row>
    <x:row r="694" ht="21" customHeight="1">
      <x:c r="A694" s="12" t="n">
        <x:v>46262</x:v>
      </x:c>
      <x:c r="B694" s="1" t="str">
        <x:v>GFGC9500OC</x:v>
      </x:c>
      <x:c r="C694" s="1" t="str">
        <x:v>call</x:v>
      </x:c>
      <x:c r="D694" s="11" t="n">
        <x:v>9500</x:v>
      </x:c>
      <x:c r="E694" s="11" t="n">
        <x:f>'Option source'!B454</x:f>
        <x:v>15.03</x:v>
      </x:c>
      <x:c r="F694" s="11" t="n">
        <x:v>6810</x:v>
      </x:c>
      <x:c r="G694" s="18" t="n">
        <x:v>49</x:v>
      </x:c>
      <x:c r="H694" s="11" t="n">
        <x:f>MAX(IF(C694="call",F694-D694,D694-F694),0)</x:f>
        <x:v>0</x:v>
      </x:c>
      <x:c r="I694" s="11" t="n">
        <x:f>E694-H694</x:f>
        <x:v>15.03</x:v>
      </x:c>
      <x:c r="J694" s="13" t="n">
        <x:f>D694/F694</x:f>
        <x:v>1.395007342143906</x:v>
      </x:c>
      <x:c r="K694" s="13" t="n">
        <x:v>0.4287230882198204</x:v>
      </x:c>
      <x:c r="L694" s="17" t="n">
        <x:v>0.03718463713567682</x:v>
      </x:c>
      <x:c r="M694" s="17" t="n">
        <x:v>2.026023012569285</x:v>
      </x:c>
      <x:c r="N694" s="11" t="n">
        <x:f>'Option source'!C454</x:f>
        <x:v>2013131.25</x:v>
      </x:c>
      <x:c r="O694" s="11" t="n">
        <x:f>'Option source'!G454</x:f>
        <x:v>13</x:v>
      </x:c>
      <x:c r="P694" s="11" t="n">
        <x:f>'Option source'!F454</x:f>
        <x:v>18.25</x:v>
      </x:c>
      <x:c r="Q694" s="1" t="str">
        <x:v>Screen passed; indicative</x:v>
      </x:c>
      <x:c r="R694" s="1" t="n">
        <x:v>449</x:v>
      </x:c>
    </x:row>
    <x:row r="695" ht="21" customHeight="1">
      <x:c r="A695" s="12" t="n">
        <x:v>46262</x:v>
      </x:c>
      <x:c r="B695" s="1" t="str">
        <x:v>GFGC9900OC</x:v>
      </x:c>
      <x:c r="C695" s="1" t="str">
        <x:v>call</x:v>
      </x:c>
      <x:c r="D695" s="11" t="n">
        <x:v>9900</x:v>
      </x:c>
      <x:c r="E695" s="11" t="n">
        <x:f>'Option source'!B473</x:f>
        <x:v>10</x:v>
      </x:c>
      <x:c r="F695" s="11" t="n">
        <x:v>6810</x:v>
      </x:c>
      <x:c r="G695" s="18" t="n">
        <x:v>49</x:v>
      </x:c>
      <x:c r="H695" s="11" t="n">
        <x:f>MAX(IF(C695="call",F695-D695,D695-F695),0)</x:f>
        <x:v>0</x:v>
      </x:c>
      <x:c r="I695" s="11" t="n">
        <x:f>E695-H695</x:f>
        <x:v>10</x:v>
      </x:c>
      <x:c r="J695" s="13" t="n">
        <x:f>D695/F695</x:f>
        <x:v>1.4537444933920705</x:v>
      </x:c>
      <x:c r="K695" s="13" t="n">
        <x:v>0.4465900661877048</x:v>
      </x:c>
      <x:c r="L695" s="17" t="n">
        <x:v>0.025080767333076848</x:v>
      </x:c>
      <x:c r="M695" s="17" t="n">
        <x:v>1.4622475550479757</x:v>
      </x:c>
      <x:c r="N695" s="11" t="n">
        <x:f>'Option source'!C473</x:f>
        <x:v>2799061.75</x:v>
      </x:c>
      <x:c r="O695" s="11" t="n">
        <x:f>'Option source'!G473</x:f>
        <x:v>8.31</x:v>
      </x:c>
      <x:c r="P695" s="11" t="n">
        <x:f>'Option source'!F473</x:f>
        <x:v>13</x:v>
      </x:c>
      <x:c r="Q695" s="1" t="str">
        <x:v>Screen passed; indicative</x:v>
      </x:c>
      <x:c r="R695" s="1" t="n">
        <x:v>468</x:v>
      </x:c>
    </x:row>
    <x:row r="696" ht="21" customHeight="1">
      <x:c r="A696" s="12" t="n">
        <x:v>46261</x:v>
      </x:c>
      <x:c r="B696" s="1" t="str">
        <x:v>GFGC6800OC</x:v>
      </x:c>
      <x:c r="C696" s="1" t="str">
        <x:v>call</x:v>
      </x:c>
      <x:c r="D696" s="11" t="n">
        <x:v>6800</x:v>
      </x:c>
      <x:c r="E696" s="11" t="n">
        <x:f>'Option source'!B244</x:f>
        <x:v>587.6</x:v>
      </x:c>
      <x:c r="F696" s="11" t="n">
        <x:v>6880</x:v>
      </x:c>
      <x:c r="G696" s="18" t="n">
        <x:v>50</x:v>
      </x:c>
      <x:c r="H696" s="11" t="n">
        <x:f>MAX(IF(C696="call",F696-D696,D696-F696),0)</x:f>
        <x:v>80</x:v>
      </x:c>
      <x:c r="I696" s="11" t="n">
        <x:f>E696-H696</x:f>
        <x:v>507.6</x:v>
      </x:c>
      <x:c r="J696" s="13" t="n">
        <x:f>D696/F696</x:f>
        <x:v>0.9883720930232558</x:v>
      </x:c>
      <x:c r="K696" s="13" t="n">
        <x:v>0.3895459703459053</x:v>
      </x:c>
      <x:c r="L696" s="17" t="n">
        <x:v>0.6693968042864573</x:v>
      </x:c>
      <x:c r="M696" s="17" t="n">
        <x:v>9.228507249055893</x:v>
      </x:c>
      <x:c r="N696" s="11" t="n">
        <x:f>'Option source'!C244</x:f>
        <x:v>169466192</x:v>
      </x:c>
      <x:c r="O696" s="11" t="n">
        <x:f>'Option source'!G244</x:f>
        <x:v>585</x:v>
      </x:c>
      <x:c r="P696" s="11" t="n">
        <x:f>'Option source'!F244</x:f>
        <x:v>691.24</x:v>
      </x:c>
      <x:c r="Q696" s="1" t="str">
        <x:v>Screen passed; indicative</x:v>
      </x:c>
      <x:c r="R696" s="1" t="n">
        <x:v>239</x:v>
      </x:c>
    </x:row>
    <x:row r="697" ht="21" customHeight="1">
      <x:c r="A697" s="12" t="n">
        <x:v>46261</x:v>
      </x:c>
      <x:c r="B697" s="1" t="str">
        <x:v>GFGV6800OC</x:v>
      </x:c>
      <x:c r="C697" s="1" t="str">
        <x:v>put</x:v>
      </x:c>
      <x:c r="D697" s="11" t="n">
        <x:v>6800</x:v>
      </x:c>
      <x:c r="E697" s="11" t="n">
        <x:f>'Option source'!B738</x:f>
        <x:v>319.7</x:v>
      </x:c>
      <x:c r="F697" s="11" t="n">
        <x:v>6880</x:v>
      </x:c>
      <x:c r="G697" s="18" t="n">
        <x:v>50</x:v>
      </x:c>
      <x:c r="H697" s="11" t="n">
        <x:f>MAX(IF(C697="call",F697-D697,D697-F697),0)</x:f>
        <x:v>0</x:v>
      </x:c>
      <x:c r="I697" s="11" t="n">
        <x:f>E697-H697</x:f>
        <x:v>319.7</x:v>
      </x:c>
      <x:c r="J697" s="13" t="n">
        <x:f>D697/F697</x:f>
        <x:v>0.9883720930232558</x:v>
      </x:c>
      <x:c r="K697" s="13" t="n">
        <x:v>0.4546635833505607</x:v>
      </x:c>
      <x:c r="L697" s="17" t="n">
        <x:v>-0.3453678687977888</x:v>
      </x:c>
      <x:c r="M697" s="17" t="n">
        <x:v>9.385660226878398</x:v>
      </x:c>
      <x:c r="N697" s="11" t="n">
        <x:f>'Option source'!C738</x:f>
        <x:v>98834760</x:v>
      </x:c>
      <x:c r="O697" s="11" t="n">
        <x:f>'Option source'!G738</x:f>
        <x:v>240.01</x:v>
      </x:c>
      <x:c r="P697" s="11" t="n">
        <x:f>'Option source'!F738</x:f>
        <x:v>335</x:v>
      </x:c>
      <x:c r="Q697" s="1" t="str">
        <x:v>Screen passed; indicative</x:v>
      </x:c>
      <x:c r="R697" s="1" t="n">
        <x:v>733</x:v>
      </x:c>
    </x:row>
    <x:row r="698" ht="21" customHeight="1">
      <x:c r="A698" s="12" t="n">
        <x:v>46261</x:v>
      </x:c>
      <x:c r="B698" s="1" t="str">
        <x:v>GFGC7000OC</x:v>
      </x:c>
      <x:c r="C698" s="1" t="str">
        <x:v>call</x:v>
      </x:c>
      <x:c r="D698" s="11" t="n">
        <x:v>7000</x:v>
      </x:c>
      <x:c r="E698" s="11" t="n">
        <x:f>'Option source'!B263</x:f>
        <x:v>484.8</x:v>
      </x:c>
      <x:c r="F698" s="11" t="n">
        <x:v>6880</x:v>
      </x:c>
      <x:c r="G698" s="18" t="n">
        <x:v>50</x:v>
      </x:c>
      <x:c r="H698" s="11" t="n">
        <x:f>MAX(IF(C698="call",F698-D698,D698-F698),0)</x:f>
        <x:v>0</x:v>
      </x:c>
      <x:c r="I698" s="11" t="n">
        <x:f>E698-H698</x:f>
        <x:v>484.8</x:v>
      </x:c>
      <x:c r="J698" s="13" t="n">
        <x:f>D698/F698</x:f>
        <x:v>1.0174418604651163</x:v>
      </x:c>
      <x:c r="K698" s="13" t="n">
        <x:v>0.3974835137199412</x:v>
      </x:c>
      <x:c r="L698" s="17" t="n">
        <x:v>0.5930374363622961</x:v>
      </x:c>
      <x:c r="M698" s="17" t="n">
        <x:v>9.881156884375631</x:v>
      </x:c>
      <x:c r="N698" s="11" t="n">
        <x:f>'Option source'!C263</x:f>
        <x:v>409799456</x:v>
      </x:c>
      <x:c r="O698" s="11" t="n">
        <x:f>'Option source'!G263</x:f>
        <x:v>481.7</x:v>
      </x:c>
      <x:c r="P698" s="11" t="n">
        <x:f>'Option source'!F263</x:f>
        <x:v>617.99</x:v>
      </x:c>
      <x:c r="Q698" s="1" t="str">
        <x:v>Screen passed; indicative</x:v>
      </x:c>
      <x:c r="R698" s="1" t="n">
        <x:v>258</x:v>
      </x:c>
    </x:row>
    <x:row r="699" ht="21" customHeight="1">
      <x:c r="A699" s="12" t="n">
        <x:v>46261</x:v>
      </x:c>
      <x:c r="B699" s="1" t="str">
        <x:v>GFGV7000OC</x:v>
      </x:c>
      <x:c r="C699" s="1" t="str">
        <x:v>put</x:v>
      </x:c>
      <x:c r="D699" s="11" t="n">
        <x:v>7000</x:v>
      </x:c>
      <x:c r="E699" s="11" t="n">
        <x:f>'Option source'!B757</x:f>
        <x:v>414.3</x:v>
      </x:c>
      <x:c r="F699" s="11" t="n">
        <x:v>6880</x:v>
      </x:c>
      <x:c r="G699" s="18" t="n">
        <x:v>50</x:v>
      </x:c>
      <x:c r="H699" s="11" t="n">
        <x:f>MAX(IF(C699="call",F699-D699,D699-F699),0)</x:f>
        <x:v>120</x:v>
      </x:c>
      <x:c r="I699" s="11" t="n">
        <x:f>E699-H699</x:f>
        <x:v>294.3</x:v>
      </x:c>
      <x:c r="J699" s="13" t="n">
        <x:f>D699/F699</x:f>
        <x:v>1.0174418604651163</x:v>
      </x:c>
      <x:c r="K699" s="13" t="n">
        <x:v>0.45406945944387456</x:v>
      </x:c>
      <x:c r="L699" s="17" t="n">
        <x:v>-0.4107279983838409</x:v>
      </x:c>
      <x:c r="M699" s="17" t="n">
        <x:v>9.903259596317447</x:v>
      </x:c>
      <x:c r="N699" s="11" t="n">
        <x:f>'Option source'!C757</x:f>
        <x:v>151859664</x:v>
      </x:c>
      <x:c r="O699" s="11" t="n">
        <x:f>'Option source'!G757</x:f>
        <x:v>306</x:v>
      </x:c>
      <x:c r="P699" s="11" t="n">
        <x:f>'Option source'!F757</x:f>
        <x:v>430</x:v>
      </x:c>
      <x:c r="Q699" s="1" t="str">
        <x:v>Screen passed; indicative</x:v>
      </x:c>
      <x:c r="R699" s="1" t="n">
        <x:v>752</x:v>
      </x:c>
    </x:row>
    <x:row r="700" ht="21" customHeight="1">
      <x:c r="A700" s="12" t="n">
        <x:v>46261</x:v>
      </x:c>
      <x:c r="B700" s="1" t="str">
        <x:v>GFGC6600OC</x:v>
      </x:c>
      <x:c r="C700" s="1" t="str">
        <x:v>call</x:v>
      </x:c>
      <x:c r="D700" s="11" t="n">
        <x:v>6600</x:v>
      </x:c>
      <x:c r="E700" s="11" t="n">
        <x:f>'Option source'!B225</x:f>
        <x:v>706.67</x:v>
      </x:c>
      <x:c r="F700" s="11" t="n">
        <x:v>6880</x:v>
      </x:c>
      <x:c r="G700" s="18" t="n">
        <x:v>50</x:v>
      </x:c>
      <x:c r="H700" s="11" t="n">
        <x:f>MAX(IF(C700="call",F700-D700,D700-F700),0)</x:f>
        <x:v>280</x:v>
      </x:c>
      <x:c r="I700" s="11" t="n">
        <x:f>E700-H700</x:f>
        <x:v>426.66999999999996</x:v>
      </x:c>
      <x:c r="J700" s="13" t="n">
        <x:f>D700/F700</x:f>
        <x:v>0.9593023255813954</x:v>
      </x:c>
      <x:c r="K700" s="13" t="n">
        <x:v>0.3816642463885884</x:v>
      </x:c>
      <x:c r="L700" s="17" t="n">
        <x:v>0.7439863212391442</x:v>
      </x:c>
      <x:c r="M700" s="17" t="n">
        <x:v>8.1937131694377</x:v>
      </x:c>
      <x:c r="N700" s="11" t="n">
        <x:f>'Option source'!C225</x:f>
        <x:v>69429448</x:v>
      </x:c>
      <x:c r="O700" s="11" t="n">
        <x:f>'Option source'!G225</x:f>
        <x:v>700</x:v>
      </x:c>
      <x:c r="P700" s="11" t="n">
        <x:f>'Option source'!F225</x:f>
        <x:v>780.04</x:v>
      </x:c>
      <x:c r="Q700" s="1" t="str">
        <x:v>Screen passed; indicative</x:v>
      </x:c>
      <x:c r="R700" s="1" t="n">
        <x:v>220</x:v>
      </x:c>
    </x:row>
    <x:row r="701" ht="21" customHeight="1">
      <x:c r="A701" s="12" t="n">
        <x:v>46261</x:v>
      </x:c>
      <x:c r="B701" s="1" t="str">
        <x:v>GFGV6600OC</x:v>
      </x:c>
      <x:c r="C701" s="1" t="str">
        <x:v>put</x:v>
      </x:c>
      <x:c r="D701" s="11" t="n">
        <x:v>6600</x:v>
      </x:c>
      <x:c r="E701" s="11" t="n">
        <x:f>'Option source'!B719</x:f>
        <x:v>237.9</x:v>
      </x:c>
      <x:c r="F701" s="11" t="n">
        <x:v>6880</x:v>
      </x:c>
      <x:c r="G701" s="18" t="n">
        <x:v>50</x:v>
      </x:c>
      <x:c r="H701" s="11" t="n">
        <x:f>MAX(IF(C701="call",F701-D701,D701-F701),0)</x:f>
        <x:v>0</x:v>
      </x:c>
      <x:c r="I701" s="11" t="n">
        <x:f>E701-H701</x:f>
        <x:v>237.9</x:v>
      </x:c>
      <x:c r="J701" s="13" t="n">
        <x:f>D701/F701</x:f>
        <x:v>0.9593023255813954</x:v>
      </x:c>
      <x:c r="K701" s="13" t="n">
        <x:v>0.45258390791390146</x:v>
      </x:c>
      <x:c r="L701" s="17" t="n">
        <x:v>-0.2819255565073442</x:v>
      </x:c>
      <x:c r="M701" s="17" t="n">
        <x:v>8.600222449643596</x:v>
      </x:c>
      <x:c r="N701" s="11" t="n">
        <x:f>'Option source'!C719</x:f>
        <x:v>234706816</x:v>
      </x:c>
      <x:c r="O701" s="11" t="n">
        <x:f>'Option source'!G719</x:f>
        <x:v>180</x:v>
      </x:c>
      <x:c r="P701" s="11" t="n">
        <x:f>'Option source'!F719</x:f>
        <x:v>259</x:v>
      </x:c>
      <x:c r="Q701" s="1" t="str">
        <x:v>Screen passed; indicative</x:v>
      </x:c>
      <x:c r="R701" s="1" t="n">
        <x:v>714</x:v>
      </x:c>
    </x:row>
    <x:row r="702" ht="21" customHeight="1">
      <x:c r="A702" s="12" t="n">
        <x:v>46261</x:v>
      </x:c>
      <x:c r="B702" s="1" t="str">
        <x:v>GFGC7200OC</x:v>
      </x:c>
      <x:c r="C702" s="1" t="str">
        <x:v>call</x:v>
      </x:c>
      <x:c r="D702" s="11" t="n">
        <x:v>7200</x:v>
      </x:c>
      <x:c r="E702" s="11" t="n">
        <x:f>'Option source'!B282</x:f>
        <x:v>393.33</x:v>
      </x:c>
      <x:c r="F702" s="11" t="n">
        <x:v>6880</x:v>
      </x:c>
      <x:c r="G702" s="18" t="n">
        <x:v>50</x:v>
      </x:c>
      <x:c r="H702" s="11" t="n">
        <x:f>MAX(IF(C702="call",F702-D702,D702-F702),0)</x:f>
        <x:v>0</x:v>
      </x:c>
      <x:c r="I702" s="11" t="n">
        <x:f>E702-H702</x:f>
        <x:v>393.33</x:v>
      </x:c>
      <x:c r="J702" s="13" t="n">
        <x:f>D702/F702</x:f>
        <x:v>1.0465116279069768</x:v>
      </x:c>
      <x:c r="K702" s="13" t="n">
        <x:v>0.40132277004034755</x:v>
      </x:c>
      <x:c r="L702" s="17" t="n">
        <x:v>0.5178950735734031</x:v>
      </x:c>
      <x:c r="M702" s="17" t="n">
        <x:v>10.148453391047422</x:v>
      </x:c>
      <x:c r="N702" s="11" t="n">
        <x:f>'Option source'!C282</x:f>
        <x:v>419758912</x:v>
      </x:c>
      <x:c r="O702" s="11" t="n">
        <x:f>'Option source'!G282</x:f>
        <x:v>390</x:v>
      </x:c>
      <x:c r="P702" s="11" t="n">
        <x:f>'Option source'!F282</x:f>
        <x:v>509</x:v>
      </x:c>
      <x:c r="Q702" s="1" t="str">
        <x:v>Screen passed; indicative</x:v>
      </x:c>
      <x:c r="R702" s="1" t="n">
        <x:v>277</x:v>
      </x:c>
    </x:row>
    <x:row r="703" ht="21" customHeight="1">
      <x:c r="A703" s="12" t="n">
        <x:v>46261</x:v>
      </x:c>
      <x:c r="B703" s="1" t="str">
        <x:v>GFGV7200OC</x:v>
      </x:c>
      <x:c r="C703" s="1" t="str">
        <x:v>put</x:v>
      </x:c>
      <x:c r="D703" s="11" t="n">
        <x:v>7200</x:v>
      </x:c>
      <x:c r="E703" s="11" t="n">
        <x:f>'Option source'!B776</x:f>
        <x:v>525.21</x:v>
      </x:c>
      <x:c r="F703" s="11" t="n">
        <x:v>6880</x:v>
      </x:c>
      <x:c r="G703" s="18" t="n">
        <x:v>50</x:v>
      </x:c>
      <x:c r="H703" s="11" t="n">
        <x:f>MAX(IF(C703="call",F703-D703,D703-F703),0)</x:f>
        <x:v>320</x:v>
      </x:c>
      <x:c r="I703" s="11" t="n">
        <x:f>E703-H703</x:f>
        <x:v>205.21000000000004</x:v>
      </x:c>
      <x:c r="J703" s="13" t="n">
        <x:f>D703/F703</x:f>
        <x:v>1.0465116279069768</x:v>
      </x:c>
      <x:c r="K703" s="13" t="n">
        <x:v>0.4538880254177178</x:v>
      </x:c>
      <x:c r="L703" s="17" t="n">
        <x:v>-0.4768729372473861</x:v>
      </x:c>
      <x:c r="M703" s="17" t="n">
        <x:v>10.141600613315797</x:v>
      </x:c>
      <x:c r="N703" s="11" t="n">
        <x:f>'Option source'!C776</x:f>
        <x:v>25037786</x:v>
      </x:c>
      <x:c r="O703" s="11" t="n">
        <x:f>'Option source'!G776</x:f>
        <x:v>440</x:v>
      </x:c>
      <x:c r="P703" s="11" t="n">
        <x:f>'Option source'!F776</x:f>
        <x:v>540</x:v>
      </x:c>
      <x:c r="Q703" s="1" t="str">
        <x:v>Screen passed; indicative</x:v>
      </x:c>
      <x:c r="R703" s="1" t="n">
        <x:v>771</x:v>
      </x:c>
    </x:row>
    <x:row r="704" ht="21" customHeight="1">
      <x:c r="A704" s="12" t="n">
        <x:v>46261</x:v>
      </x:c>
      <x:c r="B704" s="1" t="str">
        <x:v>GFGC6400OC</x:v>
      </x:c>
      <x:c r="C704" s="1" t="str">
        <x:v>call</x:v>
      </x:c>
      <x:c r="D704" s="11" t="n">
        <x:v>6400</x:v>
      </x:c>
      <x:c r="E704" s="11" t="n">
        <x:f>'Option source'!B206</x:f>
        <x:v>843.84</x:v>
      </x:c>
      <x:c r="F704" s="11" t="n">
        <x:v>6880</x:v>
      </x:c>
      <x:c r="G704" s="18" t="n">
        <x:v>50</x:v>
      </x:c>
      <x:c r="H704" s="11" t="n">
        <x:f>MAX(IF(C704="call",F704-D704,D704-F704),0)</x:f>
        <x:v>480</x:v>
      </x:c>
      <x:c r="I704" s="11" t="n">
        <x:f>E704-H704</x:f>
        <x:v>363.84000000000003</x:v>
      </x:c>
      <x:c r="J704" s="13" t="n">
        <x:f>D704/F704</x:f>
        <x:v>0.9302325581395349</x:v>
      </x:c>
      <x:c r="K704" s="13" t="n">
        <x:v>0.376589644912534</x:v>
      </x:c>
      <x:c r="L704" s="17" t="n">
        <x:v>0.8114901060471218</x:v>
      </x:c>
      <x:c r="M704" s="17" t="n">
        <x:v>6.876636136337794</x:v>
      </x:c>
      <x:c r="N704" s="11" t="n">
        <x:f>'Option source'!C206</x:f>
        <x:v>55175124</x:v>
      </x:c>
      <x:c r="O704" s="11" t="n">
        <x:f>'Option source'!G206</x:f>
        <x:v>823.5</x:v>
      </x:c>
      <x:c r="P704" s="11" t="n">
        <x:f>'Option source'!F206</x:f>
        <x:v>990</x:v>
      </x:c>
      <x:c r="Q704" s="1" t="str">
        <x:v>Screen passed; indicative</x:v>
      </x:c>
      <x:c r="R704" s="1" t="n">
        <x:v>201</x:v>
      </x:c>
    </x:row>
    <x:row r="705" ht="21" customHeight="1">
      <x:c r="A705" s="12" t="n">
        <x:v>46261</x:v>
      </x:c>
      <x:c r="B705" s="1" t="str">
        <x:v>GFGV6400OC</x:v>
      </x:c>
      <x:c r="C705" s="1" t="str">
        <x:v>put</x:v>
      </x:c>
      <x:c r="D705" s="11" t="n">
        <x:v>6400</x:v>
      </x:c>
      <x:c r="E705" s="11" t="n">
        <x:f>'Option source'!B700</x:f>
        <x:v>172.27</x:v>
      </x:c>
      <x:c r="F705" s="11" t="n">
        <x:v>6880</x:v>
      </x:c>
      <x:c r="G705" s="18" t="n">
        <x:v>50</x:v>
      </x:c>
      <x:c r="H705" s="11" t="n">
        <x:f>MAX(IF(C705="call",F705-D705,D705-F705),0)</x:f>
        <x:v>0</x:v>
      </x:c>
      <x:c r="I705" s="11" t="n">
        <x:f>E705-H705</x:f>
        <x:v>172.27</x:v>
      </x:c>
      <x:c r="J705" s="13" t="n">
        <x:f>D705/F705</x:f>
        <x:v>0.9302325581395349</x:v>
      </x:c>
      <x:c r="K705" s="13" t="n">
        <x:v>0.452227679052582</x:v>
      </x:c>
      <x:c r="L705" s="17" t="n">
        <x:v>-0.223238972035122</x:v>
      </x:c>
      <x:c r="M705" s="17" t="n">
        <x:v>7.602972187141213</x:v>
      </x:c>
      <x:c r="N705" s="11" t="n">
        <x:f>'Option source'!C700</x:f>
        <x:v>121716192</x:v>
      </x:c>
      <x:c r="O705" s="11" t="n">
        <x:f>'Option source'!G700</x:f>
        <x:v>130</x:v>
      </x:c>
      <x:c r="P705" s="11" t="n">
        <x:f>'Option source'!F700</x:f>
        <x:v>185</x:v>
      </x:c>
      <x:c r="Q705" s="1" t="str">
        <x:v>Screen passed; indicative</x:v>
      </x:c>
      <x:c r="R705" s="1" t="n">
        <x:v>695</x:v>
      </x:c>
    </x:row>
    <x:row r="706" ht="21" customHeight="1">
      <x:c r="A706" s="12" t="n">
        <x:v>46261</x:v>
      </x:c>
      <x:c r="B706" s="1" t="str">
        <x:v>GFGC7400OC</x:v>
      </x:c>
      <x:c r="C706" s="1" t="str">
        <x:v>call</x:v>
      </x:c>
      <x:c r="D706" s="11" t="n">
        <x:v>7400</x:v>
      </x:c>
      <x:c r="E706" s="11" t="n">
        <x:f>'Option source'!B301</x:f>
        <x:v>310.39</x:v>
      </x:c>
      <x:c r="F706" s="11" t="n">
        <x:v>6880</x:v>
      </x:c>
      <x:c r="G706" s="18" t="n">
        <x:v>50</x:v>
      </x:c>
      <x:c r="H706" s="11" t="n">
        <x:f>MAX(IF(C706="call",F706-D706,D706-F706),0)</x:f>
        <x:v>0</x:v>
      </x:c>
      <x:c r="I706" s="11" t="n">
        <x:f>E706-H706</x:f>
        <x:v>310.39</x:v>
      </x:c>
      <x:c r="J706" s="13" t="n">
        <x:f>D706/F706</x:f>
        <x:v>1.0755813953488371</x:v>
      </x:c>
      <x:c r="K706" s="13" t="n">
        <x:v>0.39945135505283924</x:v>
      </x:c>
      <x:c r="L706" s="17" t="n">
        <x:v>0.44395994872984434</x:v>
      </x:c>
      <x:c r="M706" s="17" t="n">
        <x:v>10.058282774519965</x:v>
      </x:c>
      <x:c r="N706" s="11" t="n">
        <x:f>'Option source'!C301</x:f>
        <x:v>243252768</x:v>
      </x:c>
      <x:c r="O706" s="11" t="n">
        <x:f>'Option source'!G301</x:f>
        <x:v>305</x:v>
      </x:c>
      <x:c r="P706" s="11" t="n">
        <x:f>'Option source'!F301</x:f>
        <x:v>416.99</x:v>
      </x:c>
      <x:c r="Q706" s="1" t="str">
        <x:v>Screen passed; indicative</x:v>
      </x:c>
      <x:c r="R706" s="1" t="n">
        <x:v>296</x:v>
      </x:c>
    </x:row>
    <x:row r="707" ht="21" customHeight="1">
      <x:c r="A707" s="12" t="n">
        <x:v>46261</x:v>
      </x:c>
      <x:c r="B707" s="1" t="str">
        <x:v>GFGV7400OC</x:v>
      </x:c>
      <x:c r="C707" s="1" t="str">
        <x:v>put</x:v>
      </x:c>
      <x:c r="D707" s="11" t="n">
        <x:v>7400</x:v>
      </x:c>
      <x:c r="E707" s="11" t="n">
        <x:f>'Option source'!B795</x:f>
        <x:v>630.02</x:v>
      </x:c>
      <x:c r="F707" s="11" t="n">
        <x:v>6880</x:v>
      </x:c>
      <x:c r="G707" s="18" t="n">
        <x:v>50</x:v>
      </x:c>
      <x:c r="H707" s="11" t="n">
        <x:f>MAX(IF(C707="call",F707-D707,D707-F707),0)</x:f>
        <x:v>520</x:v>
      </x:c>
      <x:c r="I707" s="11" t="n">
        <x:f>E707-H707</x:f>
        <x:v>110.01999999999998</x:v>
      </x:c>
      <x:c r="J707" s="13" t="n">
        <x:f>D707/F707</x:f>
        <x:v>1.0755813953488371</x:v>
      </x:c>
      <x:c r="K707" s="13" t="n">
        <x:v>0.42737302139494737</x:v>
      </x:c>
      <x:c r="L707" s="17" t="n">
        <x:v>-0.5484444534459014</x:v>
      </x:c>
      <x:c r="M707" s="17" t="n">
        <x:v>10.083683985793938</x:v>
      </x:c>
      <x:c r="N707" s="11" t="n">
        <x:f>'Option source'!C795</x:f>
        <x:v>21707936</x:v>
      </x:c>
      <x:c r="O707" s="11" t="n">
        <x:f>'Option source'!G795</x:f>
        <x:v>575</x:v>
      </x:c>
      <x:c r="P707" s="11" t="n">
        <x:f>'Option source'!F795</x:f>
        <x:v>660.28</x:v>
      </x:c>
      <x:c r="Q707" s="1" t="str">
        <x:v>Screen passed; indicative</x:v>
      </x:c>
      <x:c r="R707" s="1" t="n">
        <x:v>790</x:v>
      </x:c>
    </x:row>
    <x:row r="708" ht="21" customHeight="1">
      <x:c r="A708" s="12" t="n">
        <x:v>46261</x:v>
      </x:c>
      <x:c r="B708" s="1" t="str">
        <x:v>GFGC6200OC</x:v>
      </x:c>
      <x:c r="C708" s="1" t="str">
        <x:v>call</x:v>
      </x:c>
      <x:c r="D708" s="11" t="n">
        <x:v>6200</x:v>
      </x:c>
      <x:c r="E708" s="11" t="n">
        <x:f>'Option source'!B187</x:f>
        <x:v>1000</x:v>
      </x:c>
      <x:c r="F708" s="11" t="n">
        <x:v>6880</x:v>
      </x:c>
      <x:c r="G708" s="18" t="n">
        <x:v>50</x:v>
      </x:c>
      <x:c r="H708" s="11" t="n">
        <x:f>MAX(IF(C708="call",F708-D708,D708-F708),0)</x:f>
        <x:v>680</x:v>
      </x:c>
      <x:c r="I708" s="11" t="n">
        <x:f>E708-H708</x:f>
        <x:v>320</x:v>
      </x:c>
      <x:c r="J708" s="13" t="n">
        <x:f>D708/F708</x:f>
        <x:v>0.9011627906976745</x:v>
      </x:c>
      <x:c r="K708" s="13" t="n">
        <x:v>0.3799731774925783</x:v>
      </x:c>
      <x:c r="L708" s="17" t="n">
        <x:v>0.8648853258845686</x:v>
      </x:c>
      <x:c r="M708" s="17" t="n">
        <x:v>5.531930358355989</x:v>
      </x:c>
      <x:c r="N708" s="11" t="n">
        <x:f>'Option source'!C187</x:f>
        <x:v>6149087</x:v>
      </x:c>
      <x:c r="O708" s="11" t="n">
        <x:f>'Option source'!G187</x:f>
        <x:v>1000</x:v>
      </x:c>
      <x:c r="P708" s="11" t="n">
        <x:f>'Option source'!F187</x:f>
        <x:v>1015.87</x:v>
      </x:c>
      <x:c r="Q708" s="1" t="str">
        <x:v>Screen passed; indicative</x:v>
      </x:c>
      <x:c r="R708" s="1" t="n">
        <x:v>182</x:v>
      </x:c>
    </x:row>
    <x:row r="709" ht="21" customHeight="1">
      <x:c r="A709" s="12" t="n">
        <x:v>46261</x:v>
      </x:c>
      <x:c r="B709" s="1" t="str">
        <x:v>GFGV6200OC</x:v>
      </x:c>
      <x:c r="C709" s="1" t="str">
        <x:v>put</x:v>
      </x:c>
      <x:c r="D709" s="11" t="n">
        <x:v>6200</x:v>
      </x:c>
      <x:c r="E709" s="11" t="n">
        <x:f>'Option source'!B681</x:f>
        <x:v>119.95</x:v>
      </x:c>
      <x:c r="F709" s="11" t="n">
        <x:v>6880</x:v>
      </x:c>
      <x:c r="G709" s="18" t="n">
        <x:v>50</x:v>
      </x:c>
      <x:c r="H709" s="11" t="n">
        <x:f>MAX(IF(C709="call",F709-D709,D709-F709),0)</x:f>
        <x:v>0</x:v>
      </x:c>
      <x:c r="I709" s="11" t="n">
        <x:f>E709-H709</x:f>
        <x:v>119.95</x:v>
      </x:c>
      <x:c r="J709" s="13" t="n">
        <x:f>D709/F709</x:f>
        <x:v>0.9011627906976745</x:v>
      </x:c>
      <x:c r="K709" s="13" t="n">
        <x:v>0.44997160942382597</x:v>
      </x:c>
      <x:c r="L709" s="17" t="n">
        <x:v>-0.16981042791176948</x:v>
      </x:c>
      <x:c r="M709" s="17" t="n">
        <x:v>6.4391531584646975</x:v>
      </x:c>
      <x:c r="N709" s="11" t="n">
        <x:f>'Option source'!C681</x:f>
        <x:v>62325680</x:v>
      </x:c>
      <x:c r="O709" s="11" t="n">
        <x:f>'Option source'!G681</x:f>
        <x:v>86</x:v>
      </x:c>
      <x:c r="P709" s="11" t="n">
        <x:f>'Option source'!F681</x:f>
        <x:v>129.59</x:v>
      </x:c>
      <x:c r="Q709" s="1" t="str">
        <x:v>Screen passed; indicative</x:v>
      </x:c>
      <x:c r="R709" s="1" t="n">
        <x:v>676</x:v>
      </x:c>
    </x:row>
    <x:row r="710" ht="21" customHeight="1">
      <x:c r="A710" s="12" t="n">
        <x:v>46261</x:v>
      </x:c>
      <x:c r="B710" s="1" t="str">
        <x:v>GFGC7600OC</x:v>
      </x:c>
      <x:c r="C710" s="1" t="str">
        <x:v>call</x:v>
      </x:c>
      <x:c r="D710" s="11" t="n">
        <x:v>7600</x:v>
      </x:c>
      <x:c r="E710" s="11" t="n">
        <x:f>'Option source'!B320</x:f>
        <x:v>247.62</x:v>
      </x:c>
      <x:c r="F710" s="11" t="n">
        <x:v>6880</x:v>
      </x:c>
      <x:c r="G710" s="18" t="n">
        <x:v>50</x:v>
      </x:c>
      <x:c r="H710" s="11" t="n">
        <x:f>MAX(IF(C710="call",F710-D710,D710-F710),0)</x:f>
        <x:v>0</x:v>
      </x:c>
      <x:c r="I710" s="11" t="n">
        <x:f>E710-H710</x:f>
        <x:v>247.62</x:v>
      </x:c>
      <x:c r="J710" s="13" t="n">
        <x:f>D710/F710</x:f>
        <x:v>1.1046511627906976</x:v>
      </x:c>
      <x:c r="K710" s="13" t="n">
        <x:v>0.40449617315528874</x:v>
      </x:c>
      <x:c r="L710" s="17" t="n">
        <x:v>0.376207990350937</x:v>
      </x:c>
      <x:c r="M710" s="17" t="n">
        <x:v>9.665588616560706</x:v>
      </x:c>
      <x:c r="N710" s="11" t="n">
        <x:f>'Option source'!C320</x:f>
        <x:v>235826448</x:v>
      </x:c>
      <x:c r="O710" s="11" t="n">
        <x:f>'Option source'!G320</x:f>
        <x:v>247.02</x:v>
      </x:c>
      <x:c r="P710" s="11" t="n">
        <x:f>'Option source'!F320</x:f>
        <x:v>379</x:v>
      </x:c>
      <x:c r="Q710" s="1" t="str">
        <x:v>Screen passed; indicative</x:v>
      </x:c>
      <x:c r="R710" s="1" t="n">
        <x:v>315</x:v>
      </x:c>
    </x:row>
    <x:row r="711" ht="21" customHeight="1">
      <x:c r="A711" s="12" t="n">
        <x:v>46261</x:v>
      </x:c>
      <x:c r="B711" s="1" t="str">
        <x:v>GFGV7600OC</x:v>
      </x:c>
      <x:c r="C711" s="1" t="str">
        <x:v>put</x:v>
      </x:c>
      <x:c r="D711" s="11" t="n">
        <x:v>7600</x:v>
      </x:c>
      <x:c r="E711" s="11" t="n">
        <x:f>'Option source'!B814</x:f>
        <x:v>785</x:v>
      </x:c>
      <x:c r="F711" s="11" t="n">
        <x:v>6880</x:v>
      </x:c>
      <x:c r="G711" s="18" t="n">
        <x:v>50</x:v>
      </x:c>
      <x:c r="H711" s="11" t="n">
        <x:f>MAX(IF(C711="call",F711-D711,D711-F711),0)</x:f>
        <x:v>720</x:v>
      </x:c>
      <x:c r="I711" s="11" t="n">
        <x:f>E711-H711</x:f>
        <x:v>65</x:v>
      </x:c>
      <x:c r="J711" s="13" t="n">
        <x:f>D711/F711</x:f>
        <x:v>1.1046511627906976</x:v>
      </x:c>
      <x:c r="K711" s="13"/>
      <x:c r="L711" s="17"/>
      <x:c r="M711" s="17"/>
      <x:c r="N711" s="11" t="n">
        <x:f>'Option source'!C814</x:f>
        <x:v>2053604.38</x:v>
      </x:c>
      <x:c r="O711" s="11" t="n">
        <x:f>'Option source'!G814</x:f>
        <x:v>690</x:v>
      </x:c>
      <x:c r="P711" s="11" t="n">
        <x:f>'Option source'!F814</x:f>
        <x:v>780</x:v>
      </x:c>
      <x:c r="Q711" s="1" t="str">
        <x:v>Price outside daily range</x:v>
      </x:c>
      <x:c r="R711" s="1" t="n">
        <x:v>809</x:v>
      </x:c>
    </x:row>
    <x:row r="712" ht="21" customHeight="1">
      <x:c r="A712" s="12" t="n">
        <x:v>46261</x:v>
      </x:c>
      <x:c r="B712" s="1" t="str">
        <x:v>GFGC6000OC</x:v>
      </x:c>
      <x:c r="C712" s="1" t="str">
        <x:v>call</x:v>
      </x:c>
      <x:c r="D712" s="11" t="n">
        <x:v>6000</x:v>
      </x:c>
      <x:c r="E712" s="11" t="n">
        <x:f>'Option source'!B168</x:f>
        <x:v>1178.78</x:v>
      </x:c>
      <x:c r="F712" s="11" t="n">
        <x:v>6880</x:v>
      </x:c>
      <x:c r="G712" s="18" t="n">
        <x:v>50</x:v>
      </x:c>
      <x:c r="H712" s="11" t="n">
        <x:f>MAX(IF(C712="call",F712-D712,D712-F712),0)</x:f>
        <x:v>880</x:v>
      </x:c>
      <x:c r="I712" s="11" t="n">
        <x:f>E712-H712</x:f>
        <x:v>298.78</x:v>
      </x:c>
      <x:c r="J712" s="13" t="n">
        <x:f>D712/F712</x:f>
        <x:v>0.872093023255814</x:v>
      </x:c>
      <x:c r="K712" s="13" t="n">
        <x:v>0.4114038236496058</x:v>
      </x:c>
      <x:c r="L712" s="17" t="n">
        <x:v>0.8934037713674178</x:v>
      </x:c>
      <x:c r="M712" s="17" t="n">
        <x:v>4.68104378727659</x:v>
      </x:c>
      <x:c r="N712" s="11" t="n">
        <x:f>'Option source'!C168</x:f>
        <x:v>5776001</x:v>
      </x:c>
      <x:c r="O712" s="11" t="n">
        <x:f>'Option source'!G168</x:f>
        <x:v>1165</x:v>
      </x:c>
      <x:c r="P712" s="11" t="n">
        <x:f>'Option source'!F168</x:f>
        <x:v>1200</x:v>
      </x:c>
      <x:c r="Q712" s="1" t="str">
        <x:v>Screen passed; indicative</x:v>
      </x:c>
      <x:c r="R712" s="1" t="n">
        <x:v>163</x:v>
      </x:c>
    </x:row>
    <x:row r="713" ht="21" customHeight="1">
      <x:c r="A713" s="12" t="n">
        <x:v>46261</x:v>
      </x:c>
      <x:c r="B713" s="1" t="str">
        <x:v>GFGV6000OC</x:v>
      </x:c>
      <x:c r="C713" s="1" t="str">
        <x:v>put</x:v>
      </x:c>
      <x:c r="D713" s="11" t="n">
        <x:v>6000</x:v>
      </x:c>
      <x:c r="E713" s="11" t="n">
        <x:f>'Option source'!B662</x:f>
        <x:v>81.77</x:v>
      </x:c>
      <x:c r="F713" s="11" t="n">
        <x:v>6880</x:v>
      </x:c>
      <x:c r="G713" s="18" t="n">
        <x:v>50</x:v>
      </x:c>
      <x:c r="H713" s="11" t="n">
        <x:f>MAX(IF(C713="call",F713-D713,D713-F713),0)</x:f>
        <x:v>0</x:v>
      </x:c>
      <x:c r="I713" s="11" t="n">
        <x:f>E713-H713</x:f>
        <x:v>81.77</x:v>
      </x:c>
      <x:c r="J713" s="13" t="n">
        <x:f>D713/F713</x:f>
        <x:v>0.872093023255814</x:v>
      </x:c>
      <x:c r="K713" s="13" t="n">
        <x:v>0.45153719389061375</x:v>
      </x:c>
      <x:c r="L713" s="17" t="n">
        <x:v>-0.125404668241215</x:v>
      </x:c>
      <x:c r="M713" s="17" t="n">
        <x:v>5.253702542593998</x:v>
      </x:c>
      <x:c r="N713" s="11" t="n">
        <x:f>'Option source'!C662</x:f>
        <x:v>75141672</x:v>
      </x:c>
      <x:c r="O713" s="11" t="n">
        <x:f>'Option source'!G662</x:f>
        <x:v>56</x:v>
      </x:c>
      <x:c r="P713" s="11" t="n">
        <x:f>'Option source'!F662</x:f>
        <x:v>84.6</x:v>
      </x:c>
      <x:c r="Q713" s="1" t="str">
        <x:v>Screen passed; indicative</x:v>
      </x:c>
      <x:c r="R713" s="1" t="n">
        <x:v>657</x:v>
      </x:c>
    </x:row>
    <x:row r="714" ht="21" customHeight="1">
      <x:c r="A714" s="12" t="n">
        <x:v>46261</x:v>
      </x:c>
      <x:c r="B714" s="1" t="str">
        <x:v>GFGC7800OC</x:v>
      </x:c>
      <x:c r="C714" s="1" t="str">
        <x:v>call</x:v>
      </x:c>
      <x:c r="D714" s="11" t="n">
        <x:v>7800</x:v>
      </x:c>
      <x:c r="E714" s="11" t="n">
        <x:f>'Option source'!B339</x:f>
        <x:v>190.51</x:v>
      </x:c>
      <x:c r="F714" s="11" t="n">
        <x:v>6880</x:v>
      </x:c>
      <x:c r="G714" s="18" t="n">
        <x:v>50</x:v>
      </x:c>
      <x:c r="H714" s="11" t="n">
        <x:f>MAX(IF(C714="call",F714-D714,D714-F714),0)</x:f>
        <x:v>0</x:v>
      </x:c>
      <x:c r="I714" s="11" t="n">
        <x:f>E714-H714</x:f>
        <x:v>190.51</x:v>
      </x:c>
      <x:c r="J714" s="13" t="n">
        <x:f>D714/F714</x:f>
        <x:v>1.1337209302325582</x:v>
      </x:c>
      <x:c r="K714" s="13" t="n">
        <x:v>0.4030220030955912</x:v>
      </x:c>
      <x:c r="L714" s="17" t="n">
        <x:v>0.31160893814308027</x:v>
      </x:c>
      <x:c r="M714" s="17" t="n">
        <x:v>9.003763811691336</x:v>
      </x:c>
      <x:c r="N714" s="11" t="n">
        <x:f>'Option source'!C339</x:f>
        <x:v>184256096</x:v>
      </x:c>
      <x:c r="O714" s="11" t="n">
        <x:f>'Option source'!G339</x:f>
        <x:v>188</x:v>
      </x:c>
      <x:c r="P714" s="11" t="n">
        <x:f>'Option source'!F339</x:f>
        <x:v>275</x:v>
      </x:c>
      <x:c r="Q714" s="1" t="str">
        <x:v>Screen passed; indicative</x:v>
      </x:c>
      <x:c r="R714" s="1" t="n">
        <x:v>334</x:v>
      </x:c>
    </x:row>
    <x:row r="715" ht="21" customHeight="1">
      <x:c r="A715" s="12" t="n">
        <x:v>46261</x:v>
      </x:c>
      <x:c r="B715" s="1" t="str">
        <x:v>GFGV7800OC</x:v>
      </x:c>
      <x:c r="C715" s="1" t="str">
        <x:v>put</x:v>
      </x:c>
      <x:c r="D715" s="11" t="n">
        <x:v>7800</x:v>
      </x:c>
      <x:c r="E715" s="11" t="n">
        <x:f>'Option source'!B833</x:f>
        <x:v>905</x:v>
      </x:c>
      <x:c r="F715" s="11" t="n">
        <x:v>6880</x:v>
      </x:c>
      <x:c r="G715" s="18" t="n">
        <x:v>50</x:v>
      </x:c>
      <x:c r="H715" s="11" t="n">
        <x:f>MAX(IF(C715="call",F715-D715,D715-F715),0)</x:f>
        <x:v>920</x:v>
      </x:c>
      <x:c r="I715" s="11" t="n">
        <x:f>E715-H715</x:f>
        <x:v>-15</x:v>
      </x:c>
      <x:c r="J715" s="13" t="n">
        <x:f>D715/F715</x:f>
        <x:v>1.1337209302325582</x:v>
      </x:c>
      <x:c r="K715" s="13"/>
      <x:c r="L715" s="17"/>
      <x:c r="M715" s="17"/>
      <x:c r="N715" s="11" t="n">
        <x:f>'Option source'!C833</x:f>
        <x:v>879515.5</x:v>
      </x:c>
      <x:c r="O715" s="11" t="n">
        <x:f>'Option source'!G833</x:f>
        <x:v>770</x:v>
      </x:c>
      <x:c r="P715" s="11" t="n">
        <x:f>'Option source'!F833</x:f>
        <x:v>910</x:v>
      </x:c>
      <x:c r="Q715" s="1" t="str">
        <x:v>Below intrinsic value</x:v>
      </x:c>
      <x:c r="R715" s="1" t="n">
        <x:v>828</x:v>
      </x:c>
    </x:row>
    <x:row r="716" ht="21" customHeight="1">
      <x:c r="A716" s="12" t="n">
        <x:v>46261</x:v>
      </x:c>
      <x:c r="B716" s="1" t="str">
        <x:v>GFGV5800OC</x:v>
      </x:c>
      <x:c r="C716" s="1" t="str">
        <x:v>put</x:v>
      </x:c>
      <x:c r="D716" s="11" t="n">
        <x:v>5800</x:v>
      </x:c>
      <x:c r="E716" s="11" t="n">
        <x:f>'Option source'!B643</x:f>
        <x:v>52.63</x:v>
      </x:c>
      <x:c r="F716" s="11" t="n">
        <x:v>6880</x:v>
      </x:c>
      <x:c r="G716" s="18" t="n">
        <x:v>50</x:v>
      </x:c>
      <x:c r="H716" s="11" t="n">
        <x:f>MAX(IF(C716="call",F716-D716,D716-F716),0)</x:f>
        <x:v>0</x:v>
      </x:c>
      <x:c r="I716" s="11" t="n">
        <x:f>E716-H716</x:f>
        <x:v>52.63</x:v>
      </x:c>
      <x:c r="J716" s="13" t="n">
        <x:f>D716/F716</x:f>
        <x:v>0.8430232558139535</x:v>
      </x:c>
      <x:c r="K716" s="13" t="n">
        <x:v>0.45070830856232136</x:v>
      </x:c>
      <x:c r="L716" s="17" t="n">
        <x:v>-0.08796081301434011</x:v>
      </x:c>
      <x:c r="M716" s="17" t="n">
        <x:v>4.065170799282168</x:v>
      </x:c>
      <x:c r="N716" s="11" t="n">
        <x:f>'Option source'!C643</x:f>
        <x:v>16303877</x:v>
      </x:c>
      <x:c r="O716" s="11" t="n">
        <x:f>'Option source'!G643</x:f>
        <x:v>35</x:v>
      </x:c>
      <x:c r="P716" s="11" t="n">
        <x:f>'Option source'!F643</x:f>
        <x:v>68</x:v>
      </x:c>
      <x:c r="Q716" s="1" t="str">
        <x:v>Screen passed; indicative</x:v>
      </x:c>
      <x:c r="R716" s="1" t="n">
        <x:v>638</x:v>
      </x:c>
    </x:row>
    <x:row r="717" ht="21" customHeight="1">
      <x:c r="A717" s="12" t="n">
        <x:v>46261</x:v>
      </x:c>
      <x:c r="B717" s="1" t="str">
        <x:v>GFGC8000OC</x:v>
      </x:c>
      <x:c r="C717" s="1" t="str">
        <x:v>call</x:v>
      </x:c>
      <x:c r="D717" s="11" t="n">
        <x:v>8000</x:v>
      </x:c>
      <x:c r="E717" s="11" t="n">
        <x:f>'Option source'!B358</x:f>
        <x:v>151.28</x:v>
      </x:c>
      <x:c r="F717" s="11" t="n">
        <x:v>6880</x:v>
      </x:c>
      <x:c r="G717" s="18" t="n">
        <x:v>50</x:v>
      </x:c>
      <x:c r="H717" s="11" t="n">
        <x:f>MAX(IF(C717="call",F717-D717,D717-F717),0)</x:f>
        <x:v>0</x:v>
      </x:c>
      <x:c r="I717" s="11" t="n">
        <x:f>E717-H717</x:f>
        <x:v>151.28</x:v>
      </x:c>
      <x:c r="J717" s="13" t="n">
        <x:f>D717/F717</x:f>
        <x:v>1.1627906976744187</x:v>
      </x:c>
      <x:c r="K717" s="13" t="n">
        <x:v>0.4100200637496214</x:v>
      </x:c>
      <x:c r="L717" s="17" t="n">
        <x:v>0.2587593868824768</x:v>
      </x:c>
      <x:c r="M717" s="17" t="n">
        <x:v>8.239258744537583</x:v>
      </x:c>
      <x:c r="N717" s="11" t="n">
        <x:f>'Option source'!C358</x:f>
        <x:v>402520192</x:v>
      </x:c>
      <x:c r="O717" s="11" t="n">
        <x:f>'Option source'!G358</x:f>
        <x:v>147.02</x:v>
      </x:c>
      <x:c r="P717" s="11" t="n">
        <x:f>'Option source'!F358</x:f>
        <x:v>220</x:v>
      </x:c>
      <x:c r="Q717" s="1" t="str">
        <x:v>Screen passed; indicative</x:v>
      </x:c>
      <x:c r="R717" s="1" t="n">
        <x:v>353</x:v>
      </x:c>
    </x:row>
    <x:row r="718" ht="21" customHeight="1">
      <x:c r="A718" s="12" t="n">
        <x:v>46261</x:v>
      </x:c>
      <x:c r="B718" s="1" t="str">
        <x:v>GFGV8000OC</x:v>
      </x:c>
      <x:c r="C718" s="1" t="str">
        <x:v>put</x:v>
      </x:c>
      <x:c r="D718" s="11" t="n">
        <x:v>8000</x:v>
      </x:c>
      <x:c r="E718" s="11" t="n">
        <x:f>'Option source'!B852</x:f>
        <x:v>1127.14</x:v>
      </x:c>
      <x:c r="F718" s="11" t="n">
        <x:v>6880</x:v>
      </x:c>
      <x:c r="G718" s="18" t="n">
        <x:v>50</x:v>
      </x:c>
      <x:c r="H718" s="11" t="n">
        <x:f>MAX(IF(C718="call",F718-D718,D718-F718),0)</x:f>
        <x:v>1120</x:v>
      </x:c>
      <x:c r="I718" s="11" t="n">
        <x:f>E718-H718</x:f>
        <x:v>7.1400000000001</x:v>
      </x:c>
      <x:c r="J718" s="13" t="n">
        <x:f>D718/F718</x:f>
        <x:v>1.1627906976744187</x:v>
      </x:c>
      <x:c r="K718" s="13" t="n">
        <x:v>0.4425879177769312</x:v>
      </x:c>
      <x:c r="L718" s="17" t="n">
        <x:v>-0.721714409640563</x:v>
      </x:c>
      <x:c r="M718" s="17" t="n">
        <x:v>8.546228735018259</x:v>
      </x:c>
      <x:c r="N718" s="11" t="n">
        <x:f>'Option source'!C852</x:f>
        <x:v>19368288</x:v>
      </x:c>
      <x:c r="O718" s="11" t="n">
        <x:f>'Option source'!G852</x:f>
        <x:v>1055</x:v>
      </x:c>
      <x:c r="P718" s="11" t="n">
        <x:f>'Option source'!F852</x:f>
        <x:v>1155</x:v>
      </x:c>
      <x:c r="Q718" s="1" t="str">
        <x:v>Screen passed; indicative</x:v>
      </x:c>
      <x:c r="R718" s="1" t="n">
        <x:v>847</x:v>
      </x:c>
    </x:row>
    <x:row r="719" ht="21" customHeight="1">
      <x:c r="A719" s="12" t="n">
        <x:v>46261</x:v>
      </x:c>
      <x:c r="B719" s="1" t="str">
        <x:v>GFGC5600OC</x:v>
      </x:c>
      <x:c r="C719" s="1" t="str">
        <x:v>call</x:v>
      </x:c>
      <x:c r="D719" s="11" t="n">
        <x:v>5600</x:v>
      </x:c>
      <x:c r="E719" s="11" t="n">
        <x:f>'Option source'!B139</x:f>
        <x:v>1490.13</x:v>
      </x:c>
      <x:c r="F719" s="11" t="n">
        <x:v>6880</x:v>
      </x:c>
      <x:c r="G719" s="18" t="n">
        <x:v>50</x:v>
      </x:c>
      <x:c r="H719" s="11" t="n">
        <x:f>MAX(IF(C719="call",F719-D719,D719-F719),0)</x:f>
        <x:v>1280</x:v>
      </x:c>
      <x:c r="I719" s="11" t="n">
        <x:f>E719-H719</x:f>
        <x:v>210.1300000000001</x:v>
      </x:c>
      <x:c r="J719" s="13" t="n">
        <x:f>D719/F719</x:f>
        <x:v>0.813953488372093</x:v>
      </x:c>
      <x:c r="K719" s="13"/>
      <x:c r="L719" s="17"/>
      <x:c r="M719" s="17"/>
      <x:c r="N719" s="11" t="n">
        <x:f>'Option source'!C139</x:f>
        <x:v>2222197.5</x:v>
      </x:c>
      <x:c r="O719" s="11" t="n">
        <x:f>'Option source'!G139</x:f>
        <x:v>1599.64</x:v>
      </x:c>
      <x:c r="P719" s="11" t="n">
        <x:f>'Option source'!F139</x:f>
        <x:v>1622.66</x:v>
      </x:c>
      <x:c r="Q719" s="1" t="str">
        <x:v>Price outside daily range</x:v>
      </x:c>
      <x:c r="R719" s="1" t="n">
        <x:v>134</x:v>
      </x:c>
    </x:row>
    <x:row r="720" ht="21" customHeight="1">
      <x:c r="A720" s="12" t="n">
        <x:v>46261</x:v>
      </x:c>
      <x:c r="B720" s="1" t="str">
        <x:v>GFGV5600OC</x:v>
      </x:c>
      <x:c r="C720" s="1" t="str">
        <x:v>put</x:v>
      </x:c>
      <x:c r="D720" s="11" t="n">
        <x:v>5600</x:v>
      </x:c>
      <x:c r="E720" s="11" t="n">
        <x:f>'Option source'!B624</x:f>
        <x:v>30.86</x:v>
      </x:c>
      <x:c r="F720" s="11" t="n">
        <x:v>6880</x:v>
      </x:c>
      <x:c r="G720" s="18" t="n">
        <x:v>50</x:v>
      </x:c>
      <x:c r="H720" s="11" t="n">
        <x:f>MAX(IF(C720="call",F720-D720,D720-F720),0)</x:f>
        <x:v>0</x:v>
      </x:c>
      <x:c r="I720" s="11" t="n">
        <x:f>E720-H720</x:f>
        <x:v>30.86</x:v>
      </x:c>
      <x:c r="J720" s="13" t="n">
        <x:f>D720/F720</x:f>
        <x:v>0.813953488372093</x:v>
      </x:c>
      <x:c r="K720" s="13" t="n">
        <x:v>0.44537205415155867</x:v>
      </x:c>
      <x:c r="L720" s="17" t="n">
        <x:v>-0.056992723318572414</x:v>
      </x:c>
      <x:c r="M720" s="17" t="n">
        <x:v>2.913309840687388</x:v>
      </x:c>
      <x:c r="N720" s="11" t="n">
        <x:f>'Option source'!C624</x:f>
        <x:v>8374358</x:v>
      </x:c>
      <x:c r="O720" s="11" t="n">
        <x:f>'Option source'!G624</x:f>
        <x:v>20.5</x:v>
      </x:c>
      <x:c r="P720" s="11" t="n">
        <x:f>'Option source'!F624</x:f>
        <x:v>33</x:v>
      </x:c>
      <x:c r="Q720" s="1" t="str">
        <x:v>Screen passed; indicative</x:v>
      </x:c>
      <x:c r="R720" s="1" t="n">
        <x:v>619</x:v>
      </x:c>
    </x:row>
    <x:row r="721" ht="21" customHeight="1">
      <x:c r="A721" s="12" t="n">
        <x:v>46261</x:v>
      </x:c>
      <x:c r="B721" s="1" t="str">
        <x:v>GFGC8300OC</x:v>
      </x:c>
      <x:c r="C721" s="1" t="str">
        <x:v>call</x:v>
      </x:c>
      <x:c r="D721" s="11" t="n">
        <x:v>8300</x:v>
      </x:c>
      <x:c r="E721" s="11" t="n">
        <x:f>'Option source'!B377</x:f>
        <x:v>101.58</x:v>
      </x:c>
      <x:c r="F721" s="11" t="n">
        <x:v>6880</x:v>
      </x:c>
      <x:c r="G721" s="18" t="n">
        <x:v>50</x:v>
      </x:c>
      <x:c r="H721" s="11" t="n">
        <x:f>MAX(IF(C721="call",F721-D721,D721-F721),0)</x:f>
        <x:v>0</x:v>
      </x:c>
      <x:c r="I721" s="11" t="n">
        <x:f>E721-H721</x:f>
        <x:v>101.58</x:v>
      </x:c>
      <x:c r="J721" s="13" t="n">
        <x:f>D721/F721</x:f>
        <x:v>1.2063953488372092</x:v>
      </x:c>
      <x:c r="K721" s="13" t="n">
        <x:v>0.41275082623586545</x:v>
      </x:c>
      <x:c r="L721" s="17" t="n">
        <x:v>0.18865361713669943</x:v>
      </x:c>
      <x:c r="M721" s="17" t="n">
        <x:v>6.879868206499557</x:v>
      </x:c>
      <x:c r="N721" s="11" t="n">
        <x:f>'Option source'!C377</x:f>
        <x:v>69572024</x:v>
      </x:c>
      <x:c r="O721" s="11" t="n">
        <x:f>'Option source'!G377</x:f>
        <x:v>101</x:v>
      </x:c>
      <x:c r="P721" s="11" t="n">
        <x:f>'Option source'!F377</x:f>
        <x:v>152</x:v>
      </x:c>
      <x:c r="Q721" s="1" t="str">
        <x:v>Screen passed; indicative</x:v>
      </x:c>
      <x:c r="R721" s="1" t="n">
        <x:v>372</x:v>
      </x:c>
    </x:row>
    <x:row r="722" ht="21" customHeight="1">
      <x:c r="A722" s="12" t="n">
        <x:v>46261</x:v>
      </x:c>
      <x:c r="B722" s="1" t="str">
        <x:v>GFGV8300OC</x:v>
      </x:c>
      <x:c r="C722" s="1" t="str">
        <x:v>put</x:v>
      </x:c>
      <x:c r="D722" s="11" t="n">
        <x:v>8300</x:v>
      </x:c>
      <x:c r="E722" s="11" t="n">
        <x:f>'Option source'!B871</x:f>
        <x:v>1291.94</x:v>
      </x:c>
      <x:c r="F722" s="11" t="n">
        <x:v>6880</x:v>
      </x:c>
      <x:c r="G722" s="18" t="n">
        <x:v>50</x:v>
      </x:c>
      <x:c r="H722" s="11" t="n">
        <x:f>MAX(IF(C722="call",F722-D722,D722-F722),0)</x:f>
        <x:v>1420</x:v>
      </x:c>
      <x:c r="I722" s="11" t="n">
        <x:f>E722-H722</x:f>
        <x:v>-128.05999999999995</x:v>
      </x:c>
      <x:c r="J722" s="13" t="n">
        <x:f>D722/F722</x:f>
        <x:v>1.2063953488372092</x:v>
      </x:c>
      <x:c r="K722" s="13"/>
      <x:c r="L722" s="17"/>
      <x:c r="M722" s="17"/>
      <x:c r="N722" s="11" t="n">
        <x:f>'Option source'!C871</x:f>
        <x:v>2470367</x:v>
      </x:c>
      <x:c r="O722" s="11" t="n">
        <x:f>'Option source'!G871</x:f>
        <x:v>1240</x:v>
      </x:c>
      <x:c r="P722" s="11" t="n">
        <x:f>'Option source'!F871</x:f>
        <x:v>1437.33</x:v>
      </x:c>
      <x:c r="Q722" s="1" t="str">
        <x:v>Below intrinsic value</x:v>
      </x:c>
      <x:c r="R722" s="1" t="n">
        <x:v>866</x:v>
      </x:c>
    </x:row>
    <x:row r="723" ht="21" customHeight="1">
      <x:c r="A723" s="12" t="n">
        <x:v>46261</x:v>
      </x:c>
      <x:c r="B723" s="1" t="str">
        <x:v>GFGC5400OC</x:v>
      </x:c>
      <x:c r="C723" s="1" t="str">
        <x:v>call</x:v>
      </x:c>
      <x:c r="D723" s="11" t="n">
        <x:v>5400</x:v>
      </x:c>
      <x:c r="E723" s="11" t="n">
        <x:f>'Option source'!B121</x:f>
        <x:v>1790.79</x:v>
      </x:c>
      <x:c r="F723" s="11" t="n">
        <x:v>6880</x:v>
      </x:c>
      <x:c r="G723" s="18" t="n">
        <x:v>50</x:v>
      </x:c>
      <x:c r="H723" s="11" t="n">
        <x:f>MAX(IF(C723="call",F723-D723,D723-F723),0)</x:f>
        <x:v>1480</x:v>
      </x:c>
      <x:c r="I723" s="11" t="n">
        <x:f>E723-H723</x:f>
        <x:v>310.78999999999996</x:v>
      </x:c>
      <x:c r="J723" s="13" t="n">
        <x:f>D723/F723</x:f>
        <x:v>0.7848837209302325</x:v>
      </x:c>
      <x:c r="K723" s="13" t="n">
        <x:v>0.6710702919554559</x:v>
      </x:c>
      <x:c r="L723" s="17" t="n">
        <x:v>0.8970405475930268</x:v>
      </x:c>
      <x:c r="M723" s="17" t="n">
        <x:v>4.564839740613064</x:v>
      </x:c>
      <x:c r="N723" s="11" t="n">
        <x:f>'Option source'!C121</x:f>
        <x:v>3942097.5</x:v>
      </x:c>
      <x:c r="O723" s="11" t="n">
        <x:f>'Option source'!G121</x:f>
        <x:v>1778.33</x:v>
      </x:c>
      <x:c r="P723" s="11" t="n">
        <x:f>'Option source'!F121</x:f>
        <x:v>1803.24</x:v>
      </x:c>
      <x:c r="Q723" s="1" t="str">
        <x:v>Screen passed; indicative</x:v>
      </x:c>
      <x:c r="R723" s="1" t="n">
        <x:v>116</x:v>
      </x:c>
    </x:row>
    <x:row r="724" ht="21" customHeight="1">
      <x:c r="A724" s="12" t="n">
        <x:v>46261</x:v>
      </x:c>
      <x:c r="B724" s="1" t="str">
        <x:v>GFGV5400OC</x:v>
      </x:c>
      <x:c r="C724" s="1" t="str">
        <x:v>put</x:v>
      </x:c>
      <x:c r="D724" s="11" t="n">
        <x:v>5400</x:v>
      </x:c>
      <x:c r="E724" s="11" t="n">
        <x:f>'Option source'!B605</x:f>
        <x:v>18.93</x:v>
      </x:c>
      <x:c r="F724" s="11" t="n">
        <x:v>6880</x:v>
      </x:c>
      <x:c r="G724" s="18" t="n">
        <x:v>50</x:v>
      </x:c>
      <x:c r="H724" s="11" t="n">
        <x:f>MAX(IF(C724="call",F724-D724,D724-F724),0)</x:f>
        <x:v>0</x:v>
      </x:c>
      <x:c r="I724" s="11" t="n">
        <x:f>E724-H724</x:f>
        <x:v>18.93</x:v>
      </x:c>
      <x:c r="J724" s="13" t="n">
        <x:f>D724/F724</x:f>
        <x:v>0.7848837209302325</x:v>
      </x:c>
      <x:c r="K724" s="13" t="n">
        <x:v>0.45022145315326456</x:v>
      </x:c>
      <x:c r="L724" s="17" t="n">
        <x:v>-0.03724925804918855</x:v>
      </x:c>
      <x:c r="M724" s="17" t="n">
        <x:v>2.0705647101975835</x:v>
      </x:c>
      <x:c r="N724" s="11" t="n">
        <x:f>'Option source'!C605</x:f>
        <x:v>5949093</x:v>
      </x:c>
      <x:c r="O724" s="11" t="n">
        <x:f>'Option source'!G605</x:f>
        <x:v>13</x:v>
      </x:c>
      <x:c r="P724" s="11" t="n">
        <x:f>'Option source'!F605</x:f>
        <x:v>19.97</x:v>
      </x:c>
      <x:c r="Q724" s="1" t="str">
        <x:v>Screen passed; indicative</x:v>
      </x:c>
      <x:c r="R724" s="1" t="n">
        <x:v>600</x:v>
      </x:c>
    </x:row>
    <x:row r="725" ht="21" customHeight="1">
      <x:c r="A725" s="12" t="n">
        <x:v>46261</x:v>
      </x:c>
      <x:c r="B725" s="1" t="str">
        <x:v>GFGC5200OC</x:v>
      </x:c>
      <x:c r="C725" s="1" t="str">
        <x:v>call</x:v>
      </x:c>
      <x:c r="D725" s="11" t="n">
        <x:v>5200</x:v>
      </x:c>
      <x:c r="E725" s="11" t="n">
        <x:f>'Option source'!B102</x:f>
        <x:v>1861.9</x:v>
      </x:c>
      <x:c r="F725" s="11" t="n">
        <x:v>6880</x:v>
      </x:c>
      <x:c r="G725" s="18" t="n">
        <x:v>50</x:v>
      </x:c>
      <x:c r="H725" s="11" t="n">
        <x:f>MAX(IF(C725="call",F725-D725,D725-F725),0)</x:f>
        <x:v>1680</x:v>
      </x:c>
      <x:c r="I725" s="11" t="n">
        <x:f>E725-H725</x:f>
        <x:v>181.9000000000001</x:v>
      </x:c>
      <x:c r="J725" s="13" t="n">
        <x:f>D725/F725</x:f>
        <x:v>0.7558139534883721</x:v>
      </x:c>
      <x:c r="K725" s="13"/>
      <x:c r="L725" s="17"/>
      <x:c r="M725" s="17"/>
      <x:c r="N725" s="11" t="n">
        <x:f>'Option source'!C102</x:f>
        <x:v>11232893</x:v>
      </x:c>
      <x:c r="O725" s="11" t="n">
        <x:f>'Option source'!G102</x:f>
        <x:v>1858.73</x:v>
      </x:c>
      <x:c r="P725" s="11" t="n">
        <x:f>'Option source'!F102</x:f>
        <x:v>2040.3</x:v>
      </x:c>
      <x:c r="Q725" s="1" t="str">
        <x:v>No stable model IV</x:v>
      </x:c>
      <x:c r="R725" s="1" t="n">
        <x:v>97</x:v>
      </x:c>
    </x:row>
    <x:row r="726" ht="21" customHeight="1">
      <x:c r="A726" s="12" t="n">
        <x:v>46261</x:v>
      </x:c>
      <x:c r="B726" s="1" t="str">
        <x:v>GFGV5200OC</x:v>
      </x:c>
      <x:c r="C726" s="1" t="str">
        <x:v>put</x:v>
      </x:c>
      <x:c r="D726" s="11" t="n">
        <x:v>5200</x:v>
      </x:c>
      <x:c r="E726" s="11" t="n">
        <x:f>'Option source'!B586</x:f>
        <x:v>12.17</x:v>
      </x:c>
      <x:c r="F726" s="11" t="n">
        <x:v>6880</x:v>
      </x:c>
      <x:c r="G726" s="18" t="n">
        <x:v>50</x:v>
      </x:c>
      <x:c r="H726" s="11" t="n">
        <x:f>MAX(IF(C726="call",F726-D726,D726-F726),0)</x:f>
        <x:v>0</x:v>
      </x:c>
      <x:c r="I726" s="11" t="n">
        <x:f>E726-H726</x:f>
        <x:v>12.17</x:v>
      </x:c>
      <x:c r="J726" s="13" t="n">
        <x:f>D726/F726</x:f>
        <x:v>0.7558139534883721</x:v>
      </x:c>
      <x:c r="K726" s="13" t="n">
        <x:v>0.4618824110530233</x:v>
      </x:c>
      <x:c r="L726" s="17" t="n">
        <x:v>-0.02479170430028299</x:v>
      </x:c>
      <x:c r="M726" s="17" t="n">
        <x:v>1.4778413548371754</x:v>
      </x:c>
      <x:c r="N726" s="11" t="n">
        <x:f>'Option source'!C586</x:f>
        <x:v>1178529.12</x:v>
      </x:c>
      <x:c r="O726" s="11" t="n">
        <x:f>'Option source'!G586</x:f>
        <x:v>9</x:v>
      </x:c>
      <x:c r="P726" s="11" t="n">
        <x:f>'Option source'!F586</x:f>
        <x:v>13</x:v>
      </x:c>
      <x:c r="Q726" s="1" t="str">
        <x:v>Screen passed; indicative</x:v>
      </x:c>
      <x:c r="R726" s="1" t="n">
        <x:v>581</x:v>
      </x:c>
    </x:row>
    <x:row r="727" ht="21" customHeight="1">
      <x:c r="A727" s="12" t="n">
        <x:v>46261</x:v>
      </x:c>
      <x:c r="B727" s="1" t="str">
        <x:v>GFGC8600OC</x:v>
      </x:c>
      <x:c r="C727" s="1" t="str">
        <x:v>call</x:v>
      </x:c>
      <x:c r="D727" s="11" t="n">
        <x:v>8600</x:v>
      </x:c>
      <x:c r="E727" s="11" t="n">
        <x:f>'Option source'!B396</x:f>
        <x:v>68.22</x:v>
      </x:c>
      <x:c r="F727" s="11" t="n">
        <x:v>6880</x:v>
      </x:c>
      <x:c r="G727" s="18" t="n">
        <x:v>50</x:v>
      </x:c>
      <x:c r="H727" s="11" t="n">
        <x:f>MAX(IF(C727="call",F727-D727,D727-F727),0)</x:f>
        <x:v>0</x:v>
      </x:c>
      <x:c r="I727" s="11" t="n">
        <x:f>E727-H727</x:f>
        <x:v>68.22</x:v>
      </x:c>
      <x:c r="J727" s="13" t="n">
        <x:f>D727/F727</x:f>
        <x:v>1.25</x:v>
      </x:c>
      <x:c r="K727" s="13" t="n">
        <x:v>0.4175770717563735</x:v>
      </x:c>
      <x:c r="L727" s="17" t="n">
        <x:v>0.13552932434461976</x:v>
      </x:c>
      <x:c r="M727" s="17" t="n">
        <x:v>5.543561579310133</x:v>
      </x:c>
      <x:c r="N727" s="11" t="n">
        <x:f>'Option source'!C396</x:f>
        <x:v>113202264</x:v>
      </x:c>
      <x:c r="O727" s="11" t="n">
        <x:f>'Option source'!G396</x:f>
        <x:v>66.1</x:v>
      </x:c>
      <x:c r="P727" s="11" t="n">
        <x:f>'Option source'!F396</x:f>
        <x:v>110</x:v>
      </x:c>
      <x:c r="Q727" s="1" t="str">
        <x:v>Screen passed; indicative</x:v>
      </x:c>
      <x:c r="R727" s="1" t="n">
        <x:v>391</x:v>
      </x:c>
    </x:row>
    <x:row r="728" ht="21" customHeight="1">
      <x:c r="A728" s="12" t="n">
        <x:v>46261</x:v>
      </x:c>
      <x:c r="B728" s="1" t="str">
        <x:v>GFGV8600OC</x:v>
      </x:c>
      <x:c r="C728" s="1" t="str">
        <x:v>put</x:v>
      </x:c>
      <x:c r="D728" s="11" t="n">
        <x:v>8600</x:v>
      </x:c>
      <x:c r="E728" s="11" t="n">
        <x:f>'Option source'!B890</x:f>
        <x:v>1725</x:v>
      </x:c>
      <x:c r="F728" s="11" t="n">
        <x:v>6880</x:v>
      </x:c>
      <x:c r="G728" s="18" t="n">
        <x:v>50</x:v>
      </x:c>
      <x:c r="H728" s="11" t="n">
        <x:f>MAX(IF(C728="call",F728-D728,D728-F728),0)</x:f>
        <x:v>1720</x:v>
      </x:c>
      <x:c r="I728" s="11" t="n">
        <x:f>E728-H728</x:f>
        <x:v>5</x:v>
      </x:c>
      <x:c r="J728" s="13" t="n">
        <x:f>D728/F728</x:f>
        <x:v>1.25</x:v>
      </x:c>
      <x:c r="K728" s="13"/>
      <x:c r="L728" s="17"/>
      <x:c r="M728" s="17"/>
      <x:c r="N728" s="11" t="n">
        <x:f>'Option source'!C890</x:f>
        <x:v>4265179.5</x:v>
      </x:c>
      <x:c r="O728" s="11" t="n">
        <x:f>'Option source'!G890</x:f>
        <x:v>1515</x:v>
      </x:c>
      <x:c r="P728" s="11" t="n">
        <x:f>'Option source'!F890</x:f>
        <x:v>1722.5</x:v>
      </x:c>
      <x:c r="Q728" s="1" t="str">
        <x:v>Price outside daily range</x:v>
      </x:c>
      <x:c r="R728" s="1" t="n">
        <x:v>885</x:v>
      </x:c>
    </x:row>
    <x:row r="729" ht="21" customHeight="1">
      <x:c r="A729" s="12" t="n">
        <x:v>46261</x:v>
      </x:c>
      <x:c r="B729" s="1" t="str">
        <x:v>GFGC5000OC</x:v>
      </x:c>
      <x:c r="C729" s="1" t="str">
        <x:v>call</x:v>
      </x:c>
      <x:c r="D729" s="11" t="n">
        <x:v>5000</x:v>
      </x:c>
      <x:c r="E729" s="11" t="n">
        <x:f>'Option source'!B83</x:f>
        <x:v>2030</x:v>
      </x:c>
      <x:c r="F729" s="11" t="n">
        <x:v>6880</x:v>
      </x:c>
      <x:c r="G729" s="18" t="n">
        <x:v>50</x:v>
      </x:c>
      <x:c r="H729" s="11" t="n">
        <x:f>MAX(IF(C729="call",F729-D729,D729-F729),0)</x:f>
        <x:v>1880</x:v>
      </x:c>
      <x:c r="I729" s="11" t="n">
        <x:f>E729-H729</x:f>
        <x:v>150</x:v>
      </x:c>
      <x:c r="J729" s="13" t="n">
        <x:f>D729/F729</x:f>
        <x:v>0.7267441860465116</x:v>
      </x:c>
      <x:c r="K729" s="13"/>
      <x:c r="L729" s="17"/>
      <x:c r="M729" s="17"/>
      <x:c r="N729" s="11" t="n">
        <x:f>'Option source'!C83</x:f>
        <x:v>812264.19</x:v>
      </x:c>
      <x:c r="O729" s="11" t="n">
        <x:f>'Option source'!G83</x:f>
        <x:v>2031.32</x:v>
      </x:c>
      <x:c r="P729" s="11" t="n">
        <x:f>'Option source'!F83</x:f>
        <x:v>2031.32</x:v>
      </x:c>
      <x:c r="Q729" s="1" t="str">
        <x:v>Price outside daily range</x:v>
      </x:c>
      <x:c r="R729" s="1" t="n">
        <x:v>78</x:v>
      </x:c>
    </x:row>
    <x:row r="730" ht="21" customHeight="1">
      <x:c r="A730" s="12" t="n">
        <x:v>46261</x:v>
      </x:c>
      <x:c r="B730" s="1" t="str">
        <x:v>GFGV5000OC</x:v>
      </x:c>
      <x:c r="C730" s="1" t="str">
        <x:v>put</x:v>
      </x:c>
      <x:c r="D730" s="11" t="n">
        <x:v>5000</x:v>
      </x:c>
      <x:c r="E730" s="11" t="n">
        <x:f>'Option source'!B567</x:f>
        <x:v>7.94</x:v>
      </x:c>
      <x:c r="F730" s="11" t="n">
        <x:v>6880</x:v>
      </x:c>
      <x:c r="G730" s="18" t="n">
        <x:v>50</x:v>
      </x:c>
      <x:c r="H730" s="11" t="n">
        <x:f>MAX(IF(C730="call",F730-D730,D730-F730),0)</x:f>
        <x:v>0</x:v>
      </x:c>
      <x:c r="I730" s="11" t="n">
        <x:f>E730-H730</x:f>
        <x:v>7.94</x:v>
      </x:c>
      <x:c r="J730" s="13" t="n">
        <x:f>D730/F730</x:f>
        <x:v>0.7267441860465116</x:v>
      </x:c>
      <x:c r="K730" s="13" t="n">
        <x:v>0.4769604787298566</x:v>
      </x:c>
      <x:c r="L730" s="17" t="n">
        <x:v>-0.01662156756843336</x:v>
      </x:c>
      <x:c r="M730" s="17" t="n">
        <x:v>1.0530821065365794</x:v>
      </x:c>
      <x:c r="N730" s="11" t="n">
        <x:f>'Option source'!C567</x:f>
        <x:v>7357288.5</x:v>
      </x:c>
      <x:c r="O730" s="11" t="n">
        <x:f>'Option source'!G567</x:f>
        <x:v>5</x:v>
      </x:c>
      <x:c r="P730" s="11" t="n">
        <x:f>'Option source'!F567</x:f>
        <x:v>10</x:v>
      </x:c>
      <x:c r="Q730" s="1" t="str">
        <x:v>Screen passed; indicative</x:v>
      </x:c>
      <x:c r="R730" s="1" t="n">
        <x:v>562</x:v>
      </x:c>
    </x:row>
    <x:row r="731" ht="21" customHeight="1">
      <x:c r="A731" s="12" t="n">
        <x:v>46261</x:v>
      </x:c>
      <x:c r="B731" s="1" t="str">
        <x:v>GFGC8900OC</x:v>
      </x:c>
      <x:c r="C731" s="1" t="str">
        <x:v>call</x:v>
      </x:c>
      <x:c r="D731" s="11" t="n">
        <x:v>8900</x:v>
      </x:c>
      <x:c r="E731" s="11" t="n">
        <x:f>'Option source'!B415</x:f>
        <x:v>45.5</x:v>
      </x:c>
      <x:c r="F731" s="11" t="n">
        <x:v>6880</x:v>
      </x:c>
      <x:c r="G731" s="18" t="n">
        <x:v>50</x:v>
      </x:c>
      <x:c r="H731" s="11" t="n">
        <x:f>MAX(IF(C731="call",F731-D731,D731-F731),0)</x:f>
        <x:v>0</x:v>
      </x:c>
      <x:c r="I731" s="11" t="n">
        <x:f>E731-H731</x:f>
        <x:v>45.5</x:v>
      </x:c>
      <x:c r="J731" s="13" t="n">
        <x:f>D731/F731</x:f>
        <x:v>1.2936046511627908</x:v>
      </x:c>
      <x:c r="K731" s="13" t="n">
        <x:v>0.4225358500349182</x:v>
      </x:c>
      <x:c r="L731" s="17" t="n">
        <x:v>0.09592196176795396</x:v>
      </x:c>
      <x:c r="M731" s="17" t="n">
        <x:v>4.3345942598740335</x:v>
      </x:c>
      <x:c r="N731" s="11" t="n">
        <x:f>'Option source'!C415</x:f>
        <x:v>19775222</x:v>
      </x:c>
      <x:c r="O731" s="11" t="n">
        <x:f>'Option source'!G415</x:f>
        <x:v>44</x:v>
      </x:c>
      <x:c r="P731" s="11" t="n">
        <x:f>'Option source'!F415</x:f>
        <x:v>69</x:v>
      </x:c>
      <x:c r="Q731" s="1" t="str">
        <x:v>Screen passed; indicative</x:v>
      </x:c>
      <x:c r="R731" s="1" t="n">
        <x:v>410</x:v>
      </x:c>
    </x:row>
    <x:row r="732" ht="21" customHeight="1">
      <x:c r="A732" s="12" t="n">
        <x:v>46261</x:v>
      </x:c>
      <x:c r="B732" s="1" t="str">
        <x:v>GFGV8900OC</x:v>
      </x:c>
      <x:c r="C732" s="1" t="str">
        <x:v>put</x:v>
      </x:c>
      <x:c r="D732" s="11" t="n">
        <x:v>8900</x:v>
      </x:c>
      <x:c r="E732" s="11" t="n">
        <x:f>'Option source'!B905</x:f>
        <x:v>2022.5</x:v>
      </x:c>
      <x:c r="F732" s="11" t="n">
        <x:v>6880</x:v>
      </x:c>
      <x:c r="G732" s="18" t="n">
        <x:v>50</x:v>
      </x:c>
      <x:c r="H732" s="11" t="n">
        <x:f>MAX(IF(C732="call",F732-D732,D732-F732),0)</x:f>
        <x:v>2020</x:v>
      </x:c>
      <x:c r="I732" s="11" t="n">
        <x:f>E732-H732</x:f>
        <x:v>2.5</x:v>
      </x:c>
      <x:c r="J732" s="13" t="n">
        <x:f>D732/F732</x:f>
        <x:v>1.2936046511627908</x:v>
      </x:c>
      <x:c r="K732" s="13" t="n">
        <x:v>0.6168129727332852</x:v>
      </x:c>
      <x:c r="L732" s="17" t="n">
        <x:v>-0.7977136197777203</x:v>
      </x:c>
      <x:c r="M732" s="17" t="n">
        <x:v>7.177718982765548</x:v>
      </x:c>
      <x:c r="N732" s="11" t="n">
        <x:f>'Option source'!C905</x:f>
        <x:v>2430033.5</x:v>
      </x:c>
      <x:c r="O732" s="11" t="n">
        <x:f>'Option source'!G905</x:f>
        <x:v>2022.5</x:v>
      </x:c>
      <x:c r="P732" s="11" t="n">
        <x:f>'Option source'!F905</x:f>
        <x:v>2037.67</x:v>
      </x:c>
      <x:c r="Q732" s="1" t="str">
        <x:v>Screen passed; indicative</x:v>
      </x:c>
      <x:c r="R732" s="1" t="n">
        <x:v>900</x:v>
      </x:c>
    </x:row>
    <x:row r="733" ht="21" customHeight="1">
      <x:c r="A733" s="12" t="n">
        <x:v>46261</x:v>
      </x:c>
      <x:c r="B733" s="1" t="str">
        <x:v>GFGC4800OC</x:v>
      </x:c>
      <x:c r="C733" s="1" t="str">
        <x:v>call</x:v>
      </x:c>
      <x:c r="D733" s="11" t="n">
        <x:v>4800</x:v>
      </x:c>
      <x:c r="E733" s="11" t="n">
        <x:f>'Option source'!B66</x:f>
        <x:v>2186.6</x:v>
      </x:c>
      <x:c r="F733" s="11" t="n">
        <x:v>6880</x:v>
      </x:c>
      <x:c r="G733" s="18" t="n">
        <x:v>50</x:v>
      </x:c>
      <x:c r="H733" s="11" t="n">
        <x:f>MAX(IF(C733="call",F733-D733,D733-F733),0)</x:f>
        <x:v>2080</x:v>
      </x:c>
      <x:c r="I733" s="11" t="n">
        <x:f>E733-H733</x:f>
        <x:v>106.59999999999991</x:v>
      </x:c>
      <x:c r="J733" s="13" t="n">
        <x:f>D733/F733</x:f>
        <x:v>0.6976744186046512</x:v>
      </x:c>
      <x:c r="K733" s="13"/>
      <x:c r="L733" s="17"/>
      <x:c r="M733" s="17"/>
      <x:c r="N733" s="11" t="n">
        <x:f>'Option source'!C66</x:f>
        <x:v>692810.38</x:v>
      </x:c>
      <x:c r="O733" s="11" t="n">
        <x:f>'Option source'!G66</x:f>
        <x:v>2370.75</x:v>
      </x:c>
      <x:c r="P733" s="11" t="n">
        <x:f>'Option source'!F66</x:f>
        <x:v>2370.75</x:v>
      </x:c>
      <x:c r="Q733" s="1" t="str">
        <x:v>Price outside daily range</x:v>
      </x:c>
      <x:c r="R733" s="1" t="n">
        <x:v>61</x:v>
      </x:c>
    </x:row>
    <x:row r="734" ht="21" customHeight="1">
      <x:c r="A734" s="12" t="n">
        <x:v>46261</x:v>
      </x:c>
      <x:c r="B734" s="1" t="str">
        <x:v>GFGV4800OC</x:v>
      </x:c>
      <x:c r="C734" s="1" t="str">
        <x:v>put</x:v>
      </x:c>
      <x:c r="D734" s="11" t="n">
        <x:v>4800</x:v>
      </x:c>
      <x:c r="E734" s="11" t="n">
        <x:f>'Option source'!B548</x:f>
        <x:v>5.67</x:v>
      </x:c>
      <x:c r="F734" s="11" t="n">
        <x:v>6880</x:v>
      </x:c>
      <x:c r="G734" s="18" t="n">
        <x:v>50</x:v>
      </x:c>
      <x:c r="H734" s="11" t="n">
        <x:f>MAX(IF(C734="call",F734-D734,D734-F734),0)</x:f>
        <x:v>0</x:v>
      </x:c>
      <x:c r="I734" s="11" t="n">
        <x:f>E734-H734</x:f>
        <x:v>5.67</x:v>
      </x:c>
      <x:c r="J734" s="13" t="n">
        <x:f>D734/F734</x:f>
        <x:v>0.6976744186046512</x:v>
      </x:c>
      <x:c r="K734" s="13" t="n">
        <x:v>0.4994170494421354</x:v>
      </x:c>
      <x:c r="L734" s="17" t="n">
        <x:v>-0.011837312561539193</x:v>
      </x:c>
      <x:c r="M734" s="17" t="n">
        <x:v>0.7859765499233666</x:v>
      </x:c>
      <x:c r="N734" s="11" t="n">
        <x:f>'Option source'!C548</x:f>
        <x:v>317883</x:v>
      </x:c>
      <x:c r="O734" s="11" t="n">
        <x:f>'Option source'!G548</x:f>
        <x:v>3.81</x:v>
      </x:c>
      <x:c r="P734" s="11" t="n">
        <x:f>'Option source'!F548</x:f>
        <x:v>6.35</x:v>
      </x:c>
      <x:c r="Q734" s="1" t="str">
        <x:v>Screen passed; indicative</x:v>
      </x:c>
      <x:c r="R734" s="1" t="n">
        <x:v>543</x:v>
      </x:c>
    </x:row>
    <x:row r="735" ht="21" customHeight="1">
      <x:c r="A735" s="12" t="n">
        <x:v>46261</x:v>
      </x:c>
      <x:c r="B735" s="1" t="str">
        <x:v>GFGC4600OC</x:v>
      </x:c>
      <x:c r="C735" s="1" t="str">
        <x:v>call</x:v>
      </x:c>
      <x:c r="D735" s="11" t="n">
        <x:v>4600</x:v>
      </x:c>
      <x:c r="E735" s="11" t="n">
        <x:f>'Option source'!B49</x:f>
        <x:v>2400.31</x:v>
      </x:c>
      <x:c r="F735" s="11" t="n">
        <x:v>6880</x:v>
      </x:c>
      <x:c r="G735" s="18" t="n">
        <x:v>50</x:v>
      </x:c>
      <x:c r="H735" s="11" t="n">
        <x:f>MAX(IF(C735="call",F735-D735,D735-F735),0)</x:f>
        <x:v>2280</x:v>
      </x:c>
      <x:c r="I735" s="11" t="n">
        <x:f>E735-H735</x:f>
        <x:v>120.30999999999995</x:v>
      </x:c>
      <x:c r="J735" s="13" t="n">
        <x:f>D735/F735</x:f>
        <x:v>0.6686046511627907</x:v>
      </x:c>
      <x:c r="K735" s="13"/>
      <x:c r="L735" s="17"/>
      <x:c r="M735" s="17"/>
      <x:c r="N735" s="11" t="n">
        <x:f>'Option source'!C49</x:f>
        <x:v>240031</x:v>
      </x:c>
      <x:c r="O735" s="11" t="n">
        <x:f>'Option source'!G49</x:f>
        <x:v>0</x:v>
      </x:c>
      <x:c r="P735" s="11" t="n">
        <x:f>'Option source'!F49</x:f>
        <x:v>0</x:v>
      </x:c>
      <x:c r="Q735" s="1" t="str">
        <x:v>Price outside daily range</x:v>
      </x:c>
      <x:c r="R735" s="1" t="n">
        <x:v>44</x:v>
      </x:c>
    </x:row>
    <x:row r="736" ht="21" customHeight="1">
      <x:c r="A736" s="12" t="n">
        <x:v>46261</x:v>
      </x:c>
      <x:c r="B736" s="1" t="str">
        <x:v>GFGV4600OC</x:v>
      </x:c>
      <x:c r="C736" s="1" t="str">
        <x:v>put</x:v>
      </x:c>
      <x:c r="D736" s="11" t="n">
        <x:v>4600</x:v>
      </x:c>
      <x:c r="E736" s="11" t="n">
        <x:f>'Option source'!B529</x:f>
        <x:v>4.04</x:v>
      </x:c>
      <x:c r="F736" s="11" t="n">
        <x:v>6880</x:v>
      </x:c>
      <x:c r="G736" s="18" t="n">
        <x:v>50</x:v>
      </x:c>
      <x:c r="H736" s="11" t="n">
        <x:f>MAX(IF(C736="call",F736-D736,D736-F736),0)</x:f>
        <x:v>0</x:v>
      </x:c>
      <x:c r="I736" s="11" t="n">
        <x:f>E736-H736</x:f>
        <x:v>4.04</x:v>
      </x:c>
      <x:c r="J736" s="13" t="n">
        <x:f>D736/F736</x:f>
        <x:v>0.6686046511627907</x:v>
      </x:c>
      <x:c r="K736" s="13" t="n">
        <x:v>0.5223538177753033</x:v>
      </x:c>
      <x:c r="L736" s="17" t="n">
        <x:v>-0.008390576860277887</x:v>
      </x:c>
      <x:c r="M736" s="17" t="n">
        <x:v>0.5820312169144848</x:v>
      </x:c>
      <x:c r="N736" s="11" t="n">
        <x:f>'Option source'!C529</x:f>
        <x:v>791611.81</x:v>
      </x:c>
      <x:c r="O736" s="11" t="n">
        <x:f>'Option source'!G529</x:f>
        <x:v>2</x:v>
      </x:c>
      <x:c r="P736" s="11" t="n">
        <x:f>'Option source'!F529</x:f>
        <x:v>4.9</x:v>
      </x:c>
      <x:c r="Q736" s="1" t="str">
        <x:v>Screen passed; indicative</x:v>
      </x:c>
      <x:c r="R736" s="1" t="n">
        <x:v>524</x:v>
      </x:c>
    </x:row>
    <x:row r="737" ht="21" customHeight="1">
      <x:c r="A737" s="12" t="n">
        <x:v>46261</x:v>
      </x:c>
      <x:c r="B737" s="1" t="str">
        <x:v>GFGC9200OC</x:v>
      </x:c>
      <x:c r="C737" s="1" t="str">
        <x:v>call</x:v>
      </x:c>
      <x:c r="D737" s="11" t="n">
        <x:v>9200</x:v>
      </x:c>
      <x:c r="E737" s="11" t="n">
        <x:f>'Option source'!B434</x:f>
        <x:v>30.1</x:v>
      </x:c>
      <x:c r="F737" s="11" t="n">
        <x:v>6880</x:v>
      </x:c>
      <x:c r="G737" s="18" t="n">
        <x:v>50</x:v>
      </x:c>
      <x:c r="H737" s="11" t="n">
        <x:f>MAX(IF(C737="call",F737-D737,D737-F737),0)</x:f>
        <x:v>0</x:v>
      </x:c>
      <x:c r="I737" s="11" t="n">
        <x:f>E737-H737</x:f>
        <x:v>30.1</x:v>
      </x:c>
      <x:c r="J737" s="13" t="n">
        <x:f>D737/F737</x:f>
        <x:v>1.3372093023255813</x:v>
      </x:c>
      <x:c r="K737" s="13" t="n">
        <x:v>0.4272036104415571</x:v>
      </x:c>
      <x:c r="L737" s="17" t="n">
        <x:v>0.06695804017498003</x:v>
      </x:c>
      <x:c r="M737" s="17" t="n">
        <x:v>3.3037981738193256</x:v>
      </x:c>
      <x:c r="N737" s="11" t="n">
        <x:f>'Option source'!C434</x:f>
        <x:v>12357319</x:v>
      </x:c>
      <x:c r="O737" s="11" t="n">
        <x:f>'Option source'!G434</x:f>
        <x:v>29.85</x:v>
      </x:c>
      <x:c r="P737" s="11" t="n">
        <x:f>'Option source'!F434</x:f>
        <x:v>49.5</x:v>
      </x:c>
      <x:c r="Q737" s="1" t="str">
        <x:v>Screen passed; indicative</x:v>
      </x:c>
      <x:c r="R737" s="1" t="n">
        <x:v>429</x:v>
      </x:c>
    </x:row>
    <x:row r="738" ht="21" customHeight="1">
      <x:c r="A738" s="12" t="n">
        <x:v>46261</x:v>
      </x:c>
      <x:c r="B738" s="1" t="str">
        <x:v>GFGC4400OC</x:v>
      </x:c>
      <x:c r="C738" s="1" t="str">
        <x:v>call</x:v>
      </x:c>
      <x:c r="D738" s="11" t="n">
        <x:v>4400</x:v>
      </x:c>
      <x:c r="E738" s="11" t="n">
        <x:f>'Option source'!B30</x:f>
        <x:v>2387.12</x:v>
      </x:c>
      <x:c r="F738" s="11" t="n">
        <x:v>6880</x:v>
      </x:c>
      <x:c r="G738" s="18" t="n">
        <x:v>50</x:v>
      </x:c>
      <x:c r="H738" s="11" t="n">
        <x:f>MAX(IF(C738="call",F738-D738,D738-F738),0)</x:f>
        <x:v>2480</x:v>
      </x:c>
      <x:c r="I738" s="11" t="n">
        <x:f>E738-H738</x:f>
        <x:v>-92.88000000000011</x:v>
      </x:c>
      <x:c r="J738" s="13" t="n">
        <x:f>D738/F738</x:f>
        <x:v>0.6395348837209303</x:v>
      </x:c>
      <x:c r="K738" s="13"/>
      <x:c r="L738" s="17"/>
      <x:c r="M738" s="17"/>
      <x:c r="N738" s="11" t="n">
        <x:f>'Option source'!C30</x:f>
        <x:v>0</x:v>
      </x:c>
      <x:c r="O738" s="11" t="n">
        <x:f>'Option source'!G30</x:f>
        <x:v>2366.48</x:v>
      </x:c>
      <x:c r="P738" s="11" t="n">
        <x:f>'Option source'!F30</x:f>
        <x:v>2376.5</x:v>
      </x:c>
      <x:c r="Q738" s="1" t="str">
        <x:v>Zero reported volume; Price outside daily range; Below intrinsic value</x:v>
      </x:c>
      <x:c r="R738" s="1" t="n">
        <x:v>25</x:v>
      </x:c>
    </x:row>
    <x:row r="739" ht="21" customHeight="1">
      <x:c r="A739" s="12" t="n">
        <x:v>46261</x:v>
      </x:c>
      <x:c r="B739" s="1" t="str">
        <x:v>GFGV4400OC</x:v>
      </x:c>
      <x:c r="C739" s="1" t="str">
        <x:v>put</x:v>
      </x:c>
      <x:c r="D739" s="11" t="n">
        <x:v>4400</x:v>
      </x:c>
      <x:c r="E739" s="11" t="n">
        <x:f>'Option source'!B510</x:f>
        <x:v>3.03</x:v>
      </x:c>
      <x:c r="F739" s="11" t="n">
        <x:v>6880</x:v>
      </x:c>
      <x:c r="G739" s="18" t="n">
        <x:v>50</x:v>
      </x:c>
      <x:c r="H739" s="11" t="n">
        <x:f>MAX(IF(C739="call",F739-D739,D739-F739),0)</x:f>
        <x:v>0</x:v>
      </x:c>
      <x:c r="I739" s="11" t="n">
        <x:f>E739-H739</x:f>
        <x:v>3.03</x:v>
      </x:c>
      <x:c r="J739" s="13" t="n">
        <x:f>D739/F739</x:f>
        <x:v>0.6395348837209303</x:v>
      </x:c>
      <x:c r="K739" s="13" t="n">
        <x:v>0.5494250260676818</x:v>
      </x:c>
      <x:c r="L739" s="17" t="n">
        <x:v>-0.006174621966232197</x:v>
      </x:c>
      <x:c r="M739" s="17" t="n">
        <x:v>0.4441092812103109</x:v>
      </x:c>
      <x:c r="N739" s="11" t="n">
        <x:f>'Option source'!C510</x:f>
        <x:v>736744.38</x:v>
      </x:c>
      <x:c r="O739" s="11" t="n">
        <x:f>'Option source'!G510</x:f>
        <x:v>1.1</x:v>
      </x:c>
      <x:c r="P739" s="11" t="n">
        <x:f>'Option source'!F510</x:f>
        <x:v>3.8</x:v>
      </x:c>
      <x:c r="Q739" s="1" t="str">
        <x:v>Screen passed; indicative</x:v>
      </x:c>
      <x:c r="R739" s="1" t="n">
        <x:v>505</x:v>
      </x:c>
    </x:row>
    <x:row r="740" ht="21" customHeight="1">
      <x:c r="A740" s="12" t="n">
        <x:v>46261</x:v>
      </x:c>
      <x:c r="B740" s="1" t="str">
        <x:v>GFGC9500OC</x:v>
      </x:c>
      <x:c r="C740" s="1" t="str">
        <x:v>call</x:v>
      </x:c>
      <x:c r="D740" s="11" t="n">
        <x:v>9500</x:v>
      </x:c>
      <x:c r="E740" s="11" t="n">
        <x:f>'Option source'!B453</x:f>
        <x:v>19.97</x:v>
      </x:c>
      <x:c r="F740" s="11" t="n">
        <x:v>6880</x:v>
      </x:c>
      <x:c r="G740" s="18" t="n">
        <x:v>50</x:v>
      </x:c>
      <x:c r="H740" s="11" t="n">
        <x:f>MAX(IF(C740="call",F740-D740,D740-F740),0)</x:f>
        <x:v>0</x:v>
      </x:c>
      <x:c r="I740" s="11" t="n">
        <x:f>E740-H740</x:f>
        <x:v>19.97</x:v>
      </x:c>
      <x:c r="J740" s="13" t="n">
        <x:f>D740/F740</x:f>
        <x:v>1.380813953488372</x:v>
      </x:c>
      <x:c r="K740" s="13" t="n">
        <x:v>0.4323682687310254</x:v>
      </x:c>
      <x:c r="L740" s="17" t="n">
        <x:v>0.04652233920757731</x:v>
      </x:c>
      <x:c r="M740" s="17" t="n">
        <x:v>2.4790663072862578</x:v>
      </x:c>
      <x:c r="N740" s="11" t="n">
        <x:f>'Option source'!C453</x:f>
        <x:v>6997222.5</x:v>
      </x:c>
      <x:c r="O740" s="11" t="n">
        <x:f>'Option source'!G453</x:f>
        <x:v>19.04</x:v>
      </x:c>
      <x:c r="P740" s="11" t="n">
        <x:f>'Option source'!F453</x:f>
        <x:v>30</x:v>
      </x:c>
      <x:c r="Q740" s="1" t="str">
        <x:v>Screen passed; indicative</x:v>
      </x:c>
      <x:c r="R740" s="1" t="n">
        <x:v>448</x:v>
      </x:c>
    </x:row>
    <x:row r="741" ht="21" customHeight="1">
      <x:c r="A741" s="12" t="n">
        <x:v>46261</x:v>
      </x:c>
      <x:c r="B741" s="1" t="str">
        <x:v>GFGC4200OC</x:v>
      </x:c>
      <x:c r="C741" s="1" t="str">
        <x:v>call</x:v>
      </x:c>
      <x:c r="D741" s="11" t="n">
        <x:v>4200</x:v>
      </x:c>
      <x:c r="E741" s="11" t="n">
        <x:f>'Option source'!B11</x:f>
        <x:v>2815</x:v>
      </x:c>
      <x:c r="F741" s="11" t="n">
        <x:v>6880</x:v>
      </x:c>
      <x:c r="G741" s="18" t="n">
        <x:v>50</x:v>
      </x:c>
      <x:c r="H741" s="11" t="n">
        <x:f>MAX(IF(C741="call",F741-D741,D741-F741),0)</x:f>
        <x:v>2680</x:v>
      </x:c>
      <x:c r="I741" s="11" t="n">
        <x:f>E741-H741</x:f>
        <x:v>135</x:v>
      </x:c>
      <x:c r="J741" s="13" t="n">
        <x:f>D741/F741</x:f>
        <x:v>0.6104651162790697</x:v>
      </x:c>
      <x:c r="K741" s="13"/>
      <x:c r="L741" s="17"/>
      <x:c r="M741" s="17"/>
      <x:c r="N741" s="11" t="n">
        <x:f>'Option source'!C11</x:f>
        <x:v>3711634</x:v>
      </x:c>
      <x:c r="O741" s="11" t="n">
        <x:f>'Option source'!G11</x:f>
        <x:v>2777.9</x:v>
      </x:c>
      <x:c r="P741" s="11" t="n">
        <x:f>'Option source'!F11</x:f>
        <x:v>2957.26</x:v>
      </x:c>
      <x:c r="Q741" s="1" t="str">
        <x:v>No stable model IV</x:v>
      </x:c>
      <x:c r="R741" s="1" t="n">
        <x:v>6</x:v>
      </x:c>
    </x:row>
    <x:row r="742" ht="21" customHeight="1">
      <x:c r="A742" s="12" t="n">
        <x:v>46261</x:v>
      </x:c>
      <x:c r="B742" s="1" t="str">
        <x:v>GFGV4200OC</x:v>
      </x:c>
      <x:c r="C742" s="1" t="str">
        <x:v>put</x:v>
      </x:c>
      <x:c r="D742" s="11" t="n">
        <x:v>4200</x:v>
      </x:c>
      <x:c r="E742" s="11" t="n">
        <x:f>'Option source'!B491</x:f>
        <x:v>2.86</x:v>
      </x:c>
      <x:c r="F742" s="11" t="n">
        <x:v>6880</x:v>
      </x:c>
      <x:c r="G742" s="18" t="n">
        <x:v>50</x:v>
      </x:c>
      <x:c r="H742" s="11" t="n">
        <x:f>MAX(IF(C742="call",F742-D742,D742-F742),0)</x:f>
        <x:v>0</x:v>
      </x:c>
      <x:c r="I742" s="11" t="n">
        <x:f>E742-H742</x:f>
        <x:v>2.86</x:v>
      </x:c>
      <x:c r="J742" s="13" t="n">
        <x:f>D742/F742</x:f>
        <x:v>0.6104651162790697</x:v>
      </x:c>
      <x:c r="K742" s="13" t="n">
        <x:v>0.5937696983866074</x:v>
      </x:c>
      <x:c r="L742" s="17" t="n">
        <x:v>-0.005501117101572528</x:v>
      </x:c>
      <x:c r="M742" s="17" t="n">
        <x:v>0.4008571478450864</x:v>
      </x:c>
      <x:c r="N742" s="11" t="n">
        <x:f>'Option source'!C491</x:f>
        <x:v>364776.19</x:v>
      </x:c>
      <x:c r="O742" s="11" t="n">
        <x:f>'Option source'!G491</x:f>
        <x:v>1.7</x:v>
      </x:c>
      <x:c r="P742" s="11" t="n">
        <x:f>'Option source'!F491</x:f>
        <x:v>3.2</x:v>
      </x:c>
      <x:c r="Q742" s="1" t="str">
        <x:v>Screen passed; indicative</x:v>
      </x:c>
      <x:c r="R742" s="1" t="n">
        <x:v>486</x:v>
      </x:c>
    </x:row>
    <x:row r="743" ht="21" customHeight="1">
      <x:c r="A743" s="12" t="n">
        <x:v>46261</x:v>
      </x:c>
      <x:c r="B743" s="1" t="str">
        <x:v>GFGC9900OC</x:v>
      </x:c>
      <x:c r="C743" s="1" t="str">
        <x:v>call</x:v>
      </x:c>
      <x:c r="D743" s="11" t="n">
        <x:v>9900</x:v>
      </x:c>
      <x:c r="E743" s="11" t="n">
        <x:f>'Option source'!B472</x:f>
        <x:v>12.25</x:v>
      </x:c>
      <x:c r="F743" s="11" t="n">
        <x:v>6880</x:v>
      </x:c>
      <x:c r="G743" s="18" t="n">
        <x:v>50</x:v>
      </x:c>
      <x:c r="H743" s="11" t="n">
        <x:f>MAX(IF(C743="call",F743-D743,D743-F743),0)</x:f>
        <x:v>0</x:v>
      </x:c>
      <x:c r="I743" s="11" t="n">
        <x:f>E743-H743</x:f>
        <x:v>12.25</x:v>
      </x:c>
      <x:c r="J743" s="13" t="n">
        <x:f>D743/F743</x:f>
        <x:v>1.438953488372093</x:v>
      </x:c>
      <x:c r="K743" s="13" t="n">
        <x:v>0.44330522006330675</x:v>
      </x:c>
      <x:c r="L743" s="17" t="n">
        <x:v>0.02968230355859313</x:v>
      </x:c>
      <x:c r="M743" s="17" t="n">
        <x:v>1.7173875360670294</x:v>
      </x:c>
      <x:c r="N743" s="11" t="n">
        <x:f>'Option source'!C472</x:f>
        <x:v>1504077.38</x:v>
      </x:c>
      <x:c r="O743" s="11" t="n">
        <x:f>'Option source'!G472</x:f>
        <x:v>11.56</x:v>
      </x:c>
      <x:c r="P743" s="11" t="n">
        <x:f>'Option source'!F472</x:f>
        <x:v>18.67</x:v>
      </x:c>
      <x:c r="Q743" s="1" t="str">
        <x:v>Screen passed; indicative</x:v>
      </x:c>
      <x:c r="R743" s="1" t="n">
        <x:v>467</x:v>
      </x:c>
    </x:row>
    <x:row r="744" ht="21" customHeight="1">
      <x:c r="A744" s="12" t="n">
        <x:v>46260</x:v>
      </x:c>
      <x:c r="B744" s="1" t="str">
        <x:v>GFGC7000OC</x:v>
      </x:c>
      <x:c r="C744" s="1" t="str">
        <x:v>call</x:v>
      </x:c>
      <x:c r="D744" s="11" t="n">
        <x:v>7000</x:v>
      </x:c>
      <x:c r="E744" s="11" t="n">
        <x:f>'Option source'!B262</x:f>
        <x:v>565.7</x:v>
      </x:c>
      <x:c r="F744" s="11" t="n">
        <x:v>7045</x:v>
      </x:c>
      <x:c r="G744" s="18" t="n">
        <x:v>51</x:v>
      </x:c>
      <x:c r="H744" s="11" t="n">
        <x:f>MAX(IF(C744="call",F744-D744,D744-F744),0)</x:f>
        <x:v>45</x:v>
      </x:c>
      <x:c r="I744" s="11" t="n">
        <x:f>E744-H744</x:f>
        <x:v>520.7</x:v>
      </x:c>
      <x:c r="J744" s="13" t="n">
        <x:f>D744/F744</x:f>
        <x:v>0.99361249112846</x:v>
      </x:c>
      <x:c r="K744" s="13" t="n">
        <x:v>0.36729782545888545</x:v>
      </x:c>
      <x:c r="L744" s="17" t="n">
        <x:v>0.6629877888299772</x:v>
      </x:c>
      <x:c r="M744" s="17" t="n">
        <x:v>9.616338223799884</x:v>
      </x:c>
      <x:c r="N744" s="11" t="n">
        <x:f>'Option source'!C262</x:f>
        <x:v>228865776</x:v>
      </x:c>
      <x:c r="O744" s="11" t="n">
        <x:f>'Option source'!G262</x:f>
        <x:v>555</x:v>
      </x:c>
      <x:c r="P744" s="11" t="n">
        <x:f>'Option source'!F262</x:f>
        <x:v>800</x:v>
      </x:c>
      <x:c r="Q744" s="1" t="str">
        <x:v>Screen passed; indicative</x:v>
      </x:c>
      <x:c r="R744" s="1" t="n">
        <x:v>257</x:v>
      </x:c>
    </x:row>
    <x:row r="745" ht="21" customHeight="1">
      <x:c r="A745" s="12" t="n">
        <x:v>46260</x:v>
      </x:c>
      <x:c r="B745" s="1" t="str">
        <x:v>GFGV7000OC</x:v>
      </x:c>
      <x:c r="C745" s="1" t="str">
        <x:v>put</x:v>
      </x:c>
      <x:c r="D745" s="11" t="n">
        <x:v>7000</x:v>
      </x:c>
      <x:c r="E745" s="11" t="n">
        <x:f>'Option source'!B756</x:f>
        <x:v>344.64</x:v>
      </x:c>
      <x:c r="F745" s="11" t="n">
        <x:v>7045</x:v>
      </x:c>
      <x:c r="G745" s="18" t="n">
        <x:v>51</x:v>
      </x:c>
      <x:c r="H745" s="11" t="n">
        <x:f>MAX(IF(C745="call",F745-D745,D745-F745),0)</x:f>
        <x:v>0</x:v>
      </x:c>
      <x:c r="I745" s="11" t="n">
        <x:f>E745-H745</x:f>
        <x:v>344.64</x:v>
      </x:c>
      <x:c r="J745" s="13" t="n">
        <x:f>D745/F745</x:f>
        <x:v>0.99361249112846</x:v>
      </x:c>
      <x:c r="K745" s="13" t="n">
        <x:v>0.4530112187286923</x:v>
      </x:c>
      <x:c r="L745" s="17" t="n">
        <x:v>-0.35567154011521485</x:v>
      </x:c>
      <x:c r="M745" s="17" t="n">
        <x:v>9.810559178544816</x:v>
      </x:c>
      <x:c r="N745" s="11" t="n">
        <x:f>'Option source'!C756</x:f>
        <x:v>112670816</x:v>
      </x:c>
      <x:c r="O745" s="11" t="n">
        <x:f>'Option source'!G756</x:f>
        <x:v>280</x:v>
      </x:c>
      <x:c r="P745" s="11" t="n">
        <x:f>'Option source'!F756</x:f>
        <x:v>370</x:v>
      </x:c>
      <x:c r="Q745" s="1" t="str">
        <x:v>Screen passed; indicative</x:v>
      </x:c>
      <x:c r="R745" s="1" t="n">
        <x:v>751</x:v>
      </x:c>
    </x:row>
    <x:row r="746" ht="21" customHeight="1">
      <x:c r="A746" s="12" t="n">
        <x:v>46260</x:v>
      </x:c>
      <x:c r="B746" s="1" t="str">
        <x:v>GFGC7200OC</x:v>
      </x:c>
      <x:c r="C746" s="1" t="str">
        <x:v>call</x:v>
      </x:c>
      <x:c r="D746" s="11" t="n">
        <x:v>7200</x:v>
      </x:c>
      <x:c r="E746" s="11" t="n">
        <x:f>'Option source'!B281</x:f>
        <x:v>475.76</x:v>
      </x:c>
      <x:c r="F746" s="11" t="n">
        <x:v>7045</x:v>
      </x:c>
      <x:c r="G746" s="18" t="n">
        <x:v>51</x:v>
      </x:c>
      <x:c r="H746" s="11" t="n">
        <x:f>MAX(IF(C746="call",F746-D746,D746-F746),0)</x:f>
        <x:v>0</x:v>
      </x:c>
      <x:c r="I746" s="11" t="n">
        <x:f>E746-H746</x:f>
        <x:v>475.76</x:v>
      </x:c>
      <x:c r="J746" s="13" t="n">
        <x:f>D746/F746</x:f>
        <x:v>1.022001419446416</x:v>
      </x:c>
      <x:c r="K746" s="13" t="n">
        <x:v>0.386432232069419</x:v>
      </x:c>
      <x:c r="L746" s="17" t="n">
        <x:v>0.5838507581020255</x:v>
      </x:c>
      <x:c r="M746" s="17" t="n">
        <x:v>10.272894637550564</x:v>
      </x:c>
      <x:c r="N746" s="11" t="n">
        <x:f>'Option source'!C281</x:f>
        <x:v>207573168</x:v>
      </x:c>
      <x:c r="O746" s="11" t="n">
        <x:f>'Option source'!G281</x:f>
        <x:v>458.32</x:v>
      </x:c>
      <x:c r="P746" s="11" t="n">
        <x:f>'Option source'!F281</x:f>
        <x:v>589.99</x:v>
      </x:c>
      <x:c r="Q746" s="1" t="str">
        <x:v>Screen passed; indicative</x:v>
      </x:c>
      <x:c r="R746" s="1" t="n">
        <x:v>276</x:v>
      </x:c>
    </x:row>
    <x:row r="747" ht="21" customHeight="1">
      <x:c r="A747" s="12" t="n">
        <x:v>46260</x:v>
      </x:c>
      <x:c r="B747" s="1" t="str">
        <x:v>GFGV7200OC</x:v>
      </x:c>
      <x:c r="C747" s="1" t="str">
        <x:v>put</x:v>
      </x:c>
      <x:c r="D747" s="11" t="n">
        <x:v>7200</x:v>
      </x:c>
      <x:c r="E747" s="11" t="n">
        <x:f>'Option source'!B775</x:f>
        <x:v>437.25</x:v>
      </x:c>
      <x:c r="F747" s="11" t="n">
        <x:v>7045</x:v>
      </x:c>
      <x:c r="G747" s="18" t="n">
        <x:v>51</x:v>
      </x:c>
      <x:c r="H747" s="11" t="n">
        <x:f>MAX(IF(C747="call",F747-D747,D747-F747),0)</x:f>
        <x:v>155</x:v>
      </x:c>
      <x:c r="I747" s="11" t="n">
        <x:f>E747-H747</x:f>
        <x:v>282.25</x:v>
      </x:c>
      <x:c r="J747" s="13" t="n">
        <x:f>D747/F747</x:f>
        <x:v>1.022001419446416</x:v>
      </x:c>
      <x:c r="K747" s="13" t="n">
        <x:v>0.4480387099454134</x:v>
      </x:c>
      <x:c r="L747" s="17" t="n">
        <x:v>-0.41914430647561085</x:v>
      </x:c>
      <x:c r="M747" s="17" t="n">
        <x:v>10.289293643214576</x:v>
      </x:c>
      <x:c r="N747" s="11" t="n">
        <x:f>'Option source'!C775</x:f>
        <x:v>45277852</x:v>
      </x:c>
      <x:c r="O747" s="11" t="n">
        <x:f>'Option source'!G775</x:f>
        <x:v>355.5</x:v>
      </x:c>
      <x:c r="P747" s="11" t="n">
        <x:f>'Option source'!F775</x:f>
        <x:v>488.98</x:v>
      </x:c>
      <x:c r="Q747" s="1" t="str">
        <x:v>Screen passed; indicative</x:v>
      </x:c>
      <x:c r="R747" s="1" t="n">
        <x:v>770</x:v>
      </x:c>
    </x:row>
    <x:row r="748" ht="21" customHeight="1">
      <x:c r="A748" s="12" t="n">
        <x:v>46260</x:v>
      </x:c>
      <x:c r="B748" s="1" t="str">
        <x:v>GFGC6800OC</x:v>
      </x:c>
      <x:c r="C748" s="1" t="str">
        <x:v>call</x:v>
      </x:c>
      <x:c r="D748" s="11" t="n">
        <x:v>6800</x:v>
      </x:c>
      <x:c r="E748" s="11" t="n">
        <x:f>'Option source'!B243</x:f>
        <x:v>690.84</x:v>
      </x:c>
      <x:c r="F748" s="11" t="n">
        <x:v>7045</x:v>
      </x:c>
      <x:c r="G748" s="18" t="n">
        <x:v>51</x:v>
      </x:c>
      <x:c r="H748" s="11" t="n">
        <x:f>MAX(IF(C748="call",F748-D748,D748-F748),0)</x:f>
        <x:v>245</x:v>
      </x:c>
      <x:c r="I748" s="11" t="n">
        <x:f>E748-H748</x:f>
        <x:v>445.84000000000003</x:v>
      </x:c>
      <x:c r="J748" s="13" t="n">
        <x:f>D748/F748</x:f>
        <x:v>0.9652235628105039</x:v>
      </x:c>
      <x:c r="K748" s="13" t="n">
        <x:v>0.3676577495193811</x:v>
      </x:c>
      <x:c r="L748" s="17" t="n">
        <x:v>0.7360710387976246</x:v>
      </x:c>
      <x:c r="M748" s="17" t="n">
        <x:v>8.607828418912142</x:v>
      </x:c>
      <x:c r="N748" s="11" t="n">
        <x:f>'Option source'!C243</x:f>
        <x:v>155714400</x:v>
      </x:c>
      <x:c r="O748" s="11" t="n">
        <x:f>'Option source'!G243</x:f>
        <x:v>670.01</x:v>
      </x:c>
      <x:c r="P748" s="11" t="n">
        <x:f>'Option source'!F243</x:f>
        <x:v>815</x:v>
      </x:c>
      <x:c r="Q748" s="1" t="str">
        <x:v>Screen passed; indicative</x:v>
      </x:c>
      <x:c r="R748" s="1" t="n">
        <x:v>238</x:v>
      </x:c>
    </x:row>
    <x:row r="749" ht="21" customHeight="1">
      <x:c r="A749" s="12" t="n">
        <x:v>46260</x:v>
      </x:c>
      <x:c r="B749" s="1" t="str">
        <x:v>GFGV6800OC</x:v>
      </x:c>
      <x:c r="C749" s="1" t="str">
        <x:v>put</x:v>
      </x:c>
      <x:c r="D749" s="11" t="n">
        <x:v>6800</x:v>
      </x:c>
      <x:c r="E749" s="11" t="n">
        <x:f>'Option source'!B737</x:f>
        <x:v>260.29</x:v>
      </x:c>
      <x:c r="F749" s="11" t="n">
        <x:v>7045</x:v>
      </x:c>
      <x:c r="G749" s="18" t="n">
        <x:v>51</x:v>
      </x:c>
      <x:c r="H749" s="11" t="n">
        <x:f>MAX(IF(C749="call",F749-D749,D749-F749),0)</x:f>
        <x:v>0</x:v>
      </x:c>
      <x:c r="I749" s="11" t="n">
        <x:f>E749-H749</x:f>
        <x:v>260.29</x:v>
      </x:c>
      <x:c r="J749" s="13" t="n">
        <x:f>D749/F749</x:f>
        <x:v>0.9652235628105039</x:v>
      </x:c>
      <x:c r="K749" s="13" t="n">
        <x:v>0.45102100827771796</x:v>
      </x:c>
      <x:c r="L749" s="17" t="n">
        <x:v>-0.29360627329953337</x:v>
      </x:c>
      <x:c r="M749" s="17" t="n">
        <x:v>9.066348496441908</x:v>
      </x:c>
      <x:c r="N749" s="11" t="n">
        <x:f>'Option source'!C737</x:f>
        <x:v>147960448</x:v>
      </x:c>
      <x:c r="O749" s="11" t="n">
        <x:f>'Option source'!G737</x:f>
        <x:v>210</x:v>
      </x:c>
      <x:c r="P749" s="11" t="n">
        <x:f>'Option source'!F737</x:f>
        <x:v>290</x:v>
      </x:c>
      <x:c r="Q749" s="1" t="str">
        <x:v>Screen passed; indicative</x:v>
      </x:c>
      <x:c r="R749" s="1" t="n">
        <x:v>732</x:v>
      </x:c>
    </x:row>
    <x:row r="750" ht="21" customHeight="1">
      <x:c r="A750" s="12" t="n">
        <x:v>46260</x:v>
      </x:c>
      <x:c r="B750" s="1" t="str">
        <x:v>GFGC7400OC</x:v>
      </x:c>
      <x:c r="C750" s="1" t="str">
        <x:v>call</x:v>
      </x:c>
      <x:c r="D750" s="11" t="n">
        <x:v>7400</x:v>
      </x:c>
      <x:c r="E750" s="11" t="n">
        <x:f>'Option source'!B300</x:f>
        <x:v>391.75</x:v>
      </x:c>
      <x:c r="F750" s="11" t="n">
        <x:v>7045</x:v>
      </x:c>
      <x:c r="G750" s="18" t="n">
        <x:v>51</x:v>
      </x:c>
      <x:c r="H750" s="11" t="n">
        <x:f>MAX(IF(C750="call",F750-D750,D750-F750),0)</x:f>
        <x:v>0</x:v>
      </x:c>
      <x:c r="I750" s="11" t="n">
        <x:f>E750-H750</x:f>
        <x:v>391.75</x:v>
      </x:c>
      <x:c r="J750" s="13" t="n">
        <x:f>D750/F750</x:f>
        <x:v>1.050390347764372</x:v>
      </x:c>
      <x:c r="K750" s="13" t="n">
        <x:v>0.39571395463413217</x:v>
      </x:c>
      <x:c r="L750" s="17" t="n">
        <x:v>0.5099666638105319</x:v>
      </x:c>
      <x:c r="M750" s="17" t="n">
        <x:v>10.502535577547299</x:v>
      </x:c>
      <x:c r="N750" s="11" t="n">
        <x:f>'Option source'!C300</x:f>
        <x:v>243192128</x:v>
      </x:c>
      <x:c r="O750" s="11" t="n">
        <x:f>'Option source'!G300</x:f>
        <x:v>370</x:v>
      </x:c>
      <x:c r="P750" s="11" t="n">
        <x:f>'Option source'!F300</x:f>
        <x:v>520</x:v>
      </x:c>
      <x:c r="Q750" s="1" t="str">
        <x:v>Screen passed; indicative</x:v>
      </x:c>
      <x:c r="R750" s="1" t="n">
        <x:v>295</x:v>
      </x:c>
    </x:row>
    <x:row r="751" ht="21" customHeight="1">
      <x:c r="A751" s="12" t="n">
        <x:v>46260</x:v>
      </x:c>
      <x:c r="B751" s="1" t="str">
        <x:v>GFGV7400OC</x:v>
      </x:c>
      <x:c r="C751" s="1" t="str">
        <x:v>put</x:v>
      </x:c>
      <x:c r="D751" s="11" t="n">
        <x:v>7400</x:v>
      </x:c>
      <x:c r="E751" s="11" t="n">
        <x:f>'Option source'!B794</x:f>
        <x:v>549.96</x:v>
      </x:c>
      <x:c r="F751" s="11" t="n">
        <x:v>7045</x:v>
      </x:c>
      <x:c r="G751" s="18" t="n">
        <x:v>51</x:v>
      </x:c>
      <x:c r="H751" s="11" t="n">
        <x:f>MAX(IF(C751="call",F751-D751,D751-F751),0)</x:f>
        <x:v>355</x:v>
      </x:c>
      <x:c r="I751" s="11" t="n">
        <x:f>E751-H751</x:f>
        <x:v>194.96000000000004</x:v>
      </x:c>
      <x:c r="J751" s="13" t="n">
        <x:f>D751/F751</x:f>
        <x:v>1.050390347764372</x:v>
      </x:c>
      <x:c r="K751" s="13" t="n">
        <x:v>0.44691992150481086</x:v>
      </x:c>
      <x:c r="L751" s="17" t="n">
        <x:v>-0.4839800513876983</x:v>
      </x:c>
      <x:c r="M751" s="17" t="n">
        <x:v>10.497342780590037</x:v>
      </x:c>
      <x:c r="N751" s="11" t="n">
        <x:f>'Option source'!C794</x:f>
        <x:v>11721958</x:v>
      </x:c>
      <x:c r="O751" s="11" t="n">
        <x:f>'Option source'!G794</x:f>
        <x:v>499</x:v>
      </x:c>
      <x:c r="P751" s="11" t="n">
        <x:f>'Option source'!F794</x:f>
        <x:v>579.98</x:v>
      </x:c>
      <x:c r="Q751" s="1" t="str">
        <x:v>Screen passed; indicative</x:v>
      </x:c>
      <x:c r="R751" s="1" t="n">
        <x:v>789</x:v>
      </x:c>
    </x:row>
    <x:row r="752" ht="21" customHeight="1">
      <x:c r="A752" s="12" t="n">
        <x:v>46260</x:v>
      </x:c>
      <x:c r="B752" s="1" t="str">
        <x:v>GFGC6600OC</x:v>
      </x:c>
      <x:c r="C752" s="1" t="str">
        <x:v>call</x:v>
      </x:c>
      <x:c r="D752" s="11" t="n">
        <x:v>6600</x:v>
      </x:c>
      <x:c r="E752" s="11" t="n">
        <x:f>'Option source'!B224</x:f>
        <x:v>808.58</x:v>
      </x:c>
      <x:c r="F752" s="11" t="n">
        <x:v>7045</x:v>
      </x:c>
      <x:c r="G752" s="18" t="n">
        <x:v>51</x:v>
      </x:c>
      <x:c r="H752" s="11" t="n">
        <x:f>MAX(IF(C752="call",F752-D752,D752-F752),0)</x:f>
        <x:v>445</x:v>
      </x:c>
      <x:c r="I752" s="11" t="n">
        <x:f>E752-H752</x:f>
        <x:v>363.58000000000004</x:v>
      </x:c>
      <x:c r="J752" s="13" t="n">
        <x:f>D752/F752</x:f>
        <x:v>0.9368346344925479</x:v>
      </x:c>
      <x:c r="K752" s="13" t="n">
        <x:v>0.3375311163017517</x:v>
      </x:c>
      <x:c r="L752" s="17" t="n">
        <x:v>0.819239799265359</x:v>
      </x:c>
      <x:c r="M752" s="17" t="n">
        <x:v>6.928382917141147</x:v>
      </x:c>
      <x:c r="N752" s="11" t="n">
        <x:f>'Option source'!C224</x:f>
        <x:v>49664944</x:v>
      </x:c>
      <x:c r="O752" s="11" t="n">
        <x:f>'Option source'!G224</x:f>
        <x:v>800</x:v>
      </x:c>
      <x:c r="P752" s="11" t="n">
        <x:f>'Option source'!F224</x:f>
        <x:v>939.99</x:v>
      </x:c>
      <x:c r="Q752" s="1" t="str">
        <x:v>Screen passed; indicative</x:v>
      </x:c>
      <x:c r="R752" s="1" t="n">
        <x:v>219</x:v>
      </x:c>
    </x:row>
    <x:row r="753" ht="21" customHeight="1">
      <x:c r="A753" s="12" t="n">
        <x:v>46260</x:v>
      </x:c>
      <x:c r="B753" s="1" t="str">
        <x:v>GFGV6600OC</x:v>
      </x:c>
      <x:c r="C753" s="1" t="str">
        <x:v>put</x:v>
      </x:c>
      <x:c r="D753" s="11" t="n">
        <x:v>6600</x:v>
      </x:c>
      <x:c r="E753" s="11" t="n">
        <x:f>'Option source'!B718</x:f>
        <x:v>195.14</x:v>
      </x:c>
      <x:c r="F753" s="11" t="n">
        <x:v>7045</x:v>
      </x:c>
      <x:c r="G753" s="18" t="n">
        <x:v>51</x:v>
      </x:c>
      <x:c r="H753" s="11" t="n">
        <x:f>MAX(IF(C753="call",F753-D753,D753-F753),0)</x:f>
        <x:v>0</x:v>
      </x:c>
      <x:c r="I753" s="11" t="n">
        <x:f>E753-H753</x:f>
        <x:v>195.14</x:v>
      </x:c>
      <x:c r="J753" s="13" t="n">
        <x:f>D753/F753</x:f>
        <x:v>0.9368346344925479</x:v>
      </x:c>
      <x:c r="K753" s="13" t="n">
        <x:v>0.4545627845162943</x:v>
      </x:c>
      <x:c r="L753" s="17" t="n">
        <x:v>-0.2371000839091657</x:v>
      </x:c>
      <x:c r="M753" s="17" t="n">
        <x:v>8.13229276859885</x:v>
      </x:c>
      <x:c r="N753" s="11" t="n">
        <x:f>'Option source'!C718</x:f>
        <x:v>154578496</x:v>
      </x:c>
      <x:c r="O753" s="11" t="n">
        <x:f>'Option source'!G718</x:f>
        <x:v>165</x:v>
      </x:c>
      <x:c r="P753" s="11" t="n">
        <x:f>'Option source'!F718</x:f>
        <x:v>215</x:v>
      </x:c>
      <x:c r="Q753" s="1" t="str">
        <x:v>Screen passed; indicative</x:v>
      </x:c>
      <x:c r="R753" s="1" t="n">
        <x:v>713</x:v>
      </x:c>
    </x:row>
    <x:row r="754" ht="21" customHeight="1">
      <x:c r="A754" s="12" t="n">
        <x:v>46260</x:v>
      </x:c>
      <x:c r="B754" s="1" t="str">
        <x:v>GFGC7600OC</x:v>
      </x:c>
      <x:c r="C754" s="1" t="str">
        <x:v>call</x:v>
      </x:c>
      <x:c r="D754" s="11" t="n">
        <x:v>7600</x:v>
      </x:c>
      <x:c r="E754" s="11" t="n">
        <x:f>'Option source'!B319</x:f>
        <x:v>316.15</x:v>
      </x:c>
      <x:c r="F754" s="11" t="n">
        <x:v>7045</x:v>
      </x:c>
      <x:c r="G754" s="18" t="n">
        <x:v>51</x:v>
      </x:c>
      <x:c r="H754" s="11" t="n">
        <x:f>MAX(IF(C754="call",F754-D754,D754-F754),0)</x:f>
        <x:v>0</x:v>
      </x:c>
      <x:c r="I754" s="11" t="n">
        <x:f>E754-H754</x:f>
        <x:v>316.15</x:v>
      </x:c>
      <x:c r="J754" s="13" t="n">
        <x:f>D754/F754</x:f>
        <x:v>1.0787792760823278</x:v>
      </x:c>
      <x:c r="K754" s="13" t="n">
        <x:v>0.3996685444665332</x:v>
      </x:c>
      <x:c r="L754" s="17" t="n">
        <x:v>0.4394758584834447</x:v>
      </x:c>
      <x:c r="M754" s="17" t="n">
        <x:v>10.38467818623995</x:v>
      </x:c>
      <x:c r="N754" s="11" t="n">
        <x:f>'Option source'!C319</x:f>
        <x:v>341615136</x:v>
      </x:c>
      <x:c r="O754" s="11" t="n">
        <x:f>'Option source'!G319</x:f>
        <x:v>300</x:v>
      </x:c>
      <x:c r="P754" s="11" t="n">
        <x:f>'Option source'!F319</x:f>
        <x:v>392.1</x:v>
      </x:c>
      <x:c r="Q754" s="1" t="str">
        <x:v>Screen passed; indicative</x:v>
      </x:c>
      <x:c r="R754" s="1" t="n">
        <x:v>314</x:v>
      </x:c>
    </x:row>
    <x:row r="755" ht="21" customHeight="1">
      <x:c r="A755" s="12" t="n">
        <x:v>46260</x:v>
      </x:c>
      <x:c r="B755" s="1" t="str">
        <x:v>GFGV7600OC</x:v>
      </x:c>
      <x:c r="C755" s="1" t="str">
        <x:v>put</x:v>
      </x:c>
      <x:c r="D755" s="11" t="n">
        <x:v>7600</x:v>
      </x:c>
      <x:c r="E755" s="11" t="n">
        <x:f>'Option source'!B813</x:f>
        <x:v>665</x:v>
      </x:c>
      <x:c r="F755" s="11" t="n">
        <x:v>7045</x:v>
      </x:c>
      <x:c r="G755" s="18" t="n">
        <x:v>51</x:v>
      </x:c>
      <x:c r="H755" s="11" t="n">
        <x:f>MAX(IF(C755="call",F755-D755,D755-F755),0)</x:f>
        <x:v>555</x:v>
      </x:c>
      <x:c r="I755" s="11" t="n">
        <x:f>E755-H755</x:f>
        <x:v>110</x:v>
      </x:c>
      <x:c r="J755" s="13" t="n">
        <x:f>D755/F755</x:f>
        <x:v>1.0787792760823278</x:v>
      </x:c>
      <x:c r="K755" s="13" t="n">
        <x:v>0.4300048761292464</x:v>
      </x:c>
      <x:c r="L755" s="17" t="n">
        <x:v>-0.5519596953617099</x:v>
      </x:c>
      <x:c r="M755" s="17" t="n">
        <x:v>10.41658061632848</x:v>
      </x:c>
      <x:c r="N755" s="11" t="n">
        <x:f>'Option source'!C813</x:f>
        <x:v>2373800</x:v>
      </x:c>
      <x:c r="O755" s="11" t="n">
        <x:f>'Option source'!G813</x:f>
        <x:v>608</x:v>
      </x:c>
      <x:c r="P755" s="11" t="n">
        <x:f>'Option source'!F813</x:f>
        <x:v>700</x:v>
      </x:c>
      <x:c r="Q755" s="1" t="str">
        <x:v>Screen passed; indicative</x:v>
      </x:c>
      <x:c r="R755" s="1" t="n">
        <x:v>808</x:v>
      </x:c>
    </x:row>
    <x:row r="756" ht="21" customHeight="1">
      <x:c r="A756" s="12" t="n">
        <x:v>46260</x:v>
      </x:c>
      <x:c r="B756" s="1" t="str">
        <x:v>GFGC6400OC</x:v>
      </x:c>
      <x:c r="C756" s="1" t="str">
        <x:v>call</x:v>
      </x:c>
      <x:c r="D756" s="11" t="n">
        <x:v>6400</x:v>
      </x:c>
      <x:c r="E756" s="11" t="n">
        <x:f>'Option source'!B205</x:f>
        <x:v>944.2</x:v>
      </x:c>
      <x:c r="F756" s="11" t="n">
        <x:v>7045</x:v>
      </x:c>
      <x:c r="G756" s="18" t="n">
        <x:v>51</x:v>
      </x:c>
      <x:c r="H756" s="11" t="n">
        <x:f>MAX(IF(C756="call",F756-D756,D756-F756),0)</x:f>
        <x:v>645</x:v>
      </x:c>
      <x:c r="I756" s="11" t="n">
        <x:f>E756-H756</x:f>
        <x:v>299.20000000000005</x:v>
      </x:c>
      <x:c r="J756" s="13" t="n">
        <x:f>D756/F756</x:f>
        <x:v>0.9084457061745919</x:v>
      </x:c>
      <x:c r="K756" s="13" t="n">
        <x:v>0.2947725600640917</x:v>
      </x:c>
      <x:c r="L756" s="17" t="n">
        <x:v>0.9043867915571147</x:v>
      </x:c>
      <x:c r="M756" s="17" t="n">
        <x:v>4.4720954788471765</x:v>
      </x:c>
      <x:c r="N756" s="11" t="n">
        <x:f>'Option source'!C205</x:f>
        <x:v>4527855</x:v>
      </x:c>
      <x:c r="O756" s="11" t="n">
        <x:f>'Option source'!G205</x:f>
        <x:v>932</x:v>
      </x:c>
      <x:c r="P756" s="11" t="n">
        <x:f>'Option source'!F205</x:f>
        <x:v>1020</x:v>
      </x:c>
      <x:c r="Q756" s="1" t="str">
        <x:v>Screen passed; indicative</x:v>
      </x:c>
      <x:c r="R756" s="1" t="n">
        <x:v>200</x:v>
      </x:c>
    </x:row>
    <x:row r="757" ht="21" customHeight="1">
      <x:c r="A757" s="12" t="n">
        <x:v>46260</x:v>
      </x:c>
      <x:c r="B757" s="1" t="str">
        <x:v>GFGV6400OC</x:v>
      </x:c>
      <x:c r="C757" s="1" t="str">
        <x:v>put</x:v>
      </x:c>
      <x:c r="D757" s="11" t="n">
        <x:v>6400</x:v>
      </x:c>
      <x:c r="E757" s="11" t="n">
        <x:f>'Option source'!B699</x:f>
        <x:v>135.93</x:v>
      </x:c>
      <x:c r="F757" s="11" t="n">
        <x:v>7045</x:v>
      </x:c>
      <x:c r="G757" s="18" t="n">
        <x:v>51</x:v>
      </x:c>
      <x:c r="H757" s="11" t="n">
        <x:f>MAX(IF(C757="call",F757-D757,D757-F757),0)</x:f>
        <x:v>0</x:v>
      </x:c>
      <x:c r="I757" s="11" t="n">
        <x:f>E757-H757</x:f>
        <x:v>135.93</x:v>
      </x:c>
      <x:c r="J757" s="13" t="n">
        <x:f>D757/F757</x:f>
        <x:v>0.9084457061745919</x:v>
      </x:c>
      <x:c r="K757" s="13" t="n">
        <x:v>0.4493000713843517</x:v>
      </x:c>
      <x:c r="L757" s="17" t="n">
        <x:v>-0.18265668091107456</x:v>
      </x:c>
      <x:c r="M757" s="17" t="n">
        <x:v>6.973774189381801</x:v>
      </x:c>
      <x:c r="N757" s="11" t="n">
        <x:f>'Option source'!C699</x:f>
        <x:v>85600376</x:v>
      </x:c>
      <x:c r="O757" s="11" t="n">
        <x:f>'Option source'!G699</x:f>
        <x:v>108</x:v>
      </x:c>
      <x:c r="P757" s="11" t="n">
        <x:f>'Option source'!F699</x:f>
        <x:v>150</x:v>
      </x:c>
      <x:c r="Q757" s="1" t="str">
        <x:v>Screen passed; indicative</x:v>
      </x:c>
      <x:c r="R757" s="1" t="n">
        <x:v>694</x:v>
      </x:c>
    </x:row>
    <x:row r="758" ht="21" customHeight="1">
      <x:c r="A758" s="12" t="n">
        <x:v>46260</x:v>
      </x:c>
      <x:c r="B758" s="1" t="str">
        <x:v>GFGC7800OC</x:v>
      </x:c>
      <x:c r="C758" s="1" t="str">
        <x:v>call</x:v>
      </x:c>
      <x:c r="D758" s="11" t="n">
        <x:v>7800</x:v>
      </x:c>
      <x:c r="E758" s="11" t="n">
        <x:f>'Option source'!B338</x:f>
        <x:v>250.53</x:v>
      </x:c>
      <x:c r="F758" s="11" t="n">
        <x:v>7045</x:v>
      </x:c>
      <x:c r="G758" s="18" t="n">
        <x:v>51</x:v>
      </x:c>
      <x:c r="H758" s="11" t="n">
        <x:f>MAX(IF(C758="call",F758-D758,D758-F758),0)</x:f>
        <x:v>0</x:v>
      </x:c>
      <x:c r="I758" s="11" t="n">
        <x:f>E758-H758</x:f>
        <x:v>250.53</x:v>
      </x:c>
      <x:c r="J758" s="13" t="n">
        <x:f>D758/F758</x:f>
        <x:v>1.107168204400284</x:v>
      </x:c>
      <x:c r="K758" s="13" t="n">
        <x:v>0.400952668489436</x:v>
      </x:c>
      <x:c r="L758" s="17" t="n">
        <x:v>0.372725053283383</x:v>
      </x:c>
      <x:c r="M758" s="17" t="n">
        <x:v>9.96652326084211</x:v>
      </x:c>
      <x:c r="N758" s="11" t="n">
        <x:f>'Option source'!C338</x:f>
        <x:v>203807680</x:v>
      </x:c>
      <x:c r="O758" s="11" t="n">
        <x:f>'Option source'!G338</x:f>
        <x:v>239</x:v>
      </x:c>
      <x:c r="P758" s="11" t="n">
        <x:f>'Option source'!F338</x:f>
        <x:v>315</x:v>
      </x:c>
      <x:c r="Q758" s="1" t="str">
        <x:v>Screen passed; indicative</x:v>
      </x:c>
      <x:c r="R758" s="1" t="n">
        <x:v>333</x:v>
      </x:c>
    </x:row>
    <x:row r="759" ht="21" customHeight="1">
      <x:c r="A759" s="12" t="n">
        <x:v>46260</x:v>
      </x:c>
      <x:c r="B759" s="1" t="str">
        <x:v>GFGV7800OC</x:v>
      </x:c>
      <x:c r="C759" s="1" t="str">
        <x:v>put</x:v>
      </x:c>
      <x:c r="D759" s="11" t="n">
        <x:v>7800</x:v>
      </x:c>
      <x:c r="E759" s="11" t="n">
        <x:f>'Option source'!B832</x:f>
        <x:v>800</x:v>
      </x:c>
      <x:c r="F759" s="11" t="n">
        <x:v>7045</x:v>
      </x:c>
      <x:c r="G759" s="18" t="n">
        <x:v>51</x:v>
      </x:c>
      <x:c r="H759" s="11" t="n">
        <x:f>MAX(IF(C759="call",F759-D759,D759-F759),0)</x:f>
        <x:v>755</x:v>
      </x:c>
      <x:c r="I759" s="11" t="n">
        <x:f>E759-H759</x:f>
        <x:v>45</x:v>
      </x:c>
      <x:c r="J759" s="13" t="n">
        <x:f>D759/F759</x:f>
        <x:v>1.107168204400284</x:v>
      </x:c>
      <x:c r="K759" s="13"/>
      <x:c r="L759" s="17"/>
      <x:c r="M759" s="17"/>
      <x:c r="N759" s="11" t="n">
        <x:f>'Option source'!C832</x:f>
        <x:v>800000</x:v>
      </x:c>
      <x:c r="O759" s="11" t="n">
        <x:f>'Option source'!G832</x:f>
        <x:v>0</x:v>
      </x:c>
      <x:c r="P759" s="11" t="n">
        <x:f>'Option source'!F832</x:f>
        <x:v>0</x:v>
      </x:c>
      <x:c r="Q759" s="1" t="str">
        <x:v>Price outside daily range</x:v>
      </x:c>
      <x:c r="R759" s="1" t="n">
        <x:v>827</x:v>
      </x:c>
    </x:row>
    <x:row r="760" ht="21" customHeight="1">
      <x:c r="A760" s="12" t="n">
        <x:v>46260</x:v>
      </x:c>
      <x:c r="B760" s="1" t="str">
        <x:v>GFGC6200OC</x:v>
      </x:c>
      <x:c r="C760" s="1" t="str">
        <x:v>call</x:v>
      </x:c>
      <x:c r="D760" s="11" t="n">
        <x:v>6200</x:v>
      </x:c>
      <x:c r="E760" s="11" t="n">
        <x:f>'Option source'!B186</x:f>
        <x:v>1000</x:v>
      </x:c>
      <x:c r="F760" s="11" t="n">
        <x:v>7045</x:v>
      </x:c>
      <x:c r="G760" s="18" t="n">
        <x:v>51</x:v>
      </x:c>
      <x:c r="H760" s="11" t="n">
        <x:f>MAX(IF(C760="call",F760-D760,D760-F760),0)</x:f>
        <x:v>845</x:v>
      </x:c>
      <x:c r="I760" s="11" t="n">
        <x:f>E760-H760</x:f>
        <x:v>155</x:v>
      </x:c>
      <x:c r="J760" s="13" t="n">
        <x:f>D760/F760</x:f>
        <x:v>0.8800567778566359</x:v>
      </x:c>
      <x:c r="K760" s="13"/>
      <x:c r="L760" s="17"/>
      <x:c r="M760" s="17"/>
      <x:c r="N760" s="11" t="n">
        <x:f>'Option source'!C186</x:f>
        <x:v>0</x:v>
      </x:c>
      <x:c r="O760" s="11" t="n">
        <x:f>'Option source'!G186</x:f>
        <x:v>1000</x:v>
      </x:c>
      <x:c r="P760" s="11" t="n">
        <x:f>'Option source'!F186</x:f>
        <x:v>1000</x:v>
      </x:c>
      <x:c r="Q760" s="1" t="str">
        <x:v>Zero reported volume</x:v>
      </x:c>
      <x:c r="R760" s="1" t="n">
        <x:v>181</x:v>
      </x:c>
    </x:row>
    <x:row r="761" ht="21" customHeight="1">
      <x:c r="A761" s="12" t="n">
        <x:v>46260</x:v>
      </x:c>
      <x:c r="B761" s="1" t="str">
        <x:v>GFGV6200OC</x:v>
      </x:c>
      <x:c r="C761" s="1" t="str">
        <x:v>put</x:v>
      </x:c>
      <x:c r="D761" s="11" t="n">
        <x:v>6200</x:v>
      </x:c>
      <x:c r="E761" s="11" t="n">
        <x:f>'Option source'!B680</x:f>
        <x:v>92.32</x:v>
      </x:c>
      <x:c r="F761" s="11" t="n">
        <x:v>7045</x:v>
      </x:c>
      <x:c r="G761" s="18" t="n">
        <x:v>51</x:v>
      </x:c>
      <x:c r="H761" s="11" t="n">
        <x:f>MAX(IF(C761="call",F761-D761,D761-F761),0)</x:f>
        <x:v>0</x:v>
      </x:c>
      <x:c r="I761" s="11" t="n">
        <x:f>E761-H761</x:f>
        <x:v>92.32</x:v>
      </x:c>
      <x:c r="J761" s="13" t="n">
        <x:f>D761/F761</x:f>
        <x:v>0.8800567778566359</x:v>
      </x:c>
      <x:c r="K761" s="13" t="n">
        <x:v>0.4461052571792914</x:v>
      </x:c>
      <x:c r="L761" s="17" t="n">
        <x:v>-0.13545609317088925</x:v>
      </x:c>
      <x:c r="M761" s="17" t="n">
        <x:v>5.730871582880301</x:v>
      </x:c>
      <x:c r="N761" s="11" t="n">
        <x:f>'Option source'!C680</x:f>
        <x:v>49229032</x:v>
      </x:c>
      <x:c r="O761" s="11" t="n">
        <x:f>'Option source'!G680</x:f>
        <x:v>71</x:v>
      </x:c>
      <x:c r="P761" s="11" t="n">
        <x:f>'Option source'!F680</x:f>
        <x:v>102</x:v>
      </x:c>
      <x:c r="Q761" s="1" t="str">
        <x:v>Screen passed; indicative</x:v>
      </x:c>
      <x:c r="R761" s="1" t="n">
        <x:v>675</x:v>
      </x:c>
    </x:row>
    <x:row r="762" ht="21" customHeight="1">
      <x:c r="A762" s="12" t="n">
        <x:v>46260</x:v>
      </x:c>
      <x:c r="B762" s="1" t="str">
        <x:v>GFGC8000OC</x:v>
      </x:c>
      <x:c r="C762" s="1" t="str">
        <x:v>call</x:v>
      </x:c>
      <x:c r="D762" s="11" t="n">
        <x:v>8000</x:v>
      </x:c>
      <x:c r="E762" s="11" t="n">
        <x:f>'Option source'!B357</x:f>
        <x:v>199.33</x:v>
      </x:c>
      <x:c r="F762" s="11" t="n">
        <x:v>7045</x:v>
      </x:c>
      <x:c r="G762" s="18" t="n">
        <x:v>51</x:v>
      </x:c>
      <x:c r="H762" s="11" t="n">
        <x:f>MAX(IF(C762="call",F762-D762,D762-F762),0)</x:f>
        <x:v>0</x:v>
      </x:c>
      <x:c r="I762" s="11" t="n">
        <x:f>E762-H762</x:f>
        <x:v>199.33</x:v>
      </x:c>
      <x:c r="J762" s="13" t="n">
        <x:f>D762/F762</x:f>
        <x:v>1.1355571327182399</x:v>
      </x:c>
      <x:c r="K762" s="13" t="n">
        <x:v>0.4053234193544799</x:v>
      </x:c>
      <x:c r="L762" s="17" t="n">
        <x:v>0.31326297669848135</x:v>
      </x:c>
      <x:c r="M762" s="17" t="n">
        <x:v>9.332735532292565</x:v>
      </x:c>
      <x:c r="N762" s="11" t="n">
        <x:f>'Option source'!C357</x:f>
        <x:v>375042784</x:v>
      </x:c>
      <x:c r="O762" s="11" t="n">
        <x:f>'Option source'!G357</x:f>
        <x:v>186</x:v>
      </x:c>
      <x:c r="P762" s="11" t="n">
        <x:f>'Option source'!F357</x:f>
        <x:v>260</x:v>
      </x:c>
      <x:c r="Q762" s="1" t="str">
        <x:v>Screen passed; indicative</x:v>
      </x:c>
      <x:c r="R762" s="1" t="n">
        <x:v>352</x:v>
      </x:c>
    </x:row>
    <x:row r="763" ht="21" customHeight="1">
      <x:c r="A763" s="12" t="n">
        <x:v>46260</x:v>
      </x:c>
      <x:c r="B763" s="1" t="str">
        <x:v>GFGV8000OC</x:v>
      </x:c>
      <x:c r="C763" s="1" t="str">
        <x:v>put</x:v>
      </x:c>
      <x:c r="D763" s="11" t="n">
        <x:v>8000</x:v>
      </x:c>
      <x:c r="E763" s="11" t="n">
        <x:f>'Option source'!B851</x:f>
        <x:v>990</x:v>
      </x:c>
      <x:c r="F763" s="11" t="n">
        <x:v>7045</x:v>
      </x:c>
      <x:c r="G763" s="18" t="n">
        <x:v>51</x:v>
      </x:c>
      <x:c r="H763" s="11" t="n">
        <x:f>MAX(IF(C763="call",F763-D763,D763-F763),0)</x:f>
        <x:v>955</x:v>
      </x:c>
      <x:c r="I763" s="11" t="n">
        <x:f>E763-H763</x:f>
        <x:v>35</x:v>
      </x:c>
      <x:c r="J763" s="13" t="n">
        <x:f>D763/F763</x:f>
        <x:v>1.1355571327182399</x:v>
      </x:c>
      <x:c r="K763" s="13" t="n">
        <x:v>0.4519664830735035</x:v>
      </x:c>
      <x:c r="L763" s="17" t="n">
        <x:v>-0.6627088132243154</x:v>
      </x:c>
      <x:c r="M763" s="17" t="n">
        <x:v>9.619425623191885</x:v>
      </x:c>
      <x:c r="N763" s="11" t="n">
        <x:f>'Option source'!C851</x:f>
        <x:v>6944098.5</x:v>
      </x:c>
      <x:c r="O763" s="11" t="n">
        <x:f>'Option source'!G851</x:f>
        <x:v>879</x:v>
      </x:c>
      <x:c r="P763" s="11" t="n">
        <x:f>'Option source'!F851</x:f>
        <x:v>999</x:v>
      </x:c>
      <x:c r="Q763" s="1" t="str">
        <x:v>Screen passed; indicative</x:v>
      </x:c>
      <x:c r="R763" s="1" t="n">
        <x:v>846</x:v>
      </x:c>
    </x:row>
    <x:row r="764" ht="21" customHeight="1">
      <x:c r="A764" s="12" t="n">
        <x:v>46260</x:v>
      </x:c>
      <x:c r="B764" s="1" t="str">
        <x:v>GFGC6000OC</x:v>
      </x:c>
      <x:c r="C764" s="1" t="str">
        <x:v>call</x:v>
      </x:c>
      <x:c r="D764" s="11" t="n">
        <x:v>6000</x:v>
      </x:c>
      <x:c r="E764" s="11" t="n">
        <x:f>'Option source'!B167</x:f>
        <x:v>1439.96</x:v>
      </x:c>
      <x:c r="F764" s="11" t="n">
        <x:v>7045</x:v>
      </x:c>
      <x:c r="G764" s="18" t="n">
        <x:v>51</x:v>
      </x:c>
      <x:c r="H764" s="11" t="n">
        <x:f>MAX(IF(C764="call",F764-D764,D764-F764),0)</x:f>
        <x:v>1045</x:v>
      </x:c>
      <x:c r="I764" s="11" t="n">
        <x:f>E764-H764</x:f>
        <x:v>394.96000000000004</x:v>
      </x:c>
      <x:c r="J764" s="13" t="n">
        <x:f>D764/F764</x:f>
        <x:v>0.8516678495386799</x:v>
      </x:c>
      <x:c r="K764" s="13"/>
      <x:c r="L764" s="17"/>
      <x:c r="M764" s="17"/>
      <x:c r="N764" s="11" t="n">
        <x:f>'Option source'!C167</x:f>
        <x:v>283995.91</x:v>
      </x:c>
      <x:c r="O764" s="11" t="n">
        <x:f>'Option source'!G167</x:f>
        <x:v>1400</x:v>
      </x:c>
      <x:c r="P764" s="11" t="n">
        <x:f>'Option source'!F167</x:f>
        <x:v>1400</x:v>
      </x:c>
      <x:c r="Q764" s="1" t="str">
        <x:v>Price outside daily range</x:v>
      </x:c>
      <x:c r="R764" s="1" t="n">
        <x:v>162</x:v>
      </x:c>
    </x:row>
    <x:row r="765" ht="21" customHeight="1">
      <x:c r="A765" s="12" t="n">
        <x:v>46260</x:v>
      </x:c>
      <x:c r="B765" s="1" t="str">
        <x:v>GFGV6000OC</x:v>
      </x:c>
      <x:c r="C765" s="1" t="str">
        <x:v>put</x:v>
      </x:c>
      <x:c r="D765" s="11" t="n">
        <x:v>6000</x:v>
      </x:c>
      <x:c r="E765" s="11" t="n">
        <x:f>'Option source'!B661</x:f>
        <x:v>59.56</x:v>
      </x:c>
      <x:c r="F765" s="11" t="n">
        <x:v>7045</x:v>
      </x:c>
      <x:c r="G765" s="18" t="n">
        <x:v>51</x:v>
      </x:c>
      <x:c r="H765" s="11" t="n">
        <x:f>MAX(IF(C765="call",F765-D765,D765-F765),0)</x:f>
        <x:v>0</x:v>
      </x:c>
      <x:c r="I765" s="11" t="n">
        <x:f>E765-H765</x:f>
        <x:v>59.56</x:v>
      </x:c>
      <x:c r="J765" s="13" t="n">
        <x:f>D765/F765</x:f>
        <x:v>0.8516678495386799</x:v>
      </x:c>
      <x:c r="K765" s="13" t="n">
        <x:v>0.4431243908069258</x:v>
      </x:c>
      <x:c r="L765" s="17" t="n">
        <x:v>-0.09591046897418498</x:v>
      </x:c>
      <x:c r="M765" s="17" t="n">
        <x:v>4.482319656251167</x:v>
      </x:c>
      <x:c r="N765" s="11" t="n">
        <x:f>'Option source'!C661</x:f>
        <x:v>54628656</x:v>
      </x:c>
      <x:c r="O765" s="11" t="n">
        <x:f>'Option source'!G661</x:f>
        <x:v>38</x:v>
      </x:c>
      <x:c r="P765" s="11" t="n">
        <x:f>'Option source'!F661</x:f>
        <x:v>68</x:v>
      </x:c>
      <x:c r="Q765" s="1" t="str">
        <x:v>Screen passed; indicative</x:v>
      </x:c>
      <x:c r="R765" s="1" t="n">
        <x:v>656</x:v>
      </x:c>
    </x:row>
    <x:row r="766" ht="21" customHeight="1">
      <x:c r="A766" s="12" t="n">
        <x:v>46260</x:v>
      </x:c>
      <x:c r="B766" s="1" t="str">
        <x:v>GFGV5800OC</x:v>
      </x:c>
      <x:c r="C766" s="1" t="str">
        <x:v>put</x:v>
      </x:c>
      <x:c r="D766" s="11" t="n">
        <x:v>5800</x:v>
      </x:c>
      <x:c r="E766" s="11" t="n">
        <x:f>'Option source'!B642</x:f>
        <x:v>35.84</x:v>
      </x:c>
      <x:c r="F766" s="11" t="n">
        <x:v>7045</x:v>
      </x:c>
      <x:c r="G766" s="18" t="n">
        <x:v>51</x:v>
      </x:c>
      <x:c r="H766" s="11" t="n">
        <x:f>MAX(IF(C766="call",F766-D766,D766-F766),0)</x:f>
        <x:v>0</x:v>
      </x:c>
      <x:c r="I766" s="11" t="n">
        <x:f>E766-H766</x:f>
        <x:v>35.84</x:v>
      </x:c>
      <x:c r="J766" s="13" t="n">
        <x:f>D766/F766</x:f>
        <x:v>0.8232789212207239</x:v>
      </x:c>
      <x:c r="K766" s="13" t="n">
        <x:v>0.4379060963284138</x:v>
      </x:c>
      <x:c r="L766" s="17" t="n">
        <x:v>-0.06351589605872898</x:v>
      </x:c>
      <x:c r="M766" s="17" t="n">
        <x:v>3.2796122282172586</x:v>
      </x:c>
      <x:c r="N766" s="11" t="n">
        <x:f>'Option source'!C642</x:f>
        <x:v>11605652</x:v>
      </x:c>
      <x:c r="O766" s="11" t="n">
        <x:f>'Option source'!G642</x:f>
        <x:v>30</x:v>
      </x:c>
      <x:c r="P766" s="11" t="n">
        <x:f>'Option source'!F642</x:f>
        <x:v>42</x:v>
      </x:c>
      <x:c r="Q766" s="1" t="str">
        <x:v>Screen passed; indicative</x:v>
      </x:c>
      <x:c r="R766" s="1" t="n">
        <x:v>637</x:v>
      </x:c>
    </x:row>
    <x:row r="767" ht="21" customHeight="1">
      <x:c r="A767" s="12" t="n">
        <x:v>46260</x:v>
      </x:c>
      <x:c r="B767" s="1" t="str">
        <x:v>GFGC8300OC</x:v>
      </x:c>
      <x:c r="C767" s="1" t="str">
        <x:v>call</x:v>
      </x:c>
      <x:c r="D767" s="11" t="n">
        <x:v>8300</x:v>
      </x:c>
      <x:c r="E767" s="11" t="n">
        <x:f>'Option source'!B376</x:f>
        <x:v>139.65</x:v>
      </x:c>
      <x:c r="F767" s="11" t="n">
        <x:v>7045</x:v>
      </x:c>
      <x:c r="G767" s="18" t="n">
        <x:v>51</x:v>
      </x:c>
      <x:c r="H767" s="11" t="n">
        <x:f>MAX(IF(C767="call",F767-D767,D767-F767),0)</x:f>
        <x:v>0</x:v>
      </x:c>
      <x:c r="I767" s="11" t="n">
        <x:f>E767-H767</x:f>
        <x:v>139.65</x:v>
      </x:c>
      <x:c r="J767" s="13" t="n">
        <x:f>D767/F767</x:f>
        <x:v>1.178140525195174</x:v>
      </x:c>
      <x:c r="K767" s="13" t="n">
        <x:v>0.4112369768755513</x:v>
      </x:c>
      <x:c r="L767" s="17" t="n">
        <x:v>0.23671260399812935</x:v>
      </x:c>
      <x:c r="M767" s="17" t="n">
        <x:v>8.12498377838366</x:v>
      </x:c>
      <x:c r="N767" s="11" t="n">
        <x:f>'Option source'!C376</x:f>
        <x:v>79788936</x:v>
      </x:c>
      <x:c r="O767" s="11" t="n">
        <x:f>'Option source'!G376</x:f>
        <x:v>130</x:v>
      </x:c>
      <x:c r="P767" s="11" t="n">
        <x:f>'Option source'!F376</x:f>
        <x:v>180</x:v>
      </x:c>
      <x:c r="Q767" s="1" t="str">
        <x:v>Screen passed; indicative</x:v>
      </x:c>
      <x:c r="R767" s="1" t="n">
        <x:v>371</x:v>
      </x:c>
    </x:row>
    <x:row r="768" ht="21" customHeight="1">
      <x:c r="A768" s="12" t="n">
        <x:v>46260</x:v>
      </x:c>
      <x:c r="B768" s="1" t="str">
        <x:v>GFGV8300OC</x:v>
      </x:c>
      <x:c r="C768" s="1" t="str">
        <x:v>put</x:v>
      </x:c>
      <x:c r="D768" s="11" t="n">
        <x:v>8300</x:v>
      </x:c>
      <x:c r="E768" s="11" t="n">
        <x:f>'Option source'!B870</x:f>
        <x:v>1274.9</x:v>
      </x:c>
      <x:c r="F768" s="11" t="n">
        <x:v>7045</x:v>
      </x:c>
      <x:c r="G768" s="18" t="n">
        <x:v>51</x:v>
      </x:c>
      <x:c r="H768" s="11" t="n">
        <x:f>MAX(IF(C768="call",F768-D768,D768-F768),0)</x:f>
        <x:v>1255</x:v>
      </x:c>
      <x:c r="I768" s="11" t="n">
        <x:f>E768-H768</x:f>
        <x:v>19.90000000000009</x:v>
      </x:c>
      <x:c r="J768" s="13" t="n">
        <x:f>D768/F768</x:f>
        <x:v>1.178140525195174</x:v>
      </x:c>
      <x:c r="K768" s="13"/>
      <x:c r="L768" s="17"/>
      <x:c r="M768" s="17"/>
      <x:c r="N768" s="11" t="n">
        <x:f>'Option source'!C870</x:f>
        <x:v>1536505</x:v>
      </x:c>
      <x:c r="O768" s="11" t="n">
        <x:f>'Option source'!G870</x:f>
        <x:v>1082.11</x:v>
      </x:c>
      <x:c r="P768" s="11" t="n">
        <x:f>'Option source'!F870</x:f>
        <x:v>1220</x:v>
      </x:c>
      <x:c r="Q768" s="1" t="str">
        <x:v>Price outside daily range</x:v>
      </x:c>
      <x:c r="R768" s="1" t="n">
        <x:v>865</x:v>
      </x:c>
    </x:row>
    <x:row r="769" ht="21" customHeight="1">
      <x:c r="A769" s="12" t="n">
        <x:v>46260</x:v>
      </x:c>
      <x:c r="B769" s="1" t="str">
        <x:v>GFGC5600OC</x:v>
      </x:c>
      <x:c r="C769" s="1" t="str">
        <x:v>call</x:v>
      </x:c>
      <x:c r="D769" s="11" t="n">
        <x:v>5600</x:v>
      </x:c>
      <x:c r="E769" s="11" t="n">
        <x:f>'Option source'!B138</x:f>
        <x:v>1645</x:v>
      </x:c>
      <x:c r="F769" s="11" t="n">
        <x:v>7045</x:v>
      </x:c>
      <x:c r="G769" s="18" t="n">
        <x:v>51</x:v>
      </x:c>
      <x:c r="H769" s="11" t="n">
        <x:f>MAX(IF(C769="call",F769-D769,D769-F769),0)</x:f>
        <x:v>1445</x:v>
      </x:c>
      <x:c r="I769" s="11" t="n">
        <x:f>E769-H769</x:f>
        <x:v>200</x:v>
      </x:c>
      <x:c r="J769" s="13" t="n">
        <x:f>D769/F769</x:f>
        <x:v>0.794889992902768</x:v>
      </x:c>
      <x:c r="K769" s="13"/>
      <x:c r="L769" s="17"/>
      <x:c r="M769" s="17"/>
      <x:c r="N769" s="11" t="n">
        <x:f>'Option source'!C138</x:f>
        <x:v>164500</x:v>
      </x:c>
      <x:c r="O769" s="11" t="n">
        <x:f>'Option source'!G138</x:f>
        <x:v>0</x:v>
      </x:c>
      <x:c r="P769" s="11" t="n">
        <x:f>'Option source'!F138</x:f>
        <x:v>0</x:v>
      </x:c>
      <x:c r="Q769" s="1" t="str">
        <x:v>Price outside daily range</x:v>
      </x:c>
      <x:c r="R769" s="1" t="n">
        <x:v>133</x:v>
      </x:c>
    </x:row>
    <x:row r="770" ht="21" customHeight="1">
      <x:c r="A770" s="12" t="n">
        <x:v>46260</x:v>
      </x:c>
      <x:c r="B770" s="1" t="str">
        <x:v>GFGV5600OC</x:v>
      </x:c>
      <x:c r="C770" s="1" t="str">
        <x:v>put</x:v>
      </x:c>
      <x:c r="D770" s="11" t="n">
        <x:v>5600</x:v>
      </x:c>
      <x:c r="E770" s="11" t="n">
        <x:f>'Option source'!B623</x:f>
        <x:v>22.39</x:v>
      </x:c>
      <x:c r="F770" s="11" t="n">
        <x:v>7045</x:v>
      </x:c>
      <x:c r="G770" s="18" t="n">
        <x:v>51</x:v>
      </x:c>
      <x:c r="H770" s="11" t="n">
        <x:f>MAX(IF(C770="call",F770-D770,D770-F770),0)</x:f>
        <x:v>0</x:v>
      </x:c>
      <x:c r="I770" s="11" t="n">
        <x:f>E770-H770</x:f>
        <x:v>22.39</x:v>
      </x:c>
      <x:c r="J770" s="13" t="n">
        <x:f>D770/F770</x:f>
        <x:v>0.794889992902768</x:v>
      </x:c>
      <x:c r="K770" s="13" t="n">
        <x:v>0.44252331167489556</x:v>
      </x:c>
      <x:c r="L770" s="17" t="n">
        <x:v>-0.042367562980911266</x:v>
      </x:c>
      <x:c r="M770" s="17" t="n">
        <x:v>2.377623231013809</x:v>
      </x:c>
      <x:c r="N770" s="11" t="n">
        <x:f>'Option source'!C623</x:f>
        <x:v>3776744</x:v>
      </x:c>
      <x:c r="O770" s="11" t="n">
        <x:f>'Option source'!G623</x:f>
        <x:v>20</x:v>
      </x:c>
      <x:c r="P770" s="11" t="n">
        <x:f>'Option source'!F623</x:f>
        <x:v>27</x:v>
      </x:c>
      <x:c r="Q770" s="1" t="str">
        <x:v>Screen passed; indicative</x:v>
      </x:c>
      <x:c r="R770" s="1" t="n">
        <x:v>618</x:v>
      </x:c>
    </x:row>
    <x:row r="771" ht="21" customHeight="1">
      <x:c r="A771" s="12" t="n">
        <x:v>46260</x:v>
      </x:c>
      <x:c r="B771" s="1" t="str">
        <x:v>GFGC8600OC</x:v>
      </x:c>
      <x:c r="C771" s="1" t="str">
        <x:v>call</x:v>
      </x:c>
      <x:c r="D771" s="11" t="n">
        <x:v>8600</x:v>
      </x:c>
      <x:c r="E771" s="11" t="n">
        <x:f>'Option source'!B395</x:f>
        <x:v>92.25</x:v>
      </x:c>
      <x:c r="F771" s="11" t="n">
        <x:v>7045</x:v>
      </x:c>
      <x:c r="G771" s="18" t="n">
        <x:v>51</x:v>
      </x:c>
      <x:c r="H771" s="11" t="n">
        <x:f>MAX(IF(C771="call",F771-D771,D771-F771),0)</x:f>
        <x:v>0</x:v>
      </x:c>
      <x:c r="I771" s="11" t="n">
        <x:f>E771-H771</x:f>
        <x:v>92.25</x:v>
      </x:c>
      <x:c r="J771" s="13" t="n">
        <x:f>D771/F771</x:f>
        <x:v>1.2207239176721079</x:v>
      </x:c>
      <x:c r="K771" s="13" t="n">
        <x:v>0.4102231864325492</x:v>
      </x:c>
      <x:c r="L771" s="17" t="n">
        <x:v>0.17089819976406118</x:v>
      </x:c>
      <x:c r="M771" s="17" t="n">
        <x:v>6.686482452968297</x:v>
      </x:c>
      <x:c r="N771" s="11" t="n">
        <x:f>'Option source'!C395</x:f>
        <x:v>116072392</x:v>
      </x:c>
      <x:c r="O771" s="11" t="n">
        <x:f>'Option source'!G395</x:f>
        <x:v>87</x:v>
      </x:c>
      <x:c r="P771" s="11" t="n">
        <x:f>'Option source'!F395</x:f>
        <x:v>129</x:v>
      </x:c>
      <x:c r="Q771" s="1" t="str">
        <x:v>Screen passed; indicative</x:v>
      </x:c>
      <x:c r="R771" s="1" t="n">
        <x:v>390</x:v>
      </x:c>
    </x:row>
    <x:row r="772" ht="21" customHeight="1">
      <x:c r="A772" s="12" t="n">
        <x:v>46260</x:v>
      </x:c>
      <x:c r="B772" s="1" t="str">
        <x:v>GFGV8600OC</x:v>
      </x:c>
      <x:c r="C772" s="1" t="str">
        <x:v>put</x:v>
      </x:c>
      <x:c r="D772" s="11" t="n">
        <x:v>8600</x:v>
      </x:c>
      <x:c r="E772" s="11" t="n">
        <x:f>'Option source'!B889</x:f>
        <x:v>1630</x:v>
      </x:c>
      <x:c r="F772" s="11" t="n">
        <x:v>7045</x:v>
      </x:c>
      <x:c r="G772" s="18" t="n">
        <x:v>51</x:v>
      </x:c>
      <x:c r="H772" s="11" t="n">
        <x:f>MAX(IF(C772="call",F772-D772,D772-F772),0)</x:f>
        <x:v>1555</x:v>
      </x:c>
      <x:c r="I772" s="11" t="n">
        <x:f>E772-H772</x:f>
        <x:v>75</x:v>
      </x:c>
      <x:c r="J772" s="13" t="n">
        <x:f>D772/F772</x:f>
        <x:v>1.2207239176721079</x:v>
      </x:c>
      <x:c r="K772" s="13" t="n">
        <x:v>0.6651149287814879</x:v>
      </x:c>
      <x:c r="L772" s="17" t="n">
        <x:v>-0.6947268219160558</x:v>
      </x:c>
      <x:c r="M772" s="17" t="n">
        <x:v>9.227967292311938</x:v>
      </x:c>
      <x:c r="N772" s="11" t="n">
        <x:f>'Option source'!C889</x:f>
        <x:v>485999.69</x:v>
      </x:c>
      <x:c r="O772" s="11" t="n">
        <x:f>'Option source'!G889</x:f>
        <x:v>1600</x:v>
      </x:c>
      <x:c r="P772" s="11" t="n">
        <x:f>'Option source'!F889</x:f>
        <x:v>1630</x:v>
      </x:c>
      <x:c r="Q772" s="1" t="str">
        <x:v>Screen passed; indicative</x:v>
      </x:c>
      <x:c r="R772" s="1" t="n">
        <x:v>884</x:v>
      </x:c>
    </x:row>
    <x:row r="773" ht="21" customHeight="1">
      <x:c r="A773" s="12" t="n">
        <x:v>46260</x:v>
      </x:c>
      <x:c r="B773" s="1" t="str">
        <x:v>GFGC5400OC</x:v>
      </x:c>
      <x:c r="C773" s="1" t="str">
        <x:v>call</x:v>
      </x:c>
      <x:c r="D773" s="11" t="n">
        <x:v>5400</x:v>
      </x:c>
      <x:c r="E773" s="11" t="n">
        <x:f>'Option source'!B120</x:f>
        <x:v>1752.86</x:v>
      </x:c>
      <x:c r="F773" s="11" t="n">
        <x:v>7045</x:v>
      </x:c>
      <x:c r="G773" s="18" t="n">
        <x:v>51</x:v>
      </x:c>
      <x:c r="H773" s="11" t="n">
        <x:f>MAX(IF(C773="call",F773-D773,D773-F773),0)</x:f>
        <x:v>1645</x:v>
      </x:c>
      <x:c r="I773" s="11" t="n">
        <x:f>E773-H773</x:f>
        <x:v>107.8599999999999</x:v>
      </x:c>
      <x:c r="J773" s="13" t="n">
        <x:f>D773/F773</x:f>
        <x:v>0.7665010645848119</x:v>
      </x:c>
      <x:c r="K773" s="13"/>
      <x:c r="L773" s="17"/>
      <x:c r="M773" s="17"/>
      <x:c r="N773" s="11" t="n">
        <x:f>'Option source'!C120</x:f>
        <x:v>0</x:v>
      </x:c>
      <x:c r="O773" s="11" t="n">
        <x:f>'Option source'!G120</x:f>
        <x:v>1697.73</x:v>
      </x:c>
      <x:c r="P773" s="11" t="n">
        <x:f>'Option source'!F120</x:f>
        <x:v>1766.86</x:v>
      </x:c>
      <x:c r="Q773" s="1" t="str">
        <x:v>Zero reported volume</x:v>
      </x:c>
      <x:c r="R773" s="1" t="n">
        <x:v>115</x:v>
      </x:c>
    </x:row>
    <x:row r="774" ht="21" customHeight="1">
      <x:c r="A774" s="12" t="n">
        <x:v>46260</x:v>
      </x:c>
      <x:c r="B774" s="1" t="str">
        <x:v>GFGV5400OC</x:v>
      </x:c>
      <x:c r="C774" s="1" t="str">
        <x:v>put</x:v>
      </x:c>
      <x:c r="D774" s="11" t="n">
        <x:v>5400</x:v>
      </x:c>
      <x:c r="E774" s="11" t="n">
        <x:f>'Option source'!B604</x:f>
        <x:v>13.97</x:v>
      </x:c>
      <x:c r="F774" s="11" t="n">
        <x:v>7045</x:v>
      </x:c>
      <x:c r="G774" s="18" t="n">
        <x:v>51</x:v>
      </x:c>
      <x:c r="H774" s="11" t="n">
        <x:f>MAX(IF(C774="call",F774-D774,D774-F774),0)</x:f>
        <x:v>0</x:v>
      </x:c>
      <x:c r="I774" s="11" t="n">
        <x:f>E774-H774</x:f>
        <x:v>13.97</x:v>
      </x:c>
      <x:c r="J774" s="13" t="n">
        <x:f>D774/F774</x:f>
        <x:v>0.7665010645848119</x:v>
      </x:c>
      <x:c r="K774" s="13" t="n">
        <x:v>0.4503143918385001</x:v>
      </x:c>
      <x:c r="L774" s="17" t="n">
        <x:v>-0.027876321066786947</x:v>
      </x:c>
      <x:c r="M774" s="17" t="n">
        <x:v>1.6857539734535507</x:v>
      </x:c>
      <x:c r="N774" s="11" t="n">
        <x:f>'Option source'!C604</x:f>
        <x:v>1705388.38</x:v>
      </x:c>
      <x:c r="O774" s="11" t="n">
        <x:f>'Option source'!G604</x:f>
        <x:v>13</x:v>
      </x:c>
      <x:c r="P774" s="11" t="n">
        <x:f>'Option source'!F604</x:f>
        <x:v>21</x:v>
      </x:c>
      <x:c r="Q774" s="1" t="str">
        <x:v>Screen passed; indicative</x:v>
      </x:c>
      <x:c r="R774" s="1" t="n">
        <x:v>599</x:v>
      </x:c>
    </x:row>
    <x:row r="775" ht="21" customHeight="1">
      <x:c r="A775" s="12" t="n">
        <x:v>46260</x:v>
      </x:c>
      <x:c r="B775" s="1" t="str">
        <x:v>GFGC5200OC</x:v>
      </x:c>
      <x:c r="C775" s="1" t="str">
        <x:v>call</x:v>
      </x:c>
      <x:c r="D775" s="11" t="n">
        <x:v>5200</x:v>
      </x:c>
      <x:c r="E775" s="11" t="n">
        <x:f>'Option source'!B101</x:f>
        <x:v>1981.15</x:v>
      </x:c>
      <x:c r="F775" s="11" t="n">
        <x:v>7045</x:v>
      </x:c>
      <x:c r="G775" s="18" t="n">
        <x:v>51</x:v>
      </x:c>
      <x:c r="H775" s="11" t="n">
        <x:f>MAX(IF(C775="call",F775-D775,D775-F775),0)</x:f>
        <x:v>1845</x:v>
      </x:c>
      <x:c r="I775" s="11" t="n">
        <x:f>E775-H775</x:f>
        <x:v>136.1500000000001</x:v>
      </x:c>
      <x:c r="J775" s="13" t="n">
        <x:f>D775/F775</x:f>
        <x:v>0.7381121362668559</x:v>
      </x:c>
      <x:c r="K775" s="13"/>
      <x:c r="L775" s="17"/>
      <x:c r="M775" s="17"/>
      <x:c r="N775" s="11" t="n">
        <x:f>'Option source'!C101</x:f>
        <x:v>8594971</x:v>
      </x:c>
      <x:c r="O775" s="11" t="n">
        <x:f>'Option source'!G101</x:f>
        <x:v>1989.77</x:v>
      </x:c>
      <x:c r="P775" s="11" t="n">
        <x:f>'Option source'!F101</x:f>
        <x:v>2165.4</x:v>
      </x:c>
      <x:c r="Q775" s="1" t="str">
        <x:v>Price outside daily range</x:v>
      </x:c>
      <x:c r="R775" s="1" t="n">
        <x:v>96</x:v>
      </x:c>
    </x:row>
    <x:row r="776" ht="21" customHeight="1">
      <x:c r="A776" s="12" t="n">
        <x:v>46260</x:v>
      </x:c>
      <x:c r="B776" s="1" t="str">
        <x:v>GFGV5200OC</x:v>
      </x:c>
      <x:c r="C776" s="1" t="str">
        <x:v>put</x:v>
      </x:c>
      <x:c r="D776" s="11" t="n">
        <x:v>5200</x:v>
      </x:c>
      <x:c r="E776" s="11" t="n">
        <x:f>'Option source'!B585</x:f>
        <x:v>8.81</x:v>
      </x:c>
      <x:c r="F776" s="11" t="n">
        <x:v>7045</x:v>
      </x:c>
      <x:c r="G776" s="18" t="n">
        <x:v>51</x:v>
      </x:c>
      <x:c r="H776" s="11" t="n">
        <x:f>MAX(IF(C776="call",F776-D776,D776-F776),0)</x:f>
        <x:v>0</x:v>
      </x:c>
      <x:c r="I776" s="11" t="n">
        <x:f>E776-H776</x:f>
        <x:v>8.81</x:v>
      </x:c>
      <x:c r="J776" s="13" t="n">
        <x:f>D776/F776</x:f>
        <x:v>0.7381121362668559</x:v>
      </x:c>
      <x:c r="K776" s="13" t="n">
        <x:v>0.46063960406728655</x:v>
      </x:c>
      <x:c r="L776" s="17" t="n">
        <x:v>-0.018170833094970362</x:v>
      </x:c>
      <x:c r="M776" s="17" t="n">
        <x:v>1.1751887241883832</x:v>
      </x:c>
      <x:c r="N776" s="11" t="n">
        <x:f>'Option source'!C585</x:f>
        <x:v>637267.38</x:v>
      </x:c>
      <x:c r="O776" s="11" t="n">
        <x:f>'Option source'!G585</x:f>
        <x:v>7.11</x:v>
      </x:c>
      <x:c r="P776" s="11" t="n">
        <x:f>'Option source'!F585</x:f>
        <x:v>12</x:v>
      </x:c>
      <x:c r="Q776" s="1" t="str">
        <x:v>Screen passed; indicative</x:v>
      </x:c>
      <x:c r="R776" s="1" t="n">
        <x:v>580</x:v>
      </x:c>
    </x:row>
    <x:row r="777" ht="21" customHeight="1">
      <x:c r="A777" s="12" t="n">
        <x:v>46260</x:v>
      </x:c>
      <x:c r="B777" s="1" t="str">
        <x:v>GFGC8900OC</x:v>
      </x:c>
      <x:c r="C777" s="1" t="str">
        <x:v>call</x:v>
      </x:c>
      <x:c r="D777" s="11" t="n">
        <x:v>8900</x:v>
      </x:c>
      <x:c r="E777" s="11" t="n">
        <x:f>'Option source'!B414</x:f>
        <x:v>66.03</x:v>
      </x:c>
      <x:c r="F777" s="11" t="n">
        <x:v>7045</x:v>
      </x:c>
      <x:c r="G777" s="18" t="n">
        <x:v>51</x:v>
      </x:c>
      <x:c r="H777" s="11" t="n">
        <x:f>MAX(IF(C777="call",F777-D777,D777-F777),0)</x:f>
        <x:v>0</x:v>
      </x:c>
      <x:c r="I777" s="11" t="n">
        <x:f>E777-H777</x:f>
        <x:v>66.03</x:v>
      </x:c>
      <x:c r="J777" s="13" t="n">
        <x:f>D777/F777</x:f>
        <x:v>1.263307310149042</x:v>
      </x:c>
      <x:c r="K777" s="13" t="n">
        <x:v>0.42157887980622344</x:v>
      </x:c>
      <x:c r="L777" s="17" t="n">
        <x:v>0.12747302783248127</x:v>
      </x:c>
      <x:c r="M777" s="17" t="n">
        <x:v>5.495509344799903</x:v>
      </x:c>
      <x:c r="N777" s="11" t="n">
        <x:f>'Option source'!C414</x:f>
        <x:v>36417060</x:v>
      </x:c>
      <x:c r="O777" s="11" t="n">
        <x:f>'Option source'!G414</x:f>
        <x:v>57.2</x:v>
      </x:c>
      <x:c r="P777" s="11" t="n">
        <x:f>'Option source'!F414</x:f>
        <x:v>86.49</x:v>
      </x:c>
      <x:c r="Q777" s="1" t="str">
        <x:v>Screen passed; indicative</x:v>
      </x:c>
      <x:c r="R777" s="1" t="n">
        <x:v>409</x:v>
      </x:c>
    </x:row>
    <x:row r="778" ht="21" customHeight="1">
      <x:c r="A778" s="12" t="n">
        <x:v>46260</x:v>
      </x:c>
      <x:c r="B778" s="1" t="str">
        <x:v>GFGC5000OC</x:v>
      </x:c>
      <x:c r="C778" s="1" t="str">
        <x:v>call</x:v>
      </x:c>
      <x:c r="D778" s="11" t="n">
        <x:v>5000</x:v>
      </x:c>
      <x:c r="E778" s="11" t="n">
        <x:f>'Option source'!B82</x:f>
        <x:v>2232.76</x:v>
      </x:c>
      <x:c r="F778" s="11" t="n">
        <x:v>7045</x:v>
      </x:c>
      <x:c r="G778" s="18" t="n">
        <x:v>51</x:v>
      </x:c>
      <x:c r="H778" s="11" t="n">
        <x:f>MAX(IF(C778="call",F778-D778,D778-F778),0)</x:f>
        <x:v>2045</x:v>
      </x:c>
      <x:c r="I778" s="11" t="n">
        <x:f>E778-H778</x:f>
        <x:v>187.76000000000022</x:v>
      </x:c>
      <x:c r="J778" s="13" t="n">
        <x:f>D778/F778</x:f>
        <x:v>0.7097232079489</x:v>
      </x:c>
      <x:c r="K778" s="13"/>
      <x:c r="L778" s="17"/>
      <x:c r="M778" s="17"/>
      <x:c r="N778" s="11" t="n">
        <x:f>'Option source'!C82</x:f>
        <x:v>2937336</x:v>
      </x:c>
      <x:c r="O778" s="11" t="n">
        <x:f>'Option source'!G82</x:f>
        <x:v>2260</x:v>
      </x:c>
      <x:c r="P778" s="11" t="n">
        <x:f>'Option source'!F82</x:f>
        <x:v>2300</x:v>
      </x:c>
      <x:c r="Q778" s="1" t="str">
        <x:v>Price outside daily range</x:v>
      </x:c>
      <x:c r="R778" s="1" t="n">
        <x:v>77</x:v>
      </x:c>
    </x:row>
    <x:row r="779" ht="21" customHeight="1">
      <x:c r="A779" s="12" t="n">
        <x:v>46260</x:v>
      </x:c>
      <x:c r="B779" s="1" t="str">
        <x:v>GFGV5000OC</x:v>
      </x:c>
      <x:c r="C779" s="1" t="str">
        <x:v>put</x:v>
      </x:c>
      <x:c r="D779" s="11" t="n">
        <x:v>5000</x:v>
      </x:c>
      <x:c r="E779" s="11" t="n">
        <x:f>'Option source'!B566</x:f>
        <x:v>6.06</x:v>
      </x:c>
      <x:c r="F779" s="11" t="n">
        <x:v>7045</x:v>
      </x:c>
      <x:c r="G779" s="18" t="n">
        <x:v>51</x:v>
      </x:c>
      <x:c r="H779" s="11" t="n">
        <x:f>MAX(IF(C779="call",F779-D779,D779-F779),0)</x:f>
        <x:v>0</x:v>
      </x:c>
      <x:c r="I779" s="11" t="n">
        <x:f>E779-H779</x:f>
        <x:v>6.06</x:v>
      </x:c>
      <x:c r="J779" s="13" t="n">
        <x:f>D779/F779</x:f>
        <x:v>0.7097232079489</x:v>
      </x:c>
      <x:c r="K779" s="13" t="n">
        <x:v>0.47909485253535333</x:v>
      </x:c>
      <x:c r="L779" s="17" t="n">
        <x:v>-0.01260311490425925</x:v>
      </x:c>
      <x:c r="M779" s="17" t="n">
        <x:v>0.8582137376002842</x:v>
      </x:c>
      <x:c r="N779" s="11" t="n">
        <x:f>'Option source'!C566</x:f>
        <x:v>731671.81</x:v>
      </x:c>
      <x:c r="O779" s="11" t="n">
        <x:f>'Option source'!G566</x:f>
        <x:v>5.2</x:v>
      </x:c>
      <x:c r="P779" s="11" t="n">
        <x:f>'Option source'!F566</x:f>
        <x:v>10</x:v>
      </x:c>
      <x:c r="Q779" s="1" t="str">
        <x:v>Screen passed; indicative</x:v>
      </x:c>
      <x:c r="R779" s="1" t="n">
        <x:v>561</x:v>
      </x:c>
    </x:row>
    <x:row r="780" ht="21" customHeight="1">
      <x:c r="A780" s="12" t="n">
        <x:v>46260</x:v>
      </x:c>
      <x:c r="B780" s="1" t="str">
        <x:v>GFGC9200OC</x:v>
      </x:c>
      <x:c r="C780" s="1" t="str">
        <x:v>call</x:v>
      </x:c>
      <x:c r="D780" s="11" t="n">
        <x:v>9200</x:v>
      </x:c>
      <x:c r="E780" s="11" t="n">
        <x:f>'Option source'!B433</x:f>
        <x:v>41.09</x:v>
      </x:c>
      <x:c r="F780" s="11" t="n">
        <x:v>7045</x:v>
      </x:c>
      <x:c r="G780" s="18" t="n">
        <x:v>51</x:v>
      </x:c>
      <x:c r="H780" s="11" t="n">
        <x:f>MAX(IF(C780="call",F780-D780,D780-F780),0)</x:f>
        <x:v>0</x:v>
      </x:c>
      <x:c r="I780" s="11" t="n">
        <x:f>E780-H780</x:f>
        <x:v>41.09</x:v>
      </x:c>
      <x:c r="J780" s="13" t="n">
        <x:f>D780/F780</x:f>
        <x:v>1.3058907026259758</x:v>
      </x:c>
      <x:c r="K780" s="13" t="n">
        <x:v>0.4175861570666174</x:v>
      </x:c>
      <x:c r="L780" s="17" t="n">
        <x:v>0.08641144036276077</x:v>
      </x:c>
      <x:c r="M780" s="17" t="n">
        <x:v>4.148664215731631</x:v>
      </x:c>
      <x:c r="N780" s="11" t="n">
        <x:f>'Option source'!C433</x:f>
        <x:v>9481437</x:v>
      </x:c>
      <x:c r="O780" s="11" t="n">
        <x:f>'Option source'!G433</x:f>
        <x:v>38.5</x:v>
      </x:c>
      <x:c r="P780" s="11" t="n">
        <x:f>'Option source'!F433</x:f>
        <x:v>57.5</x:v>
      </x:c>
      <x:c r="Q780" s="1" t="str">
        <x:v>Screen passed; indicative</x:v>
      </x:c>
      <x:c r="R780" s="1" t="n">
        <x:v>428</x:v>
      </x:c>
    </x:row>
    <x:row r="781" ht="21" customHeight="1">
      <x:c r="A781" s="12" t="n">
        <x:v>46260</x:v>
      </x:c>
      <x:c r="B781" s="1" t="str">
        <x:v>GFGC4800OC</x:v>
      </x:c>
      <x:c r="C781" s="1" t="str">
        <x:v>call</x:v>
      </x:c>
      <x:c r="D781" s="11" t="n">
        <x:v>4800</x:v>
      </x:c>
      <x:c r="E781" s="11" t="n">
        <x:f>'Option source'!B65</x:f>
        <x:v>2280</x:v>
      </x:c>
      <x:c r="F781" s="11" t="n">
        <x:v>7045</x:v>
      </x:c>
      <x:c r="G781" s="18" t="n">
        <x:v>51</x:v>
      </x:c>
      <x:c r="H781" s="11" t="n">
        <x:f>MAX(IF(C781="call",F781-D781,D781-F781),0)</x:f>
        <x:v>2245</x:v>
      </x:c>
      <x:c r="I781" s="11" t="n">
        <x:f>E781-H781</x:f>
        <x:v>35</x:v>
      </x:c>
      <x:c r="J781" s="13" t="n">
        <x:f>D781/F781</x:f>
        <x:v>0.681334279630944</x:v>
      </x:c>
      <x:c r="K781" s="13"/>
      <x:c r="L781" s="17"/>
      <x:c r="M781" s="17"/>
      <x:c r="N781" s="11" t="n">
        <x:f>'Option source'!C65</x:f>
        <x:v>0</x:v>
      </x:c>
      <x:c r="O781" s="11" t="n">
        <x:f>'Option source'!G65</x:f>
        <x:v>2323.19</x:v>
      </x:c>
      <x:c r="P781" s="11" t="n">
        <x:f>'Option source'!F65</x:f>
        <x:v>2323.19</x:v>
      </x:c>
      <x:c r="Q781" s="1" t="str">
        <x:v>Zero reported volume; Price outside daily range</x:v>
      </x:c>
      <x:c r="R781" s="1" t="n">
        <x:v>60</x:v>
      </x:c>
    </x:row>
    <x:row r="782" ht="21" customHeight="1">
      <x:c r="A782" s="12" t="n">
        <x:v>46260</x:v>
      </x:c>
      <x:c r="B782" s="1" t="str">
        <x:v>GFGV4800OC</x:v>
      </x:c>
      <x:c r="C782" s="1" t="str">
        <x:v>put</x:v>
      </x:c>
      <x:c r="D782" s="11" t="n">
        <x:v>4800</x:v>
      </x:c>
      <x:c r="E782" s="11" t="n">
        <x:f>'Option source'!B547</x:f>
        <x:v>4.1</x:v>
      </x:c>
      <x:c r="F782" s="11" t="n">
        <x:v>7045</x:v>
      </x:c>
      <x:c r="G782" s="18" t="n">
        <x:v>51</x:v>
      </x:c>
      <x:c r="H782" s="11" t="n">
        <x:f>MAX(IF(C782="call",F782-D782,D782-F782),0)</x:f>
        <x:v>0</x:v>
      </x:c>
      <x:c r="I782" s="11" t="n">
        <x:f>E782-H782</x:f>
        <x:v>4.1</x:v>
      </x:c>
      <x:c r="J782" s="13" t="n">
        <x:f>D782/F782</x:f>
        <x:v>0.681334279630944</x:v>
      </x:c>
      <x:c r="K782" s="13" t="n">
        <x:v>0.4973667543405892</x:v>
      </x:c>
      <x:c r="L782" s="17" t="n">
        <x:v>-0.00860293931629419</x:v>
      </x:c>
      <x:c r="M782" s="17" t="n">
        <x:v>0.6152684373982701</x:v>
      </x:c>
      <x:c r="N782" s="11" t="n">
        <x:f>'Option source'!C547</x:f>
        <x:v>116677</x:v>
      </x:c>
      <x:c r="O782" s="11" t="n">
        <x:f>'Option source'!G547</x:f>
        <x:v>3.8</x:v>
      </x:c>
      <x:c r="P782" s="11" t="n">
        <x:f>'Option source'!F547</x:f>
        <x:v>5</x:v>
      </x:c>
      <x:c r="Q782" s="1" t="str">
        <x:v>Screen passed; indicative</x:v>
      </x:c>
      <x:c r="R782" s="1" t="n">
        <x:v>542</x:v>
      </x:c>
    </x:row>
    <x:row r="783" ht="21" customHeight="1">
      <x:c r="A783" s="12" t="n">
        <x:v>46260</x:v>
      </x:c>
      <x:c r="B783" s="1" t="str">
        <x:v>GFGC4600OC</x:v>
      </x:c>
      <x:c r="C783" s="1" t="str">
        <x:v>call</x:v>
      </x:c>
      <x:c r="D783" s="11" t="n">
        <x:v>4600</x:v>
      </x:c>
      <x:c r="E783" s="11" t="n">
        <x:f>'Option source'!B48</x:f>
        <x:v>2493.23</x:v>
      </x:c>
      <x:c r="F783" s="11" t="n">
        <x:v>7045</x:v>
      </x:c>
      <x:c r="G783" s="18" t="n">
        <x:v>51</x:v>
      </x:c>
      <x:c r="H783" s="11" t="n">
        <x:f>MAX(IF(C783="call",F783-D783,D783-F783),0)</x:f>
        <x:v>2445</x:v>
      </x:c>
      <x:c r="I783" s="11" t="n">
        <x:f>E783-H783</x:f>
        <x:v>48.23000000000002</x:v>
      </x:c>
      <x:c r="J783" s="13" t="n">
        <x:f>D783/F783</x:f>
        <x:v>0.6529453513129879</x:v>
      </x:c>
      <x:c r="K783" s="13"/>
      <x:c r="L783" s="17"/>
      <x:c r="M783" s="17"/>
      <x:c r="N783" s="11" t="n">
        <x:f>'Option source'!C48</x:f>
        <x:v>0</x:v>
      </x:c>
      <x:c r="O783" s="11" t="n">
        <x:f>'Option source'!G48</x:f>
        <x:v>2493.23</x:v>
      </x:c>
      <x:c r="P783" s="11" t="n">
        <x:f>'Option source'!F48</x:f>
        <x:v>2493.23</x:v>
      </x:c>
      <x:c r="Q783" s="1" t="str">
        <x:v>Zero reported volume</x:v>
      </x:c>
      <x:c r="R783" s="1" t="n">
        <x:v>43</x:v>
      </x:c>
    </x:row>
    <x:row r="784" ht="21" customHeight="1">
      <x:c r="A784" s="12" t="n">
        <x:v>46260</x:v>
      </x:c>
      <x:c r="B784" s="1" t="str">
        <x:v>GFGV4600OC</x:v>
      </x:c>
      <x:c r="C784" s="1" t="str">
        <x:v>put</x:v>
      </x:c>
      <x:c r="D784" s="11" t="n">
        <x:v>4600</x:v>
      </x:c>
      <x:c r="E784" s="11" t="n">
        <x:f>'Option source'!B528</x:f>
        <x:v>3.41</x:v>
      </x:c>
      <x:c r="F784" s="11" t="n">
        <x:v>7045</x:v>
      </x:c>
      <x:c r="G784" s="18" t="n">
        <x:v>51</x:v>
      </x:c>
      <x:c r="H784" s="11" t="n">
        <x:f>MAX(IF(C784="call",F784-D784,D784-F784),0)</x:f>
        <x:v>0</x:v>
      </x:c>
      <x:c r="I784" s="11" t="n">
        <x:f>E784-H784</x:f>
        <x:v>3.41</x:v>
      </x:c>
      <x:c r="J784" s="13" t="n">
        <x:f>D784/F784</x:f>
        <x:v>0.6529453513129879</x:v>
      </x:c>
      <x:c r="K784" s="13" t="n">
        <x:v>0.530284045018176</x:v>
      </x:c>
      <x:c r="L784" s="17" t="n">
        <x:v>-0.006926926245268694</x:v>
      </x:c>
      <x:c r="M784" s="17" t="n">
        <x:v>0.5084404804080621</x:v>
      </x:c>
      <x:c r="N784" s="11" t="n">
        <x:f>'Option source'!C528</x:f>
        <x:v>175435</x:v>
      </x:c>
      <x:c r="O784" s="11" t="n">
        <x:f>'Option source'!G528</x:f>
        <x:v>2.56</x:v>
      </x:c>
      <x:c r="P784" s="11" t="n">
        <x:f>'Option source'!F528</x:f>
        <x:v>4</x:v>
      </x:c>
      <x:c r="Q784" s="1" t="str">
        <x:v>Screen passed; indicative</x:v>
      </x:c>
      <x:c r="R784" s="1" t="n">
        <x:v>523</x:v>
      </x:c>
    </x:row>
    <x:row r="785" ht="21" customHeight="1">
      <x:c r="A785" s="12" t="n">
        <x:v>46260</x:v>
      </x:c>
      <x:c r="B785" s="1" t="str">
        <x:v>GFGC9500OC</x:v>
      </x:c>
      <x:c r="C785" s="1" t="str">
        <x:v>call</x:v>
      </x:c>
      <x:c r="D785" s="11" t="n">
        <x:v>9500</x:v>
      </x:c>
      <x:c r="E785" s="11" t="n">
        <x:f>'Option source'!B452</x:f>
        <x:v>27.58</x:v>
      </x:c>
      <x:c r="F785" s="11" t="n">
        <x:v>7045</x:v>
      </x:c>
      <x:c r="G785" s="18" t="n">
        <x:v>51</x:v>
      </x:c>
      <x:c r="H785" s="11" t="n">
        <x:f>MAX(IF(C785="call",F785-D785,D785-F785),0)</x:f>
        <x:v>0</x:v>
      </x:c>
      <x:c r="I785" s="11" t="n">
        <x:f>E785-H785</x:f>
        <x:v>27.58</x:v>
      </x:c>
      <x:c r="J785" s="13" t="n">
        <x:f>D785/F785</x:f>
        <x:v>1.34847409510291</x:v>
      </x:c>
      <x:c r="K785" s="13" t="n">
        <x:v>0.4228214119018089</x:v>
      </x:c>
      <x:c r="L785" s="17" t="n">
        <x:v>0.06088442165082797</x:v>
      </x:c>
      <x:c r="M785" s="17" t="n">
        <x:v>3.1731298920124003</x:v>
      </x:c>
      <x:c r="N785" s="11" t="n">
        <x:f>'Option source'!C452</x:f>
        <x:v>5708698.5</x:v>
      </x:c>
      <x:c r="O785" s="11" t="n">
        <x:f>'Option source'!G452</x:f>
        <x:v>25.66</x:v>
      </x:c>
      <x:c r="P785" s="11" t="n">
        <x:f>'Option source'!F452</x:f>
        <x:v>35</x:v>
      </x:c>
      <x:c r="Q785" s="1" t="str">
        <x:v>Screen passed; indicative</x:v>
      </x:c>
      <x:c r="R785" s="1" t="n">
        <x:v>447</x:v>
      </x:c>
    </x:row>
    <x:row r="786" ht="21" customHeight="1">
      <x:c r="A786" s="12" t="n">
        <x:v>46260</x:v>
      </x:c>
      <x:c r="B786" s="1" t="str">
        <x:v>GFGC4400OC</x:v>
      </x:c>
      <x:c r="C786" s="1" t="str">
        <x:v>call</x:v>
      </x:c>
      <x:c r="D786" s="11" t="n">
        <x:v>4400</x:v>
      </x:c>
      <x:c r="E786" s="11" t="n">
        <x:f>'Option source'!B29</x:f>
        <x:v>2387.12</x:v>
      </x:c>
      <x:c r="F786" s="11" t="n">
        <x:v>7045</x:v>
      </x:c>
      <x:c r="G786" s="18" t="n">
        <x:v>51</x:v>
      </x:c>
      <x:c r="H786" s="11" t="n">
        <x:f>MAX(IF(C786="call",F786-D786,D786-F786),0)</x:f>
        <x:v>2645</x:v>
      </x:c>
      <x:c r="I786" s="11" t="n">
        <x:f>E786-H786</x:f>
        <x:v>-257.8800000000001</x:v>
      </x:c>
      <x:c r="J786" s="13" t="n">
        <x:f>D786/F786</x:f>
        <x:v>0.6245564229950319</x:v>
      </x:c>
      <x:c r="K786" s="13"/>
      <x:c r="L786" s="17"/>
      <x:c r="M786" s="17"/>
      <x:c r="N786" s="11" t="n">
        <x:f>'Option source'!C29</x:f>
        <x:v>0</x:v>
      </x:c>
      <x:c r="O786" s="11" t="n">
        <x:f>'Option source'!G29</x:f>
        <x:v>2366.48</x:v>
      </x:c>
      <x:c r="P786" s="11" t="n">
        <x:f>'Option source'!F29</x:f>
        <x:v>2376.5</x:v>
      </x:c>
      <x:c r="Q786" s="1" t="str">
        <x:v>Zero reported volume; Price outside daily range; Below intrinsic value</x:v>
      </x:c>
      <x:c r="R786" s="1" t="n">
        <x:v>24</x:v>
      </x:c>
    </x:row>
    <x:row r="787" ht="21" customHeight="1">
      <x:c r="A787" s="12" t="n">
        <x:v>46260</x:v>
      </x:c>
      <x:c r="B787" s="1" t="str">
        <x:v>GFGV4400OC</x:v>
      </x:c>
      <x:c r="C787" s="1" t="str">
        <x:v>put</x:v>
      </x:c>
      <x:c r="D787" s="11" t="n">
        <x:v>4400</x:v>
      </x:c>
      <x:c r="E787" s="11" t="n">
        <x:f>'Option source'!B509</x:f>
        <x:v>2.68</x:v>
      </x:c>
      <x:c r="F787" s="11" t="n">
        <x:v>7045</x:v>
      </x:c>
      <x:c r="G787" s="18" t="n">
        <x:v>51</x:v>
      </x:c>
      <x:c r="H787" s="11" t="n">
        <x:f>MAX(IF(C787="call",F787-D787,D787-F787),0)</x:f>
        <x:v>0</x:v>
      </x:c>
      <x:c r="I787" s="11" t="n">
        <x:f>E787-H787</x:f>
        <x:v>2.68</x:v>
      </x:c>
      <x:c r="J787" s="13" t="n">
        <x:f>D787/F787</x:f>
        <x:v>0.6245564229950319</x:v>
      </x:c>
      <x:c r="K787" s="13" t="n">
        <x:v>0.5598332264427677</x:v>
      </x:c>
      <x:c r="L787" s="17" t="n">
        <x:v>-0.005320009673620341</x:v>
      </x:c>
      <x:c r="M787" s="17" t="n">
        <x:v>0.4024008170820524</x:v>
      </x:c>
      <x:c r="N787" s="11" t="n">
        <x:f>'Option source'!C509</x:f>
        <x:v>357127.69</x:v>
      </x:c>
      <x:c r="O787" s="11" t="n">
        <x:f>'Option source'!G509</x:f>
        <x:v>2.2</x:v>
      </x:c>
      <x:c r="P787" s="11" t="n">
        <x:f>'Option source'!F509</x:f>
        <x:v>3.9</x:v>
      </x:c>
      <x:c r="Q787" s="1" t="str">
        <x:v>Screen passed; indicative</x:v>
      </x:c>
      <x:c r="R787" s="1" t="n">
        <x:v>504</x:v>
      </x:c>
    </x:row>
    <x:row r="788" ht="21" customHeight="1">
      <x:c r="A788" s="12" t="n">
        <x:v>46260</x:v>
      </x:c>
      <x:c r="B788" s="1" t="str">
        <x:v>GFGC4200OC</x:v>
      </x:c>
      <x:c r="C788" s="1" t="str">
        <x:v>call</x:v>
      </x:c>
      <x:c r="D788" s="11" t="n">
        <x:v>4200</x:v>
      </x:c>
      <x:c r="E788" s="11" t="n">
        <x:f>'Option source'!B10</x:f>
        <x:v>2914.64</x:v>
      </x:c>
      <x:c r="F788" s="11" t="n">
        <x:v>7045</x:v>
      </x:c>
      <x:c r="G788" s="18" t="n">
        <x:v>51</x:v>
      </x:c>
      <x:c r="H788" s="11" t="n">
        <x:f>MAX(IF(C788="call",F788-D788,D788-F788),0)</x:f>
        <x:v>2845</x:v>
      </x:c>
      <x:c r="I788" s="11" t="n">
        <x:f>E788-H788</x:f>
        <x:v>69.63999999999987</x:v>
      </x:c>
      <x:c r="J788" s="13" t="n">
        <x:f>D788/F788</x:f>
        <x:v>0.596167494677076</x:v>
      </x:c>
      <x:c r="K788" s="13"/>
      <x:c r="L788" s="17"/>
      <x:c r="M788" s="17"/>
      <x:c r="N788" s="11" t="n">
        <x:f>'Option source'!C10</x:f>
        <x:v>1761738</x:v>
      </x:c>
      <x:c r="O788" s="11" t="n">
        <x:f>'Option source'!G10</x:f>
        <x:v>2929.59</x:v>
      </x:c>
      <x:c r="P788" s="11" t="n">
        <x:f>'Option source'!F10</x:f>
        <x:v>2964.46</x:v>
      </x:c>
      <x:c r="Q788" s="1" t="str">
        <x:v>Price outside daily range</x:v>
      </x:c>
      <x:c r="R788" s="1" t="n">
        <x:v>5</x:v>
      </x:c>
    </x:row>
    <x:row r="789" ht="21" customHeight="1">
      <x:c r="A789" s="12" t="n">
        <x:v>46260</x:v>
      </x:c>
      <x:c r="B789" s="1" t="str">
        <x:v>GFGV4200OC</x:v>
      </x:c>
      <x:c r="C789" s="1" t="str">
        <x:v>put</x:v>
      </x:c>
      <x:c r="D789" s="11" t="n">
        <x:v>4200</x:v>
      </x:c>
      <x:c r="E789" s="11" t="n">
        <x:f>'Option source'!B490</x:f>
        <x:v>2.59</x:v>
      </x:c>
      <x:c r="F789" s="11" t="n">
        <x:v>7045</x:v>
      </x:c>
      <x:c r="G789" s="18" t="n">
        <x:v>51</x:v>
      </x:c>
      <x:c r="H789" s="11" t="n">
        <x:f>MAX(IF(C789="call",F789-D789,D789-F789),0)</x:f>
        <x:v>0</x:v>
      </x:c>
      <x:c r="I789" s="11" t="n">
        <x:f>E789-H789</x:f>
        <x:v>2.59</x:v>
      </x:c>
      <x:c r="J789" s="13" t="n">
        <x:f>D789/F789</x:f>
        <x:v>0.596167494677076</x:v>
      </x:c>
      <x:c r="K789" s="13" t="n">
        <x:v>0.6038146578713965</x:v>
      </x:c>
      <x:c r="L789" s="17" t="n">
        <x:v>-0.004795989212743157</x:v>
      </x:c>
      <x:c r="M789" s="17" t="n">
        <x:v>0.3669084522539638</x:v>
      </x:c>
      <x:c r="N789" s="11" t="n">
        <x:f>'Option source'!C490</x:f>
        <x:v>339267.31</x:v>
      </x:c>
      <x:c r="O789" s="11" t="n">
        <x:f>'Option source'!G490</x:f>
        <x:v>1.71</x:v>
      </x:c>
      <x:c r="P789" s="11" t="n">
        <x:f>'Option source'!F490</x:f>
        <x:v>3.33</x:v>
      </x:c>
      <x:c r="Q789" s="1" t="str">
        <x:v>Screen passed; indicative</x:v>
      </x:c>
      <x:c r="R789" s="1" t="n">
        <x:v>485</x:v>
      </x:c>
    </x:row>
    <x:row r="790" ht="21" customHeight="1">
      <x:c r="A790" s="12" t="n">
        <x:v>46260</x:v>
      </x:c>
      <x:c r="B790" s="1" t="str">
        <x:v>GFGC9900OC</x:v>
      </x:c>
      <x:c r="C790" s="1" t="str">
        <x:v>call</x:v>
      </x:c>
      <x:c r="D790" s="11" t="n">
        <x:v>9900</x:v>
      </x:c>
      <x:c r="E790" s="11" t="n">
        <x:f>'Option source'!B471</x:f>
        <x:v>16.5</x:v>
      </x:c>
      <x:c r="F790" s="11" t="n">
        <x:v>7045</x:v>
      </x:c>
      <x:c r="G790" s="18" t="n">
        <x:v>51</x:v>
      </x:c>
      <x:c r="H790" s="11" t="n">
        <x:f>MAX(IF(C790="call",F790-D790,D790-F790),0)</x:f>
        <x:v>0</x:v>
      </x:c>
      <x:c r="I790" s="11" t="n">
        <x:f>E790-H790</x:f>
        <x:v>16.5</x:v>
      </x:c>
      <x:c r="J790" s="13" t="n">
        <x:f>D790/F790</x:f>
        <x:v>1.4052519517388218</x:v>
      </x:c>
      <x:c r="K790" s="13" t="n">
        <x:v>0.4311760798826786</x:v>
      </x:c>
      <x:c r="L790" s="17" t="n">
        <x:v>0.03834626594771156</x:v>
      </x:c>
      <x:c r="M790" s="17" t="n">
        <x:v>2.1926503827990618</x:v>
      </x:c>
      <x:c r="N790" s="11" t="n">
        <x:f>'Option source'!C471</x:f>
        <x:v>1567710.62</x:v>
      </x:c>
      <x:c r="O790" s="11" t="n">
        <x:f>'Option source'!G471</x:f>
        <x:v>15</x:v>
      </x:c>
      <x:c r="P790" s="11" t="n">
        <x:f>'Option source'!F471</x:f>
        <x:v>22</x:v>
      </x:c>
      <x:c r="Q790" s="1" t="str">
        <x:v>Screen passed; indicative</x:v>
      </x:c>
      <x:c r="R790" s="1" t="n">
        <x:v>466</x:v>
      </x:c>
    </x:row>
    <x:row r="791" ht="21" customHeight="1">
      <x:c r="A791" s="12" t="n">
        <x:v>46259</x:v>
      </x:c>
      <x:c r="B791" s="1" t="str">
        <x:v>GFGC7000OC</x:v>
      </x:c>
      <x:c r="C791" s="1" t="str">
        <x:v>call</x:v>
      </x:c>
      <x:c r="D791" s="11" t="n">
        <x:v>7000</x:v>
      </x:c>
      <x:c r="E791" s="11" t="n">
        <x:f>'Option source'!B261</x:f>
        <x:v>604.66</x:v>
      </x:c>
      <x:c r="F791" s="11" t="n">
        <x:v>7075</x:v>
      </x:c>
      <x:c r="G791" s="18" t="n">
        <x:v>52</x:v>
      </x:c>
      <x:c r="H791" s="11" t="n">
        <x:f>MAX(IF(C791="call",F791-D791,D791-F791),0)</x:f>
        <x:v>75</x:v>
      </x:c>
      <x:c r="I791" s="11" t="n">
        <x:f>E791-H791</x:f>
        <x:v>529.66</x:v>
      </x:c>
      <x:c r="J791" s="13" t="n">
        <x:f>D791/F791</x:f>
        <x:v>0.9893992932862191</x:v>
      </x:c>
      <x:c r="K791" s="13" t="n">
        <x:v>0.3798097335206649</x:v>
      </x:c>
      <x:c r="L791" s="17" t="n">
        <x:v>0.6715338957503731</x:v>
      </x:c>
      <x:c r="M791" s="17" t="n">
        <x:v>9.652832432012389</x:v>
      </x:c>
      <x:c r="N791" s="11" t="n">
        <x:f>'Option source'!C261</x:f>
        <x:v>487959488</x:v>
      </x:c>
      <x:c r="O791" s="11" t="n">
        <x:f>'Option source'!G261</x:f>
        <x:v>520</x:v>
      </x:c>
      <x:c r="P791" s="11" t="n">
        <x:f>'Option source'!F261</x:f>
        <x:v>615</x:v>
      </x:c>
      <x:c r="Q791" s="1" t="str">
        <x:v>Screen passed; indicative</x:v>
      </x:c>
      <x:c r="R791" s="1" t="n">
        <x:v>256</x:v>
      </x:c>
    </x:row>
    <x:row r="792" ht="21" customHeight="1">
      <x:c r="A792" s="12" t="n">
        <x:v>46259</x:v>
      </x:c>
      <x:c r="B792" s="1" t="str">
        <x:v>GFGV7000OC</x:v>
      </x:c>
      <x:c r="C792" s="1" t="str">
        <x:v>put</x:v>
      </x:c>
      <x:c r="D792" s="11" t="n">
        <x:v>7000</x:v>
      </x:c>
      <x:c r="E792" s="11" t="n">
        <x:f>'Option source'!B755</x:f>
        <x:v>333.44</x:v>
      </x:c>
      <x:c r="F792" s="11" t="n">
        <x:v>7075</x:v>
      </x:c>
      <x:c r="G792" s="18" t="n">
        <x:v>52</x:v>
      </x:c>
      <x:c r="H792" s="11" t="n">
        <x:f>MAX(IF(C792="call",F792-D792,D792-F792),0)</x:f>
        <x:v>0</x:v>
      </x:c>
      <x:c r="I792" s="11" t="n">
        <x:f>E792-H792</x:f>
        <x:v>333.44</x:v>
      </x:c>
      <x:c r="J792" s="13" t="n">
        <x:f>D792/F792</x:f>
        <x:v>0.9893992932862191</x:v>
      </x:c>
      <x:c r="K792" s="13" t="n">
        <x:v>0.45075767305580433</x:v>
      </x:c>
      <x:c r="L792" s="17" t="n">
        <x:v>-0.34497758327368633</x:v>
      </x:c>
      <x:c r="M792" s="17" t="n">
        <x:v>9.838667002263072</x:v>
      </x:c>
      <x:c r="N792" s="11" t="n">
        <x:f>'Option source'!C755</x:f>
        <x:v>147368496</x:v>
      </x:c>
      <x:c r="O792" s="11" t="n">
        <x:f>'Option source'!G755</x:f>
        <x:v>325.02</x:v>
      </x:c>
      <x:c r="P792" s="11" t="n">
        <x:f>'Option source'!F755</x:f>
        <x:v>429</x:v>
      </x:c>
      <x:c r="Q792" s="1" t="str">
        <x:v>Screen passed; indicative</x:v>
      </x:c>
      <x:c r="R792" s="1" t="n">
        <x:v>750</x:v>
      </x:c>
    </x:row>
    <x:row r="793" ht="21" customHeight="1">
      <x:c r="A793" s="12" t="n">
        <x:v>46259</x:v>
      </x:c>
      <x:c r="B793" s="1" t="str">
        <x:v>GFGC7200OC</x:v>
      </x:c>
      <x:c r="C793" s="1" t="str">
        <x:v>call</x:v>
      </x:c>
      <x:c r="D793" s="11" t="n">
        <x:v>7200</x:v>
      </x:c>
      <x:c r="E793" s="11" t="n">
        <x:f>'Option source'!B280</x:f>
        <x:v>501.24</x:v>
      </x:c>
      <x:c r="F793" s="11" t="n">
        <x:v>7075</x:v>
      </x:c>
      <x:c r="G793" s="18" t="n">
        <x:v>52</x:v>
      </x:c>
      <x:c r="H793" s="11" t="n">
        <x:f>MAX(IF(C793="call",F793-D793,D793-F793),0)</x:f>
        <x:v>0</x:v>
      </x:c>
      <x:c r="I793" s="11" t="n">
        <x:f>E793-H793</x:f>
        <x:v>501.24</x:v>
      </x:c>
      <x:c r="J793" s="13" t="n">
        <x:f>D793/F793</x:f>
        <x:v>1.017667844522968</x:v>
      </x:c>
      <x:c r="K793" s="13" t="n">
        <x:v>0.3872763682276154</x:v>
      </x:c>
      <x:c r="L793" s="17" t="n">
        <x:v>0.5970279516422873</x:v>
      </x:c>
      <x:c r="M793" s="17" t="n">
        <x:v>10.336820660432707</x:v>
      </x:c>
      <x:c r="N793" s="11" t="n">
        <x:f>'Option source'!C280</x:f>
        <x:v>350747936</x:v>
      </x:c>
      <x:c r="O793" s="11" t="n">
        <x:f>'Option source'!G280</x:f>
        <x:v>440</x:v>
      </x:c>
      <x:c r="P793" s="11" t="n">
        <x:f>'Option source'!F280</x:f>
        <x:v>513.01</x:v>
      </x:c>
      <x:c r="Q793" s="1" t="str">
        <x:v>Screen passed; indicative</x:v>
      </x:c>
      <x:c r="R793" s="1" t="n">
        <x:v>275</x:v>
      </x:c>
    </x:row>
    <x:row r="794" ht="21" customHeight="1">
      <x:c r="A794" s="12" t="n">
        <x:v>46259</x:v>
      </x:c>
      <x:c r="B794" s="1" t="str">
        <x:v>GFGV7200OC</x:v>
      </x:c>
      <x:c r="C794" s="1" t="str">
        <x:v>put</x:v>
      </x:c>
      <x:c r="D794" s="11" t="n">
        <x:v>7200</x:v>
      </x:c>
      <x:c r="E794" s="11" t="n">
        <x:f>'Option source'!B774</x:f>
        <x:v>428.03</x:v>
      </x:c>
      <x:c r="F794" s="11" t="n">
        <x:v>7075</x:v>
      </x:c>
      <x:c r="G794" s="18" t="n">
        <x:v>52</x:v>
      </x:c>
      <x:c r="H794" s="11" t="n">
        <x:f>MAX(IF(C794="call",F794-D794,D794-F794),0)</x:f>
        <x:v>125</x:v>
      </x:c>
      <x:c r="I794" s="11" t="n">
        <x:f>E794-H794</x:f>
        <x:v>303.03</x:v>
      </x:c>
      <x:c r="J794" s="13" t="n">
        <x:f>D794/F794</x:f>
        <x:v>1.017667844522968</x:v>
      </x:c>
      <x:c r="K794" s="13" t="n">
        <x:v>0.450059826573762</x:v>
      </x:c>
      <x:c r="L794" s="17" t="n">
        <x:v>-0.4077112938761761</x:v>
      </x:c>
      <x:c r="M794" s="17" t="n">
        <x:v>10.367137220579302</x:v>
      </x:c>
      <x:c r="N794" s="11" t="n">
        <x:f>'Option source'!C774</x:f>
        <x:v>37851692</x:v>
      </x:c>
      <x:c r="O794" s="11" t="n">
        <x:f>'Option source'!G774</x:f>
        <x:v>428</x:v>
      </x:c>
      <x:c r="P794" s="11" t="n">
        <x:f>'Option source'!F774</x:f>
        <x:v>540</x:v>
      </x:c>
      <x:c r="Q794" s="1" t="str">
        <x:v>Screen passed; indicative</x:v>
      </x:c>
      <x:c r="R794" s="1" t="n">
        <x:v>769</x:v>
      </x:c>
    </x:row>
    <x:row r="795" ht="21" customHeight="1">
      <x:c r="A795" s="12" t="n">
        <x:v>46259</x:v>
      </x:c>
      <x:c r="B795" s="1" t="str">
        <x:v>GFGC6800OC</x:v>
      </x:c>
      <x:c r="C795" s="1" t="str">
        <x:v>call</x:v>
      </x:c>
      <x:c r="D795" s="11" t="n">
        <x:v>6800</x:v>
      </x:c>
      <x:c r="E795" s="11" t="n">
        <x:f>'Option source'!B242</x:f>
        <x:v>720.8</x:v>
      </x:c>
      <x:c r="F795" s="11" t="n">
        <x:v>7075</x:v>
      </x:c>
      <x:c r="G795" s="18" t="n">
        <x:v>52</x:v>
      </x:c>
      <x:c r="H795" s="11" t="n">
        <x:f>MAX(IF(C795="call",F795-D795,D795-F795),0)</x:f>
        <x:v>275</x:v>
      </x:c>
      <x:c r="I795" s="11" t="n">
        <x:f>E795-H795</x:f>
        <x:v>445.79999999999995</x:v>
      </x:c>
      <x:c r="J795" s="13" t="n">
        <x:f>D795/F795</x:f>
        <x:v>0.9611307420494699</x:v>
      </x:c>
      <x:c r="K795" s="13" t="n">
        <x:v>0.3687543746264727</x:v>
      </x:c>
      <x:c r="L795" s="17" t="n">
        <x:v>0.7458539450178578</x:v>
      </x:c>
      <x:c r="M795" s="17" t="n">
        <x:v>8.559968144841932</x:v>
      </x:c>
      <x:c r="N795" s="11" t="n">
        <x:f>'Option source'!C242</x:f>
        <x:v>187535632</x:v>
      </x:c>
      <x:c r="O795" s="11" t="n">
        <x:f>'Option source'!G242</x:f>
        <x:v>628</x:v>
      </x:c>
      <x:c r="P795" s="11" t="n">
        <x:f>'Option source'!F242</x:f>
        <x:v>749</x:v>
      </x:c>
      <x:c r="Q795" s="1" t="str">
        <x:v>Screen passed; indicative</x:v>
      </x:c>
      <x:c r="R795" s="1" t="n">
        <x:v>237</x:v>
      </x:c>
    </x:row>
    <x:row r="796" ht="21" customHeight="1">
      <x:c r="A796" s="12" t="n">
        <x:v>46259</x:v>
      </x:c>
      <x:c r="B796" s="1" t="str">
        <x:v>GFGV6800OC</x:v>
      </x:c>
      <x:c r="C796" s="1" t="str">
        <x:v>put</x:v>
      </x:c>
      <x:c r="D796" s="11" t="n">
        <x:v>6800</x:v>
      </x:c>
      <x:c r="E796" s="11" t="n">
        <x:f>'Option source'!B736</x:f>
        <x:v>251.5</x:v>
      </x:c>
      <x:c r="F796" s="11" t="n">
        <x:v>7075</x:v>
      </x:c>
      <x:c r="G796" s="18" t="n">
        <x:v>52</x:v>
      </x:c>
      <x:c r="H796" s="11" t="n">
        <x:f>MAX(IF(C796="call",F796-D796,D796-F796),0)</x:f>
        <x:v>0</x:v>
      </x:c>
      <x:c r="I796" s="11" t="n">
        <x:f>E796-H796</x:f>
        <x:v>251.5</x:v>
      </x:c>
      <x:c r="J796" s="13" t="n">
        <x:f>D796/F796</x:f>
        <x:v>0.9611307420494699</x:v>
      </x:c>
      <x:c r="K796" s="13" t="n">
        <x:v>0.44916542339315596</x:v>
      </x:c>
      <x:c r="L796" s="17" t="n">
        <x:v>-0.28409821290797577</x:v>
      </x:c>
      <x:c r="M796" s="17" t="n">
        <x:v>9.052422405358897</x:v>
      </x:c>
      <x:c r="N796" s="11" t="n">
        <x:f>'Option source'!C736</x:f>
        <x:v>144849968</x:v>
      </x:c>
      <x:c r="O796" s="11" t="n">
        <x:f>'Option source'!G736</x:f>
        <x:v>240</x:v>
      </x:c>
      <x:c r="P796" s="11" t="n">
        <x:f>'Option source'!F736</x:f>
        <x:v>335</x:v>
      </x:c>
      <x:c r="Q796" s="1" t="str">
        <x:v>Screen passed; indicative</x:v>
      </x:c>
      <x:c r="R796" s="1" t="n">
        <x:v>731</x:v>
      </x:c>
    </x:row>
    <x:row r="797" ht="21" customHeight="1">
      <x:c r="A797" s="12" t="n">
        <x:v>46259</x:v>
      </x:c>
      <x:c r="B797" s="1" t="str">
        <x:v>GFGC7400OC</x:v>
      </x:c>
      <x:c r="C797" s="1" t="str">
        <x:v>call</x:v>
      </x:c>
      <x:c r="D797" s="11" t="n">
        <x:v>7400</x:v>
      </x:c>
      <x:c r="E797" s="11" t="n">
        <x:f>'Option source'!B299</x:f>
        <x:v>414.81</x:v>
      </x:c>
      <x:c r="F797" s="11" t="n">
        <x:v>7075</x:v>
      </x:c>
      <x:c r="G797" s="18" t="n">
        <x:v>52</x:v>
      </x:c>
      <x:c r="H797" s="11" t="n">
        <x:f>MAX(IF(C797="call",F797-D797,D797-F797),0)</x:f>
        <x:v>0</x:v>
      </x:c>
      <x:c r="I797" s="11" t="n">
        <x:f>E797-H797</x:f>
        <x:v>414.81</x:v>
      </x:c>
      <x:c r="J797" s="13" t="n">
        <x:f>D797/F797</x:f>
        <x:v>1.0459363957597174</x:v>
      </x:c>
      <x:c r="K797" s="13" t="n">
        <x:v>0.3964853828992631</x:v>
      </x:c>
      <x:c r="L797" s="17" t="n">
        <x:v>0.5240443394512214</x:v>
      </x:c>
      <x:c r="M797" s="17" t="n">
        <x:v>10.634130993781262</x:v>
      </x:c>
      <x:c r="N797" s="11" t="n">
        <x:f>'Option source'!C299</x:f>
        <x:v>250697120</x:v>
      </x:c>
      <x:c r="O797" s="11" t="n">
        <x:f>'Option source'!G299</x:f>
        <x:v>358</x:v>
      </x:c>
      <x:c r="P797" s="11" t="n">
        <x:f>'Option source'!F299</x:f>
        <x:v>425</x:v>
      </x:c>
      <x:c r="Q797" s="1" t="str">
        <x:v>Screen passed; indicative</x:v>
      </x:c>
      <x:c r="R797" s="1" t="n">
        <x:v>294</x:v>
      </x:c>
    </x:row>
    <x:row r="798" ht="21" customHeight="1">
      <x:c r="A798" s="12" t="n">
        <x:v>46259</x:v>
      </x:c>
      <x:c r="B798" s="1" t="str">
        <x:v>GFGV7400OC</x:v>
      </x:c>
      <x:c r="C798" s="1" t="str">
        <x:v>put</x:v>
      </x:c>
      <x:c r="D798" s="11" t="n">
        <x:v>7400</x:v>
      </x:c>
      <x:c r="E798" s="11" t="n">
        <x:f>'Option source'!B793</x:f>
        <x:v>535.8</x:v>
      </x:c>
      <x:c r="F798" s="11" t="n">
        <x:v>7075</x:v>
      </x:c>
      <x:c r="G798" s="18" t="n">
        <x:v>52</x:v>
      </x:c>
      <x:c r="H798" s="11" t="n">
        <x:f>MAX(IF(C798="call",F798-D798,D798-F798),0)</x:f>
        <x:v>325</x:v>
      </x:c>
      <x:c r="I798" s="11" t="n">
        <x:f>E798-H798</x:f>
        <x:v>210.79999999999995</x:v>
      </x:c>
      <x:c r="J798" s="13" t="n">
        <x:f>D798/F798</x:f>
        <x:v>1.0459363957597174</x:v>
      </x:c>
      <x:c r="K798" s="13" t="n">
        <x:v>0.44708072662739834</x:v>
      </x:c>
      <x:c r="L798" s="17" t="n">
        <x:v>-0.4715005546597243</x:v>
      </x:c>
      <x:c r="M798" s="17" t="n">
        <x:v>10.626290606080765</x:v>
      </x:c>
      <x:c r="N798" s="11" t="n">
        <x:f>'Option source'!C793</x:f>
        <x:v>35472140</x:v>
      </x:c>
      <x:c r="O798" s="11" t="n">
        <x:f>'Option source'!G793</x:f>
        <x:v>534.01</x:v>
      </x:c>
      <x:c r="P798" s="11" t="n">
        <x:f>'Option source'!F793</x:f>
        <x:v>664</x:v>
      </x:c>
      <x:c r="Q798" s="1" t="str">
        <x:v>Screen passed; indicative</x:v>
      </x:c>
      <x:c r="R798" s="1" t="n">
        <x:v>788</x:v>
      </x:c>
    </x:row>
    <x:row r="799" ht="21" customHeight="1">
      <x:c r="A799" s="12" t="n">
        <x:v>46259</x:v>
      </x:c>
      <x:c r="B799" s="1" t="str">
        <x:v>GFGC6600OC</x:v>
      </x:c>
      <x:c r="C799" s="1" t="str">
        <x:v>call</x:v>
      </x:c>
      <x:c r="D799" s="11" t="n">
        <x:v>6600</x:v>
      </x:c>
      <x:c r="E799" s="11" t="n">
        <x:f>'Option source'!B223</x:f>
        <x:v>852.31</x:v>
      </x:c>
      <x:c r="F799" s="11" t="n">
        <x:v>7075</x:v>
      </x:c>
      <x:c r="G799" s="18" t="n">
        <x:v>52</x:v>
      </x:c>
      <x:c r="H799" s="11" t="n">
        <x:f>MAX(IF(C799="call",F799-D799,D799-F799),0)</x:f>
        <x:v>475</x:v>
      </x:c>
      <x:c r="I799" s="11" t="n">
        <x:f>E799-H799</x:f>
        <x:v>377.30999999999995</x:v>
      </x:c>
      <x:c r="J799" s="13" t="n">
        <x:f>D799/F799</x:f>
        <x:v>0.9328621908127208</x:v>
      </x:c>
      <x:c r="K799" s="13" t="n">
        <x:v>0.3557516827069022</x:v>
      </x:c>
      <x:c r="L799" s="17" t="n">
        <x:v>0.8167378622821686</x:v>
      </x:c>
      <x:c r="M799" s="17" t="n">
        <x:v>7.086417547171386</x:v>
      </x:c>
      <x:c r="N799" s="11" t="n">
        <x:f>'Option source'!C223</x:f>
        <x:v>139653152</x:v>
      </x:c>
      <x:c r="O799" s="11" t="n">
        <x:f>'Option source'!G223</x:f>
        <x:v>650</x:v>
      </x:c>
      <x:c r="P799" s="11" t="n">
        <x:f>'Option source'!F223</x:f>
        <x:v>859.9</x:v>
      </x:c>
      <x:c r="Q799" s="1" t="str">
        <x:v>Screen passed; indicative</x:v>
      </x:c>
      <x:c r="R799" s="1" t="n">
        <x:v>218</x:v>
      </x:c>
    </x:row>
    <x:row r="800" ht="21" customHeight="1">
      <x:c r="A800" s="12" t="n">
        <x:v>46259</x:v>
      </x:c>
      <x:c r="B800" s="1" t="str">
        <x:v>GFGV6600OC</x:v>
      </x:c>
      <x:c r="C800" s="1" t="str">
        <x:v>put</x:v>
      </x:c>
      <x:c r="D800" s="11" t="n">
        <x:v>6600</x:v>
      </x:c>
      <x:c r="E800" s="11" t="n">
        <x:f>'Option source'!B717</x:f>
        <x:v>188.16</x:v>
      </x:c>
      <x:c r="F800" s="11" t="n">
        <x:v>7075</x:v>
      </x:c>
      <x:c r="G800" s="18" t="n">
        <x:v>52</x:v>
      </x:c>
      <x:c r="H800" s="11" t="n">
        <x:f>MAX(IF(C800="call",F800-D800,D800-F800),0)</x:f>
        <x:v>0</x:v>
      </x:c>
      <x:c r="I800" s="11" t="n">
        <x:f>E800-H800</x:f>
        <x:v>188.16</x:v>
      </x:c>
      <x:c r="J800" s="13" t="n">
        <x:f>D800/F800</x:f>
        <x:v>0.9328621908127208</x:v>
      </x:c>
      <x:c r="K800" s="13" t="n">
        <x:v>0.452751590548745</x:v>
      </x:c>
      <x:c r="L800" s="17" t="n">
        <x:v>-0.2289742592462396</x:v>
      </x:c>
      <x:c r="M800" s="17" t="n">
        <x:v>8.088434005268741</x:v>
      </x:c>
      <x:c r="N800" s="11" t="n">
        <x:f>'Option source'!C717</x:f>
        <x:v>212049856</x:v>
      </x:c>
      <x:c r="O800" s="11" t="n">
        <x:f>'Option source'!G717</x:f>
        <x:v>183</x:v>
      </x:c>
      <x:c r="P800" s="11" t="n">
        <x:f>'Option source'!F717</x:f>
        <x:v>263</x:v>
      </x:c>
      <x:c r="Q800" s="1" t="str">
        <x:v>Screen passed; indicative</x:v>
      </x:c>
      <x:c r="R800" s="1" t="n">
        <x:v>712</x:v>
      </x:c>
    </x:row>
    <x:row r="801" ht="21" customHeight="1">
      <x:c r="A801" s="12" t="n">
        <x:v>46259</x:v>
      </x:c>
      <x:c r="B801" s="1" t="str">
        <x:v>GFGC7600OC</x:v>
      </x:c>
      <x:c r="C801" s="1" t="str">
        <x:v>call</x:v>
      </x:c>
      <x:c r="D801" s="11" t="n">
        <x:v>7600</x:v>
      </x:c>
      <x:c r="E801" s="11" t="n">
        <x:f>'Option source'!B318</x:f>
        <x:v>334.73</x:v>
      </x:c>
      <x:c r="F801" s="11" t="n">
        <x:v>7075</x:v>
      </x:c>
      <x:c r="G801" s="18" t="n">
        <x:v>52</x:v>
      </x:c>
      <x:c r="H801" s="11" t="n">
        <x:f>MAX(IF(C801="call",F801-D801,D801-F801),0)</x:f>
        <x:v>0</x:v>
      </x:c>
      <x:c r="I801" s="11" t="n">
        <x:f>E801-H801</x:f>
        <x:v>334.73</x:v>
      </x:c>
      <x:c r="J801" s="13" t="n">
        <x:f>D801/F801</x:f>
        <x:v>1.0742049469964665</x:v>
      </x:c>
      <x:c r="K801" s="13" t="n">
        <x:v>0.39852106834196227</x:v>
      </x:c>
      <x:c r="L801" s="17" t="n">
        <x:v>0.45361767844787104</x:v>
      </x:c>
      <x:c r="M801" s="17" t="n">
        <x:v>10.581402549513426</x:v>
      </x:c>
      <x:c r="N801" s="11" t="n">
        <x:f>'Option source'!C318</x:f>
        <x:v>250671824</x:v>
      </x:c>
      <x:c r="O801" s="11" t="n">
        <x:f>'Option source'!G318</x:f>
        <x:v>285</x:v>
      </x:c>
      <x:c r="P801" s="11" t="n">
        <x:f>'Option source'!F318</x:f>
        <x:v>344</x:v>
      </x:c>
      <x:c r="Q801" s="1" t="str">
        <x:v>Screen passed; indicative</x:v>
      </x:c>
      <x:c r="R801" s="1" t="n">
        <x:v>313</x:v>
      </x:c>
    </x:row>
    <x:row r="802" ht="21" customHeight="1">
      <x:c r="A802" s="12" t="n">
        <x:v>46259</x:v>
      </x:c>
      <x:c r="B802" s="1" t="str">
        <x:v>GFGV7600OC</x:v>
      </x:c>
      <x:c r="C802" s="1" t="str">
        <x:v>put</x:v>
      </x:c>
      <x:c r="D802" s="11" t="n">
        <x:v>7600</x:v>
      </x:c>
      <x:c r="E802" s="11" t="n">
        <x:f>'Option source'!B812</x:f>
        <x:v>660</x:v>
      </x:c>
      <x:c r="F802" s="11" t="n">
        <x:v>7075</x:v>
      </x:c>
      <x:c r="G802" s="18" t="n">
        <x:v>52</x:v>
      </x:c>
      <x:c r="H802" s="11" t="n">
        <x:f>MAX(IF(C802="call",F802-D802,D802-F802),0)</x:f>
        <x:v>525</x:v>
      </x:c>
      <x:c r="I802" s="11" t="n">
        <x:f>E802-H802</x:f>
        <x:v>135</x:v>
      </x:c>
      <x:c r="J802" s="13" t="n">
        <x:f>D802/F802</x:f>
        <x:v>1.0742049469964665</x:v>
      </x:c>
      <x:c r="K802" s="13" t="n">
        <x:v>0.4442551508614589</x:v>
      </x:c>
      <x:c r="L802" s="17" t="n">
        <x:v>-0.5351240155334858</x:v>
      </x:c>
      <x:c r="M802" s="17" t="n">
        <x:v>10.612169046421611</x:v>
      </x:c>
      <x:c r="N802" s="11" t="n">
        <x:f>'Option source'!C812</x:f>
        <x:v>3193109</x:v>
      </x:c>
      <x:c r="O802" s="11" t="n">
        <x:f>'Option source'!G812</x:f>
        <x:v>660</x:v>
      </x:c>
      <x:c r="P802" s="11" t="n">
        <x:f>'Option source'!F812</x:f>
        <x:v>739.87</x:v>
      </x:c>
      <x:c r="Q802" s="1" t="str">
        <x:v>Screen passed; indicative</x:v>
      </x:c>
      <x:c r="R802" s="1" t="n">
        <x:v>807</x:v>
      </x:c>
    </x:row>
    <x:row r="803" ht="21" customHeight="1">
      <x:c r="A803" s="12" t="n">
        <x:v>46259</x:v>
      </x:c>
      <x:c r="B803" s="1" t="str">
        <x:v>GFGC6400OC</x:v>
      </x:c>
      <x:c r="C803" s="1" t="str">
        <x:v>call</x:v>
      </x:c>
      <x:c r="D803" s="11" t="n">
        <x:v>6400</x:v>
      </x:c>
      <x:c r="E803" s="11" t="n">
        <x:f>'Option source'!B204</x:f>
        <x:v>982.67</x:v>
      </x:c>
      <x:c r="F803" s="11" t="n">
        <x:v>7075</x:v>
      </x:c>
      <x:c r="G803" s="18" t="n">
        <x:v>52</x:v>
      </x:c>
      <x:c r="H803" s="11" t="n">
        <x:f>MAX(IF(C803="call",F803-D803,D803-F803),0)</x:f>
        <x:v>675</x:v>
      </x:c>
      <x:c r="I803" s="11" t="n">
        <x:f>E803-H803</x:f>
        <x:v>307.66999999999996</x:v>
      </x:c>
      <x:c r="J803" s="13" t="n">
        <x:f>D803/F803</x:f>
        <x:v>0.9045936395759717</x:v>
      </x:c>
      <x:c r="K803" s="13" t="n">
        <x:v>0.3070837550521454</x:v>
      </x:c>
      <x:c r="L803" s="17" t="n">
        <x:v>0.9017822711299437</x:v>
      </x:c>
      <x:c r="M803" s="17" t="n">
        <x:v>4.6253279935097895</x:v>
      </x:c>
      <x:c r="N803" s="11" t="n">
        <x:f>'Option source'!C204</x:f>
        <x:v>31800552</x:v>
      </x:c>
      <x:c r="O803" s="11" t="n">
        <x:f>'Option source'!G204</x:f>
        <x:v>850.01</x:v>
      </x:c>
      <x:c r="P803" s="11" t="n">
        <x:f>'Option source'!F204</x:f>
        <x:v>1025.1</x:v>
      </x:c>
      <x:c r="Q803" s="1" t="str">
        <x:v>Screen passed; indicative</x:v>
      </x:c>
      <x:c r="R803" s="1" t="n">
        <x:v>199</x:v>
      </x:c>
    </x:row>
    <x:row r="804" ht="21" customHeight="1">
      <x:c r="A804" s="12" t="n">
        <x:v>46259</x:v>
      </x:c>
      <x:c r="B804" s="1" t="str">
        <x:v>GFGV6400OC</x:v>
      </x:c>
      <x:c r="C804" s="1" t="str">
        <x:v>put</x:v>
      </x:c>
      <x:c r="D804" s="11" t="n">
        <x:v>6400</x:v>
      </x:c>
      <x:c r="E804" s="11" t="n">
        <x:f>'Option source'!B698</x:f>
        <x:v>133.02</x:v>
      </x:c>
      <x:c r="F804" s="11" t="n">
        <x:v>7075</x:v>
      </x:c>
      <x:c r="G804" s="18" t="n">
        <x:v>52</x:v>
      </x:c>
      <x:c r="H804" s="11" t="n">
        <x:f>MAX(IF(C804="call",F804-D804,D804-F804),0)</x:f>
        <x:v>0</x:v>
      </x:c>
      <x:c r="I804" s="11" t="n">
        <x:f>E804-H804</x:f>
        <x:v>133.02</x:v>
      </x:c>
      <x:c r="J804" s="13" t="n">
        <x:f>D804/F804</x:f>
        <x:v>0.9045936395759717</x:v>
      </x:c>
      <x:c r="K804" s="13" t="n">
        <x:v>0.45008855831124067</x:v>
      </x:c>
      <x:c r="L804" s="17" t="n">
        <x:v>-0.17702931939233668</x:v>
      </x:c>
      <x:c r="M804" s="17" t="n">
        <x:v>6.934150056941859</x:v>
      </x:c>
      <x:c r="N804" s="11" t="n">
        <x:f>'Option source'!C698</x:f>
        <x:v>166157664</x:v>
      </x:c>
      <x:c r="O804" s="11" t="n">
        <x:f>'Option source'!G698</x:f>
        <x:v>130</x:v>
      </x:c>
      <x:c r="P804" s="11" t="n">
        <x:f>'Option source'!F698</x:f>
        <x:v>200</x:v>
      </x:c>
      <x:c r="Q804" s="1" t="str">
        <x:v>Screen passed; indicative</x:v>
      </x:c>
      <x:c r="R804" s="1" t="n">
        <x:v>693</x:v>
      </x:c>
    </x:row>
    <x:row r="805" ht="21" customHeight="1">
      <x:c r="A805" s="12" t="n">
        <x:v>46259</x:v>
      </x:c>
      <x:c r="B805" s="1" t="str">
        <x:v>GFGC7800OC</x:v>
      </x:c>
      <x:c r="C805" s="1" t="str">
        <x:v>call</x:v>
      </x:c>
      <x:c r="D805" s="11" t="n">
        <x:v>7800</x:v>
      </x:c>
      <x:c r="E805" s="11" t="n">
        <x:f>'Option source'!B337</x:f>
        <x:v>267.97</x:v>
      </x:c>
      <x:c r="F805" s="11" t="n">
        <x:v>7075</x:v>
      </x:c>
      <x:c r="G805" s="18" t="n">
        <x:v>52</x:v>
      </x:c>
      <x:c r="H805" s="11" t="n">
        <x:f>MAX(IF(C805="call",F805-D805,D805-F805),0)</x:f>
        <x:v>0</x:v>
      </x:c>
      <x:c r="I805" s="11" t="n">
        <x:f>E805-H805</x:f>
        <x:v>267.97</x:v>
      </x:c>
      <x:c r="J805" s="13" t="n">
        <x:f>D805/F805</x:f>
        <x:v>1.1024734982332156</x:v>
      </x:c>
      <x:c r="K805" s="13" t="n">
        <x:v>0.4010678904645773</x:v>
      </x:c>
      <x:c r="L805" s="17" t="n">
        <x:v>0.38727912602442516</x:v>
      </x:c>
      <x:c r="M805" s="17" t="n">
        <x:v>10.225347109519024</x:v>
      </x:c>
      <x:c r="N805" s="11" t="n">
        <x:f>'Option source'!C337</x:f>
        <x:v>166736800</x:v>
      </x:c>
      <x:c r="O805" s="11" t="n">
        <x:f>'Option source'!G337</x:f>
        <x:v>180</x:v>
      </x:c>
      <x:c r="P805" s="11" t="n">
        <x:f>'Option source'!F337</x:f>
        <x:v>280</x:v>
      </x:c>
      <x:c r="Q805" s="1" t="str">
        <x:v>Screen passed; indicative</x:v>
      </x:c>
      <x:c r="R805" s="1" t="n">
        <x:v>332</x:v>
      </x:c>
    </x:row>
    <x:row r="806" ht="21" customHeight="1">
      <x:c r="A806" s="12" t="n">
        <x:v>46259</x:v>
      </x:c>
      <x:c r="B806" s="1" t="str">
        <x:v>GFGV7800OC</x:v>
      </x:c>
      <x:c r="C806" s="1" t="str">
        <x:v>put</x:v>
      </x:c>
      <x:c r="D806" s="11" t="n">
        <x:v>7800</x:v>
      </x:c>
      <x:c r="E806" s="11" t="n">
        <x:f>'Option source'!B831</x:f>
        <x:v>771</x:v>
      </x:c>
      <x:c r="F806" s="11" t="n">
        <x:v>7075</x:v>
      </x:c>
      <x:c r="G806" s="18" t="n">
        <x:v>52</x:v>
      </x:c>
      <x:c r="H806" s="11" t="n">
        <x:f>MAX(IF(C806="call",F806-D806,D806-F806),0)</x:f>
        <x:v>725</x:v>
      </x:c>
      <x:c r="I806" s="11" t="n">
        <x:f>E806-H806</x:f>
        <x:v>46</x:v>
      </x:c>
      <x:c r="J806" s="13" t="n">
        <x:f>D806/F806</x:f>
        <x:v>1.1024734982332156</x:v>
      </x:c>
      <x:c r="K806" s="13"/>
      <x:c r="L806" s="17"/>
      <x:c r="M806" s="17"/>
      <x:c r="N806" s="11" t="n">
        <x:f>'Option source'!C831</x:f>
        <x:v>2489300</x:v>
      </x:c>
      <x:c r="O806" s="11" t="n">
        <x:f>'Option source'!G831</x:f>
        <x:v>840</x:v>
      </x:c>
      <x:c r="P806" s="11" t="n">
        <x:f>'Option source'!F831</x:f>
        <x:v>900</x:v>
      </x:c>
      <x:c r="Q806" s="1" t="str">
        <x:v>Price outside daily range</x:v>
      </x:c>
      <x:c r="R806" s="1" t="n">
        <x:v>826</x:v>
      </x:c>
    </x:row>
    <x:row r="807" ht="21" customHeight="1">
      <x:c r="A807" s="12" t="n">
        <x:v>46259</x:v>
      </x:c>
      <x:c r="B807" s="1" t="str">
        <x:v>GFGC6200OC</x:v>
      </x:c>
      <x:c r="C807" s="1" t="str">
        <x:v>call</x:v>
      </x:c>
      <x:c r="D807" s="11" t="n">
        <x:v>6200</x:v>
      </x:c>
      <x:c r="E807" s="11" t="n">
        <x:f>'Option source'!B185</x:f>
        <x:v>1000</x:v>
      </x:c>
      <x:c r="F807" s="11" t="n">
        <x:v>7075</x:v>
      </x:c>
      <x:c r="G807" s="18" t="n">
        <x:v>52</x:v>
      </x:c>
      <x:c r="H807" s="11" t="n">
        <x:f>MAX(IF(C807="call",F807-D807,D807-F807),0)</x:f>
        <x:v>875</x:v>
      </x:c>
      <x:c r="I807" s="11" t="n">
        <x:f>E807-H807</x:f>
        <x:v>125</x:v>
      </x:c>
      <x:c r="J807" s="13" t="n">
        <x:f>D807/F807</x:f>
        <x:v>0.8763250883392226</x:v>
      </x:c>
      <x:c r="K807" s="13"/>
      <x:c r="L807" s="17"/>
      <x:c r="M807" s="17"/>
      <x:c r="N807" s="11" t="n">
        <x:f>'Option source'!C185</x:f>
        <x:v>200000.09</x:v>
      </x:c>
      <x:c r="O807" s="11" t="n">
        <x:f>'Option source'!G185</x:f>
        <x:v>1000</x:v>
      </x:c>
      <x:c r="P807" s="11" t="n">
        <x:f>'Option source'!F185</x:f>
        <x:v>1000</x:v>
      </x:c>
      <x:c r="Q807" s="1" t="str">
        <x:v>No stable model IV</x:v>
      </x:c>
      <x:c r="R807" s="1" t="n">
        <x:v>180</x:v>
      </x:c>
    </x:row>
    <x:row r="808" ht="21" customHeight="1">
      <x:c r="A808" s="12" t="n">
        <x:v>46259</x:v>
      </x:c>
      <x:c r="B808" s="1" t="str">
        <x:v>GFGV6200OC</x:v>
      </x:c>
      <x:c r="C808" s="1" t="str">
        <x:v>put</x:v>
      </x:c>
      <x:c r="D808" s="11" t="n">
        <x:v>6200</x:v>
      </x:c>
      <x:c r="E808" s="11" t="n">
        <x:f>'Option source'!B679</x:f>
        <x:v>90.81</x:v>
      </x:c>
      <x:c r="F808" s="11" t="n">
        <x:v>7075</x:v>
      </x:c>
      <x:c r="G808" s="18" t="n">
        <x:v>52</x:v>
      </x:c>
      <x:c r="H808" s="11" t="n">
        <x:f>MAX(IF(C808="call",F808-D808,D808-F808),0)</x:f>
        <x:v>0</x:v>
      </x:c>
      <x:c r="I808" s="11" t="n">
        <x:f>E808-H808</x:f>
        <x:v>90.81</x:v>
      </x:c>
      <x:c r="J808" s="13" t="n">
        <x:f>D808/F808</x:f>
        <x:v>0.8763250883392226</x:v>
      </x:c>
      <x:c r="K808" s="13" t="n">
        <x:v>0.4476936889568704</x:v>
      </x:c>
      <x:c r="L808" s="17" t="n">
        <x:v>-0.13163819313746938</x:v>
      </x:c>
      <x:c r="M808" s="17" t="n">
        <x:v>5.69827754128161</x:v>
      </x:c>
      <x:c r="N808" s="11" t="n">
        <x:f>'Option source'!C679</x:f>
        <x:v>66468080</x:v>
      </x:c>
      <x:c r="O808" s="11" t="n">
        <x:f>'Option source'!G679</x:f>
        <x:v>90.15</x:v>
      </x:c>
      <x:c r="P808" s="11" t="n">
        <x:f>'Option source'!F679</x:f>
        <x:v>168</x:v>
      </x:c>
      <x:c r="Q808" s="1" t="str">
        <x:v>Screen passed; indicative</x:v>
      </x:c>
      <x:c r="R808" s="1" t="n">
        <x:v>674</x:v>
      </x:c>
    </x:row>
    <x:row r="809" ht="21" customHeight="1">
      <x:c r="A809" s="12" t="n">
        <x:v>46259</x:v>
      </x:c>
      <x:c r="B809" s="1" t="str">
        <x:v>GFGC8000OC</x:v>
      </x:c>
      <x:c r="C809" s="1" t="str">
        <x:v>call</x:v>
      </x:c>
      <x:c r="D809" s="11" t="n">
        <x:v>8000</x:v>
      </x:c>
      <x:c r="E809" s="11" t="n">
        <x:f>'Option source'!B356</x:f>
        <x:v>217.29</x:v>
      </x:c>
      <x:c r="F809" s="11" t="n">
        <x:v>7075</x:v>
      </x:c>
      <x:c r="G809" s="18" t="n">
        <x:v>52</x:v>
      </x:c>
      <x:c r="H809" s="11" t="n">
        <x:f>MAX(IF(C809="call",F809-D809,D809-F809),0)</x:f>
        <x:v>0</x:v>
      </x:c>
      <x:c r="I809" s="11" t="n">
        <x:f>E809-H809</x:f>
        <x:v>217.29</x:v>
      </x:c>
      <x:c r="J809" s="13" t="n">
        <x:f>D809/F809</x:f>
        <x:v>1.1307420494699647</x:v>
      </x:c>
      <x:c r="K809" s="13" t="n">
        <x:v>0.4083590570103759</x:v>
      </x:c>
      <x:c r="L809" s="17" t="n">
        <x:v>0.32894251270540176</x:v>
      </x:c>
      <x:c r="M809" s="17" t="n">
        <x:v>9.658474635044206</x:v>
      </x:c>
      <x:c r="N809" s="11" t="n">
        <x:f>'Option source'!C356</x:f>
        <x:v>492926656</x:v>
      </x:c>
      <x:c r="O809" s="11" t="n">
        <x:f>'Option source'!G356</x:f>
        <x:v>170.5</x:v>
      </x:c>
      <x:c r="P809" s="11" t="n">
        <x:f>'Option source'!F356</x:f>
        <x:v>223</x:v>
      </x:c>
      <x:c r="Q809" s="1" t="str">
        <x:v>Screen passed; indicative</x:v>
      </x:c>
      <x:c r="R809" s="1" t="n">
        <x:v>351</x:v>
      </x:c>
    </x:row>
    <x:row r="810" ht="21" customHeight="1">
      <x:c r="A810" s="12" t="n">
        <x:v>46259</x:v>
      </x:c>
      <x:c r="B810" s="1" t="str">
        <x:v>GFGV8000OC</x:v>
      </x:c>
      <x:c r="C810" s="1" t="str">
        <x:v>put</x:v>
      </x:c>
      <x:c r="D810" s="11" t="n">
        <x:v>8000</x:v>
      </x:c>
      <x:c r="E810" s="11" t="n">
        <x:f>'Option source'!B850</x:f>
        <x:v>1024</x:v>
      </x:c>
      <x:c r="F810" s="11" t="n">
        <x:v>7075</x:v>
      </x:c>
      <x:c r="G810" s="18" t="n">
        <x:v>52</x:v>
      </x:c>
      <x:c r="H810" s="11" t="n">
        <x:f>MAX(IF(C810="call",F810-D810,D810-F810),0)</x:f>
        <x:v>925</x:v>
      </x:c>
      <x:c r="I810" s="11" t="n">
        <x:f>E810-H810</x:f>
        <x:v>99</x:v>
      </x:c>
      <x:c r="J810" s="13" t="n">
        <x:f>D810/F810</x:f>
        <x:v>1.1307420494699647</x:v>
      </x:c>
      <x:c r="K810" s="13" t="n">
        <x:v>0.5288000829637252</x:v>
      </x:c>
      <x:c r="L810" s="17" t="n">
        <x:v>-0.6185560779356691</x:v>
      </x:c>
      <x:c r="M810" s="17" t="n">
        <x:v>10.179526944198827</x:v>
      </x:c>
      <x:c r="N810" s="11" t="n">
        <x:f>'Option source'!C850</x:f>
        <x:v>2905407.5</x:v>
      </x:c>
      <x:c r="O810" s="11" t="n">
        <x:f>'Option source'!G850</x:f>
        <x:v>955</x:v>
      </x:c>
      <x:c r="P810" s="11" t="n">
        <x:f>'Option source'!F850</x:f>
        <x:v>1040</x:v>
      </x:c>
      <x:c r="Q810" s="1" t="str">
        <x:v>Screen passed; indicative</x:v>
      </x:c>
      <x:c r="R810" s="1" t="n">
        <x:v>845</x:v>
      </x:c>
    </x:row>
    <x:row r="811" ht="21" customHeight="1">
      <x:c r="A811" s="12" t="n">
        <x:v>46259</x:v>
      </x:c>
      <x:c r="B811" s="1" t="str">
        <x:v>GFGC6000OC</x:v>
      </x:c>
      <x:c r="C811" s="1" t="str">
        <x:v>call</x:v>
      </x:c>
      <x:c r="D811" s="11" t="n">
        <x:v>6000</x:v>
      </x:c>
      <x:c r="E811" s="11" t="n">
        <x:f>'Option source'!B166</x:f>
        <x:v>1200</x:v>
      </x:c>
      <x:c r="F811" s="11" t="n">
        <x:v>7075</x:v>
      </x:c>
      <x:c r="G811" s="18" t="n">
        <x:v>52</x:v>
      </x:c>
      <x:c r="H811" s="11" t="n">
        <x:f>MAX(IF(C811="call",F811-D811,D811-F811),0)</x:f>
        <x:v>1075</x:v>
      </x:c>
      <x:c r="I811" s="11" t="n">
        <x:f>E811-H811</x:f>
        <x:v>125</x:v>
      </x:c>
      <x:c r="J811" s="13" t="n">
        <x:f>D811/F811</x:f>
        <x:v>0.8480565371024735</x:v>
      </x:c>
      <x:c r="K811" s="13"/>
      <x:c r="L811" s="17"/>
      <x:c r="M811" s="17"/>
      <x:c r="N811" s="11" t="n">
        <x:f>'Option source'!C166</x:f>
        <x:v>120000</x:v>
      </x:c>
      <x:c r="O811" s="11" t="n">
        <x:f>'Option source'!G166</x:f>
        <x:v>0</x:v>
      </x:c>
      <x:c r="P811" s="11" t="n">
        <x:f>'Option source'!F166</x:f>
        <x:v>0</x:v>
      </x:c>
      <x:c r="Q811" s="1" t="str">
        <x:v>Price outside daily range</x:v>
      </x:c>
      <x:c r="R811" s="1" t="n">
        <x:v>161</x:v>
      </x:c>
    </x:row>
    <x:row r="812" ht="21" customHeight="1">
      <x:c r="A812" s="12" t="n">
        <x:v>46259</x:v>
      </x:c>
      <x:c r="B812" s="1" t="str">
        <x:v>GFGV6000OC</x:v>
      </x:c>
      <x:c r="C812" s="1" t="str">
        <x:v>put</x:v>
      </x:c>
      <x:c r="D812" s="11" t="n">
        <x:v>6000</x:v>
      </x:c>
      <x:c r="E812" s="11" t="n">
        <x:f>'Option source'!B660</x:f>
        <x:v>60.32</x:v>
      </x:c>
      <x:c r="F812" s="11" t="n">
        <x:v>7075</x:v>
      </x:c>
      <x:c r="G812" s="18" t="n">
        <x:v>52</x:v>
      </x:c>
      <x:c r="H812" s="11" t="n">
        <x:f>MAX(IF(C812="call",F812-D812,D812-F812),0)</x:f>
        <x:v>0</x:v>
      </x:c>
      <x:c r="I812" s="11" t="n">
        <x:f>E812-H812</x:f>
        <x:v>60.32</x:v>
      </x:c>
      <x:c r="J812" s="13" t="n">
        <x:f>D812/F812</x:f>
        <x:v>0.8480565371024735</x:v>
      </x:c>
      <x:c r="K812" s="13" t="n">
        <x:v>0.44820703863145267</x:v>
      </x:c>
      <x:c r="L812" s="17" t="n">
        <x:v>-0.09485862778759757</x:v>
      </x:c>
      <x:c r="M812" s="17" t="n">
        <x:v>4.508575369960161</x:v>
      </x:c>
      <x:c r="N812" s="11" t="n">
        <x:f>'Option source'!C660</x:f>
        <x:v>59795428</x:v>
      </x:c>
      <x:c r="O812" s="11" t="n">
        <x:f>'Option source'!G660</x:f>
        <x:v>59.51</x:v>
      </x:c>
      <x:c r="P812" s="11" t="n">
        <x:f>'Option source'!F660</x:f>
        <x:v>110</x:v>
      </x:c>
      <x:c r="Q812" s="1" t="str">
        <x:v>Screen passed; indicative</x:v>
      </x:c>
      <x:c r="R812" s="1" t="n">
        <x:v>655</x:v>
      </x:c>
    </x:row>
    <x:row r="813" ht="21" customHeight="1">
      <x:c r="A813" s="12" t="n">
        <x:v>46259</x:v>
      </x:c>
      <x:c r="B813" s="1" t="str">
        <x:v>GFGC8300OC</x:v>
      </x:c>
      <x:c r="C813" s="1" t="str">
        <x:v>call</x:v>
      </x:c>
      <x:c r="D813" s="11" t="n">
        <x:v>8300</x:v>
      </x:c>
      <x:c r="E813" s="11" t="n">
        <x:f>'Option source'!B375</x:f>
        <x:v>152.23</x:v>
      </x:c>
      <x:c r="F813" s="11" t="n">
        <x:v>7075</x:v>
      </x:c>
      <x:c r="G813" s="18" t="n">
        <x:v>52</x:v>
      </x:c>
      <x:c r="H813" s="11" t="n">
        <x:f>MAX(IF(C813="call",F813-D813,D813-F813),0)</x:f>
        <x:v>0</x:v>
      </x:c>
      <x:c r="I813" s="11" t="n">
        <x:f>E813-H813</x:f>
        <x:v>152.23</x:v>
      </x:c>
      <x:c r="J813" s="13" t="n">
        <x:f>D813/F813</x:f>
        <x:v>1.1731448763250882</x:v>
      </x:c>
      <x:c r="K813" s="13" t="n">
        <x:v>0.41203854187384054</x:v>
      </x:c>
      <x:c r="L813" s="17" t="n">
        <x:v>0.2500890282706203</x:v>
      </x:c>
      <x:c r="M813" s="17" t="n">
        <x:v>8.487613642493104</x:v>
      </x:c>
      <x:c r="N813" s="11" t="n">
        <x:f>'Option source'!C375</x:f>
        <x:v>95345512</x:v>
      </x:c>
      <x:c r="O813" s="11" t="n">
        <x:f>'Option source'!G375</x:f>
        <x:v>120</x:v>
      </x:c>
      <x:c r="P813" s="11" t="n">
        <x:f>'Option source'!F375</x:f>
        <x:v>157</x:v>
      </x:c>
      <x:c r="Q813" s="1" t="str">
        <x:v>Screen passed; indicative</x:v>
      </x:c>
      <x:c r="R813" s="1" t="n">
        <x:v>370</x:v>
      </x:c>
    </x:row>
    <x:row r="814" ht="21" customHeight="1">
      <x:c r="A814" s="12" t="n">
        <x:v>46259</x:v>
      </x:c>
      <x:c r="B814" s="1" t="str">
        <x:v>GFGV8300OC</x:v>
      </x:c>
      <x:c r="C814" s="1" t="str">
        <x:v>put</x:v>
      </x:c>
      <x:c r="D814" s="11" t="n">
        <x:v>8300</x:v>
      </x:c>
      <x:c r="E814" s="11" t="n">
        <x:f>'Option source'!B869</x:f>
        <x:v>1176.84</x:v>
      </x:c>
      <x:c r="F814" s="11" t="n">
        <x:v>7075</x:v>
      </x:c>
      <x:c r="G814" s="18" t="n">
        <x:v>52</x:v>
      </x:c>
      <x:c r="H814" s="11" t="n">
        <x:f>MAX(IF(C814="call",F814-D814,D814-F814),0)</x:f>
        <x:v>1225</x:v>
      </x:c>
      <x:c r="I814" s="11" t="n">
        <x:f>E814-H814</x:f>
        <x:v>-48.16000000000008</x:v>
      </x:c>
      <x:c r="J814" s="13" t="n">
        <x:f>D814/F814</x:f>
        <x:v>1.1731448763250882</x:v>
      </x:c>
      <x:c r="K814" s="13"/>
      <x:c r="L814" s="17"/>
      <x:c r="M814" s="17"/>
      <x:c r="N814" s="11" t="n">
        <x:f>'Option source'!C869</x:f>
        <x:v>2028466</x:v>
      </x:c>
      <x:c r="O814" s="11" t="n">
        <x:f>'Option source'!G869</x:f>
        <x:v>1181.84</x:v>
      </x:c>
      <x:c r="P814" s="11" t="n">
        <x:f>'Option source'!F869</x:f>
        <x:v>1310</x:v>
      </x:c>
      <x:c r="Q814" s="1" t="str">
        <x:v>Price outside daily range; Below intrinsic value</x:v>
      </x:c>
      <x:c r="R814" s="1" t="n">
        <x:v>864</x:v>
      </x:c>
    </x:row>
    <x:row r="815" ht="21" customHeight="1">
      <x:c r="A815" s="12" t="n">
        <x:v>46259</x:v>
      </x:c>
      <x:c r="B815" s="1" t="str">
        <x:v>GFGV5800OC</x:v>
      </x:c>
      <x:c r="C815" s="1" t="str">
        <x:v>put</x:v>
      </x:c>
      <x:c r="D815" s="11" t="n">
        <x:v>5800</x:v>
      </x:c>
      <x:c r="E815" s="11" t="n">
        <x:f>'Option source'!B641</x:f>
        <x:v>38.97</x:v>
      </x:c>
      <x:c r="F815" s="11" t="n">
        <x:v>7075</x:v>
      </x:c>
      <x:c r="G815" s="18" t="n">
        <x:v>52</x:v>
      </x:c>
      <x:c r="H815" s="11" t="n">
        <x:f>MAX(IF(C815="call",F815-D815,D815-F815),0)</x:f>
        <x:v>0</x:v>
      </x:c>
      <x:c r="I815" s="11" t="n">
        <x:f>E815-H815</x:f>
        <x:v>38.97</x:v>
      </x:c>
      <x:c r="J815" s="13" t="n">
        <x:f>D815/F815</x:f>
        <x:v>0.8197879858657244</x:v>
      </x:c>
      <x:c r="K815" s="13" t="n">
        <x:v>0.4497090576208024</x:v>
      </x:c>
      <x:c r="L815" s="17" t="n">
        <x:v>-0.06586342889477581</x:v>
      </x:c>
      <x:c r="M815" s="17" t="n">
        <x:v>3.420784222136827</x:v>
      </x:c>
      <x:c r="N815" s="11" t="n">
        <x:f>'Option source'!C641</x:f>
        <x:v>13776543</x:v>
      </x:c>
      <x:c r="O815" s="11" t="n">
        <x:f>'Option source'!G641</x:f>
        <x:v>36.01</x:v>
      </x:c>
      <x:c r="P815" s="11" t="n">
        <x:f>'Option source'!F641</x:f>
        <x:v>69</x:v>
      </x:c>
      <x:c r="Q815" s="1" t="str">
        <x:v>Screen passed; indicative</x:v>
      </x:c>
      <x:c r="R815" s="1" t="n">
        <x:v>636</x:v>
      </x:c>
    </x:row>
    <x:row r="816" ht="21" customHeight="1">
      <x:c r="A816" s="12" t="n">
        <x:v>46259</x:v>
      </x:c>
      <x:c r="B816" s="1" t="str">
        <x:v>GFGC5600OC</x:v>
      </x:c>
      <x:c r="C816" s="1" t="str">
        <x:v>call</x:v>
      </x:c>
      <x:c r="D816" s="11" t="n">
        <x:v>5600</x:v>
      </x:c>
      <x:c r="E816" s="11" t="n">
        <x:f>'Option source'!B137</x:f>
        <x:v>1550.9</x:v>
      </x:c>
      <x:c r="F816" s="11" t="n">
        <x:v>7075</x:v>
      </x:c>
      <x:c r="G816" s="18" t="n">
        <x:v>52</x:v>
      </x:c>
      <x:c r="H816" s="11" t="n">
        <x:f>MAX(IF(C816="call",F816-D816,D816-F816),0)</x:f>
        <x:v>1475</x:v>
      </x:c>
      <x:c r="I816" s="11" t="n">
        <x:f>E816-H816</x:f>
        <x:v>75.90000000000009</x:v>
      </x:c>
      <x:c r="J816" s="13" t="n">
        <x:f>D816/F816</x:f>
        <x:v>0.7915194346289752</x:v>
      </x:c>
      <x:c r="K816" s="13"/>
      <x:c r="L816" s="17"/>
      <x:c r="M816" s="17"/>
      <x:c r="N816" s="11" t="n">
        <x:f>'Option source'!C137</x:f>
        <x:v>465269.59</x:v>
      </x:c>
      <x:c r="O816" s="11" t="n">
        <x:f>'Option source'!G137</x:f>
        <x:v>1566.63</x:v>
      </x:c>
      <x:c r="P816" s="11" t="n">
        <x:f>'Option source'!F137</x:f>
        <x:v>1566.63</x:v>
      </x:c>
      <x:c r="Q816" s="1" t="str">
        <x:v>Price outside daily range</x:v>
      </x:c>
      <x:c r="R816" s="1" t="n">
        <x:v>132</x:v>
      </x:c>
    </x:row>
    <x:row r="817" ht="21" customHeight="1">
      <x:c r="A817" s="12" t="n">
        <x:v>46259</x:v>
      </x:c>
      <x:c r="B817" s="1" t="str">
        <x:v>GFGV5600OC</x:v>
      </x:c>
      <x:c r="C817" s="1" t="str">
        <x:v>put</x:v>
      </x:c>
      <x:c r="D817" s="11" t="n">
        <x:v>5600</x:v>
      </x:c>
      <x:c r="E817" s="11" t="n">
        <x:f>'Option source'!B622</x:f>
        <x:v>24.16</x:v>
      </x:c>
      <x:c r="F817" s="11" t="n">
        <x:v>7075</x:v>
      </x:c>
      <x:c r="G817" s="18" t="n">
        <x:v>52</x:v>
      </x:c>
      <x:c r="H817" s="11" t="n">
        <x:f>MAX(IF(C817="call",F817-D817,D817-F817),0)</x:f>
        <x:v>0</x:v>
      </x:c>
      <x:c r="I817" s="11" t="n">
        <x:f>E817-H817</x:f>
        <x:v>24.16</x:v>
      </x:c>
      <x:c r="J817" s="13" t="n">
        <x:f>D817/F817</x:f>
        <x:v>0.7915194346289752</x:v>
      </x:c>
      <x:c r="K817" s="13" t="n">
        <x:v>0.45140268661475497</x:v>
      </x:c>
      <x:c r="L817" s="17" t="n">
        <x:v>-0.0437932692327514</x:v>
      </x:c>
      <x:c r="M817" s="17" t="n">
        <x:v>2.476376985038174</x:v>
      </x:c>
      <x:c r="N817" s="11" t="n">
        <x:f>'Option source'!C622</x:f>
        <x:v>5709733</x:v>
      </x:c>
      <x:c r="O817" s="11" t="n">
        <x:f>'Option source'!G622</x:f>
        <x:v>24</x:v>
      </x:c>
      <x:c r="P817" s="11" t="n">
        <x:f>'Option source'!F622</x:f>
        <x:v>44.99</x:v>
      </x:c>
      <x:c r="Q817" s="1" t="str">
        <x:v>Screen passed; indicative</x:v>
      </x:c>
      <x:c r="R817" s="1" t="n">
        <x:v>617</x:v>
      </x:c>
    </x:row>
    <x:row r="818" ht="21" customHeight="1">
      <x:c r="A818" s="12" t="n">
        <x:v>46259</x:v>
      </x:c>
      <x:c r="B818" s="1" t="str">
        <x:v>GFGC8600OC</x:v>
      </x:c>
      <x:c r="C818" s="1" t="str">
        <x:v>call</x:v>
      </x:c>
      <x:c r="D818" s="11" t="n">
        <x:v>8600</x:v>
      </x:c>
      <x:c r="E818" s="11" t="n">
        <x:f>'Option source'!B394</x:f>
        <x:v>104.86</x:v>
      </x:c>
      <x:c r="F818" s="11" t="n">
        <x:v>7075</x:v>
      </x:c>
      <x:c r="G818" s="18" t="n">
        <x:v>52</x:v>
      </x:c>
      <x:c r="H818" s="11" t="n">
        <x:f>MAX(IF(C818="call",F818-D818,D818-F818),0)</x:f>
        <x:v>0</x:v>
      </x:c>
      <x:c r="I818" s="11" t="n">
        <x:f>E818-H818</x:f>
        <x:v>104.86</x:v>
      </x:c>
      <x:c r="J818" s="13" t="n">
        <x:f>D818/F818</x:f>
        <x:v>1.215547703180212</x:v>
      </x:c>
      <x:c r="K818" s="13" t="n">
        <x:v>0.4153384981519763</x:v>
      </x:c>
      <x:c r="L818" s="17" t="n">
        <x:v>0.18563307155311143</x:v>
      </x:c>
      <x:c r="M818" s="17" t="n">
        <x:v>7.1433083749421735</x:v>
      </x:c>
      <x:c r="N818" s="11" t="n">
        <x:f>'Option source'!C394</x:f>
        <x:v>136113936</x:v>
      </x:c>
      <x:c r="O818" s="11" t="n">
        <x:f>'Option source'!G394</x:f>
        <x:v>83</x:v>
      </x:c>
      <x:c r="P818" s="11" t="n">
        <x:f>'Option source'!F394</x:f>
        <x:v>108</x:v>
      </x:c>
      <x:c r="Q818" s="1" t="str">
        <x:v>Screen passed; indicative</x:v>
      </x:c>
      <x:c r="R818" s="1" t="n">
        <x:v>389</x:v>
      </x:c>
    </x:row>
    <x:row r="819" ht="21" customHeight="1">
      <x:c r="A819" s="12" t="n">
        <x:v>46259</x:v>
      </x:c>
      <x:c r="B819" s="1" t="str">
        <x:v>GFGV8600OC</x:v>
      </x:c>
      <x:c r="C819" s="1" t="str">
        <x:v>put</x:v>
      </x:c>
      <x:c r="D819" s="11" t="n">
        <x:v>8600</x:v>
      </x:c>
      <x:c r="E819" s="11" t="n">
        <x:f>'Option source'!B888</x:f>
        <x:v>1460</x:v>
      </x:c>
      <x:c r="F819" s="11" t="n">
        <x:v>7075</x:v>
      </x:c>
      <x:c r="G819" s="18" t="n">
        <x:v>52</x:v>
      </x:c>
      <x:c r="H819" s="11" t="n">
        <x:f>MAX(IF(C819="call",F819-D819,D819-F819),0)</x:f>
        <x:v>1525</x:v>
      </x:c>
      <x:c r="I819" s="11" t="n">
        <x:f>E819-H819</x:f>
        <x:v>-65</x:v>
      </x:c>
      <x:c r="J819" s="13" t="n">
        <x:f>D819/F819</x:f>
        <x:v>1.215547703180212</x:v>
      </x:c>
      <x:c r="K819" s="13"/>
      <x:c r="L819" s="17"/>
      <x:c r="M819" s="17"/>
      <x:c r="N819" s="11" t="n">
        <x:f>'Option source'!C888</x:f>
        <x:v>727213</x:v>
      </x:c>
      <x:c r="O819" s="11" t="n">
        <x:f>'Option source'!G888</x:f>
        <x:v>1432.13</x:v>
      </x:c>
      <x:c r="P819" s="11" t="n">
        <x:f>'Option source'!F888</x:f>
        <x:v>1460</x:v>
      </x:c>
      <x:c r="Q819" s="1" t="str">
        <x:v>Below intrinsic value</x:v>
      </x:c>
      <x:c r="R819" s="1" t="n">
        <x:v>883</x:v>
      </x:c>
    </x:row>
    <x:row r="820" ht="21" customHeight="1">
      <x:c r="A820" s="12" t="n">
        <x:v>46259</x:v>
      </x:c>
      <x:c r="B820" s="1" t="str">
        <x:v>GFGC5400OC</x:v>
      </x:c>
      <x:c r="C820" s="1" t="str">
        <x:v>call</x:v>
      </x:c>
      <x:c r="D820" s="11" t="n">
        <x:v>5400</x:v>
      </x:c>
      <x:c r="E820" s="11" t="n">
        <x:f>'Option source'!B119</x:f>
        <x:v>1752.86</x:v>
      </x:c>
      <x:c r="F820" s="11" t="n">
        <x:v>7075</x:v>
      </x:c>
      <x:c r="G820" s="18" t="n">
        <x:v>52</x:v>
      </x:c>
      <x:c r="H820" s="11" t="n">
        <x:f>MAX(IF(C820="call",F820-D820,D820-F820),0)</x:f>
        <x:v>1675</x:v>
      </x:c>
      <x:c r="I820" s="11" t="n">
        <x:f>E820-H820</x:f>
        <x:v>77.8599999999999</x:v>
      </x:c>
      <x:c r="J820" s="13" t="n">
        <x:f>D820/F820</x:f>
        <x:v>0.7632508833922261</x:v>
      </x:c>
      <x:c r="K820" s="13"/>
      <x:c r="L820" s="17"/>
      <x:c r="M820" s="17"/>
      <x:c r="N820" s="11" t="n">
        <x:f>'Option source'!C119</x:f>
        <x:v>75597752</x:v>
      </x:c>
      <x:c r="O820" s="11" t="n">
        <x:f>'Option source'!G119</x:f>
        <x:v>1697.73</x:v>
      </x:c>
      <x:c r="P820" s="11" t="n">
        <x:f>'Option source'!F119</x:f>
        <x:v>1766.86</x:v>
      </x:c>
      <x:c r="Q820" s="1" t="str">
        <x:v>No stable model IV</x:v>
      </x:c>
      <x:c r="R820" s="1" t="n">
        <x:v>114</x:v>
      </x:c>
    </x:row>
    <x:row r="821" ht="21" customHeight="1">
      <x:c r="A821" s="12" t="n">
        <x:v>46259</x:v>
      </x:c>
      <x:c r="B821" s="1" t="str">
        <x:v>GFGV5400OC</x:v>
      </x:c>
      <x:c r="C821" s="1" t="str">
        <x:v>put</x:v>
      </x:c>
      <x:c r="D821" s="11" t="n">
        <x:v>5400</x:v>
      </x:c>
      <x:c r="E821" s="11" t="n">
        <x:f>'Option source'!B603</x:f>
        <x:v>15.88</x:v>
      </x:c>
      <x:c r="F821" s="11" t="n">
        <x:v>7075</x:v>
      </x:c>
      <x:c r="G821" s="18" t="n">
        <x:v>52</x:v>
      </x:c>
      <x:c r="H821" s="11" t="n">
        <x:f>MAX(IF(C821="call",F821-D821,D821-F821),0)</x:f>
        <x:v>0</x:v>
      </x:c>
      <x:c r="I821" s="11" t="n">
        <x:f>E821-H821</x:f>
        <x:v>15.88</x:v>
      </x:c>
      <x:c r="J821" s="13" t="n">
        <x:f>D821/F821</x:f>
        <x:v>0.7632508833922261</x:v>
      </x:c>
      <x:c r="K821" s="13" t="n">
        <x:v>0.46254390598269396</x:v>
      </x:c>
      <x:c r="L821" s="17" t="n">
        <x:v>-0.030082346995293996</x:v>
      </x:c>
      <x:c r="M821" s="17" t="n">
        <x:v>1.821149290029342</x:v>
      </x:c>
      <x:c r="N821" s="11" t="n">
        <x:f>'Option source'!C603</x:f>
        <x:v>2358763.25</x:v>
      </x:c>
      <x:c r="O821" s="11" t="n">
        <x:f>'Option source'!G603</x:f>
        <x:v>15</x:v>
      </x:c>
      <x:c r="P821" s="11" t="n">
        <x:f>'Option source'!F603</x:f>
        <x:v>40</x:v>
      </x:c>
      <x:c r="Q821" s="1" t="str">
        <x:v>Screen passed; indicative</x:v>
      </x:c>
      <x:c r="R821" s="1" t="n">
        <x:v>598</x:v>
      </x:c>
    </x:row>
    <x:row r="822" ht="21" customHeight="1">
      <x:c r="A822" s="12" t="n">
        <x:v>46259</x:v>
      </x:c>
      <x:c r="B822" s="1" t="str">
        <x:v>GFGC8900OC</x:v>
      </x:c>
      <x:c r="C822" s="1" t="str">
        <x:v>call</x:v>
      </x:c>
      <x:c r="D822" s="11" t="n">
        <x:v>8900</x:v>
      </x:c>
      <x:c r="E822" s="11" t="n">
        <x:f>'Option source'!B413</x:f>
        <x:v>65.33</x:v>
      </x:c>
      <x:c r="F822" s="11" t="n">
        <x:v>7075</x:v>
      </x:c>
      <x:c r="G822" s="18" t="n">
        <x:v>52</x:v>
      </x:c>
      <x:c r="H822" s="11" t="n">
        <x:f>MAX(IF(C822="call",F822-D822,D822-F822),0)</x:f>
        <x:v>0</x:v>
      </x:c>
      <x:c r="I822" s="11" t="n">
        <x:f>E822-H822</x:f>
        <x:v>65.33</x:v>
      </x:c>
      <x:c r="J822" s="13" t="n">
        <x:f>D822/F822</x:f>
        <x:v>1.2579505300353357</x:v>
      </x:c>
      <x:c r="K822" s="13" t="n">
        <x:v>0.40813241102298353</x:v>
      </x:c>
      <x:c r="L822" s="17" t="n">
        <x:v>0.12814127058483</x:v>
      </x:c>
      <x:c r="M822" s="17" t="n">
        <x:v>5.593041898631042</x:v>
      </x:c>
      <x:c r="N822" s="11" t="n">
        <x:f>'Option source'!C413</x:f>
        <x:v>19130654</x:v>
      </x:c>
      <x:c r="O822" s="11" t="n">
        <x:f>'Option source'!G413</x:f>
        <x:v>51</x:v>
      </x:c>
      <x:c r="P822" s="11" t="n">
        <x:f>'Option source'!F413</x:f>
        <x:v>71</x:v>
      </x:c>
      <x:c r="Q822" s="1" t="str">
        <x:v>Screen passed; indicative</x:v>
      </x:c>
      <x:c r="R822" s="1" t="n">
        <x:v>408</x:v>
      </x:c>
    </x:row>
    <x:row r="823" ht="21" customHeight="1">
      <x:c r="A823" s="12" t="n">
        <x:v>46259</x:v>
      </x:c>
      <x:c r="B823" s="1" t="str">
        <x:v>GFGC5200OC</x:v>
      </x:c>
      <x:c r="C823" s="1" t="str">
        <x:v>call</x:v>
      </x:c>
      <x:c r="D823" s="11" t="n">
        <x:v>5200</x:v>
      </x:c>
      <x:c r="E823" s="11" t="n">
        <x:f>'Option source'!B100</x:f>
        <x:v>1953.12</x:v>
      </x:c>
      <x:c r="F823" s="11" t="n">
        <x:v>7075</x:v>
      </x:c>
      <x:c r="G823" s="18" t="n">
        <x:v>52</x:v>
      </x:c>
      <x:c r="H823" s="11" t="n">
        <x:f>MAX(IF(C823="call",F823-D823,D823-F823),0)</x:f>
        <x:v>1875</x:v>
      </x:c>
      <x:c r="I823" s="11" t="n">
        <x:f>E823-H823</x:f>
        <x:v>78.11999999999989</x:v>
      </x:c>
      <x:c r="J823" s="13" t="n">
        <x:f>D823/F823</x:f>
        <x:v>0.734982332155477</x:v>
      </x:c>
      <x:c r="K823" s="13"/>
      <x:c r="L823" s="17"/>
      <x:c r="M823" s="17"/>
      <x:c r="N823" s="11" t="n">
        <x:f>'Option source'!C100</x:f>
        <x:v>40872712</x:v>
      </x:c>
      <x:c r="O823" s="11" t="n">
        <x:f>'Option source'!G100</x:f>
        <x:v>1888.46</x:v>
      </x:c>
      <x:c r="P823" s="11" t="n">
        <x:f>'Option source'!F100</x:f>
        <x:v>1958.63</x:v>
      </x:c>
      <x:c r="Q823" s="1" t="str">
        <x:v>No stable model IV</x:v>
      </x:c>
      <x:c r="R823" s="1" t="n">
        <x:v>95</x:v>
      </x:c>
    </x:row>
    <x:row r="824" ht="21" customHeight="1">
      <x:c r="A824" s="12" t="n">
        <x:v>46259</x:v>
      </x:c>
      <x:c r="B824" s="1" t="str">
        <x:v>GFGV5200OC</x:v>
      </x:c>
      <x:c r="C824" s="1" t="str">
        <x:v>put</x:v>
      </x:c>
      <x:c r="D824" s="11" t="n">
        <x:v>5200</x:v>
      </x:c>
      <x:c r="E824" s="11" t="n">
        <x:f>'Option source'!B584</x:f>
        <x:v>10.52</x:v>
      </x:c>
      <x:c r="F824" s="11" t="n">
        <x:v>7075</x:v>
      </x:c>
      <x:c r="G824" s="18" t="n">
        <x:v>52</x:v>
      </x:c>
      <x:c r="H824" s="11" t="n">
        <x:f>MAX(IF(C824="call",F824-D824,D824-F824),0)</x:f>
        <x:v>0</x:v>
      </x:c>
      <x:c r="I824" s="11" t="n">
        <x:f>E824-H824</x:f>
        <x:v>10.52</x:v>
      </x:c>
      <x:c r="J824" s="13" t="n">
        <x:f>D824/F824</x:f>
        <x:v>0.734982332155477</x:v>
      </x:c>
      <x:c r="K824" s="13" t="n">
        <x:v>0.4755580720006622</x:v>
      </x:c>
      <x:c r="L824" s="17" t="n">
        <x:v>-0.020513944519951144</x:v>
      </x:c>
      <x:c r="M824" s="17" t="n">
        <x:v>1.3210883205868142</x:v>
      </x:c>
      <x:c r="N824" s="11" t="n">
        <x:f>'Option source'!C584</x:f>
        <x:v>1278074.25</x:v>
      </x:c>
      <x:c r="O824" s="11" t="n">
        <x:f>'Option source'!G584</x:f>
        <x:v>10.01</x:v>
      </x:c>
      <x:c r="P824" s="11" t="n">
        <x:f>'Option source'!F584</x:f>
        <x:v>19</x:v>
      </x:c>
      <x:c r="Q824" s="1" t="str">
        <x:v>Screen passed; indicative</x:v>
      </x:c>
      <x:c r="R824" s="1" t="n">
        <x:v>579</x:v>
      </x:c>
    </x:row>
    <x:row r="825" ht="21" customHeight="1">
      <x:c r="A825" s="12" t="n">
        <x:v>46259</x:v>
      </x:c>
      <x:c r="B825" s="1" t="str">
        <x:v>GFGC5000OC</x:v>
      </x:c>
      <x:c r="C825" s="1" t="str">
        <x:v>call</x:v>
      </x:c>
      <x:c r="D825" s="11" t="n">
        <x:v>5000</x:v>
      </x:c>
      <x:c r="E825" s="11" t="n">
        <x:f>'Option source'!B81</x:f>
        <x:v>2100</x:v>
      </x:c>
      <x:c r="F825" s="11" t="n">
        <x:v>7075</x:v>
      </x:c>
      <x:c r="G825" s="18" t="n">
        <x:v>52</x:v>
      </x:c>
      <x:c r="H825" s="11" t="n">
        <x:f>MAX(IF(C825="call",F825-D825,D825-F825),0)</x:f>
        <x:v>2075</x:v>
      </x:c>
      <x:c r="I825" s="11" t="n">
        <x:f>E825-H825</x:f>
        <x:v>25</x:v>
      </x:c>
      <x:c r="J825" s="13" t="n">
        <x:f>D825/F825</x:f>
        <x:v>0.7067137809187279</x:v>
      </x:c>
      <x:c r="K825" s="13"/>
      <x:c r="L825" s="17"/>
      <x:c r="M825" s="17"/>
      <x:c r="N825" s="11" t="n">
        <x:f>'Option source'!C81</x:f>
        <x:v>1467228</x:v>
      </x:c>
      <x:c r="O825" s="11" t="n">
        <x:f>'Option source'!G81</x:f>
        <x:v>2095.38</x:v>
      </x:c>
      <x:c r="P825" s="11" t="n">
        <x:f>'Option source'!F81</x:f>
        <x:v>2100</x:v>
      </x:c>
      <x:c r="Q825" s="1" t="str">
        <x:v>No stable model IV</x:v>
      </x:c>
      <x:c r="R825" s="1" t="n">
        <x:v>76</x:v>
      </x:c>
    </x:row>
    <x:row r="826" ht="21" customHeight="1">
      <x:c r="A826" s="12" t="n">
        <x:v>46259</x:v>
      </x:c>
      <x:c r="B826" s="1" t="str">
        <x:v>GFGV5000OC</x:v>
      </x:c>
      <x:c r="C826" s="1" t="str">
        <x:v>put</x:v>
      </x:c>
      <x:c r="D826" s="11" t="n">
        <x:v>5000</x:v>
      </x:c>
      <x:c r="E826" s="11" t="n">
        <x:f>'Option source'!B565</x:f>
        <x:v>7.17</x:v>
      </x:c>
      <x:c r="F826" s="11" t="n">
        <x:v>7075</x:v>
      </x:c>
      <x:c r="G826" s="18" t="n">
        <x:v>52</x:v>
      </x:c>
      <x:c r="H826" s="11" t="n">
        <x:f>MAX(IF(C826="call",F826-D826,D826-F826),0)</x:f>
        <x:v>0</x:v>
      </x:c>
      <x:c r="I826" s="11" t="n">
        <x:f>E826-H826</x:f>
        <x:v>7.17</x:v>
      </x:c>
      <x:c r="J826" s="13" t="n">
        <x:f>D826/F826</x:f>
        <x:v>0.7067137809187279</x:v>
      </x:c>
      <x:c r="K826" s="13" t="n">
        <x:v>0.49193811922191905</x:v>
      </x:c>
      <x:c r="L826" s="17" t="n">
        <x:v>-0.014170957320990718</x:v>
      </x:c>
      <x:c r="M826" s="17" t="n">
        <x:v>0.9630145158615011</x:v>
      </x:c>
      <x:c r="N826" s="11" t="n">
        <x:f>'Option source'!C565</x:f>
        <x:v>1546788.5</x:v>
      </x:c>
      <x:c r="O826" s="11" t="n">
        <x:f>'Option source'!G565</x:f>
        <x:v>7</x:v>
      </x:c>
      <x:c r="P826" s="11" t="n">
        <x:f>'Option source'!F565</x:f>
        <x:v>12.95</x:v>
      </x:c>
      <x:c r="Q826" s="1" t="str">
        <x:v>Screen passed; indicative</x:v>
      </x:c>
      <x:c r="R826" s="1" t="n">
        <x:v>560</x:v>
      </x:c>
    </x:row>
    <x:row r="827" ht="21" customHeight="1">
      <x:c r="A827" s="12" t="n">
        <x:v>46259</x:v>
      </x:c>
      <x:c r="B827" s="1" t="str">
        <x:v>GFGC9200OC</x:v>
      </x:c>
      <x:c r="C827" s="1" t="str">
        <x:v>call</x:v>
      </x:c>
      <x:c r="D827" s="11" t="n">
        <x:v>9200</x:v>
      </x:c>
      <x:c r="E827" s="11" t="n">
        <x:f>'Option source'!B432</x:f>
        <x:v>45.53</x:v>
      </x:c>
      <x:c r="F827" s="11" t="n">
        <x:v>7075</x:v>
      </x:c>
      <x:c r="G827" s="18" t="n">
        <x:v>52</x:v>
      </x:c>
      <x:c r="H827" s="11" t="n">
        <x:f>MAX(IF(C827="call",F827-D827,D827-F827),0)</x:f>
        <x:v>0</x:v>
      </x:c>
      <x:c r="I827" s="11" t="n">
        <x:f>E827-H827</x:f>
        <x:v>45.53</x:v>
      </x:c>
      <x:c r="J827" s="13" t="n">
        <x:f>D827/F827</x:f>
        <x:v>1.3003533568904593</x:v>
      </x:c>
      <x:c r="K827" s="13" t="n">
        <x:v>0.41646223452778414</x:v>
      </x:c>
      <x:c r="L827" s="17" t="n">
        <x:v>0.09336655965063666</x:v>
      </x:c>
      <x:c r="M827" s="17" t="n">
        <x:v>4.456145669802507</x:v>
      </x:c>
      <x:c r="N827" s="11" t="n">
        <x:f>'Option source'!C432</x:f>
        <x:v>18251286</x:v>
      </x:c>
      <x:c r="O827" s="11" t="n">
        <x:f>'Option source'!G432</x:f>
        <x:v>36</x:v>
      </x:c>
      <x:c r="P827" s="11" t="n">
        <x:f>'Option source'!F432</x:f>
        <x:v>48</x:v>
      </x:c>
      <x:c r="Q827" s="1" t="str">
        <x:v>Screen passed; indicative</x:v>
      </x:c>
      <x:c r="R827" s="1" t="n">
        <x:v>427</x:v>
      </x:c>
    </x:row>
    <x:row r="828" ht="21" customHeight="1">
      <x:c r="A828" s="12" t="n">
        <x:v>46259</x:v>
      </x:c>
      <x:c r="B828" s="1" t="str">
        <x:v>GFGC4800OC</x:v>
      </x:c>
      <x:c r="C828" s="1" t="str">
        <x:v>call</x:v>
      </x:c>
      <x:c r="D828" s="11" t="n">
        <x:v>4800</x:v>
      </x:c>
      <x:c r="E828" s="11" t="n">
        <x:f>'Option source'!B64</x:f>
        <x:v>2280</x:v>
      </x:c>
      <x:c r="F828" s="11" t="n">
        <x:v>7075</x:v>
      </x:c>
      <x:c r="G828" s="18" t="n">
        <x:v>52</x:v>
      </x:c>
      <x:c r="H828" s="11" t="n">
        <x:f>MAX(IF(C828="call",F828-D828,D828-F828),0)</x:f>
        <x:v>2275</x:v>
      </x:c>
      <x:c r="I828" s="11" t="n">
        <x:f>E828-H828</x:f>
        <x:v>5</x:v>
      </x:c>
      <x:c r="J828" s="13" t="n">
        <x:f>D828/F828</x:f>
        <x:v>0.6784452296819788</x:v>
      </x:c>
      <x:c r="K828" s="13"/>
      <x:c r="L828" s="17"/>
      <x:c r="M828" s="17"/>
      <x:c r="N828" s="11" t="n">
        <x:f>'Option source'!C64</x:f>
        <x:v>464638</x:v>
      </x:c>
      <x:c r="O828" s="11" t="n">
        <x:f>'Option source'!G64</x:f>
        <x:v>2323.19</x:v>
      </x:c>
      <x:c r="P828" s="11" t="n">
        <x:f>'Option source'!F64</x:f>
        <x:v>2323.19</x:v>
      </x:c>
      <x:c r="Q828" s="1" t="str">
        <x:v>Price outside daily range</x:v>
      </x:c>
      <x:c r="R828" s="1" t="n">
        <x:v>59</x:v>
      </x:c>
    </x:row>
    <x:row r="829" ht="21" customHeight="1">
      <x:c r="A829" s="12" t="n">
        <x:v>46259</x:v>
      </x:c>
      <x:c r="B829" s="1" t="str">
        <x:v>GFGV4800OC</x:v>
      </x:c>
      <x:c r="C829" s="1" t="str">
        <x:v>put</x:v>
      </x:c>
      <x:c r="D829" s="11" t="n">
        <x:v>4800</x:v>
      </x:c>
      <x:c r="E829" s="11" t="n">
        <x:f>'Option source'!B546</x:f>
        <x:v>4.7</x:v>
      </x:c>
      <x:c r="F829" s="11" t="n">
        <x:v>7075</x:v>
      </x:c>
      <x:c r="G829" s="18" t="n">
        <x:v>52</x:v>
      </x:c>
      <x:c r="H829" s="11" t="n">
        <x:f>MAX(IF(C829="call",F829-D829,D829-F829),0)</x:f>
        <x:v>0</x:v>
      </x:c>
      <x:c r="I829" s="11" t="n">
        <x:f>E829-H829</x:f>
        <x:v>4.7</x:v>
      </x:c>
      <x:c r="J829" s="13" t="n">
        <x:f>D829/F829</x:f>
        <x:v>0.6784452296819788</x:v>
      </x:c>
      <x:c r="K829" s="13" t="n">
        <x:v>0.5067232295727184</x:v>
      </x:c>
      <x:c r="L829" s="17" t="n">
        <x:v>-0.00945036243375541</x:v>
      </x:c>
      <x:c r="M829" s="17" t="n">
        <x:v>0.6774283214823046</x:v>
      </x:c>
      <x:c r="N829" s="11" t="n">
        <x:f>'Option source'!C546</x:f>
        <x:v>271898.59</x:v>
      </x:c>
      <x:c r="O829" s="11" t="n">
        <x:f>'Option source'!G546</x:f>
        <x:v>4.5</x:v>
      </x:c>
      <x:c r="P829" s="11" t="n">
        <x:f>'Option source'!F546</x:f>
        <x:v>8</x:v>
      </x:c>
      <x:c r="Q829" s="1" t="str">
        <x:v>Screen passed; indicative</x:v>
      </x:c>
      <x:c r="R829" s="1" t="n">
        <x:v>541</x:v>
      </x:c>
    </x:row>
    <x:row r="830" ht="21" customHeight="1">
      <x:c r="A830" s="12" t="n">
        <x:v>46259</x:v>
      </x:c>
      <x:c r="B830" s="1" t="str">
        <x:v>GFGC9500OC</x:v>
      </x:c>
      <x:c r="C830" s="1" t="str">
        <x:v>call</x:v>
      </x:c>
      <x:c r="D830" s="11" t="n">
        <x:v>9500</x:v>
      </x:c>
      <x:c r="E830" s="11" t="n">
        <x:f>'Option source'!B451</x:f>
        <x:v>28.95</x:v>
      </x:c>
      <x:c r="F830" s="11" t="n">
        <x:v>7075</x:v>
      </x:c>
      <x:c r="G830" s="18" t="n">
        <x:v>52</x:v>
      </x:c>
      <x:c r="H830" s="11" t="n">
        <x:f>MAX(IF(C830="call",F830-D830,D830-F830),0)</x:f>
        <x:v>0</x:v>
      </x:c>
      <x:c r="I830" s="11" t="n">
        <x:f>E830-H830</x:f>
        <x:v>28.95</x:v>
      </x:c>
      <x:c r="J830" s="13" t="n">
        <x:f>D830/F830</x:f>
        <x:v>1.342756183745583</x:v>
      </x:c>
      <x:c r="K830" s="13" t="n">
        <x:v>0.4161816212250759</x:v>
      </x:c>
      <x:c r="L830" s="17" t="n">
        <x:v>0.06355806973492484</x:v>
      </x:c>
      <x:c r="M830" s="17" t="n">
        <x:v>3.32742947976158</x:v>
      </x:c>
      <x:c r="N830" s="11" t="n">
        <x:f>'Option source'!C451</x:f>
        <x:v>5792175</x:v>
      </x:c>
      <x:c r="O830" s="11" t="n">
        <x:f>'Option source'!G451</x:f>
        <x:v>24</x:v>
      </x:c>
      <x:c r="P830" s="11" t="n">
        <x:f>'Option source'!F451</x:f>
        <x:v>31.67</x:v>
      </x:c>
      <x:c r="Q830" s="1" t="str">
        <x:v>Screen passed; indicative</x:v>
      </x:c>
      <x:c r="R830" s="1" t="n">
        <x:v>446</x:v>
      </x:c>
    </x:row>
    <x:row r="831" ht="21" customHeight="1">
      <x:c r="A831" s="12" t="n">
        <x:v>46259</x:v>
      </x:c>
      <x:c r="B831" s="1" t="str">
        <x:v>GFGC4600OC</x:v>
      </x:c>
      <x:c r="C831" s="1" t="str">
        <x:v>call</x:v>
      </x:c>
      <x:c r="D831" s="11" t="n">
        <x:v>4600</x:v>
      </x:c>
      <x:c r="E831" s="11" t="n">
        <x:f>'Option source'!B47</x:f>
        <x:v>2493.23</x:v>
      </x:c>
      <x:c r="F831" s="11" t="n">
        <x:v>7075</x:v>
      </x:c>
      <x:c r="G831" s="18" t="n">
        <x:v>52</x:v>
      </x:c>
      <x:c r="H831" s="11" t="n">
        <x:f>MAX(IF(C831="call",F831-D831,D831-F831),0)</x:f>
        <x:v>2475</x:v>
      </x:c>
      <x:c r="I831" s="11" t="n">
        <x:f>E831-H831</x:f>
        <x:v>18.230000000000018</x:v>
      </x:c>
      <x:c r="J831" s="13" t="n">
        <x:f>D831/F831</x:f>
        <x:v>0.6501766784452296</x:v>
      </x:c>
      <x:c r="K831" s="13"/>
      <x:c r="L831" s="17"/>
      <x:c r="M831" s="17"/>
      <x:c r="N831" s="11" t="n">
        <x:f>'Option source'!C47</x:f>
        <x:v>498646</x:v>
      </x:c>
      <x:c r="O831" s="11" t="n">
        <x:f>'Option source'!G47</x:f>
        <x:v>0</x:v>
      </x:c>
      <x:c r="P831" s="11" t="n">
        <x:f>'Option source'!F47</x:f>
        <x:v>0</x:v>
      </x:c>
      <x:c r="Q831" s="1" t="str">
        <x:v>Price outside daily range</x:v>
      </x:c>
      <x:c r="R831" s="1" t="n">
        <x:v>42</x:v>
      </x:c>
    </x:row>
    <x:row r="832" ht="21" customHeight="1">
      <x:c r="A832" s="12" t="n">
        <x:v>46259</x:v>
      </x:c>
      <x:c r="B832" s="1" t="str">
        <x:v>GFGV4600OC</x:v>
      </x:c>
      <x:c r="C832" s="1" t="str">
        <x:v>put</x:v>
      </x:c>
      <x:c r="D832" s="11" t="n">
        <x:v>4600</x:v>
      </x:c>
      <x:c r="E832" s="11" t="n">
        <x:f>'Option source'!B527</x:f>
        <x:v>3.47</x:v>
      </x:c>
      <x:c r="F832" s="11" t="n">
        <x:v>7075</x:v>
      </x:c>
      <x:c r="G832" s="18" t="n">
        <x:v>52</x:v>
      </x:c>
      <x:c r="H832" s="11" t="n">
        <x:f>MAX(IF(C832="call",F832-D832,D832-F832),0)</x:f>
        <x:v>0</x:v>
      </x:c>
      <x:c r="I832" s="11" t="n">
        <x:f>E832-H832</x:f>
        <x:v>3.47</x:v>
      </x:c>
      <x:c r="J832" s="13" t="n">
        <x:f>D832/F832</x:f>
        <x:v>0.6501766784452296</x:v>
      </x:c>
      <x:c r="K832" s="13" t="n">
        <x:v>0.5312234980896355</x:v>
      </x:c>
      <x:c r="L832" s="17" t="n">
        <x:v>-0.0069370037006297736</x:v>
      </x:c>
      <x:c r="M832" s="17" t="n">
        <x:v>0.5162494503278012</x:v>
      </x:c>
      <x:c r="N832" s="11" t="n">
        <x:f>'Option source'!C527</x:f>
        <x:v>132079.41</x:v>
      </x:c>
      <x:c r="O832" s="11" t="n">
        <x:f>'Option source'!G527</x:f>
        <x:v>2.59</x:v>
      </x:c>
      <x:c r="P832" s="11" t="n">
        <x:f>'Option source'!F527</x:f>
        <x:v>6</x:v>
      </x:c>
      <x:c r="Q832" s="1" t="str">
        <x:v>Screen passed; indicative</x:v>
      </x:c>
      <x:c r="R832" s="1" t="n">
        <x:v>522</x:v>
      </x:c>
    </x:row>
    <x:row r="833" ht="21" customHeight="1">
      <x:c r="A833" s="12" t="n">
        <x:v>46259</x:v>
      </x:c>
      <x:c r="B833" s="1" t="str">
        <x:v>GFGC4400OC</x:v>
      </x:c>
      <x:c r="C833" s="1" t="str">
        <x:v>call</x:v>
      </x:c>
      <x:c r="D833" s="11" t="n">
        <x:v>4400</x:v>
      </x:c>
      <x:c r="E833" s="11" t="n">
        <x:f>'Option source'!B28</x:f>
        <x:v>2387.12</x:v>
      </x:c>
      <x:c r="F833" s="11" t="n">
        <x:v>7075</x:v>
      </x:c>
      <x:c r="G833" s="18" t="n">
        <x:v>52</x:v>
      </x:c>
      <x:c r="H833" s="11" t="n">
        <x:f>MAX(IF(C833="call",F833-D833,D833-F833),0)</x:f>
        <x:v>2675</x:v>
      </x:c>
      <x:c r="I833" s="11" t="n">
        <x:f>E833-H833</x:f>
        <x:v>-287.8800000000001</x:v>
      </x:c>
      <x:c r="J833" s="13" t="n">
        <x:f>D833/F833</x:f>
        <x:v>0.6219081272084805</x:v>
      </x:c>
      <x:c r="K833" s="13"/>
      <x:c r="L833" s="17"/>
      <x:c r="M833" s="17"/>
      <x:c r="N833" s="11" t="n">
        <x:f>'Option source'!C28</x:f>
        <x:v>0</x:v>
      </x:c>
      <x:c r="O833" s="11" t="n">
        <x:f>'Option source'!G28</x:f>
        <x:v>2366.48</x:v>
      </x:c>
      <x:c r="P833" s="11" t="n">
        <x:f>'Option source'!F28</x:f>
        <x:v>2376.5</x:v>
      </x:c>
      <x:c r="Q833" s="1" t="str">
        <x:v>Zero reported volume; Price outside daily range; Below intrinsic value</x:v>
      </x:c>
      <x:c r="R833" s="1" t="n">
        <x:v>23</x:v>
      </x:c>
    </x:row>
    <x:row r="834" ht="21" customHeight="1">
      <x:c r="A834" s="12" t="n">
        <x:v>46259</x:v>
      </x:c>
      <x:c r="B834" s="1" t="str">
        <x:v>GFGV4400OC</x:v>
      </x:c>
      <x:c r="C834" s="1" t="str">
        <x:v>put</x:v>
      </x:c>
      <x:c r="D834" s="11" t="n">
        <x:v>4400</x:v>
      </x:c>
      <x:c r="E834" s="11" t="n">
        <x:f>'Option source'!B508</x:f>
        <x:v>3.02</x:v>
      </x:c>
      <x:c r="F834" s="11" t="n">
        <x:v>7075</x:v>
      </x:c>
      <x:c r="G834" s="18" t="n">
        <x:v>52</x:v>
      </x:c>
      <x:c r="H834" s="11" t="n">
        <x:f>MAX(IF(C834="call",F834-D834,D834-F834),0)</x:f>
        <x:v>0</x:v>
      </x:c>
      <x:c r="I834" s="11" t="n">
        <x:f>E834-H834</x:f>
        <x:v>3.02</x:v>
      </x:c>
      <x:c r="J834" s="13" t="n">
        <x:f>D834/F834</x:f>
        <x:v>0.6219081272084805</x:v>
      </x:c>
      <x:c r="K834" s="13" t="n">
        <x:v>0.5664786138426307</x:v>
      </x:c>
      <x:c r="L834" s="17" t="n">
        <x:v>-0.005732962591925017</x:v>
      </x:c>
      <x:c r="M834" s="17" t="n">
        <x:v>0.43607927252013906</x:v>
      </x:c>
      <x:c r="N834" s="11" t="n">
        <x:f>'Option source'!C508</x:f>
        <x:v>351163.59</x:v>
      </x:c>
      <x:c r="O834" s="11" t="n">
        <x:f>'Option source'!G508</x:f>
        <x:v>2.71</x:v>
      </x:c>
      <x:c r="P834" s="11" t="n">
        <x:f>'Option source'!F508</x:f>
        <x:v>4.6</x:v>
      </x:c>
      <x:c r="Q834" s="1" t="str">
        <x:v>Screen passed; indicative</x:v>
      </x:c>
      <x:c r="R834" s="1" t="n">
        <x:v>503</x:v>
      </x:c>
    </x:row>
    <x:row r="835" ht="21" customHeight="1">
      <x:c r="A835" s="12" t="n">
        <x:v>46259</x:v>
      </x:c>
      <x:c r="B835" s="1" t="str">
        <x:v>GFGC9900OC</x:v>
      </x:c>
      <x:c r="C835" s="1" t="str">
        <x:v>call</x:v>
      </x:c>
      <x:c r="D835" s="11" t="n">
        <x:v>9900</x:v>
      </x:c>
      <x:c r="E835" s="11" t="n">
        <x:f>'Option source'!B470</x:f>
        <x:v>17.28</x:v>
      </x:c>
      <x:c r="F835" s="11" t="n">
        <x:v>7075</x:v>
      </x:c>
      <x:c r="G835" s="18" t="n">
        <x:v>52</x:v>
      </x:c>
      <x:c r="H835" s="11" t="n">
        <x:f>MAX(IF(C835="call",F835-D835,D835-F835),0)</x:f>
        <x:v>0</x:v>
      </x:c>
      <x:c r="I835" s="11" t="n">
        <x:f>E835-H835</x:f>
        <x:v>17.28</x:v>
      </x:c>
      <x:c r="J835" s="13" t="n">
        <x:f>D835/F835</x:f>
        <x:v>1.3992932862190812</x:v>
      </x:c>
      <x:c r="K835" s="13" t="n">
        <x:v>0.4243152785597834</x:v>
      </x:c>
      <x:c r="L835" s="17" t="n">
        <x:v>0.039989645299187054</x:v>
      </x:c>
      <x:c r="M835" s="17" t="n">
        <x:v>2.300728778054526</x:v>
      </x:c>
      <x:c r="N835" s="11" t="n">
        <x:f>'Option source'!C470</x:f>
        <x:v>1264340.38</x:v>
      </x:c>
      <x:c r="O835" s="11" t="n">
        <x:f>'Option source'!G470</x:f>
        <x:v>12.99</x:v>
      </x:c>
      <x:c r="P835" s="11" t="n">
        <x:f>'Option source'!F470</x:f>
        <x:v>19</x:v>
      </x:c>
      <x:c r="Q835" s="1" t="str">
        <x:v>Screen passed; indicative</x:v>
      </x:c>
      <x:c r="R835" s="1" t="n">
        <x:v>465</x:v>
      </x:c>
    </x:row>
    <x:row r="836" ht="21" customHeight="1">
      <x:c r="A836" s="12" t="n">
        <x:v>46259</x:v>
      </x:c>
      <x:c r="B836" s="1" t="str">
        <x:v>GFGC4200OC</x:v>
      </x:c>
      <x:c r="C836" s="1" t="str">
        <x:v>call</x:v>
      </x:c>
      <x:c r="D836" s="11" t="n">
        <x:v>4200</x:v>
      </x:c>
      <x:c r="E836" s="11" t="n">
        <x:f>'Option source'!B9</x:f>
        <x:v>2865.46</x:v>
      </x:c>
      <x:c r="F836" s="11" t="n">
        <x:v>7075</x:v>
      </x:c>
      <x:c r="G836" s="18" t="n">
        <x:v>52</x:v>
      </x:c>
      <x:c r="H836" s="11" t="n">
        <x:f>MAX(IF(C836="call",F836-D836,D836-F836),0)</x:f>
        <x:v>2875</x:v>
      </x:c>
      <x:c r="I836" s="11" t="n">
        <x:f>E836-H836</x:f>
        <x:v>-9.539999999999964</x:v>
      </x:c>
      <x:c r="J836" s="13" t="n">
        <x:f>D836/F836</x:f>
        <x:v>0.5936395759717314</x:v>
      </x:c>
      <x:c r="K836" s="13"/>
      <x:c r="L836" s="17"/>
      <x:c r="M836" s="17"/>
      <x:c r="N836" s="11" t="n">
        <x:f>'Option source'!C9</x:f>
        <x:v>3405823</x:v>
      </x:c>
      <x:c r="O836" s="11" t="n">
        <x:f>'Option source'!G9</x:f>
        <x:v>2800</x:v>
      </x:c>
      <x:c r="P836" s="11" t="n">
        <x:f>'Option source'!F9</x:f>
        <x:v>2874.05</x:v>
      </x:c>
      <x:c r="Q836" s="1" t="str">
        <x:v>Below intrinsic value</x:v>
      </x:c>
      <x:c r="R836" s="1" t="n">
        <x:v>4</x:v>
      </x:c>
    </x:row>
    <x:row r="837" ht="21" customHeight="1">
      <x:c r="A837" s="12" t="n">
        <x:v>46259</x:v>
      </x:c>
      <x:c r="B837" s="1" t="str">
        <x:v>GFGV4200OC</x:v>
      </x:c>
      <x:c r="C837" s="1" t="str">
        <x:v>put</x:v>
      </x:c>
      <x:c r="D837" s="11" t="n">
        <x:v>4200</x:v>
      </x:c>
      <x:c r="E837" s="11" t="n">
        <x:f>'Option source'!B489</x:f>
        <x:v>2.46</x:v>
      </x:c>
      <x:c r="F837" s="11" t="n">
        <x:v>7075</x:v>
      </x:c>
      <x:c r="G837" s="18" t="n">
        <x:v>52</x:v>
      </x:c>
      <x:c r="H837" s="11" t="n">
        <x:f>MAX(IF(C837="call",F837-D837,D837-F837),0)</x:f>
        <x:v>0</x:v>
      </x:c>
      <x:c r="I837" s="11" t="n">
        <x:f>E837-H837</x:f>
        <x:v>2.46</x:v>
      </x:c>
      <x:c r="J837" s="13" t="n">
        <x:f>D837/F837</x:f>
        <x:v>0.5936395759717314</x:v>
      </x:c>
      <x:c r="K837" s="13" t="n">
        <x:v>0.5987631468892398</x:v>
      </x:c>
      <x:c r="L837" s="17" t="n">
        <x:v>-0.0045330678104520405</x:v>
      </x:c>
      <x:c r="M837" s="17" t="n">
        <x:v>0.3538122737225984</x:v>
      </x:c>
      <x:c r="N837" s="11" t="n">
        <x:f>'Option source'!C489</x:f>
        <x:v>349267.91</x:v>
      </x:c>
      <x:c r="O837" s="11" t="n">
        <x:f>'Option source'!G489</x:f>
        <x:v>2</x:v>
      </x:c>
      <x:c r="P837" s="11" t="n">
        <x:f>'Option source'!F489</x:f>
        <x:v>3.8</x:v>
      </x:c>
      <x:c r="Q837" s="1" t="str">
        <x:v>Screen passed; indicative</x:v>
      </x:c>
      <x:c r="R837" s="1" t="n">
        <x:v>484</x:v>
      </x:c>
    </x:row>
    <x:row r="838" ht="21" customHeight="1">
      <x:c r="A838" s="12" t="n">
        <x:v>46258</x:v>
      </x:c>
      <x:c r="B838" s="1" t="str">
        <x:v>GFGC7000OC</x:v>
      </x:c>
      <x:c r="C838" s="1" t="str">
        <x:v>call</x:v>
      </x:c>
      <x:c r="D838" s="11" t="n">
        <x:v>7000</x:v>
      </x:c>
      <x:c r="E838" s="11" t="n">
        <x:f>'Option source'!B260</x:f>
        <x:v>579.21</x:v>
      </x:c>
      <x:c r="F838" s="11" t="n">
        <x:v>6950</x:v>
      </x:c>
      <x:c r="G838" s="18" t="n">
        <x:v>53</x:v>
      </x:c>
      <x:c r="H838" s="11" t="n">
        <x:f>MAX(IF(C838="call",F838-D838,D838-F838),0)</x:f>
        <x:v>0</x:v>
      </x:c>
      <x:c r="I838" s="11" t="n">
        <x:f>E838-H838</x:f>
        <x:v>579.21</x:v>
      </x:c>
      <x:c r="J838" s="13" t="n">
        <x:f>D838/F838</x:f>
        <x:v>1.0071942446043165</x:v>
      </x:c>
      <x:c r="K838" s="13" t="n">
        <x:v>0.4284132161585331</x:v>
      </x:c>
      <x:c r="L838" s="17" t="n">
        <x:v>0.6196469136874895</x:v>
      </x:c>
      <x:c r="M838" s="17" t="n">
        <x:v>10.086612557099508</x:v>
      </x:c>
      <x:c r="N838" s="11" t="n">
        <x:f>'Option source'!C260</x:f>
        <x:v>904627648</x:v>
      </x:c>
      <x:c r="O838" s="11" t="n">
        <x:f>'Option source'!G260</x:f>
        <x:v>385</x:v>
      </x:c>
      <x:c r="P838" s="11" t="n">
        <x:f>'Option source'!F260</x:f>
        <x:v>618</x:v>
      </x:c>
      <x:c r="Q838" s="1" t="str">
        <x:v>Screen passed; indicative</x:v>
      </x:c>
      <x:c r="R838" s="1" t="n">
        <x:v>255</x:v>
      </x:c>
    </x:row>
    <x:row r="839" ht="21" customHeight="1">
      <x:c r="A839" s="12" t="n">
        <x:v>46258</x:v>
      </x:c>
      <x:c r="B839" s="1" t="str">
        <x:v>GFGV7000OC</x:v>
      </x:c>
      <x:c r="C839" s="1" t="str">
        <x:v>put</x:v>
      </x:c>
      <x:c r="D839" s="11" t="n">
        <x:v>7000</x:v>
      </x:c>
      <x:c r="E839" s="11" t="n">
        <x:f>'Option source'!B754</x:f>
        <x:v>400.7</x:v>
      </x:c>
      <x:c r="F839" s="11" t="n">
        <x:v>6950</x:v>
      </x:c>
      <x:c r="G839" s="18" t="n">
        <x:v>53</x:v>
      </x:c>
      <x:c r="H839" s="11" t="n">
        <x:f>MAX(IF(C839="call",F839-D839,D839-F839),0)</x:f>
        <x:v>50</x:v>
      </x:c>
      <x:c r="I839" s="11" t="n">
        <x:f>E839-H839</x:f>
        <x:v>350.7</x:v>
      </x:c>
      <x:c r="J839" s="13" t="n">
        <x:f>D839/F839</x:f>
        <x:v>1.0071942446043165</x:v>
      </x:c>
      <x:c r="K839" s="13" t="n">
        <x:v>0.4641106520169913</x:v>
      </x:c>
      <x:c r="L839" s="17" t="n">
        <x:v>-0.38429937658957625</x:v>
      </x:c>
      <x:c r="M839" s="17" t="n">
        <x:v>10.11790111892586</x:v>
      </x:c>
      <x:c r="N839" s="11" t="n">
        <x:f>'Option source'!C754</x:f>
        <x:v>622850880</x:v>
      </x:c>
      <x:c r="O839" s="11" t="n">
        <x:f>'Option source'!G754</x:f>
        <x:v>370.01</x:v>
      </x:c>
      <x:c r="P839" s="11" t="n">
        <x:f>'Option source'!F754</x:f>
        <x:v>570</x:v>
      </x:c>
      <x:c r="Q839" s="1" t="str">
        <x:v>Screen passed; indicative</x:v>
      </x:c>
      <x:c r="R839" s="1" t="n">
        <x:v>749</x:v>
      </x:c>
    </x:row>
    <x:row r="840" ht="21" customHeight="1">
      <x:c r="A840" s="12" t="n">
        <x:v>46258</x:v>
      </x:c>
      <x:c r="B840" s="1" t="str">
        <x:v>GFGC6800OC</x:v>
      </x:c>
      <x:c r="C840" s="1" t="str">
        <x:v>call</x:v>
      </x:c>
      <x:c r="D840" s="11" t="n">
        <x:v>6800</x:v>
      </x:c>
      <x:c r="E840" s="11" t="n">
        <x:f>'Option source'!B241</x:f>
        <x:v>686.77</x:v>
      </x:c>
      <x:c r="F840" s="11" t="n">
        <x:v>6950</x:v>
      </x:c>
      <x:c r="G840" s="18" t="n">
        <x:v>53</x:v>
      </x:c>
      <x:c r="H840" s="11" t="n">
        <x:f>MAX(IF(C840="call",F840-D840,D840-F840),0)</x:f>
        <x:v>150</x:v>
      </x:c>
      <x:c r="I840" s="11" t="n">
        <x:f>E840-H840</x:f>
        <x:v>536.77</x:v>
      </x:c>
      <x:c r="J840" s="13" t="n">
        <x:f>D840/F840</x:f>
        <x:v>0.9784172661870504</x:v>
      </x:c>
      <x:c r="K840" s="13" t="n">
        <x:v>0.42251204040731716</x:v>
      </x:c>
      <x:c r="L840" s="17" t="n">
        <x:v>0.6867247341090343</x:v>
      </x:c>
      <x:c r="M840" s="17" t="n">
        <x:v>9.385835560433575</x:v>
      </x:c>
      <x:c r="N840" s="11" t="n">
        <x:f>'Option source'!C241</x:f>
        <x:v>612210304</x:v>
      </x:c>
      <x:c r="O840" s="11" t="n">
        <x:f>'Option source'!G241</x:f>
        <x:v>482</x:v>
      </x:c>
      <x:c r="P840" s="11" t="n">
        <x:f>'Option source'!F241</x:f>
        <x:v>725</x:v>
      </x:c>
      <x:c r="Q840" s="1" t="str">
        <x:v>Screen passed; indicative</x:v>
      </x:c>
      <x:c r="R840" s="1" t="n">
        <x:v>236</x:v>
      </x:c>
    </x:row>
    <x:row r="841" ht="21" customHeight="1">
      <x:c r="A841" s="12" t="n">
        <x:v>46258</x:v>
      </x:c>
      <x:c r="B841" s="1" t="str">
        <x:v>GFGV6800OC</x:v>
      </x:c>
      <x:c r="C841" s="1" t="str">
        <x:v>put</x:v>
      </x:c>
      <x:c r="D841" s="11" t="n">
        <x:v>6800</x:v>
      </x:c>
      <x:c r="E841" s="11" t="n">
        <x:f>'Option source'!B735</x:f>
        <x:v>309</x:v>
      </x:c>
      <x:c r="F841" s="11" t="n">
        <x:v>6950</x:v>
      </x:c>
      <x:c r="G841" s="18" t="n">
        <x:v>53</x:v>
      </x:c>
      <x:c r="H841" s="11" t="n">
        <x:f>MAX(IF(C841="call",F841-D841,D841-F841),0)</x:f>
        <x:v>0</x:v>
      </x:c>
      <x:c r="I841" s="11" t="n">
        <x:f>E841-H841</x:f>
        <x:v>309</x:v>
      </x:c>
      <x:c r="J841" s="13" t="n">
        <x:f>D841/F841</x:f>
        <x:v>0.9784172661870504</x:v>
      </x:c>
      <x:c r="K841" s="13" t="n">
        <x:v>0.46286290482977965</x:v>
      </x:c>
      <x:c r="L841" s="17" t="n">
        <x:v>-0.32316217540667647</x:v>
      </x:c>
      <x:c r="M841" s="17" t="n">
        <x:v>9.509607789945095</x:v>
      </x:c>
      <x:c r="N841" s="11" t="n">
        <x:f>'Option source'!C735</x:f>
        <x:v>160321328</x:v>
      </x:c>
      <x:c r="O841" s="11" t="n">
        <x:f>'Option source'!G735</x:f>
        <x:v>290</x:v>
      </x:c>
      <x:c r="P841" s="11" t="n">
        <x:f>'Option source'!F735</x:f>
        <x:v>450</x:v>
      </x:c>
      <x:c r="Q841" s="1" t="str">
        <x:v>Screen passed; indicative</x:v>
      </x:c>
      <x:c r="R841" s="1" t="n">
        <x:v>730</x:v>
      </x:c>
    </x:row>
    <x:row r="842" ht="21" customHeight="1">
      <x:c r="A842" s="12" t="n">
        <x:v>46258</x:v>
      </x:c>
      <x:c r="B842" s="1" t="str">
        <x:v>GFGC7200OC</x:v>
      </x:c>
      <x:c r="C842" s="1" t="str">
        <x:v>call</x:v>
      </x:c>
      <x:c r="D842" s="11" t="n">
        <x:v>7200</x:v>
      </x:c>
      <x:c r="E842" s="11" t="n">
        <x:f>'Option source'!B279</x:f>
        <x:v>485.19</x:v>
      </x:c>
      <x:c r="F842" s="11" t="n">
        <x:v>6950</x:v>
      </x:c>
      <x:c r="G842" s="18" t="n">
        <x:v>53</x:v>
      </x:c>
      <x:c r="H842" s="11" t="n">
        <x:f>MAX(IF(C842="call",F842-D842,D842-F842),0)</x:f>
        <x:v>0</x:v>
      </x:c>
      <x:c r="I842" s="11" t="n">
        <x:f>E842-H842</x:f>
        <x:v>485.19</x:v>
      </x:c>
      <x:c r="J842" s="13" t="n">
        <x:f>D842/F842</x:f>
        <x:v>1.0359712230215827</x:v>
      </x:c>
      <x:c r="K842" s="13" t="n">
        <x:v>0.43402943138240035</x:v>
      </x:c>
      <x:c r="L842" s="17" t="n">
        <x:v>0.5526698336384909</x:v>
      </x:c>
      <x:c r="M842" s="17" t="n">
        <x:v>10.473197242976346</x:v>
      </x:c>
      <x:c r="N842" s="11" t="n">
        <x:f>'Option source'!C279</x:f>
        <x:v>274389984</x:v>
      </x:c>
      <x:c r="O842" s="11" t="n">
        <x:f>'Option source'!G279</x:f>
        <x:v>300</x:v>
      </x:c>
      <x:c r="P842" s="11" t="n">
        <x:f>'Option source'!F279</x:f>
        <x:v>511</x:v>
      </x:c>
      <x:c r="Q842" s="1" t="str">
        <x:v>Screen passed; indicative</x:v>
      </x:c>
      <x:c r="R842" s="1" t="n">
        <x:v>274</x:v>
      </x:c>
    </x:row>
    <x:row r="843" ht="21" customHeight="1">
      <x:c r="A843" s="12" t="n">
        <x:v>46258</x:v>
      </x:c>
      <x:c r="B843" s="1" t="str">
        <x:v>GFGV7200OC</x:v>
      </x:c>
      <x:c r="C843" s="1" t="str">
        <x:v>put</x:v>
      </x:c>
      <x:c r="D843" s="11" t="n">
        <x:v>7200</x:v>
      </x:c>
      <x:c r="E843" s="11" t="n">
        <x:f>'Option source'!B773</x:f>
        <x:v>509.16</x:v>
      </x:c>
      <x:c r="F843" s="11" t="n">
        <x:v>6950</x:v>
      </x:c>
      <x:c r="G843" s="18" t="n">
        <x:v>53</x:v>
      </x:c>
      <x:c r="H843" s="11" t="n">
        <x:f>MAX(IF(C843="call",F843-D843,D843-F843),0)</x:f>
        <x:v>250</x:v>
      </x:c>
      <x:c r="I843" s="11" t="n">
        <x:f>E843-H843</x:f>
        <x:v>259.16</x:v>
      </x:c>
      <x:c r="J843" s="13" t="n">
        <x:f>D843/F843</x:f>
        <x:v>1.0359712230215827</x:v>
      </x:c>
      <x:c r="K843" s="13" t="n">
        <x:v>0.46727895152073906</x:v>
      </x:c>
      <x:c r="L843" s="17" t="n">
        <x:v>-0.446224051900311</x:v>
      </x:c>
      <x:c r="M843" s="17" t="n">
        <x:v>10.469277484133448</x:v>
      </x:c>
      <x:c r="N843" s="11" t="n">
        <x:f>'Option source'!C773</x:f>
        <x:v>29652486</x:v>
      </x:c>
      <x:c r="O843" s="11" t="n">
        <x:f>'Option source'!G773</x:f>
        <x:v>453.25</x:v>
      </x:c>
      <x:c r="P843" s="11" t="n">
        <x:f>'Option source'!F773</x:f>
        <x:v>633</x:v>
      </x:c>
      <x:c r="Q843" s="1" t="str">
        <x:v>Screen passed; indicative</x:v>
      </x:c>
      <x:c r="R843" s="1" t="n">
        <x:v>768</x:v>
      </x:c>
    </x:row>
    <x:row r="844" ht="21" customHeight="1">
      <x:c r="A844" s="12" t="n">
        <x:v>46258</x:v>
      </x:c>
      <x:c r="B844" s="1" t="str">
        <x:v>GFGC6600OC</x:v>
      </x:c>
      <x:c r="C844" s="1" t="str">
        <x:v>call</x:v>
      </x:c>
      <x:c r="D844" s="11" t="n">
        <x:v>6600</x:v>
      </x:c>
      <x:c r="E844" s="11" t="n">
        <x:f>'Option source'!B222</x:f>
        <x:v>801.3</x:v>
      </x:c>
      <x:c r="F844" s="11" t="n">
        <x:v>6950</x:v>
      </x:c>
      <x:c r="G844" s="18" t="n">
        <x:v>53</x:v>
      </x:c>
      <x:c r="H844" s="11" t="n">
        <x:f>MAX(IF(C844="call",F844-D844,D844-F844),0)</x:f>
        <x:v>350</x:v>
      </x:c>
      <x:c r="I844" s="11" t="n">
        <x:f>E844-H844</x:f>
        <x:v>451.29999999999995</x:v>
      </x:c>
      <x:c r="J844" s="13" t="n">
        <x:f>D844/F844</x:f>
        <x:v>0.9496402877697842</x:v>
      </x:c>
      <x:c r="K844" s="13" t="n">
        <x:v>0.4079774077392768</x:v>
      </x:c>
      <x:c r="L844" s="17" t="n">
        <x:v>0.755000882125159</x:v>
      </x:c>
      <x:c r="M844" s="17" t="n">
        <x:v>8.325477787397007</x:v>
      </x:c>
      <x:c r="N844" s="11" t="n">
        <x:f>'Option source'!C222</x:f>
        <x:v>133091224</x:v>
      </x:c>
      <x:c r="O844" s="11" t="n">
        <x:f>'Option source'!G222</x:f>
        <x:v>484</x:v>
      </x:c>
      <x:c r="P844" s="11" t="n">
        <x:f>'Option source'!F222</x:f>
        <x:v>860</x:v>
      </x:c>
      <x:c r="Q844" s="1" t="str">
        <x:v>Screen passed; indicative</x:v>
      </x:c>
      <x:c r="R844" s="1" t="n">
        <x:v>217</x:v>
      </x:c>
    </x:row>
    <x:row r="845" ht="21" customHeight="1">
      <x:c r="A845" s="12" t="n">
        <x:v>46258</x:v>
      </x:c>
      <x:c r="B845" s="1" t="str">
        <x:v>GFGV6600OC</x:v>
      </x:c>
      <x:c r="C845" s="1" t="str">
        <x:v>put</x:v>
      </x:c>
      <x:c r="D845" s="11" t="n">
        <x:v>6600</x:v>
      </x:c>
      <x:c r="E845" s="11" t="n">
        <x:f>'Option source'!B716</x:f>
        <x:v>235.77</x:v>
      </x:c>
      <x:c r="F845" s="11" t="n">
        <x:v>6950</x:v>
      </x:c>
      <x:c r="G845" s="18" t="n">
        <x:v>53</x:v>
      </x:c>
      <x:c r="H845" s="11" t="n">
        <x:f>MAX(IF(C845="call",F845-D845,D845-F845),0)</x:f>
        <x:v>0</x:v>
      </x:c>
      <x:c r="I845" s="11" t="n">
        <x:f>E845-H845</x:f>
        <x:v>235.77</x:v>
      </x:c>
      <x:c r="J845" s="13" t="n">
        <x:f>D845/F845</x:f>
        <x:v>0.9496402877697842</x:v>
      </x:c>
      <x:c r="K845" s="13" t="n">
        <x:v>0.4658777940897607</x:v>
      </x:c>
      <x:c r="L845" s="17" t="n">
        <x:v>-0.26591646919546286</x:v>
      </x:c>
      <x:c r="M845" s="17" t="n">
        <x:v>8.689726279007909</x:v>
      </x:c>
      <x:c r="N845" s="11" t="n">
        <x:f>'Option source'!C716</x:f>
        <x:v>349124160</x:v>
      </x:c>
      <x:c r="O845" s="11" t="n">
        <x:f>'Option source'!G716</x:f>
        <x:v>220</x:v>
      </x:c>
      <x:c r="P845" s="11" t="n">
        <x:f>'Option source'!F716</x:f>
        <x:v>420</x:v>
      </x:c>
      <x:c r="Q845" s="1" t="str">
        <x:v>Screen passed; indicative</x:v>
      </x:c>
      <x:c r="R845" s="1" t="n">
        <x:v>711</x:v>
      </x:c>
    </x:row>
    <x:row r="846" ht="21" customHeight="1">
      <x:c r="A846" s="12" t="n">
        <x:v>46258</x:v>
      </x:c>
      <x:c r="B846" s="1" t="str">
        <x:v>GFGC7400OC</x:v>
      </x:c>
      <x:c r="C846" s="1" t="str">
        <x:v>call</x:v>
      </x:c>
      <x:c r="D846" s="11" t="n">
        <x:v>7400</x:v>
      </x:c>
      <x:c r="E846" s="11" t="n">
        <x:f>'Option source'!B298</x:f>
        <x:v>396.15</x:v>
      </x:c>
      <x:c r="F846" s="11" t="n">
        <x:v>6950</x:v>
      </x:c>
      <x:c r="G846" s="18" t="n">
        <x:v>53</x:v>
      </x:c>
      <x:c r="H846" s="11" t="n">
        <x:f>MAX(IF(C846="call",F846-D846,D846-F846),0)</x:f>
        <x:v>0</x:v>
      </x:c>
      <x:c r="I846" s="11" t="n">
        <x:f>E846-H846</x:f>
        <x:v>396.15</x:v>
      </x:c>
      <x:c r="J846" s="13" t="n">
        <x:f>D846/F846</x:f>
        <x:v>1.064748201438849</x:v>
      </x:c>
      <x:c r="K846" s="13" t="n">
        <x:v>0.4319951068528374</x:v>
      </x:c>
      <x:c r="L846" s="17" t="n">
        <x:v>0.48636429487831334</x:v>
      </x:c>
      <x:c r="M846" s="17" t="n">
        <x:v>10.559238328949093</x:v>
      </x:c>
      <x:c r="N846" s="11" t="n">
        <x:f>'Option source'!C298</x:f>
        <x:v>237999520</x:v>
      </x:c>
      <x:c r="O846" s="11" t="n">
        <x:f>'Option source'!G298</x:f>
        <x:v>260</x:v>
      </x:c>
      <x:c r="P846" s="11" t="n">
        <x:f>'Option source'!F298</x:f>
        <x:v>421</x:v>
      </x:c>
      <x:c r="Q846" s="1" t="str">
        <x:v>Screen passed; indicative</x:v>
      </x:c>
      <x:c r="R846" s="1" t="n">
        <x:v>293</x:v>
      </x:c>
    </x:row>
    <x:row r="847" ht="21" customHeight="1">
      <x:c r="A847" s="12" t="n">
        <x:v>46258</x:v>
      </x:c>
      <x:c r="B847" s="1" t="str">
        <x:v>GFGV7400OC</x:v>
      </x:c>
      <x:c r="C847" s="1" t="str">
        <x:v>put</x:v>
      </x:c>
      <x:c r="D847" s="11" t="n">
        <x:v>7400</x:v>
      </x:c>
      <x:c r="E847" s="11" t="n">
        <x:f>'Option source'!B792</x:f>
        <x:v>620</x:v>
      </x:c>
      <x:c r="F847" s="11" t="n">
        <x:v>6950</x:v>
      </x:c>
      <x:c r="G847" s="18" t="n">
        <x:v>53</x:v>
      </x:c>
      <x:c r="H847" s="11" t="n">
        <x:f>MAX(IF(C847="call",F847-D847,D847-F847),0)</x:f>
        <x:v>450</x:v>
      </x:c>
      <x:c r="I847" s="11" t="n">
        <x:f>E847-H847</x:f>
        <x:v>170</x:v>
      </x:c>
      <x:c r="J847" s="13" t="n">
        <x:f>D847/F847</x:f>
        <x:v>1.064748201438849</x:v>
      </x:c>
      <x:c r="K847" s="13" t="n">
        <x:v>0.4575037370747853</x:v>
      </x:c>
      <x:c r="L847" s="17" t="n">
        <x:v>-0.5091074248424967</x:v>
      </x:c>
      <x:c r="M847" s="17" t="n">
        <x:v>10.56265718594085</x:v>
      </x:c>
      <x:c r="N847" s="11" t="n">
        <x:f>'Option source'!C792</x:f>
        <x:v>28839538</x:v>
      </x:c>
      <x:c r="O847" s="11" t="n">
        <x:f>'Option source'!G792</x:f>
        <x:v>577</x:v>
      </x:c>
      <x:c r="P847" s="11" t="n">
        <x:f>'Option source'!F792</x:f>
        <x:v>700</x:v>
      </x:c>
      <x:c r="Q847" s="1" t="str">
        <x:v>Screen passed; indicative</x:v>
      </x:c>
      <x:c r="R847" s="1" t="n">
        <x:v>787</x:v>
      </x:c>
    </x:row>
    <x:row r="848" ht="21" customHeight="1">
      <x:c r="A848" s="12" t="n">
        <x:v>46258</x:v>
      </x:c>
      <x:c r="B848" s="1" t="str">
        <x:v>GFGC6400OC</x:v>
      </x:c>
      <x:c r="C848" s="1" t="str">
        <x:v>call</x:v>
      </x:c>
      <x:c r="D848" s="11" t="n">
        <x:v>6400</x:v>
      </x:c>
      <x:c r="E848" s="11" t="n">
        <x:f>'Option source'!B203</x:f>
        <x:v>918.25</x:v>
      </x:c>
      <x:c r="F848" s="11" t="n">
        <x:v>6950</x:v>
      </x:c>
      <x:c r="G848" s="18" t="n">
        <x:v>53</x:v>
      </x:c>
      <x:c r="H848" s="11" t="n">
        <x:f>MAX(IF(C848="call",F848-D848,D848-F848),0)</x:f>
        <x:v>550</x:v>
      </x:c>
      <x:c r="I848" s="11" t="n">
        <x:f>E848-H848</x:f>
        <x:v>368.25</x:v>
      </x:c>
      <x:c r="J848" s="13" t="n">
        <x:f>D848/F848</x:f>
        <x:v>0.920863309352518</x:v>
      </x:c>
      <x:c r="K848" s="13" t="n">
        <x:v>0.3731674341946757</x:v>
      </x:c>
      <x:c r="L848" s="17" t="n">
        <x:v>0.8307722637337912</x:v>
      </x:c>
      <x:c r="M848" s="17" t="n">
        <x:v>6.682211589747945</x:v>
      </x:c>
      <x:c r="N848" s="11" t="n">
        <x:f>'Option source'!C203</x:f>
        <x:v>66371088</x:v>
      </x:c>
      <x:c r="O848" s="11" t="n">
        <x:f>'Option source'!G203</x:f>
        <x:v>750</x:v>
      </x:c>
      <x:c r="P848" s="11" t="n">
        <x:f>'Option source'!F203</x:f>
        <x:v>982.25</x:v>
      </x:c>
      <x:c r="Q848" s="1" t="str">
        <x:v>Screen passed; indicative</x:v>
      </x:c>
      <x:c r="R848" s="1" t="n">
        <x:v>198</x:v>
      </x:c>
    </x:row>
    <x:row r="849" ht="21" customHeight="1">
      <x:c r="A849" s="12" t="n">
        <x:v>46258</x:v>
      </x:c>
      <x:c r="B849" s="1" t="str">
        <x:v>GFGV6400OC</x:v>
      </x:c>
      <x:c r="C849" s="1" t="str">
        <x:v>put</x:v>
      </x:c>
      <x:c r="D849" s="11" t="n">
        <x:v>6400</x:v>
      </x:c>
      <x:c r="E849" s="11" t="n">
        <x:f>'Option source'!B697</x:f>
        <x:v>175.6</x:v>
      </x:c>
      <x:c r="F849" s="11" t="n">
        <x:v>6950</x:v>
      </x:c>
      <x:c r="G849" s="18" t="n">
        <x:v>53</x:v>
      </x:c>
      <x:c r="H849" s="11" t="n">
        <x:f>MAX(IF(C849="call",F849-D849,D849-F849),0)</x:f>
        <x:v>0</x:v>
      </x:c>
      <x:c r="I849" s="11" t="n">
        <x:f>E849-H849</x:f>
        <x:v>175.6</x:v>
      </x:c>
      <x:c r="J849" s="13" t="n">
        <x:f>D849/F849</x:f>
        <x:v>0.920863309352518</x:v>
      </x:c>
      <x:c r="K849" s="13" t="n">
        <x:v>0.46800489560049263</x:v>
      </x:c>
      <x:c r="L849" s="17" t="n">
        <x:v>-0.21309589017704977</x:v>
      </x:c>
      <x:c r="M849" s="17" t="n">
        <x:v>7.698274461523101</x:v>
      </x:c>
      <x:c r="N849" s="11" t="n">
        <x:f>'Option source'!C697</x:f>
        <x:v>269393792</x:v>
      </x:c>
      <x:c r="O849" s="11" t="n">
        <x:f>'Option source'!G697</x:f>
        <x:v>161</x:v>
      </x:c>
      <x:c r="P849" s="11" t="n">
        <x:f>'Option source'!F697</x:f>
        <x:v>350</x:v>
      </x:c>
      <x:c r="Q849" s="1" t="str">
        <x:v>Screen passed; indicative</x:v>
      </x:c>
      <x:c r="R849" s="1" t="n">
        <x:v>692</x:v>
      </x:c>
    </x:row>
    <x:row r="850" ht="21" customHeight="1">
      <x:c r="A850" s="12" t="n">
        <x:v>46258</x:v>
      </x:c>
      <x:c r="B850" s="1" t="str">
        <x:v>GFGC7600OC</x:v>
      </x:c>
      <x:c r="C850" s="1" t="str">
        <x:v>call</x:v>
      </x:c>
      <x:c r="D850" s="11" t="n">
        <x:v>7600</x:v>
      </x:c>
      <x:c r="E850" s="11" t="n">
        <x:f>'Option source'!B317</x:f>
        <x:v>327.63</x:v>
      </x:c>
      <x:c r="F850" s="11" t="n">
        <x:v>6950</x:v>
      </x:c>
      <x:c r="G850" s="18" t="n">
        <x:v>53</x:v>
      </x:c>
      <x:c r="H850" s="11" t="n">
        <x:f>MAX(IF(C850="call",F850-D850,D850-F850),0)</x:f>
        <x:v>0</x:v>
      </x:c>
      <x:c r="I850" s="11" t="n">
        <x:f>E850-H850</x:f>
        <x:v>327.63</x:v>
      </x:c>
      <x:c r="J850" s="13" t="n">
        <x:f>D850/F850</x:f>
        <x:v>1.0935251798561152</x:v>
      </x:c>
      <x:c r="K850" s="13" t="n">
        <x:v>0.437893074740904</x:v>
      </x:c>
      <x:c r="L850" s="17" t="n">
        <x:v>0.4241394447137493</x:v>
      </x:c>
      <x:c r="M850" s="17" t="n">
        <x:v>10.373814600066382</x:v>
      </x:c>
      <x:c r="N850" s="11" t="n">
        <x:f>'Option source'!C317</x:f>
        <x:v>451646272</x:v>
      </x:c>
      <x:c r="O850" s="11" t="n">
        <x:f>'Option source'!G317</x:f>
        <x:v>195</x:v>
      </x:c>
      <x:c r="P850" s="11" t="n">
        <x:f>'Option source'!F317</x:f>
        <x:v>345</x:v>
      </x:c>
      <x:c r="Q850" s="1" t="str">
        <x:v>Screen passed; indicative</x:v>
      </x:c>
      <x:c r="R850" s="1" t="n">
        <x:v>312</x:v>
      </x:c>
    </x:row>
    <x:row r="851" ht="21" customHeight="1">
      <x:c r="A851" s="12" t="n">
        <x:v>46258</x:v>
      </x:c>
      <x:c r="B851" s="1" t="str">
        <x:v>GFGV7600OC</x:v>
      </x:c>
      <x:c r="C851" s="1" t="str">
        <x:v>put</x:v>
      </x:c>
      <x:c r="D851" s="11" t="n">
        <x:v>7600</x:v>
      </x:c>
      <x:c r="E851" s="11" t="n">
        <x:f>'Option source'!B811</x:f>
        <x:v>711</x:v>
      </x:c>
      <x:c r="F851" s="11" t="n">
        <x:v>6950</x:v>
      </x:c>
      <x:c r="G851" s="18" t="n">
        <x:v>53</x:v>
      </x:c>
      <x:c r="H851" s="11" t="n">
        <x:f>MAX(IF(C851="call",F851-D851,D851-F851),0)</x:f>
        <x:v>650</x:v>
      </x:c>
      <x:c r="I851" s="11" t="n">
        <x:f>E851-H851</x:f>
        <x:v>61</x:v>
      </x:c>
      <x:c r="J851" s="13" t="n">
        <x:f>D851/F851</x:f>
        <x:v>1.0935251798561152</x:v>
      </x:c>
      <x:c r="K851" s="13" t="n">
        <x:v>0.4024917200020449</x:v>
      </x:c>
      <x:c r="L851" s="17" t="n">
        <x:v>-0.5879307635259203</x:v>
      </x:c>
      <x:c r="M851" s="17" t="n">
        <x:v>10.307723304829802</x:v>
      </x:c>
      <x:c r="N851" s="11" t="n">
        <x:f>'Option source'!C811</x:f>
        <x:v>1864000</x:v>
      </x:c>
      <x:c r="O851" s="11" t="n">
        <x:f>'Option source'!G811</x:f>
        <x:v>672</x:v>
      </x:c>
      <x:c r="P851" s="11" t="n">
        <x:f>'Option source'!F811</x:f>
        <x:v>800</x:v>
      </x:c>
      <x:c r="Q851" s="1" t="str">
        <x:v>Screen passed; indicative</x:v>
      </x:c>
      <x:c r="R851" s="1" t="n">
        <x:v>806</x:v>
      </x:c>
    </x:row>
    <x:row r="852" ht="21" customHeight="1">
      <x:c r="A852" s="12" t="n">
        <x:v>46258</x:v>
      </x:c>
      <x:c r="B852" s="1" t="str">
        <x:v>GFGC6200OC</x:v>
      </x:c>
      <x:c r="C852" s="1" t="str">
        <x:v>call</x:v>
      </x:c>
      <x:c r="D852" s="11" t="n">
        <x:v>6200</x:v>
      </x:c>
      <x:c r="E852" s="11" t="n">
        <x:f>'Option source'!B184</x:f>
        <x:v>1075</x:v>
      </x:c>
      <x:c r="F852" s="11" t="n">
        <x:v>6950</x:v>
      </x:c>
      <x:c r="G852" s="18" t="n">
        <x:v>53</x:v>
      </x:c>
      <x:c r="H852" s="11" t="n">
        <x:f>MAX(IF(C852="call",F852-D852,D852-F852),0)</x:f>
        <x:v>750</x:v>
      </x:c>
      <x:c r="I852" s="11" t="n">
        <x:f>E852-H852</x:f>
        <x:v>325</x:v>
      </x:c>
      <x:c r="J852" s="13" t="n">
        <x:f>D852/F852</x:f>
        <x:v>0.8920863309352518</x:v>
      </x:c>
      <x:c r="K852" s="13"/>
      <x:c r="L852" s="17"/>
      <x:c r="M852" s="17"/>
      <x:c r="N852" s="11" t="n">
        <x:f>'Option source'!C184</x:f>
        <x:v>3516235.75</x:v>
      </x:c>
      <x:c r="O852" s="11" t="n">
        <x:f>'Option source'!G184</x:f>
        <x:v>924.51</x:v>
      </x:c>
      <x:c r="P852" s="11" t="n">
        <x:f>'Option source'!F184</x:f>
        <x:v>1042.5</x:v>
      </x:c>
      <x:c r="Q852" s="1" t="str">
        <x:v>Price outside daily range</x:v>
      </x:c>
      <x:c r="R852" s="1" t="n">
        <x:v>179</x:v>
      </x:c>
    </x:row>
    <x:row r="853" ht="21" customHeight="1">
      <x:c r="A853" s="12" t="n">
        <x:v>46258</x:v>
      </x:c>
      <x:c r="B853" s="1" t="str">
        <x:v>GFGV6200OC</x:v>
      </x:c>
      <x:c r="C853" s="1" t="str">
        <x:v>put</x:v>
      </x:c>
      <x:c r="D853" s="11" t="n">
        <x:v>6200</x:v>
      </x:c>
      <x:c r="E853" s="11" t="n">
        <x:f>'Option source'!B678</x:f>
        <x:v>127.23</x:v>
      </x:c>
      <x:c r="F853" s="11" t="n">
        <x:v>6950</x:v>
      </x:c>
      <x:c r="G853" s="18" t="n">
        <x:v>53</x:v>
      </x:c>
      <x:c r="H853" s="11" t="n">
        <x:f>MAX(IF(C853="call",F853-D853,D853-F853),0)</x:f>
        <x:v>0</x:v>
      </x:c>
      <x:c r="I853" s="11" t="n">
        <x:f>E853-H853</x:f>
        <x:v>127.23</x:v>
      </x:c>
      <x:c r="J853" s="13" t="n">
        <x:f>D853/F853</x:f>
        <x:v>0.8920863309352518</x:v>
      </x:c>
      <x:c r="K853" s="13" t="n">
        <x:v>0.4700573050396941</x:v>
      </x:c>
      <x:c r="L853" s="17" t="n">
        <x:v>-0.16595343971326226</x:v>
      </x:c>
      <x:c r="M853" s="17" t="n">
        <x:v>6.598641108672406</x:v>
      </x:c>
      <x:c r="N853" s="11" t="n">
        <x:f>'Option source'!C678</x:f>
        <x:v>90261000</x:v>
      </x:c>
      <x:c r="O853" s="11" t="n">
        <x:f>'Option source'!G678</x:f>
        <x:v>110</x:v>
      </x:c>
      <x:c r="P853" s="11" t="n">
        <x:f>'Option source'!F678</x:f>
        <x:v>245</x:v>
      </x:c>
      <x:c r="Q853" s="1" t="str">
        <x:v>Screen passed; indicative</x:v>
      </x:c>
      <x:c r="R853" s="1" t="n">
        <x:v>673</x:v>
      </x:c>
    </x:row>
    <x:row r="854" ht="21" customHeight="1">
      <x:c r="A854" s="12" t="n">
        <x:v>46258</x:v>
      </x:c>
      <x:c r="B854" s="1" t="str">
        <x:v>GFGC7800OC</x:v>
      </x:c>
      <x:c r="C854" s="1" t="str">
        <x:v>call</x:v>
      </x:c>
      <x:c r="D854" s="11" t="n">
        <x:v>7800</x:v>
      </x:c>
      <x:c r="E854" s="11" t="n">
        <x:f>'Option source'!B336</x:f>
        <x:v>260.44</x:v>
      </x:c>
      <x:c r="F854" s="11" t="n">
        <x:v>6950</x:v>
      </x:c>
      <x:c r="G854" s="18" t="n">
        <x:v>53</x:v>
      </x:c>
      <x:c r="H854" s="11" t="n">
        <x:f>MAX(IF(C854="call",F854-D854,D854-F854),0)</x:f>
        <x:v>0</x:v>
      </x:c>
      <x:c r="I854" s="11" t="n">
        <x:f>E854-H854</x:f>
        <x:v>260.44</x:v>
      </x:c>
      <x:c r="J854" s="13" t="n">
        <x:f>D854/F854</x:f>
        <x:v>1.1223021582733812</x:v>
      </x:c>
      <x:c r="K854" s="13" t="n">
        <x:v>0.43414529568008986</x:v>
      </x:c>
      <x:c r="L854" s="17" t="n">
        <x:v>0.36263879552902095</x:v>
      </x:c>
      <x:c r="M854" s="17" t="n">
        <x:v>9.932771181146876</x:v>
      </x:c>
      <x:c r="N854" s="11" t="n">
        <x:f>'Option source'!C336</x:f>
        <x:v>237724912</x:v>
      </x:c>
      <x:c r="O854" s="11" t="n">
        <x:f>'Option source'!G336</x:f>
        <x:v>160</x:v>
      </x:c>
      <x:c r="P854" s="11" t="n">
        <x:f>'Option source'!F336</x:f>
        <x:v>280.9</x:v>
      </x:c>
      <x:c r="Q854" s="1" t="str">
        <x:v>Screen passed; indicative</x:v>
      </x:c>
      <x:c r="R854" s="1" t="n">
        <x:v>331</x:v>
      </x:c>
    </x:row>
    <x:row r="855" ht="21" customHeight="1">
      <x:c r="A855" s="12" t="n">
        <x:v>46258</x:v>
      </x:c>
      <x:c r="B855" s="1" t="str">
        <x:v>GFGV7800OC</x:v>
      </x:c>
      <x:c r="C855" s="1" t="str">
        <x:v>put</x:v>
      </x:c>
      <x:c r="D855" s="11" t="n">
        <x:v>7800</x:v>
      </x:c>
      <x:c r="E855" s="11" t="n">
        <x:f>'Option source'!B830</x:f>
        <x:v>871</x:v>
      </x:c>
      <x:c r="F855" s="11" t="n">
        <x:v>6950</x:v>
      </x:c>
      <x:c r="G855" s="18" t="n">
        <x:v>53</x:v>
      </x:c>
      <x:c r="H855" s="11" t="n">
        <x:f>MAX(IF(C855="call",F855-D855,D855-F855),0)</x:f>
        <x:v>850</x:v>
      </x:c>
      <x:c r="I855" s="11" t="n">
        <x:f>E855-H855</x:f>
        <x:v>21</x:v>
      </x:c>
      <x:c r="J855" s="13" t="n">
        <x:f>D855/F855</x:f>
        <x:v>1.1223021582733812</x:v>
      </x:c>
      <x:c r="K855" s="13" t="n">
        <x:v>0.3993431976719739</x:v>
      </x:c>
      <x:c r="L855" s="17" t="n">
        <x:v>-0.6539028229363566</x:v>
      </x:c>
      <x:c r="M855" s="17" t="n">
        <x:v>9.769110720222352</x:v>
      </x:c>
      <x:c r="N855" s="11" t="n">
        <x:f>'Option source'!C830</x:f>
        <x:v>10129480</x:v>
      </x:c>
      <x:c r="O855" s="11" t="n">
        <x:f>'Option source'!G830</x:f>
        <x:v>866</x:v>
      </x:c>
      <x:c r="P855" s="11" t="n">
        <x:f>'Option source'!F830</x:f>
        <x:v>1000</x:v>
      </x:c>
      <x:c r="Q855" s="1" t="str">
        <x:v>Screen passed; indicative</x:v>
      </x:c>
      <x:c r="R855" s="1" t="n">
        <x:v>825</x:v>
      </x:c>
    </x:row>
    <x:row r="856" ht="21" customHeight="1">
      <x:c r="A856" s="12" t="n">
        <x:v>46258</x:v>
      </x:c>
      <x:c r="B856" s="1" t="str">
        <x:v>GFGC6000OC</x:v>
      </x:c>
      <x:c r="C856" s="1" t="str">
        <x:v>call</x:v>
      </x:c>
      <x:c r="D856" s="11" t="n">
        <x:v>6000</x:v>
      </x:c>
      <x:c r="E856" s="11" t="n">
        <x:f>'Option source'!B165</x:f>
        <x:v>1350</x:v>
      </x:c>
      <x:c r="F856" s="11" t="n">
        <x:v>6950</x:v>
      </x:c>
      <x:c r="G856" s="18" t="n">
        <x:v>53</x:v>
      </x:c>
      <x:c r="H856" s="11" t="n">
        <x:f>MAX(IF(C856="call",F856-D856,D856-F856),0)</x:f>
        <x:v>950</x:v>
      </x:c>
      <x:c r="I856" s="11" t="n">
        <x:f>E856-H856</x:f>
        <x:v>400</x:v>
      </x:c>
      <x:c r="J856" s="13" t="n">
        <x:f>D856/F856</x:f>
        <x:v>0.8633093525179856</x:v>
      </x:c>
      <x:c r="K856" s="13"/>
      <x:c r="L856" s="17"/>
      <x:c r="M856" s="17"/>
      <x:c r="N856" s="11" t="n">
        <x:f>'Option source'!C165</x:f>
        <x:v>17557000</x:v>
      </x:c>
      <x:c r="O856" s="11" t="n">
        <x:f>'Option source'!G165</x:f>
        <x:v>995</x:v>
      </x:c>
      <x:c r="P856" s="11" t="n">
        <x:f>'Option source'!F165</x:f>
        <x:v>1248</x:v>
      </x:c>
      <x:c r="Q856" s="1" t="str">
        <x:v>Price outside daily range</x:v>
      </x:c>
      <x:c r="R856" s="1" t="n">
        <x:v>160</x:v>
      </x:c>
    </x:row>
    <x:row r="857" ht="21" customHeight="1">
      <x:c r="A857" s="12" t="n">
        <x:v>46258</x:v>
      </x:c>
      <x:c r="B857" s="1" t="str">
        <x:v>GFGV6000OC</x:v>
      </x:c>
      <x:c r="C857" s="1" t="str">
        <x:v>put</x:v>
      </x:c>
      <x:c r="D857" s="11" t="n">
        <x:v>6000</x:v>
      </x:c>
      <x:c r="E857" s="11" t="n">
        <x:f>'Option source'!B659</x:f>
        <x:v>91.55</x:v>
      </x:c>
      <x:c r="F857" s="11" t="n">
        <x:v>6950</x:v>
      </x:c>
      <x:c r="G857" s="18" t="n">
        <x:v>53</x:v>
      </x:c>
      <x:c r="H857" s="11" t="n">
        <x:f>MAX(IF(C857="call",F857-D857,D857-F857),0)</x:f>
        <x:v>0</x:v>
      </x:c>
      <x:c r="I857" s="11" t="n">
        <x:f>E857-H857</x:f>
        <x:v>91.55</x:v>
      </x:c>
      <x:c r="J857" s="13" t="n">
        <x:f>D857/F857</x:f>
        <x:v>0.8633093525179856</x:v>
      </x:c>
      <x:c r="K857" s="13" t="n">
        <x:v>0.4760420340032556</x:v>
      </x:c>
      <x:c r="L857" s="17" t="n">
        <x:v>-0.12691247454603682</x:v>
      </x:c>
      <x:c r="M857" s="17" t="n">
        <x:v>5.509763353585441</x:v>
      </x:c>
      <x:c r="N857" s="11" t="n">
        <x:f>'Option source'!C659</x:f>
        <x:v>106887776</x:v>
      </x:c>
      <x:c r="O857" s="11" t="n">
        <x:f>'Option source'!G659</x:f>
        <x:v>83</x:v>
      </x:c>
      <x:c r="P857" s="11" t="n">
        <x:f>'Option source'!F659</x:f>
        <x:v>179</x:v>
      </x:c>
      <x:c r="Q857" s="1" t="str">
        <x:v>Screen passed; indicative</x:v>
      </x:c>
      <x:c r="R857" s="1" t="n">
        <x:v>654</x:v>
      </x:c>
    </x:row>
    <x:row r="858" ht="21" customHeight="1">
      <x:c r="A858" s="12" t="n">
        <x:v>46258</x:v>
      </x:c>
      <x:c r="B858" s="1" t="str">
        <x:v>GFGC8000OC</x:v>
      </x:c>
      <x:c r="C858" s="1" t="str">
        <x:v>call</x:v>
      </x:c>
      <x:c r="D858" s="11" t="n">
        <x:v>8000</x:v>
      </x:c>
      <x:c r="E858" s="11" t="n">
        <x:f>'Option source'!B355</x:f>
        <x:v>204.83</x:v>
      </x:c>
      <x:c r="F858" s="11" t="n">
        <x:v>6950</x:v>
      </x:c>
      <x:c r="G858" s="18" t="n">
        <x:v>53</x:v>
      </x:c>
      <x:c r="H858" s="11" t="n">
        <x:f>MAX(IF(C858="call",F858-D858,D858-F858),0)</x:f>
        <x:v>0</x:v>
      </x:c>
      <x:c r="I858" s="11" t="n">
        <x:f>E858-H858</x:f>
        <x:v>204.83</x:v>
      </x:c>
      <x:c r="J858" s="13" t="n">
        <x:f>D858/F858</x:f>
        <x:v>1.1510791366906474</x:v>
      </x:c>
      <x:c r="K858" s="13" t="n">
        <x:v>0.43128597383561673</x:v>
      </x:c>
      <x:c r="L858" s="17" t="n">
        <x:v>0.30541469734757154</x:v>
      </x:c>
      <x:c r="M858" s="17" t="n">
        <x:v>9.28222267434625</x:v>
      </x:c>
      <x:c r="N858" s="11" t="n">
        <x:f>'Option source'!C355</x:f>
        <x:v>348469600</x:v>
      </x:c>
      <x:c r="O858" s="11" t="n">
        <x:f>'Option source'!G355</x:f>
        <x:v>127</x:v>
      </x:c>
      <x:c r="P858" s="11" t="n">
        <x:f>'Option source'!F355</x:f>
        <x:v>218</x:v>
      </x:c>
      <x:c r="Q858" s="1" t="str">
        <x:v>Screen passed; indicative</x:v>
      </x:c>
      <x:c r="R858" s="1" t="n">
        <x:v>350</x:v>
      </x:c>
    </x:row>
    <x:row r="859" ht="21" customHeight="1">
      <x:c r="A859" s="12" t="n">
        <x:v>46258</x:v>
      </x:c>
      <x:c r="B859" s="1" t="str">
        <x:v>GFGV8000OC</x:v>
      </x:c>
      <x:c r="C859" s="1" t="str">
        <x:v>put</x:v>
      </x:c>
      <x:c r="D859" s="11" t="n">
        <x:v>8000</x:v>
      </x:c>
      <x:c r="E859" s="11" t="n">
        <x:f>'Option source'!B849</x:f>
        <x:v>1000</x:v>
      </x:c>
      <x:c r="F859" s="11" t="n">
        <x:v>6950</x:v>
      </x:c>
      <x:c r="G859" s="18" t="n">
        <x:v>53</x:v>
      </x:c>
      <x:c r="H859" s="11" t="n">
        <x:f>MAX(IF(C859="call",F859-D859,D859-F859),0)</x:f>
        <x:v>1050</x:v>
      </x:c>
      <x:c r="I859" s="11" t="n">
        <x:f>E859-H859</x:f>
        <x:v>-50</x:v>
      </x:c>
      <x:c r="J859" s="13" t="n">
        <x:f>D859/F859</x:f>
        <x:v>1.1510791366906474</x:v>
      </x:c>
      <x:c r="K859" s="13"/>
      <x:c r="L859" s="17"/>
      <x:c r="M859" s="17"/>
      <x:c r="N859" s="11" t="n">
        <x:f>'Option source'!C849</x:f>
        <x:v>2361522</x:v>
      </x:c>
      <x:c r="O859" s="11" t="n">
        <x:f>'Option source'!G849</x:f>
        <x:v>1000.1</x:v>
      </x:c>
      <x:c r="P859" s="11" t="n">
        <x:f>'Option source'!F849</x:f>
        <x:v>1105</x:v>
      </x:c>
      <x:c r="Q859" s="1" t="str">
        <x:v>Price outside daily range; Below intrinsic value</x:v>
      </x:c>
      <x:c r="R859" s="1" t="n">
        <x:v>844</x:v>
      </x:c>
    </x:row>
    <x:row r="860" ht="21" customHeight="1">
      <x:c r="A860" s="12" t="n">
        <x:v>46258</x:v>
      </x:c>
      <x:c r="B860" s="1" t="str">
        <x:v>GFGV5800OC</x:v>
      </x:c>
      <x:c r="C860" s="1" t="str">
        <x:v>put</x:v>
      </x:c>
      <x:c r="D860" s="11" t="n">
        <x:v>5800</x:v>
      </x:c>
      <x:c r="E860" s="11" t="n">
        <x:f>'Option source'!B640</x:f>
        <x:v>61.45</x:v>
      </x:c>
      <x:c r="F860" s="11" t="n">
        <x:v>6950</x:v>
      </x:c>
      <x:c r="G860" s="18" t="n">
        <x:v>53</x:v>
      </x:c>
      <x:c r="H860" s="11" t="n">
        <x:f>MAX(IF(C860="call",F860-D860,D860-F860),0)</x:f>
        <x:v>0</x:v>
      </x:c>
      <x:c r="I860" s="11" t="n">
        <x:f>E860-H860</x:f>
        <x:v>61.45</x:v>
      </x:c>
      <x:c r="J860" s="13" t="n">
        <x:f>D860/F860</x:f>
        <x:v>0.8345323741007195</x:v>
      </x:c>
      <x:c r="K860" s="13" t="n">
        <x:v>0.47653489195713794</x:v>
      </x:c>
      <x:c r="L860" s="17" t="n">
        <x:v>-0.09228562380198135</x:v>
      </x:c>
      <x:c r="M860" s="17" t="n">
        <x:v>4.38141587851179</x:v>
      </x:c>
      <x:c r="N860" s="11" t="n">
        <x:f>'Option source'!C640</x:f>
        <x:v>16733828</x:v>
      </x:c>
      <x:c r="O860" s="11" t="n">
        <x:f>'Option source'!G640</x:f>
        <x:v>57.01</x:v>
      </x:c>
      <x:c r="P860" s="11" t="n">
        <x:f>'Option source'!F640</x:f>
        <x:v>98</x:v>
      </x:c>
      <x:c r="Q860" s="1" t="str">
        <x:v>Screen passed; indicative</x:v>
      </x:c>
      <x:c r="R860" s="1" t="n">
        <x:v>635</x:v>
      </x:c>
    </x:row>
    <x:row r="861" ht="21" customHeight="1">
      <x:c r="A861" s="12" t="n">
        <x:v>46258</x:v>
      </x:c>
      <x:c r="B861" s="1" t="str">
        <x:v>GFGC5600OC</x:v>
      </x:c>
      <x:c r="C861" s="1" t="str">
        <x:v>call</x:v>
      </x:c>
      <x:c r="D861" s="11" t="n">
        <x:v>5600</x:v>
      </x:c>
      <x:c r="E861" s="11" t="n">
        <x:f>'Option source'!B136</x:f>
        <x:v>1460.62</x:v>
      </x:c>
      <x:c r="F861" s="11" t="n">
        <x:v>6950</x:v>
      </x:c>
      <x:c r="G861" s="18" t="n">
        <x:v>53</x:v>
      </x:c>
      <x:c r="H861" s="11" t="n">
        <x:f>MAX(IF(C861="call",F861-D861,D861-F861),0)</x:f>
        <x:v>1350</x:v>
      </x:c>
      <x:c r="I861" s="11" t="n">
        <x:f>E861-H861</x:f>
        <x:v>110.61999999999989</x:v>
      </x:c>
      <x:c r="J861" s="13" t="n">
        <x:f>D861/F861</x:f>
        <x:v>0.8057553956834532</x:v>
      </x:c>
      <x:c r="K861" s="13"/>
      <x:c r="L861" s="17"/>
      <x:c r="M861" s="17"/>
      <x:c r="N861" s="11" t="n">
        <x:f>'Option source'!C136</x:f>
        <x:v>292123.81</x:v>
      </x:c>
      <x:c r="O861" s="11" t="n">
        <x:f>'Option source'!G136</x:f>
        <x:v>0</x:v>
      </x:c>
      <x:c r="P861" s="11" t="n">
        <x:f>'Option source'!F136</x:f>
        <x:v>0</x:v>
      </x:c>
      <x:c r="Q861" s="1" t="str">
        <x:v>Price outside daily range</x:v>
      </x:c>
      <x:c r="R861" s="1" t="n">
        <x:v>131</x:v>
      </x:c>
    </x:row>
    <x:row r="862" ht="21" customHeight="1">
      <x:c r="A862" s="12" t="n">
        <x:v>46258</x:v>
      </x:c>
      <x:c r="B862" s="1" t="str">
        <x:v>GFGC8300OC</x:v>
      </x:c>
      <x:c r="C862" s="1" t="str">
        <x:v>call</x:v>
      </x:c>
      <x:c r="D862" s="11" t="n">
        <x:v>8300</x:v>
      </x:c>
      <x:c r="E862" s="11" t="n">
        <x:f>'Option source'!B374</x:f>
        <x:v>139.29</x:v>
      </x:c>
      <x:c r="F862" s="11" t="n">
        <x:v>6950</x:v>
      </x:c>
      <x:c r="G862" s="18" t="n">
        <x:v>53</x:v>
      </x:c>
      <x:c r="H862" s="11" t="n">
        <x:f>MAX(IF(C862="call",F862-D862,D862-F862),0)</x:f>
        <x:v>0</x:v>
      </x:c>
      <x:c r="I862" s="11" t="n">
        <x:f>E862-H862</x:f>
        <x:v>139.29</x:v>
      </x:c>
      <x:c r="J862" s="13" t="n">
        <x:f>D862/F862</x:f>
        <x:v>1.1942446043165467</x:v>
      </x:c>
      <x:c r="K862" s="13" t="n">
        <x:v>0.4270916416281183</x:v>
      </x:c>
      <x:c r="L862" s="17" t="n">
        <x:v>0.22913528636513134</x:v>
      </x:c>
      <x:c r="M862" s="17" t="n">
        <x:v>8.024728467054514</x:v>
      </x:c>
      <x:c r="N862" s="11" t="n">
        <x:f>'Option source'!C374</x:f>
        <x:v>93147472</x:v>
      </x:c>
      <x:c r="O862" s="11" t="n">
        <x:f>'Option source'!G374</x:f>
        <x:v>88</x:v>
      </x:c>
      <x:c r="P862" s="11" t="n">
        <x:f>'Option source'!F374</x:f>
        <x:v>149</x:v>
      </x:c>
      <x:c r="Q862" s="1" t="str">
        <x:v>Screen passed; indicative</x:v>
      </x:c>
      <x:c r="R862" s="1" t="n">
        <x:v>369</x:v>
      </x:c>
    </x:row>
    <x:row r="863" ht="21" customHeight="1">
      <x:c r="A863" s="12" t="n">
        <x:v>46258</x:v>
      </x:c>
      <x:c r="B863" s="1" t="str">
        <x:v>GFGV5600OC</x:v>
      </x:c>
      <x:c r="C863" s="1" t="str">
        <x:v>put</x:v>
      </x:c>
      <x:c r="D863" s="11" t="n">
        <x:v>5600</x:v>
      </x:c>
      <x:c r="E863" s="11" t="n">
        <x:f>'Option source'!B621</x:f>
        <x:v>39.35</x:v>
      </x:c>
      <x:c r="F863" s="11" t="n">
        <x:v>6950</x:v>
      </x:c>
      <x:c r="G863" s="18" t="n">
        <x:v>53</x:v>
      </x:c>
      <x:c r="H863" s="11" t="n">
        <x:f>MAX(IF(C863="call",F863-D863,D863-F863),0)</x:f>
        <x:v>0</x:v>
      </x:c>
      <x:c r="I863" s="11" t="n">
        <x:f>E863-H863</x:f>
        <x:v>39.35</x:v>
      </x:c>
      <x:c r="J863" s="13" t="n">
        <x:f>D863/F863</x:f>
        <x:v>0.8057553956834532</x:v>
      </x:c>
      <x:c r="K863" s="13" t="n">
        <x:v>0.47492765023966643</x:v>
      </x:c>
      <x:c r="L863" s="17" t="n">
        <x:v>-0.06368083632240451</x:v>
      </x:c>
      <x:c r="M863" s="17" t="n">
        <x:v>3.3048790363426015</x:v>
      </x:c>
      <x:c r="N863" s="11" t="n">
        <x:f>'Option source'!C621</x:f>
        <x:v>13687142</x:v>
      </x:c>
      <x:c r="O863" s="11" t="n">
        <x:f>'Option source'!G621</x:f>
        <x:v>35.01</x:v>
      </x:c>
      <x:c r="P863" s="11" t="n">
        <x:f>'Option source'!F621</x:f>
        <x:v>79</x:v>
      </x:c>
      <x:c r="Q863" s="1" t="str">
        <x:v>Screen passed; indicative</x:v>
      </x:c>
      <x:c r="R863" s="1" t="n">
        <x:v>616</x:v>
      </x:c>
    </x:row>
    <x:row r="864" ht="21" customHeight="1">
      <x:c r="A864" s="12" t="n">
        <x:v>46258</x:v>
      </x:c>
      <x:c r="B864" s="1" t="str">
        <x:v>GFGV8300OC</x:v>
      </x:c>
      <x:c r="C864" s="1" t="str">
        <x:v>put</x:v>
      </x:c>
      <x:c r="D864" s="11" t="n">
        <x:v>8300</x:v>
      </x:c>
      <x:c r="E864" s="11" t="n">
        <x:f>'Option source'!B868</x:f>
        <x:v>1310</x:v>
      </x:c>
      <x:c r="F864" s="11" t="n">
        <x:v>6950</x:v>
      </x:c>
      <x:c r="G864" s="18" t="n">
        <x:v>53</x:v>
      </x:c>
      <x:c r="H864" s="11" t="n">
        <x:f>MAX(IF(C864="call",F864-D864,D864-F864),0)</x:f>
        <x:v>1350</x:v>
      </x:c>
      <x:c r="I864" s="11" t="n">
        <x:f>E864-H864</x:f>
        <x:v>-40</x:v>
      </x:c>
      <x:c r="J864" s="13" t="n">
        <x:f>D864/F864</x:f>
        <x:v>1.1942446043165467</x:v>
      </x:c>
      <x:c r="K864" s="13"/>
      <x:c r="L864" s="17"/>
      <x:c r="M864" s="17"/>
      <x:c r="N864" s="11" t="n">
        <x:f>'Option source'!C868</x:f>
        <x:v>9934083</x:v>
      </x:c>
      <x:c r="O864" s="11" t="n">
        <x:f>'Option source'!G868</x:f>
        <x:v>1260</x:v>
      </x:c>
      <x:c r="P864" s="11" t="n">
        <x:f>'Option source'!F868</x:f>
        <x:v>1700</x:v>
      </x:c>
      <x:c r="Q864" s="1" t="str">
        <x:v>Below intrinsic value</x:v>
      </x:c>
      <x:c r="R864" s="1" t="n">
        <x:v>863</x:v>
      </x:c>
    </x:row>
    <x:row r="865" ht="21" customHeight="1">
      <x:c r="A865" s="12" t="n">
        <x:v>46258</x:v>
      </x:c>
      <x:c r="B865" s="1" t="str">
        <x:v>GFGC5400OC</x:v>
      </x:c>
      <x:c r="C865" s="1" t="str">
        <x:v>call</x:v>
      </x:c>
      <x:c r="D865" s="11" t="n">
        <x:v>5400</x:v>
      </x:c>
      <x:c r="E865" s="11" t="n">
        <x:f>'Option source'!B118</x:f>
        <x:v>1781.31</x:v>
      </x:c>
      <x:c r="F865" s="11" t="n">
        <x:v>6950</x:v>
      </x:c>
      <x:c r="G865" s="18" t="n">
        <x:v>53</x:v>
      </x:c>
      <x:c r="H865" s="11" t="n">
        <x:f>MAX(IF(C865="call",F865-D865,D865-F865),0)</x:f>
        <x:v>1550</x:v>
      </x:c>
      <x:c r="I865" s="11" t="n">
        <x:f>E865-H865</x:f>
        <x:v>231.30999999999995</x:v>
      </x:c>
      <x:c r="J865" s="13" t="n">
        <x:f>D865/F865</x:f>
        <x:v>0.7769784172661871</x:v>
      </x:c>
      <x:c r="K865" s="13"/>
      <x:c r="L865" s="17"/>
      <x:c r="M865" s="17"/>
      <x:c r="N865" s="11" t="n">
        <x:f>'Option source'!C118</x:f>
        <x:v>7706996.5</x:v>
      </x:c>
      <x:c r="O865" s="11" t="n">
        <x:f>'Option source'!G118</x:f>
        <x:v>1667.76</x:v>
      </x:c>
      <x:c r="P865" s="11" t="n">
        <x:f>'Option source'!F118</x:f>
        <x:v>1778.96</x:v>
      </x:c>
      <x:c r="Q865" s="1" t="str">
        <x:v>Price outside daily range</x:v>
      </x:c>
      <x:c r="R865" s="1" t="n">
        <x:v>113</x:v>
      </x:c>
    </x:row>
    <x:row r="866" ht="21" customHeight="1">
      <x:c r="A866" s="12" t="n">
        <x:v>46258</x:v>
      </x:c>
      <x:c r="B866" s="1" t="str">
        <x:v>GFGV5400OC</x:v>
      </x:c>
      <x:c r="C866" s="1" t="str">
        <x:v>put</x:v>
      </x:c>
      <x:c r="D866" s="11" t="n">
        <x:v>5400</x:v>
      </x:c>
      <x:c r="E866" s="11" t="n">
        <x:f>'Option source'!B602</x:f>
        <x:v>26.64</x:v>
      </x:c>
      <x:c r="F866" s="11" t="n">
        <x:v>6950</x:v>
      </x:c>
      <x:c r="G866" s="18" t="n">
        <x:v>53</x:v>
      </x:c>
      <x:c r="H866" s="11" t="n">
        <x:f>MAX(IF(C866="call",F866-D866,D866-F866),0)</x:f>
        <x:v>0</x:v>
      </x:c>
      <x:c r="I866" s="11" t="n">
        <x:f>E866-H866</x:f>
        <x:v>26.64</x:v>
      </x:c>
      <x:c r="J866" s="13" t="n">
        <x:f>D866/F866</x:f>
        <x:v>0.7769784172661871</x:v>
      </x:c>
      <x:c r="K866" s="13" t="n">
        <x:v>0.48451183411054366</x:v>
      </x:c>
      <x:c r="L866" s="17" t="n">
        <x:v>-0.04503528887477137</x:v>
      </x:c>
      <x:c r="M866" s="17" t="n">
        <x:v>2.5118756001367673</x:v>
      </x:c>
      <x:c r="N866" s="11" t="n">
        <x:f>'Option source'!C602</x:f>
        <x:v>4312769</x:v>
      </x:c>
      <x:c r="O866" s="11" t="n">
        <x:f>'Option source'!G602</x:f>
        <x:v>22.1</x:v>
      </x:c>
      <x:c r="P866" s="11" t="n">
        <x:f>'Option source'!F602</x:f>
        <x:v>47</x:v>
      </x:c>
      <x:c r="Q866" s="1" t="str">
        <x:v>Screen passed; indicative</x:v>
      </x:c>
      <x:c r="R866" s="1" t="n">
        <x:v>597</x:v>
      </x:c>
    </x:row>
    <x:row r="867" ht="21" customHeight="1">
      <x:c r="A867" s="12" t="n">
        <x:v>46258</x:v>
      </x:c>
      <x:c r="B867" s="1" t="str">
        <x:v>GFGC8600OC</x:v>
      </x:c>
      <x:c r="C867" s="1" t="str">
        <x:v>call</x:v>
      </x:c>
      <x:c r="D867" s="11" t="n">
        <x:v>8600</x:v>
      </x:c>
      <x:c r="E867" s="11" t="n">
        <x:f>'Option source'!B393</x:f>
        <x:v>95.25</x:v>
      </x:c>
      <x:c r="F867" s="11" t="n">
        <x:v>6950</x:v>
      </x:c>
      <x:c r="G867" s="18" t="n">
        <x:v>53</x:v>
      </x:c>
      <x:c r="H867" s="11" t="n">
        <x:f>MAX(IF(C867="call",F867-D867,D867-F867),0)</x:f>
        <x:v>0</x:v>
      </x:c>
      <x:c r="I867" s="11" t="n">
        <x:f>E867-H867</x:f>
        <x:v>95.25</x:v>
      </x:c>
      <x:c r="J867" s="13" t="n">
        <x:f>D867/F867</x:f>
        <x:v>1.2374100719424461</x:v>
      </x:c>
      <x:c r="K867" s="13" t="n">
        <x:v>0.42812126341933465</x:v>
      </x:c>
      <x:c r="L867" s="17" t="n">
        <x:v>0.16924109329826106</x:v>
      </x:c>
      <x:c r="M867" s="17" t="n">
        <x:v>6.682550189555044</x:v>
      </x:c>
      <x:c r="N867" s="11" t="n">
        <x:f>'Option source'!C393</x:f>
        <x:v>143720016</x:v>
      </x:c>
      <x:c r="O867" s="11" t="n">
        <x:f>'Option source'!G393</x:f>
        <x:v>65.5</x:v>
      </x:c>
      <x:c r="P867" s="11" t="n">
        <x:f>'Option source'!F393</x:f>
        <x:v>101</x:v>
      </x:c>
      <x:c r="Q867" s="1" t="str">
        <x:v>Screen passed; indicative</x:v>
      </x:c>
      <x:c r="R867" s="1" t="n">
        <x:v>388</x:v>
      </x:c>
    </x:row>
    <x:row r="868" ht="21" customHeight="1">
      <x:c r="A868" s="12" t="n">
        <x:v>46258</x:v>
      </x:c>
      <x:c r="B868" s="1" t="str">
        <x:v>GFGV8600OC</x:v>
      </x:c>
      <x:c r="C868" s="1" t="str">
        <x:v>put</x:v>
      </x:c>
      <x:c r="D868" s="11" t="n">
        <x:v>8600</x:v>
      </x:c>
      <x:c r="E868" s="11" t="n">
        <x:f>'Option source'!B887</x:f>
        <x:v>1173.55</x:v>
      </x:c>
      <x:c r="F868" s="11" t="n">
        <x:v>6950</x:v>
      </x:c>
      <x:c r="G868" s="18" t="n">
        <x:v>53</x:v>
      </x:c>
      <x:c r="H868" s="11" t="n">
        <x:f>MAX(IF(C868="call",F868-D868,D868-F868),0)</x:f>
        <x:v>1650</x:v>
      </x:c>
      <x:c r="I868" s="11" t="n">
        <x:f>E868-H868</x:f>
        <x:v>-476.45000000000005</x:v>
      </x:c>
      <x:c r="J868" s="13" t="n">
        <x:f>D868/F868</x:f>
        <x:v>1.2374100719424461</x:v>
      </x:c>
      <x:c r="K868" s="13"/>
      <x:c r="L868" s="17"/>
      <x:c r="M868" s="17"/>
      <x:c r="N868" s="11" t="n">
        <x:f>'Option source'!C887</x:f>
        <x:v>0</x:v>
      </x:c>
      <x:c r="O868" s="11" t="n">
        <x:f>'Option source'!G887</x:f>
        <x:v>1060</x:v>
      </x:c>
      <x:c r="P868" s="11" t="n">
        <x:f>'Option source'!F887</x:f>
        <x:v>1343.98</x:v>
      </x:c>
      <x:c r="Q868" s="1" t="str">
        <x:v>Zero reported volume; Below intrinsic value</x:v>
      </x:c>
      <x:c r="R868" s="1" t="n">
        <x:v>882</x:v>
      </x:c>
    </x:row>
    <x:row r="869" ht="21" customHeight="1">
      <x:c r="A869" s="12" t="n">
        <x:v>46258</x:v>
      </x:c>
      <x:c r="B869" s="1" t="str">
        <x:v>GFGC5200OC</x:v>
      </x:c>
      <x:c r="C869" s="1" t="str">
        <x:v>call</x:v>
      </x:c>
      <x:c r="D869" s="11" t="n">
        <x:v>5200</x:v>
      </x:c>
      <x:c r="E869" s="11" t="n">
        <x:f>'Option source'!B99</x:f>
        <x:v>1962</x:v>
      </x:c>
      <x:c r="F869" s="11" t="n">
        <x:v>6950</x:v>
      </x:c>
      <x:c r="G869" s="18" t="n">
        <x:v>53</x:v>
      </x:c>
      <x:c r="H869" s="11" t="n">
        <x:f>MAX(IF(C869="call",F869-D869,D869-F869),0)</x:f>
        <x:v>1750</x:v>
      </x:c>
      <x:c r="I869" s="11" t="n">
        <x:f>E869-H869</x:f>
        <x:v>212</x:v>
      </x:c>
      <x:c r="J869" s="13" t="n">
        <x:f>D869/F869</x:f>
        <x:v>0.7482014388489209</x:v>
      </x:c>
      <x:c r="K869" s="13"/>
      <x:c r="L869" s="17"/>
      <x:c r="M869" s="17"/>
      <x:c r="N869" s="11" t="n">
        <x:f>'Option source'!C99</x:f>
        <x:v>567549.81</x:v>
      </x:c>
      <x:c r="O869" s="11" t="n">
        <x:f>'Option source'!G99</x:f>
        <x:v>1856.75</x:v>
      </x:c>
      <x:c r="P869" s="11" t="n">
        <x:f>'Option source'!F99</x:f>
        <x:v>1856.75</x:v>
      </x:c>
      <x:c r="Q869" s="1" t="str">
        <x:v>Price outside daily range</x:v>
      </x:c>
      <x:c r="R869" s="1" t="n">
        <x:v>94</x:v>
      </x:c>
    </x:row>
    <x:row r="870" ht="21" customHeight="1">
      <x:c r="A870" s="12" t="n">
        <x:v>46258</x:v>
      </x:c>
      <x:c r="B870" s="1" t="str">
        <x:v>GFGV5200OC</x:v>
      </x:c>
      <x:c r="C870" s="1" t="str">
        <x:v>put</x:v>
      </x:c>
      <x:c r="D870" s="11" t="n">
        <x:v>5200</x:v>
      </x:c>
      <x:c r="E870" s="11" t="n">
        <x:f>'Option source'!B583</x:f>
        <x:v>16.73</x:v>
      </x:c>
      <x:c r="F870" s="11" t="n">
        <x:v>6950</x:v>
      </x:c>
      <x:c r="G870" s="18" t="n">
        <x:v>53</x:v>
      </x:c>
      <x:c r="H870" s="11" t="n">
        <x:f>MAX(IF(C870="call",F870-D870,D870-F870),0)</x:f>
        <x:v>0</x:v>
      </x:c>
      <x:c r="I870" s="11" t="n">
        <x:f>E870-H870</x:f>
        <x:v>16.73</x:v>
      </x:c>
      <x:c r="J870" s="13" t="n">
        <x:f>D870/F870</x:f>
        <x:v>0.7482014388489209</x:v>
      </x:c>
      <x:c r="K870" s="13" t="n">
        <x:v>0.49037884844375845</x:v>
      </x:c>
      <x:c r="L870" s="17" t="n">
        <x:v>-0.030126611777682277</x:v>
      </x:c>
      <x:c r="M870" s="17" t="n">
        <x:v>1.8082962972719188</x:v>
      </x:c>
      <x:c r="N870" s="11" t="n">
        <x:f>'Option source'!C583</x:f>
        <x:v>1567938.62</x:v>
      </x:c>
      <x:c r="O870" s="11" t="n">
        <x:f>'Option source'!G583</x:f>
        <x:v>16.5</x:v>
      </x:c>
      <x:c r="P870" s="11" t="n">
        <x:f>'Option source'!F583</x:f>
        <x:v>25</x:v>
      </x:c>
      <x:c r="Q870" s="1" t="str">
        <x:v>Screen passed; indicative</x:v>
      </x:c>
      <x:c r="R870" s="1" t="n">
        <x:v>578</x:v>
      </x:c>
    </x:row>
    <x:row r="871" ht="21" customHeight="1">
      <x:c r="A871" s="12" t="n">
        <x:v>46258</x:v>
      </x:c>
      <x:c r="B871" s="1" t="str">
        <x:v>GFGC8900OC</x:v>
      </x:c>
      <x:c r="C871" s="1" t="str">
        <x:v>call</x:v>
      </x:c>
      <x:c r="D871" s="11" t="n">
        <x:v>8900</x:v>
      </x:c>
      <x:c r="E871" s="11" t="n">
        <x:f>'Option source'!B412</x:f>
        <x:v>63.96</x:v>
      </x:c>
      <x:c r="F871" s="11" t="n">
        <x:v>6950</x:v>
      </x:c>
      <x:c r="G871" s="18" t="n">
        <x:v>53</x:v>
      </x:c>
      <x:c r="H871" s="11" t="n">
        <x:f>MAX(IF(C871="call",F871-D871,D871-F871),0)</x:f>
        <x:v>0</x:v>
      </x:c>
      <x:c r="I871" s="11" t="n">
        <x:f>E871-H871</x:f>
        <x:v>63.96</x:v>
      </x:c>
      <x:c r="J871" s="13" t="n">
        <x:f>D871/F871</x:f>
        <x:v>1.2805755395683454</x:v>
      </x:c>
      <x:c r="K871" s="13" t="n">
        <x:v>0.4289687901615219</x:v>
      </x:c>
      <x:c r="L871" s="17" t="n">
        <x:v>0.12206567385352278</x:v>
      </x:c>
      <x:c r="M871" s="17" t="n">
        <x:v>5.361781425510536</x:v>
      </x:c>
      <x:c r="N871" s="11" t="n">
        <x:f>'Option source'!C412</x:f>
        <x:v>16858530</x:v>
      </x:c>
      <x:c r="O871" s="11" t="n">
        <x:f>'Option source'!G412</x:f>
        <x:v>48.5</x:v>
      </x:c>
      <x:c r="P871" s="11" t="n">
        <x:f>'Option source'!F412</x:f>
        <x:v>70</x:v>
      </x:c>
      <x:c r="Q871" s="1" t="str">
        <x:v>Screen passed; indicative</x:v>
      </x:c>
      <x:c r="R871" s="1" t="n">
        <x:v>407</x:v>
      </x:c>
    </x:row>
    <x:row r="872" ht="21" customHeight="1">
      <x:c r="A872" s="12" t="n">
        <x:v>46258</x:v>
      </x:c>
      <x:c r="B872" s="1" t="str">
        <x:v>GFGV5000OC</x:v>
      </x:c>
      <x:c r="C872" s="1" t="str">
        <x:v>put</x:v>
      </x:c>
      <x:c r="D872" s="11" t="n">
        <x:v>5000</x:v>
      </x:c>
      <x:c r="E872" s="11" t="n">
        <x:f>'Option source'!B564</x:f>
        <x:v>11.17</x:v>
      </x:c>
      <x:c r="F872" s="11" t="n">
        <x:v>6950</x:v>
      </x:c>
      <x:c r="G872" s="18" t="n">
        <x:v>53</x:v>
      </x:c>
      <x:c r="H872" s="11" t="n">
        <x:f>MAX(IF(C872="call",F872-D872,D872-F872),0)</x:f>
        <x:v>0</x:v>
      </x:c>
      <x:c r="I872" s="11" t="n">
        <x:f>E872-H872</x:f>
        <x:v>11.17</x:v>
      </x:c>
      <x:c r="J872" s="13" t="n">
        <x:f>D872/F872</x:f>
        <x:v>0.7194244604316546</x:v>
      </x:c>
      <x:c r="K872" s="13" t="n">
        <x:v>0.5033187826041485</x:v>
      </x:c>
      <x:c r="L872" s="17" t="n">
        <x:v>-0.02067557632551864</x:v>
      </x:c>
      <x:c r="M872" s="17" t="n">
        <x:v>1.3189057770406682</x:v>
      </x:c>
      <x:c r="N872" s="11" t="n">
        <x:f>'Option source'!C564</x:f>
        <x:v>983325.12</x:v>
      </x:c>
      <x:c r="O872" s="11" t="n">
        <x:f>'Option source'!G564</x:f>
        <x:v>10</x:v>
      </x:c>
      <x:c r="P872" s="11" t="n">
        <x:f>'Option source'!F564</x:f>
        <x:v>12.9</x:v>
      </x:c>
      <x:c r="Q872" s="1" t="str">
        <x:v>Screen passed; indicative</x:v>
      </x:c>
      <x:c r="R872" s="1" t="n">
        <x:v>559</x:v>
      </x:c>
    </x:row>
    <x:row r="873" ht="21" customHeight="1">
      <x:c r="A873" s="12" t="n">
        <x:v>46258</x:v>
      </x:c>
      <x:c r="B873" s="1" t="str">
        <x:v>GFGV4800OC</x:v>
      </x:c>
      <x:c r="C873" s="1" t="str">
        <x:v>put</x:v>
      </x:c>
      <x:c r="D873" s="11" t="n">
        <x:v>4800</x:v>
      </x:c>
      <x:c r="E873" s="11" t="n">
        <x:f>'Option source'!B545</x:f>
        <x:v>6</x:v>
      </x:c>
      <x:c r="F873" s="11" t="n">
        <x:v>6950</x:v>
      </x:c>
      <x:c r="G873" s="18" t="n">
        <x:v>53</x:v>
      </x:c>
      <x:c r="H873" s="11" t="n">
        <x:f>MAX(IF(C873="call",F873-D873,D873-F873),0)</x:f>
        <x:v>0</x:v>
      </x:c>
      <x:c r="I873" s="11" t="n">
        <x:f>E873-H873</x:f>
        <x:v>6</x:v>
      </x:c>
      <x:c r="J873" s="13" t="n">
        <x:f>D873/F873</x:f>
        <x:v>0.6906474820143885</x:v>
      </x:c>
      <x:c r="K873" s="13" t="n">
        <x:v>0.5016127201053721</x:v>
      </x:c>
      <x:c r="L873" s="17" t="n">
        <x:v>-0.011915410609598442</x:v>
      </x:c>
      <x:c r="M873" s="17" t="n">
        <x:v>0.8221223289234986</x:v>
      </x:c>
      <x:c r="N873" s="11" t="n">
        <x:f>'Option source'!C545</x:f>
        <x:v>373208.19</x:v>
      </x:c>
      <x:c r="O873" s="11" t="n">
        <x:f>'Option source'!G545</x:f>
        <x:v>5</x:v>
      </x:c>
      <x:c r="P873" s="11" t="n">
        <x:f>'Option source'!F545</x:f>
        <x:v>7</x:v>
      </x:c>
      <x:c r="Q873" s="1" t="str">
        <x:v>Screen passed; indicative</x:v>
      </x:c>
      <x:c r="R873" s="1" t="n">
        <x:v>540</x:v>
      </x:c>
    </x:row>
    <x:row r="874" ht="21" customHeight="1">
      <x:c r="A874" s="12" t="n">
        <x:v>46258</x:v>
      </x:c>
      <x:c r="B874" s="1" t="str">
        <x:v>GFGC9200OC</x:v>
      </x:c>
      <x:c r="C874" s="1" t="str">
        <x:v>call</x:v>
      </x:c>
      <x:c r="D874" s="11" t="n">
        <x:v>9200</x:v>
      </x:c>
      <x:c r="E874" s="11" t="n">
        <x:f>'Option source'!B431</x:f>
        <x:v>43.1</x:v>
      </x:c>
      <x:c r="F874" s="11" t="n">
        <x:v>6950</x:v>
      </x:c>
      <x:c r="G874" s="18" t="n">
        <x:v>53</x:v>
      </x:c>
      <x:c r="H874" s="11" t="n">
        <x:f>MAX(IF(C874="call",F874-D874,D874-F874),0)</x:f>
        <x:v>0</x:v>
      </x:c>
      <x:c r="I874" s="11" t="n">
        <x:f>E874-H874</x:f>
        <x:v>43.1</x:v>
      </x:c>
      <x:c r="J874" s="13" t="n">
        <x:f>D874/F874</x:f>
        <x:v>1.3237410071942446</x:v>
      </x:c>
      <x:c r="K874" s="13" t="n">
        <x:v>0.43176067249462824</x:v>
      </x:c>
      <x:c r="L874" s="17" t="n">
        <x:v>0.08729025154395252</x:v>
      </x:c>
      <x:c r="M874" s="17" t="n">
        <x:v>4.203860452187309</x:v>
      </x:c>
      <x:c r="N874" s="11" t="n">
        <x:f>'Option source'!C431</x:f>
        <x:v>19611924</x:v>
      </x:c>
      <x:c r="O874" s="11" t="n">
        <x:f>'Option source'!G431</x:f>
        <x:v>32.01</x:v>
      </x:c>
      <x:c r="P874" s="11" t="n">
        <x:f>'Option source'!F431</x:f>
        <x:v>48</x:v>
      </x:c>
      <x:c r="Q874" s="1" t="str">
        <x:v>Screen passed; indicative</x:v>
      </x:c>
      <x:c r="R874" s="1" t="n">
        <x:v>426</x:v>
      </x:c>
    </x:row>
    <x:row r="875" ht="21" customHeight="1">
      <x:c r="A875" s="12" t="n">
        <x:v>46258</x:v>
      </x:c>
      <x:c r="B875" s="1" t="str">
        <x:v>GFGC4600OC</x:v>
      </x:c>
      <x:c r="C875" s="1" t="str">
        <x:v>call</x:v>
      </x:c>
      <x:c r="D875" s="11" t="n">
        <x:v>4600</x:v>
      </x:c>
      <x:c r="E875" s="11" t="n">
        <x:f>'Option source'!B46</x:f>
        <x:v>2195.25</x:v>
      </x:c>
      <x:c r="F875" s="11" t="n">
        <x:v>6950</x:v>
      </x:c>
      <x:c r="G875" s="18" t="n">
        <x:v>53</x:v>
      </x:c>
      <x:c r="H875" s="11" t="n">
        <x:f>MAX(IF(C875="call",F875-D875,D875-F875),0)</x:f>
        <x:v>2350</x:v>
      </x:c>
      <x:c r="I875" s="11" t="n">
        <x:f>E875-H875</x:f>
        <x:v>-154.75</x:v>
      </x:c>
      <x:c r="J875" s="13" t="n">
        <x:f>D875/F875</x:f>
        <x:v>0.6618705035971223</x:v>
      </x:c>
      <x:c r="K875" s="13"/>
      <x:c r="L875" s="17"/>
      <x:c r="M875" s="17"/>
      <x:c r="N875" s="11" t="n">
        <x:f>'Option source'!C46</x:f>
        <x:v>0</x:v>
      </x:c>
      <x:c r="O875" s="11" t="n">
        <x:f>'Option source'!G46</x:f>
        <x:v>2196.92</x:v>
      </x:c>
      <x:c r="P875" s="11" t="n">
        <x:f>'Option source'!F46</x:f>
        <x:v>2196.92</x:v>
      </x:c>
      <x:c r="Q875" s="1" t="str">
        <x:v>Zero reported volume; Price outside daily range; Below intrinsic value</x:v>
      </x:c>
      <x:c r="R875" s="1" t="n">
        <x:v>41</x:v>
      </x:c>
    </x:row>
    <x:row r="876" ht="21" customHeight="1">
      <x:c r="A876" s="12" t="n">
        <x:v>46258</x:v>
      </x:c>
      <x:c r="B876" s="1" t="str">
        <x:v>GFGV4600OC</x:v>
      </x:c>
      <x:c r="C876" s="1" t="str">
        <x:v>put</x:v>
      </x:c>
      <x:c r="D876" s="11" t="n">
        <x:v>4600</x:v>
      </x:c>
      <x:c r="E876" s="11" t="n">
        <x:f>'Option source'!B526</x:f>
        <x:v>4.68</x:v>
      </x:c>
      <x:c r="F876" s="11" t="n">
        <x:v>6950</x:v>
      </x:c>
      <x:c r="G876" s="18" t="n">
        <x:v>53</x:v>
      </x:c>
      <x:c r="H876" s="11" t="n">
        <x:f>MAX(IF(C876="call",F876-D876,D876-F876),0)</x:f>
        <x:v>0</x:v>
      </x:c>
      <x:c r="I876" s="11" t="n">
        <x:f>E876-H876</x:f>
        <x:v>4.68</x:v>
      </x:c>
      <x:c r="J876" s="13" t="n">
        <x:f>D876/F876</x:f>
        <x:v>0.6618705035971223</x:v>
      </x:c>
      <x:c r="K876" s="13" t="n">
        <x:v>0.5294847923178422</x:v>
      </x:c>
      <x:c r="L876" s="17" t="n">
        <x:v>-0.009084255305372713</x:v>
      </x:c>
      <x:c r="M876" s="17" t="n">
        <x:v>0.648996260969358</x:v>
      </x:c>
      <x:c r="N876" s="11" t="n">
        <x:f>'Option source'!C526</x:f>
        <x:v>136094.09</x:v>
      </x:c>
      <x:c r="O876" s="11" t="n">
        <x:f>'Option source'!G526</x:f>
        <x:v>2</x:v>
      </x:c>
      <x:c r="P876" s="11" t="n">
        <x:f>'Option source'!F526</x:f>
        <x:v>5.5</x:v>
      </x:c>
      <x:c r="Q876" s="1" t="str">
        <x:v>Screen passed; indicative</x:v>
      </x:c>
      <x:c r="R876" s="1" t="n">
        <x:v>521</x:v>
      </x:c>
    </x:row>
    <x:row r="877" ht="21" customHeight="1">
      <x:c r="A877" s="12" t="n">
        <x:v>46258</x:v>
      </x:c>
      <x:c r="B877" s="1" t="str">
        <x:v>GFGC4400OC</x:v>
      </x:c>
      <x:c r="C877" s="1" t="str">
        <x:v>call</x:v>
      </x:c>
      <x:c r="D877" s="11" t="n">
        <x:v>4400</x:v>
      </x:c>
      <x:c r="E877" s="11" t="n">
        <x:f>'Option source'!B27</x:f>
        <x:v>2387.12</x:v>
      </x:c>
      <x:c r="F877" s="11" t="n">
        <x:v>6950</x:v>
      </x:c>
      <x:c r="G877" s="18" t="n">
        <x:v>53</x:v>
      </x:c>
      <x:c r="H877" s="11" t="n">
        <x:f>MAX(IF(C877="call",F877-D877,D877-F877),0)</x:f>
        <x:v>2550</x:v>
      </x:c>
      <x:c r="I877" s="11" t="n">
        <x:f>E877-H877</x:f>
        <x:v>-162.8800000000001</x:v>
      </x:c>
      <x:c r="J877" s="13" t="n">
        <x:f>D877/F877</x:f>
        <x:v>0.6330935251798561</x:v>
      </x:c>
      <x:c r="K877" s="13"/>
      <x:c r="L877" s="17"/>
      <x:c r="M877" s="17"/>
      <x:c r="N877" s="11" t="n">
        <x:f>'Option source'!C27</x:f>
        <x:v>0</x:v>
      </x:c>
      <x:c r="O877" s="11" t="n">
        <x:f>'Option source'!G27</x:f>
        <x:v>2366.48</x:v>
      </x:c>
      <x:c r="P877" s="11" t="n">
        <x:f>'Option source'!F27</x:f>
        <x:v>2376.5</x:v>
      </x:c>
      <x:c r="Q877" s="1" t="str">
        <x:v>Zero reported volume; Price outside daily range; Below intrinsic value</x:v>
      </x:c>
      <x:c r="R877" s="1" t="n">
        <x:v>22</x:v>
      </x:c>
    </x:row>
    <x:row r="878" ht="21" customHeight="1">
      <x:c r="A878" s="12" t="n">
        <x:v>46258</x:v>
      </x:c>
      <x:c r="B878" s="1" t="str">
        <x:v>GFGC9500OC</x:v>
      </x:c>
      <x:c r="C878" s="1" t="str">
        <x:v>call</x:v>
      </x:c>
      <x:c r="D878" s="11" t="n">
        <x:v>9500</x:v>
      </x:c>
      <x:c r="E878" s="11" t="n">
        <x:f>'Option source'!B450</x:f>
        <x:v>28.72</x:v>
      </x:c>
      <x:c r="F878" s="11" t="n">
        <x:v>6950</x:v>
      </x:c>
      <x:c r="G878" s="18" t="n">
        <x:v>53</x:v>
      </x:c>
      <x:c r="H878" s="11" t="n">
        <x:f>MAX(IF(C878="call",F878-D878,D878-F878),0)</x:f>
        <x:v>0</x:v>
      </x:c>
      <x:c r="I878" s="11" t="n">
        <x:f>E878-H878</x:f>
        <x:v>28.72</x:v>
      </x:c>
      <x:c r="J878" s="13" t="n">
        <x:f>D878/F878</x:f>
        <x:v>1.3669064748201438</x:v>
      </x:c>
      <x:c r="K878" s="13" t="n">
        <x:v>0.43428468430754064</x:v>
      </x:c>
      <x:c r="L878" s="17" t="n">
        <x:v>0.06145374315720221</x:v>
      </x:c>
      <x:c r="M878" s="17" t="n">
        <x:v>3.214425562719632</x:v>
      </x:c>
      <x:c r="N878" s="11" t="n">
        <x:f>'Option source'!C450</x:f>
        <x:v>7221771</x:v>
      </x:c>
      <x:c r="O878" s="11" t="n">
        <x:f>'Option source'!G450</x:f>
        <x:v>24</x:v>
      </x:c>
      <x:c r="P878" s="11" t="n">
        <x:f>'Option source'!F450</x:f>
        <x:v>32</x:v>
      </x:c>
      <x:c r="Q878" s="1" t="str">
        <x:v>Screen passed; indicative</x:v>
      </x:c>
      <x:c r="R878" s="1" t="n">
        <x:v>445</x:v>
      </x:c>
    </x:row>
    <x:row r="879" ht="21" customHeight="1">
      <x:c r="A879" s="12" t="n">
        <x:v>46258</x:v>
      </x:c>
      <x:c r="B879" s="1" t="str">
        <x:v>GFGV4400OC</x:v>
      </x:c>
      <x:c r="C879" s="1" t="str">
        <x:v>put</x:v>
      </x:c>
      <x:c r="D879" s="11" t="n">
        <x:v>4400</x:v>
      </x:c>
      <x:c r="E879" s="11" t="n">
        <x:f>'Option source'!B507</x:f>
        <x:v>3.67</x:v>
      </x:c>
      <x:c r="F879" s="11" t="n">
        <x:v>6950</x:v>
      </x:c>
      <x:c r="G879" s="18" t="n">
        <x:v>53</x:v>
      </x:c>
      <x:c r="H879" s="11" t="n">
        <x:f>MAX(IF(C879="call",F879-D879,D879-F879),0)</x:f>
        <x:v>0</x:v>
      </x:c>
      <x:c r="I879" s="11" t="n">
        <x:f>E879-H879</x:f>
        <x:v>3.67</x:v>
      </x:c>
      <x:c r="J879" s="13" t="n">
        <x:f>D879/F879</x:f>
        <x:v>0.6330935251798561</x:v>
      </x:c>
      <x:c r="K879" s="13" t="n">
        <x:v>0.5590346048518352</x:v>
      </x:c>
      <x:c r="L879" s="17" t="n">
        <x:v>-0.007006362814226286</x:v>
      </x:c>
      <x:c r="M879" s="17" t="n">
        <x:v>0.516497814096953</x:v>
      </x:c>
      <x:c r="N879" s="11" t="n">
        <x:f>'Option source'!C507</x:f>
        <x:v>688801.88</x:v>
      </x:c>
      <x:c r="O879" s="11" t="n">
        <x:f>'Option source'!G507</x:f>
        <x:v>2</x:v>
      </x:c>
      <x:c r="P879" s="11" t="n">
        <x:f>'Option source'!F507</x:f>
        <x:v>4.8</x:v>
      </x:c>
      <x:c r="Q879" s="1" t="str">
        <x:v>Screen passed; indicative</x:v>
      </x:c>
      <x:c r="R879" s="1" t="n">
        <x:v>502</x:v>
      </x:c>
    </x:row>
    <x:row r="880" ht="21" customHeight="1">
      <x:c r="A880" s="12" t="n">
        <x:v>46258</x:v>
      </x:c>
      <x:c r="B880" s="1" t="str">
        <x:v>GFGC4200OC</x:v>
      </x:c>
      <x:c r="C880" s="1" t="str">
        <x:v>call</x:v>
      </x:c>
      <x:c r="D880" s="11" t="n">
        <x:v>4200</x:v>
      </x:c>
      <x:c r="E880" s="11" t="n">
        <x:f>'Option source'!B8</x:f>
        <x:v>2844.35</x:v>
      </x:c>
      <x:c r="F880" s="11" t="n">
        <x:v>6950</x:v>
      </x:c>
      <x:c r="G880" s="18" t="n">
        <x:v>53</x:v>
      </x:c>
      <x:c r="H880" s="11" t="n">
        <x:f>MAX(IF(C880="call",F880-D880,D880-F880),0)</x:f>
        <x:v>2750</x:v>
      </x:c>
      <x:c r="I880" s="11" t="n">
        <x:f>E880-H880</x:f>
        <x:v>94.34999999999991</x:v>
      </x:c>
      <x:c r="J880" s="13" t="n">
        <x:f>D880/F880</x:f>
        <x:v>0.60431654676259</x:v>
      </x:c>
      <x:c r="K880" s="13"/>
      <x:c r="L880" s="17"/>
      <x:c r="M880" s="17"/>
      <x:c r="N880" s="11" t="n">
        <x:f>'Option source'!C8</x:f>
        <x:v>96763072</x:v>
      </x:c>
      <x:c r="O880" s="11" t="n">
        <x:f>'Option source'!G8</x:f>
        <x:v>2550</x:v>
      </x:c>
      <x:c r="P880" s="11" t="n">
        <x:f>'Option source'!F8</x:f>
        <x:v>2839.36</x:v>
      </x:c>
      <x:c r="Q880" s="1" t="str">
        <x:v>Price outside daily range</x:v>
      </x:c>
      <x:c r="R880" s="1" t="n">
        <x:v>3</x:v>
      </x:c>
    </x:row>
    <x:row r="881" ht="21" customHeight="1">
      <x:c r="A881" s="12" t="n">
        <x:v>46258</x:v>
      </x:c>
      <x:c r="B881" s="1" t="str">
        <x:v>GFGV4200OC</x:v>
      </x:c>
      <x:c r="C881" s="1" t="str">
        <x:v>put</x:v>
      </x:c>
      <x:c r="D881" s="11" t="n">
        <x:v>4200</x:v>
      </x:c>
      <x:c r="E881" s="11" t="n">
        <x:f>'Option source'!B488</x:f>
        <x:v>2.44</x:v>
      </x:c>
      <x:c r="F881" s="11" t="n">
        <x:v>6950</x:v>
      </x:c>
      <x:c r="G881" s="18" t="n">
        <x:v>53</x:v>
      </x:c>
      <x:c r="H881" s="11" t="n">
        <x:f>MAX(IF(C881="call",F881-D881,D881-F881),0)</x:f>
        <x:v>0</x:v>
      </x:c>
      <x:c r="I881" s="11" t="n">
        <x:f>E881-H881</x:f>
        <x:v>2.44</x:v>
      </x:c>
      <x:c r="J881" s="13" t="n">
        <x:f>D881/F881</x:f>
        <x:v>0.60431654676259</x:v>
      </x:c>
      <x:c r="K881" s="13" t="n">
        <x:v>0.5775558861583835</x:v>
      </x:c>
      <x:c r="L881" s="17" t="n">
        <x:v>-0.00470939915876234</x:v>
      </x:c>
      <x:c r="M881" s="17" t="n">
        <x:v>0.3630427607523458</x:v>
      </x:c>
      <x:c r="N881" s="11" t="n">
        <x:f>'Option source'!C488</x:f>
        <x:v>257370.8</x:v>
      </x:c>
      <x:c r="O881" s="11" t="n">
        <x:f>'Option source'!G488</x:f>
        <x:v>1</x:v>
      </x:c>
      <x:c r="P881" s="11" t="n">
        <x:f>'Option source'!F488</x:f>
        <x:v>7</x:v>
      </x:c>
      <x:c r="Q881" s="1" t="str">
        <x:v>Screen passed; indicative</x:v>
      </x:c>
      <x:c r="R881" s="1" t="n">
        <x:v>483</x:v>
      </x:c>
    </x:row>
    <x:row r="882" ht="21" customHeight="1">
      <x:c r="A882" s="12" t="n">
        <x:v>46258</x:v>
      </x:c>
      <x:c r="B882" s="1" t="str">
        <x:v>GFGC9900OC</x:v>
      </x:c>
      <x:c r="C882" s="1" t="str">
        <x:v>call</x:v>
      </x:c>
      <x:c r="D882" s="11" t="n">
        <x:v>9900</x:v>
      </x:c>
      <x:c r="E882" s="11" t="n">
        <x:f>'Option source'!B469</x:f>
        <x:v>17.04</x:v>
      </x:c>
      <x:c r="F882" s="11" t="n">
        <x:v>6950</x:v>
      </x:c>
      <x:c r="G882" s="18" t="n">
        <x:v>53</x:v>
      </x:c>
      <x:c r="H882" s="11" t="n">
        <x:f>MAX(IF(C882="call",F882-D882,D882-F882),0)</x:f>
        <x:v>0</x:v>
      </x:c>
      <x:c r="I882" s="11" t="n">
        <x:f>E882-H882</x:f>
        <x:v>17.04</x:v>
      </x:c>
      <x:c r="J882" s="13" t="n">
        <x:f>D882/F882</x:f>
        <x:v>1.4244604316546763</x:v>
      </x:c>
      <x:c r="K882" s="13" t="n">
        <x:v>0.4399429178895863</x:v>
      </x:c>
      <x:c r="L882" s="17" t="n">
        <x:v>0.03863790297538475</x:v>
      </x:c>
      <x:c r="M882" s="17" t="n">
        <x:v>2.218747448000217</x:v>
      </x:c>
      <x:c r="N882" s="11" t="n">
        <x:f>'Option source'!C469</x:f>
        <x:v>1945112.5</x:v>
      </x:c>
      <x:c r="O882" s="11" t="n">
        <x:f>'Option source'!G469</x:f>
        <x:v>15.1</x:v>
      </x:c>
      <x:c r="P882" s="11" t="n">
        <x:f>'Option source'!F469</x:f>
        <x:v>22</x:v>
      </x:c>
      <x:c r="Q882" s="1" t="str">
        <x:v>Screen passed; indicative</x:v>
      </x:c>
      <x:c r="R882" s="1" t="n">
        <x:v>464</x:v>
      </x:c>
    </x:row>
    <x:row r="883" ht="21" customHeight="1">
      <x:c r="A883" s="12" t="n">
        <x:v>46255</x:v>
      </x:c>
      <x:c r="B883" s="1" t="str">
        <x:v>GFGC6600OC</x:v>
      </x:c>
      <x:c r="C883" s="1" t="str">
        <x:v>call</x:v>
      </x:c>
      <x:c r="D883" s="11" t="n">
        <x:v>6600</x:v>
      </x:c>
      <x:c r="E883" s="11" t="n">
        <x:f>'Option source'!B221</x:f>
        <x:v>630</x:v>
      </x:c>
      <x:c r="F883" s="11" t="n">
        <x:v>6620</x:v>
      </x:c>
      <x:c r="G883" s="18" t="n">
        <x:v>56</x:v>
      </x:c>
      <x:c r="H883" s="11" t="n">
        <x:f>MAX(IF(C883="call",F883-D883,D883-F883),0)</x:f>
        <x:v>20</x:v>
      </x:c>
      <x:c r="I883" s="11" t="n">
        <x:f>E883-H883</x:f>
        <x:v>610</x:v>
      </x:c>
      <x:c r="J883" s="13" t="n">
        <x:f>D883/F883</x:f>
        <x:v>0.9969788519637462</x:v>
      </x:c>
      <x:c r="K883" s="13" t="n">
        <x:v>0.45037439699872034</x:v>
      </x:c>
      <x:c r="L883" s="17" t="n">
        <x:v>0.6429178127755015</x:v>
      </x:c>
      <x:c r="M883" s="17" t="n">
        <x:v>9.67352348225397</x:v>
      </x:c>
      <x:c r="N883" s="11" t="n">
        <x:f>'Option source'!C221</x:f>
        <x:v>64370992</x:v>
      </x:c>
      <x:c r="O883" s="11" t="n">
        <x:f>'Option source'!G221</x:f>
        <x:v>576</x:v>
      </x:c>
      <x:c r="P883" s="11" t="n">
        <x:f>'Option source'!F221</x:f>
        <x:v>716.22</x:v>
      </x:c>
      <x:c r="Q883" s="1" t="str">
        <x:v>Screen passed; indicative</x:v>
      </x:c>
      <x:c r="R883" s="1" t="n">
        <x:v>216</x:v>
      </x:c>
    </x:row>
    <x:row r="884" ht="21" customHeight="1">
      <x:c r="A884" s="12" t="n">
        <x:v>46255</x:v>
      </x:c>
      <x:c r="B884" s="1" t="str">
        <x:v>GFGV6600OC</x:v>
      </x:c>
      <x:c r="C884" s="1" t="str">
        <x:v>put</x:v>
      </x:c>
      <x:c r="D884" s="11" t="n">
        <x:v>6600</x:v>
      </x:c>
      <x:c r="E884" s="11" t="n">
        <x:f>'Option source'!B715</x:f>
        <x:v>374.07</x:v>
      </x:c>
      <x:c r="F884" s="11" t="n">
        <x:v>6620</x:v>
      </x:c>
      <x:c r="G884" s="18" t="n">
        <x:v>56</x:v>
      </x:c>
      <x:c r="H884" s="11" t="n">
        <x:f>MAX(IF(C884="call",F884-D884,D884-F884),0)</x:f>
        <x:v>0</x:v>
      </x:c>
      <x:c r="I884" s="11" t="n">
        <x:f>E884-H884</x:f>
        <x:v>374.07</x:v>
      </x:c>
      <x:c r="J884" s="13" t="n">
        <x:f>D884/F884</x:f>
        <x:v>0.9969788519637462</x:v>
      </x:c>
      <x:c r="K884" s="13" t="n">
        <x:v>0.48218148726754506</x:v>
      </x:c>
      <x:c r="L884" s="17" t="n">
        <x:v>-0.3616110620162232</x:v>
      </x:c>
      <x:c r="M884" s="17" t="n">
        <x:v>9.715824344770297</x:v>
      </x:c>
      <x:c r="N884" s="11" t="n">
        <x:f>'Option source'!C715</x:f>
        <x:v>110064368</x:v>
      </x:c>
      <x:c r="O884" s="11" t="n">
        <x:f>'Option source'!G715</x:f>
        <x:v>290</x:v>
      </x:c>
      <x:c r="P884" s="11" t="n">
        <x:f>'Option source'!F715</x:f>
        <x:v>390</x:v>
      </x:c>
      <x:c r="Q884" s="1" t="str">
        <x:v>Screen passed; indicative</x:v>
      </x:c>
      <x:c r="R884" s="1" t="n">
        <x:v>710</x:v>
      </x:c>
    </x:row>
    <x:row r="885" ht="21" customHeight="1">
      <x:c r="A885" s="12" t="n">
        <x:v>46255</x:v>
      </x:c>
      <x:c r="B885" s="1" t="str">
        <x:v>GFGC6800OC</x:v>
      </x:c>
      <x:c r="C885" s="1" t="str">
        <x:v>call</x:v>
      </x:c>
      <x:c r="D885" s="11" t="n">
        <x:v>6800</x:v>
      </x:c>
      <x:c r="E885" s="11" t="n">
        <x:f>'Option source'!B240</x:f>
        <x:v>520</x:v>
      </x:c>
      <x:c r="F885" s="11" t="n">
        <x:v>6620</x:v>
      </x:c>
      <x:c r="G885" s="18" t="n">
        <x:v>56</x:v>
      </x:c>
      <x:c r="H885" s="11" t="n">
        <x:f>MAX(IF(C885="call",F885-D885,D885-F885),0)</x:f>
        <x:v>0</x:v>
      </x:c>
      <x:c r="I885" s="11" t="n">
        <x:f>E885-H885</x:f>
        <x:v>520</x:v>
      </x:c>
      <x:c r="J885" s="13" t="n">
        <x:f>D885/F885</x:f>
        <x:v>1.027190332326284</x:v>
      </x:c>
      <x:c r="K885" s="13" t="n">
        <x:v>0.44393323414538993</x:v>
      </x:c>
      <x:c r="L885" s="17" t="n">
        <x:v>0.5782274874424328</x:v>
      </x:c>
      <x:c r="M885" s="17" t="n">
        <x:v>10.14512617820375</x:v>
      </x:c>
      <x:c r="N885" s="11" t="n">
        <x:f>'Option source'!C240</x:f>
        <x:v>103459176</x:v>
      </x:c>
      <x:c r="O885" s="11" t="n">
        <x:f>'Option source'!G240</x:f>
        <x:v>485</x:v>
      </x:c>
      <x:c r="P885" s="11" t="n">
        <x:f>'Option source'!F240</x:f>
        <x:v>625</x:v>
      </x:c>
      <x:c r="Q885" s="1" t="str">
        <x:v>Screen passed; indicative</x:v>
      </x:c>
      <x:c r="R885" s="1" t="n">
        <x:v>235</x:v>
      </x:c>
    </x:row>
    <x:row r="886" ht="21" customHeight="1">
      <x:c r="A886" s="12" t="n">
        <x:v>46255</x:v>
      </x:c>
      <x:c r="B886" s="1" t="str">
        <x:v>GFGV6800OC</x:v>
      </x:c>
      <x:c r="C886" s="1" t="str">
        <x:v>put</x:v>
      </x:c>
      <x:c r="D886" s="11" t="n">
        <x:v>6800</x:v>
      </x:c>
      <x:c r="E886" s="11" t="n">
        <x:f>'Option source'!B734</x:f>
        <x:v>450.05</x:v>
      </x:c>
      <x:c r="F886" s="11" t="n">
        <x:v>6620</x:v>
      </x:c>
      <x:c r="G886" s="18" t="n">
        <x:v>56</x:v>
      </x:c>
      <x:c r="H886" s="11" t="n">
        <x:f>MAX(IF(C886="call",F886-D886,D886-F886),0)</x:f>
        <x:v>180</x:v>
      </x:c>
      <x:c r="I886" s="11" t="n">
        <x:f>E886-H886</x:f>
        <x:v>270.05</x:v>
      </x:c>
      <x:c r="J886" s="13" t="n">
        <x:f>D886/F886</x:f>
        <x:v>1.027190332326284</x:v>
      </x:c>
      <x:c r="K886" s="13" t="n">
        <x:v>0.45758646281893284</x:v>
      </x:c>
      <x:c r="L886" s="17" t="n">
        <x:v>-0.42201535317199745</x:v>
      </x:c>
      <x:c r="M886" s="17" t="n">
        <x:v>10.14636698702973</x:v>
      </x:c>
      <x:c r="N886" s="11" t="n">
        <x:f>'Option source'!C734</x:f>
        <x:v>34926320</x:v>
      </x:c>
      <x:c r="O886" s="11" t="n">
        <x:f>'Option source'!G734</x:f>
        <x:v>383.44</x:v>
      </x:c>
      <x:c r="P886" s="11" t="n">
        <x:f>'Option source'!F734</x:f>
        <x:v>485</x:v>
      </x:c>
      <x:c r="Q886" s="1" t="str">
        <x:v>Screen passed; indicative</x:v>
      </x:c>
      <x:c r="R886" s="1" t="n">
        <x:v>729</x:v>
      </x:c>
    </x:row>
    <x:row r="887" ht="21" customHeight="1">
      <x:c r="A887" s="12" t="n">
        <x:v>46255</x:v>
      </x:c>
      <x:c r="B887" s="1" t="str">
        <x:v>GFGC6400OC</x:v>
      </x:c>
      <x:c r="C887" s="1" t="str">
        <x:v>call</x:v>
      </x:c>
      <x:c r="D887" s="11" t="n">
        <x:v>6400</x:v>
      </x:c>
      <x:c r="E887" s="11" t="n">
        <x:f>'Option source'!B202</x:f>
        <x:v>711</x:v>
      </x:c>
      <x:c r="F887" s="11" t="n">
        <x:v>6620</x:v>
      </x:c>
      <x:c r="G887" s="18" t="n">
        <x:v>56</x:v>
      </x:c>
      <x:c r="H887" s="11" t="n">
        <x:f>MAX(IF(C887="call",F887-D887,D887-F887),0)</x:f>
        <x:v>220</x:v>
      </x:c>
      <x:c r="I887" s="11" t="n">
        <x:f>E887-H887</x:f>
        <x:v>491</x:v>
      </x:c>
      <x:c r="J887" s="13" t="n">
        <x:f>D887/F887</x:f>
        <x:v>0.9667673716012085</x:v>
      </x:c>
      <x:c r="K887" s="13" t="n">
        <x:v>0.4105110346129139</x:v>
      </x:c>
      <x:c r="L887" s="17" t="n">
        <x:v>0.7179748071828391</x:v>
      </x:c>
      <x:c r="M887" s="17" t="n">
        <x:v>8.7591540484703</x:v>
      </x:c>
      <x:c r="N887" s="11" t="n">
        <x:f>'Option source'!C202</x:f>
        <x:v>15215765</x:v>
      </x:c>
      <x:c r="O887" s="11" t="n">
        <x:f>'Option source'!G202</x:f>
        <x:v>685.01</x:v>
      </x:c>
      <x:c r="P887" s="11" t="n">
        <x:f>'Option source'!F202</x:f>
        <x:v>830</x:v>
      </x:c>
      <x:c r="Q887" s="1" t="str">
        <x:v>Screen passed; indicative</x:v>
      </x:c>
      <x:c r="R887" s="1" t="n">
        <x:v>197</x:v>
      </x:c>
    </x:row>
    <x:row r="888" ht="21" customHeight="1">
      <x:c r="A888" s="12" t="n">
        <x:v>46255</x:v>
      </x:c>
      <x:c r="B888" s="1" t="str">
        <x:v>GFGV6400OC</x:v>
      </x:c>
      <x:c r="C888" s="1" t="str">
        <x:v>put</x:v>
      </x:c>
      <x:c r="D888" s="11" t="n">
        <x:v>6400</x:v>
      </x:c>
      <x:c r="E888" s="11" t="n">
        <x:f>'Option source'!B696</x:f>
        <x:v>290.5</x:v>
      </x:c>
      <x:c r="F888" s="11" t="n">
        <x:v>6620</x:v>
      </x:c>
      <x:c r="G888" s="18" t="n">
        <x:v>56</x:v>
      </x:c>
      <x:c r="H888" s="11" t="n">
        <x:f>MAX(IF(C888="call",F888-D888,D888-F888),0)</x:f>
        <x:v>0</x:v>
      </x:c>
      <x:c r="I888" s="11" t="n">
        <x:f>E888-H888</x:f>
        <x:v>290.5</x:v>
      </x:c>
      <x:c r="J888" s="13" t="n">
        <x:f>D888/F888</x:f>
        <x:v>0.9667673716012085</x:v>
      </x:c>
      <x:c r="K888" s="13" t="n">
        <x:v>0.4841446385844245</x:v>
      </x:c>
      <x:c r="L888" s="17" t="n">
        <x:v>-0.3030133309347368</x:v>
      </x:c>
      <x:c r="M888" s="17" t="n">
        <x:v>9.056369478424562</x:v>
      </x:c>
      <x:c r="N888" s="11" t="n">
        <x:f>'Option source'!C696</x:f>
        <x:v>57884704</x:v>
      </x:c>
      <x:c r="O888" s="11" t="n">
        <x:f>'Option source'!G696</x:f>
        <x:v>190</x:v>
      </x:c>
      <x:c r="P888" s="11" t="n">
        <x:f>'Option source'!F696</x:f>
        <x:v>300</x:v>
      </x:c>
      <x:c r="Q888" s="1" t="str">
        <x:v>Screen passed; indicative</x:v>
      </x:c>
      <x:c r="R888" s="1" t="n">
        <x:v>691</x:v>
      </x:c>
    </x:row>
    <x:row r="889" ht="21" customHeight="1">
      <x:c r="A889" s="12" t="n">
        <x:v>46255</x:v>
      </x:c>
      <x:c r="B889" s="1" t="str">
        <x:v>GFGC7000OC</x:v>
      </x:c>
      <x:c r="C889" s="1" t="str">
        <x:v>call</x:v>
      </x:c>
      <x:c r="D889" s="11" t="n">
        <x:v>7000</x:v>
      </x:c>
      <x:c r="E889" s="11" t="n">
        <x:f>'Option source'!B259</x:f>
        <x:v>419.73</x:v>
      </x:c>
      <x:c r="F889" s="11" t="n">
        <x:v>6620</x:v>
      </x:c>
      <x:c r="G889" s="18" t="n">
        <x:v>56</x:v>
      </x:c>
      <x:c r="H889" s="11" t="n">
        <x:f>MAX(IF(C889="call",F889-D889,D889-F889),0)</x:f>
        <x:v>0</x:v>
      </x:c>
      <x:c r="I889" s="11" t="n">
        <x:f>E889-H889</x:f>
        <x:v>419.73</x:v>
      </x:c>
      <x:c r="J889" s="13" t="n">
        <x:f>D889/F889</x:f>
        <x:v>1.0574018126888218</x:v>
      </x:c>
      <x:c r="K889" s="13" t="n">
        <x:v>0.4348873763726706</x:v>
      </x:c>
      <x:c r="L889" s="17" t="n">
        <x:v>0.5110551197621186</x:v>
      </x:c>
      <x:c r="M889" s="17" t="n">
        <x:v>10.340673973464884</x:v>
      </x:c>
      <x:c r="N889" s="11" t="n">
        <x:f>'Option source'!C259</x:f>
        <x:v>255199440</x:v>
      </x:c>
      <x:c r="O889" s="11" t="n">
        <x:f>'Option source'!G259</x:f>
        <x:v>406</x:v>
      </x:c>
      <x:c r="P889" s="11" t="n">
        <x:f>'Option source'!F259</x:f>
        <x:v>510</x:v>
      </x:c>
      <x:c r="Q889" s="1" t="str">
        <x:v>Screen passed; indicative</x:v>
      </x:c>
      <x:c r="R889" s="1" t="n">
        <x:v>254</x:v>
      </x:c>
    </x:row>
    <x:row r="890" ht="21" customHeight="1">
      <x:c r="A890" s="12" t="n">
        <x:v>46255</x:v>
      </x:c>
      <x:c r="B890" s="1" t="str">
        <x:v>GFGV7000OC</x:v>
      </x:c>
      <x:c r="C890" s="1" t="str">
        <x:v>put</x:v>
      </x:c>
      <x:c r="D890" s="11" t="n">
        <x:v>7000</x:v>
      </x:c>
      <x:c r="E890" s="11" t="n">
        <x:f>'Option source'!B753</x:f>
        <x:v>570</x:v>
      </x:c>
      <x:c r="F890" s="11" t="n">
        <x:v>6620</x:v>
      </x:c>
      <x:c r="G890" s="18" t="n">
        <x:v>56</x:v>
      </x:c>
      <x:c r="H890" s="11" t="n">
        <x:f>MAX(IF(C890="call",F890-D890,D890-F890),0)</x:f>
        <x:v>380</x:v>
      </x:c>
      <x:c r="I890" s="11" t="n">
        <x:f>E890-H890</x:f>
        <x:v>190</x:v>
      </x:c>
      <x:c r="J890" s="13" t="n">
        <x:f>D890/F890</x:f>
        <x:v>1.0574018126888218</x:v>
      </x:c>
      <x:c r="K890" s="13" t="n">
        <x:v>0.4617417593278544</x:v>
      </x:c>
      <x:c r="L890" s="17" t="n">
        <x:v>-0.48551535149722713</x:v>
      </x:c>
      <x:c r="M890" s="17" t="n">
        <x:v>10.337826940929574</x:v>
      </x:c>
      <x:c r="N890" s="11" t="n">
        <x:f>'Option source'!C753</x:f>
        <x:v>65445404</x:v>
      </x:c>
      <x:c r="O890" s="11" t="n">
        <x:f>'Option source'!G753</x:f>
        <x:v>435</x:v>
      </x:c>
      <x:c r="P890" s="11" t="n">
        <x:f>'Option source'!F753</x:f>
        <x:v>597</x:v>
      </x:c>
      <x:c r="Q890" s="1" t="str">
        <x:v>Screen passed; indicative</x:v>
      </x:c>
      <x:c r="R890" s="1" t="n">
        <x:v>748</x:v>
      </x:c>
    </x:row>
    <x:row r="891" ht="21" customHeight="1">
      <x:c r="A891" s="12" t="n">
        <x:v>46255</x:v>
      </x:c>
      <x:c r="B891" s="1" t="str">
        <x:v>GFGC6200OC</x:v>
      </x:c>
      <x:c r="C891" s="1" t="str">
        <x:v>call</x:v>
      </x:c>
      <x:c r="D891" s="11" t="n">
        <x:v>6200</x:v>
      </x:c>
      <x:c r="E891" s="11" t="n">
        <x:f>'Option source'!B183</x:f>
        <x:v>845</x:v>
      </x:c>
      <x:c r="F891" s="11" t="n">
        <x:v>6620</x:v>
      </x:c>
      <x:c r="G891" s="18" t="n">
        <x:v>56</x:v>
      </x:c>
      <x:c r="H891" s="11" t="n">
        <x:f>MAX(IF(C891="call",F891-D891,D891-F891),0)</x:f>
        <x:v>420</x:v>
      </x:c>
      <x:c r="I891" s="11" t="n">
        <x:f>E891-H891</x:f>
        <x:v>425</x:v>
      </x:c>
      <x:c r="J891" s="13" t="n">
        <x:f>D891/F891</x:f>
        <x:v>0.9365558912386707</x:v>
      </x:c>
      <x:c r="K891" s="13" t="n">
        <x:v>0.41185353433416555</x:v>
      </x:c>
      <x:c r="L891" s="17" t="n">
        <x:v>0.7800272473985479</x:v>
      </x:c>
      <x:c r="M891" s="17" t="n">
        <x:v>7.6772150066803615</x:v>
      </x:c>
      <x:c r="N891" s="11" t="n">
        <x:f>'Option source'!C183</x:f>
        <x:v>13107226</x:v>
      </x:c>
      <x:c r="O891" s="11" t="n">
        <x:f>'Option source'!G183</x:f>
        <x:v>825</x:v>
      </x:c>
      <x:c r="P891" s="11" t="n">
        <x:f>'Option source'!F183</x:f>
        <x:v>900</x:v>
      </x:c>
      <x:c r="Q891" s="1" t="str">
        <x:v>Screen passed; indicative</x:v>
      </x:c>
      <x:c r="R891" s="1" t="n">
        <x:v>178</x:v>
      </x:c>
    </x:row>
    <x:row r="892" ht="21" customHeight="1">
      <x:c r="A892" s="12" t="n">
        <x:v>46255</x:v>
      </x:c>
      <x:c r="B892" s="1" t="str">
        <x:v>GFGV6200OC</x:v>
      </x:c>
      <x:c r="C892" s="1" t="str">
        <x:v>put</x:v>
      </x:c>
      <x:c r="D892" s="11" t="n">
        <x:v>6200</x:v>
      </x:c>
      <x:c r="E892" s="11" t="n">
        <x:f>'Option source'!B677</x:f>
        <x:v>201.71</x:v>
      </x:c>
      <x:c r="F892" s="11" t="n">
        <x:v>6620</x:v>
      </x:c>
      <x:c r="G892" s="18" t="n">
        <x:v>56</x:v>
      </x:c>
      <x:c r="H892" s="11" t="n">
        <x:f>MAX(IF(C892="call",F892-D892,D892-F892),0)</x:f>
        <x:v>0</x:v>
      </x:c>
      <x:c r="I892" s="11" t="n">
        <x:f>E892-H892</x:f>
        <x:v>201.71</x:v>
      </x:c>
      <x:c r="J892" s="13" t="n">
        <x:f>D892/F892</x:f>
        <x:v>0.9365558912386707</x:v>
      </x:c>
      <x:c r="K892" s="13" t="n">
        <x:v>0.46363139346697974</x:v>
      </x:c>
      <x:c r="L892" s="17" t="n">
        <x:v>-0.2403472865659131</x:v>
      </x:c>
      <x:c r="M892" s="17" t="n">
        <x:v>8.067353958292223</x:v>
      </x:c>
      <x:c r="N892" s="11" t="n">
        <x:f>'Option source'!C677</x:f>
        <x:v>15305316</x:v>
      </x:c>
      <x:c r="O892" s="11" t="n">
        <x:f>'Option source'!G677</x:f>
        <x:v>165</x:v>
      </x:c>
      <x:c r="P892" s="11" t="n">
        <x:f>'Option source'!F677</x:f>
        <x:v>215</x:v>
      </x:c>
      <x:c r="Q892" s="1" t="str">
        <x:v>Screen passed; indicative</x:v>
      </x:c>
      <x:c r="R892" s="1" t="n">
        <x:v>672</x:v>
      </x:c>
    </x:row>
    <x:row r="893" ht="21" customHeight="1">
      <x:c r="A893" s="12" t="n">
        <x:v>46255</x:v>
      </x:c>
      <x:c r="B893" s="1" t="str">
        <x:v>GFGC7200OC</x:v>
      </x:c>
      <x:c r="C893" s="1" t="str">
        <x:v>call</x:v>
      </x:c>
      <x:c r="D893" s="11" t="n">
        <x:v>7200</x:v>
      </x:c>
      <x:c r="E893" s="11" t="n">
        <x:f>'Option source'!B278</x:f>
        <x:v>339.33</x:v>
      </x:c>
      <x:c r="F893" s="11" t="n">
        <x:v>6620</x:v>
      </x:c>
      <x:c r="G893" s="18" t="n">
        <x:v>56</x:v>
      </x:c>
      <x:c r="H893" s="11" t="n">
        <x:f>MAX(IF(C893="call",F893-D893,D893-F893),0)</x:f>
        <x:v>0</x:v>
      </x:c>
      <x:c r="I893" s="11" t="n">
        <x:f>E893-H893</x:f>
        <x:v>339.33</x:v>
      </x:c>
      <x:c r="J893" s="13" t="n">
        <x:f>D893/F893</x:f>
        <x:v>1.0876132930513596</x:v>
      </x:c>
      <x:c r="K893" s="13" t="n">
        <x:v>0.43300081048555733</x:v>
      </x:c>
      <x:c r="L893" s="17" t="n">
        <x:v>0.4447238624229819</x:v>
      </x:c>
      <x:c r="M893" s="17" t="n">
        <x:v>10.245188409305849</x:v>
      </x:c>
      <x:c r="N893" s="11" t="n">
        <x:f>'Option source'!C278</x:f>
        <x:v>76861992</x:v>
      </x:c>
      <x:c r="O893" s="11" t="n">
        <x:f>'Option source'!G278</x:f>
        <x:v>337.32</x:v>
      </x:c>
      <x:c r="P893" s="11" t="n">
        <x:f>'Option source'!F278</x:f>
        <x:v>440</x:v>
      </x:c>
      <x:c r="Q893" s="1" t="str">
        <x:v>Screen passed; indicative</x:v>
      </x:c>
      <x:c r="R893" s="1" t="n">
        <x:v>273</x:v>
      </x:c>
    </x:row>
    <x:row r="894" ht="21" customHeight="1">
      <x:c r="A894" s="12" t="n">
        <x:v>46255</x:v>
      </x:c>
      <x:c r="B894" s="1" t="str">
        <x:v>GFGV7200OC</x:v>
      </x:c>
      <x:c r="C894" s="1" t="str">
        <x:v>put</x:v>
      </x:c>
      <x:c r="D894" s="11" t="n">
        <x:v>7200</x:v>
      </x:c>
      <x:c r="E894" s="11" t="n">
        <x:f>'Option source'!B772</x:f>
        <x:v>731.63</x:v>
      </x:c>
      <x:c r="F894" s="11" t="n">
        <x:v>6620</x:v>
      </x:c>
      <x:c r="G894" s="18" t="n">
        <x:v>56</x:v>
      </x:c>
      <x:c r="H894" s="11" t="n">
        <x:f>MAX(IF(C894="call",F894-D894,D894-F894),0)</x:f>
        <x:v>580</x:v>
      </x:c>
      <x:c r="I894" s="11" t="n">
        <x:f>E894-H894</x:f>
        <x:v>151.63</x:v>
      </x:c>
      <x:c r="J894" s="13" t="n">
        <x:f>D894/F894</x:f>
        <x:v>1.0876132930513596</x:v>
      </x:c>
      <x:c r="K894" s="13" t="n">
        <x:v>0.49591859079381584</x:v>
      </x:c>
      <x:c r="L894" s="17" t="n">
        <x:v>-0.5391475498847653</x:v>
      </x:c>
      <x:c r="M894" s="17" t="n">
        <x:v>10.29480081923991</x:v>
      </x:c>
      <x:c r="N894" s="11" t="n">
        <x:f>'Option source'!C772</x:f>
        <x:v>14423741</x:v>
      </x:c>
      <x:c r="O894" s="11" t="n">
        <x:f>'Option source'!G772</x:f>
        <x:v>603</x:v>
      </x:c>
      <x:c r="P894" s="11" t="n">
        <x:f>'Option source'!F772</x:f>
        <x:v>750</x:v>
      </x:c>
      <x:c r="Q894" s="1" t="str">
        <x:v>Screen passed; indicative</x:v>
      </x:c>
      <x:c r="R894" s="1" t="n">
        <x:v>767</x:v>
      </x:c>
    </x:row>
    <x:row r="895" ht="21" customHeight="1">
      <x:c r="A895" s="12" t="n">
        <x:v>46255</x:v>
      </x:c>
      <x:c r="B895" s="1" t="str">
        <x:v>GFGC6000OC</x:v>
      </x:c>
      <x:c r="C895" s="1" t="str">
        <x:v>call</x:v>
      </x:c>
      <x:c r="D895" s="11" t="n">
        <x:v>6000</x:v>
      </x:c>
      <x:c r="E895" s="11" t="n">
        <x:f>'Option source'!B164</x:f>
        <x:v>995</x:v>
      </x:c>
      <x:c r="F895" s="11" t="n">
        <x:v>6620</x:v>
      </x:c>
      <x:c r="G895" s="18" t="n">
        <x:v>56</x:v>
      </x:c>
      <x:c r="H895" s="11" t="n">
        <x:f>MAX(IF(C895="call",F895-D895,D895-F895),0)</x:f>
        <x:v>620</x:v>
      </x:c>
      <x:c r="I895" s="11" t="n">
        <x:f>E895-H895</x:f>
        <x:v>375</x:v>
      </x:c>
      <x:c r="J895" s="13" t="n">
        <x:f>D895/F895</x:f>
        <x:v>0.9063444108761329</x:v>
      </x:c>
      <x:c r="K895" s="13" t="n">
        <x:v>0.418916008922193</x:v>
      </x:c>
      <x:c r="L895" s="17" t="n">
        <x:v>0.8319350398798412</x:v>
      </x:c>
      <x:c r="M895" s="17" t="n">
        <x:v>6.513655946255666</x:v>
      </x:c>
      <x:c r="N895" s="11" t="n">
        <x:f>'Option source'!C164</x:f>
        <x:v>10241728</x:v>
      </x:c>
      <x:c r="O895" s="11" t="n">
        <x:f>'Option source'!G164</x:f>
        <x:v>950</x:v>
      </x:c>
      <x:c r="P895" s="11" t="n">
        <x:f>'Option source'!F164</x:f>
        <x:v>1019.18</x:v>
      </x:c>
      <x:c r="Q895" s="1" t="str">
        <x:v>Screen passed; indicative</x:v>
      </x:c>
      <x:c r="R895" s="1" t="n">
        <x:v>159</x:v>
      </x:c>
    </x:row>
    <x:row r="896" ht="21" customHeight="1">
      <x:c r="A896" s="12" t="n">
        <x:v>46255</x:v>
      </x:c>
      <x:c r="B896" s="1" t="str">
        <x:v>GFGV6000OC</x:v>
      </x:c>
      <x:c r="C896" s="1" t="str">
        <x:v>put</x:v>
      </x:c>
      <x:c r="D896" s="11" t="n">
        <x:v>6000</x:v>
      </x:c>
      <x:c r="E896" s="11" t="n">
        <x:f>'Option source'!B658</x:f>
        <x:v>145.03</x:v>
      </x:c>
      <x:c r="F896" s="11" t="n">
        <x:v>6620</x:v>
      </x:c>
      <x:c r="G896" s="18" t="n">
        <x:v>56</x:v>
      </x:c>
      <x:c r="H896" s="11" t="n">
        <x:f>MAX(IF(C896="call",F896-D896,D896-F896),0)</x:f>
        <x:v>0</x:v>
      </x:c>
      <x:c r="I896" s="11" t="n">
        <x:f>E896-H896</x:f>
        <x:v>145.03</x:v>
      </x:c>
      <x:c r="J896" s="13" t="n">
        <x:f>D896/F896</x:f>
        <x:v>0.9063444108761329</x:v>
      </x:c>
      <x:c r="K896" s="13" t="n">
        <x:v>0.4637316137349717</x:v>
      </x:c>
      <x:c r="L896" s="17" t="n">
        <x:v>-0.1879185786144264</x:v>
      </x:c>
      <x:c r="M896" s="17" t="n">
        <x:v>6.988962121430394</x:v>
      </x:c>
      <x:c r="N896" s="11" t="n">
        <x:f>'Option source'!C658</x:f>
        <x:v>54616160</x:v>
      </x:c>
      <x:c r="O896" s="11" t="n">
        <x:f>'Option source'!G658</x:f>
        <x:v>110</x:v>
      </x:c>
      <x:c r="P896" s="11" t="n">
        <x:f>'Option source'!F658</x:f>
        <x:v>156</x:v>
      </x:c>
      <x:c r="Q896" s="1" t="str">
        <x:v>Screen passed; indicative</x:v>
      </x:c>
      <x:c r="R896" s="1" t="n">
        <x:v>653</x:v>
      </x:c>
    </x:row>
    <x:row r="897" ht="21" customHeight="1">
      <x:c r="A897" s="12" t="n">
        <x:v>46255</x:v>
      </x:c>
      <x:c r="B897" s="1" t="str">
        <x:v>GFGC7400OC</x:v>
      </x:c>
      <x:c r="C897" s="1" t="str">
        <x:v>call</x:v>
      </x:c>
      <x:c r="D897" s="11" t="n">
        <x:v>7400</x:v>
      </x:c>
      <x:c r="E897" s="11" t="n">
        <x:f>'Option source'!B297</x:f>
        <x:v>271.72</x:v>
      </x:c>
      <x:c r="F897" s="11" t="n">
        <x:v>6620</x:v>
      </x:c>
      <x:c r="G897" s="18" t="n">
        <x:v>56</x:v>
      </x:c>
      <x:c r="H897" s="11" t="n">
        <x:f>MAX(IF(C897="call",F897-D897,D897-F897),0)</x:f>
        <x:v>0</x:v>
      </x:c>
      <x:c r="I897" s="11" t="n">
        <x:f>E897-H897</x:f>
        <x:v>271.72</x:v>
      </x:c>
      <x:c r="J897" s="13" t="n">
        <x:f>D897/F897</x:f>
        <x:v>1.1178247734138973</x:v>
      </x:c>
      <x:c r="K897" s="13" t="n">
        <x:v>0.4319467450489007</x:v>
      </x:c>
      <x:c r="L897" s="17" t="n">
        <x:v>0.38144170465556954</x:v>
      </x:c>
      <x:c r="M897" s="17" t="n">
        <x:v>9.884409308083114</x:v>
      </x:c>
      <x:c r="N897" s="11" t="n">
        <x:f>'Option source'!C297</x:f>
        <x:v>68027704</x:v>
      </x:c>
      <x:c r="O897" s="11" t="n">
        <x:f>'Option source'!G297</x:f>
        <x:v>268.01</x:v>
      </x:c>
      <x:c r="P897" s="11" t="n">
        <x:f>'Option source'!F297</x:f>
        <x:v>335</x:v>
      </x:c>
      <x:c r="Q897" s="1" t="str">
        <x:v>Screen passed; indicative</x:v>
      </x:c>
      <x:c r="R897" s="1" t="n">
        <x:v>292</x:v>
      </x:c>
    </x:row>
    <x:row r="898" ht="21" customHeight="1">
      <x:c r="A898" s="12" t="n">
        <x:v>46255</x:v>
      </x:c>
      <x:c r="B898" s="1" t="str">
        <x:v>GFGV7400OC</x:v>
      </x:c>
      <x:c r="C898" s="1" t="str">
        <x:v>put</x:v>
      </x:c>
      <x:c r="D898" s="11" t="n">
        <x:v>7400</x:v>
      </x:c>
      <x:c r="E898" s="11" t="n">
        <x:f>'Option source'!B791</x:f>
        <x:v>780</x:v>
      </x:c>
      <x:c r="F898" s="11" t="n">
        <x:v>6620</x:v>
      </x:c>
      <x:c r="G898" s="18" t="n">
        <x:v>56</x:v>
      </x:c>
      <x:c r="H898" s="11" t="n">
        <x:f>MAX(IF(C898="call",F898-D898,D898-F898),0)</x:f>
        <x:v>780</x:v>
      </x:c>
      <x:c r="I898" s="11" t="n">
        <x:f>E898-H898</x:f>
        <x:v>0</x:v>
      </x:c>
      <x:c r="J898" s="13" t="n">
        <x:f>D898/F898</x:f>
        <x:v>1.1178247734138973</x:v>
      </x:c>
      <x:c r="K898" s="13"/>
      <x:c r="L898" s="17"/>
      <x:c r="M898" s="17"/>
      <x:c r="N898" s="11" t="n">
        <x:f>'Option source'!C791</x:f>
        <x:v>2447004</x:v>
      </x:c>
      <x:c r="O898" s="11" t="n">
        <x:f>'Option source'!G791</x:f>
        <x:v>750</x:v>
      </x:c>
      <x:c r="P898" s="11" t="n">
        <x:f>'Option source'!F791</x:f>
        <x:v>856</x:v>
      </x:c>
      <x:c r="Q898" s="1" t="str">
        <x:v>No stable model IV</x:v>
      </x:c>
      <x:c r="R898" s="1" t="n">
        <x:v>786</x:v>
      </x:c>
    </x:row>
    <x:row r="899" ht="21" customHeight="1">
      <x:c r="A899" s="12" t="n">
        <x:v>46255</x:v>
      </x:c>
      <x:c r="B899" s="1" t="str">
        <x:v>GFGV5800OC</x:v>
      </x:c>
      <x:c r="C899" s="1" t="str">
        <x:v>put</x:v>
      </x:c>
      <x:c r="D899" s="11" t="n">
        <x:v>5800</x:v>
      </x:c>
      <x:c r="E899" s="11" t="n">
        <x:f>'Option source'!B639</x:f>
        <x:v>96.17</x:v>
      </x:c>
      <x:c r="F899" s="11" t="n">
        <x:v>6620</x:v>
      </x:c>
      <x:c r="G899" s="18" t="n">
        <x:v>56</x:v>
      </x:c>
      <x:c r="H899" s="11" t="n">
        <x:f>MAX(IF(C899="call",F899-D899,D899-F899),0)</x:f>
        <x:v>0</x:v>
      </x:c>
      <x:c r="I899" s="11" t="n">
        <x:f>E899-H899</x:f>
        <x:v>96.17</x:v>
      </x:c>
      <x:c r="J899" s="13" t="n">
        <x:f>D899/F899</x:f>
        <x:v>0.8761329305135952</x:v>
      </x:c>
      <x:c r="K899" s="13" t="n">
        <x:v>0.45600663845341943</x:v>
      </x:c>
      <x:c r="L899" s="17" t="n">
        <x:v>-0.13844209045592226</x:v>
      </x:c>
      <x:c r="M899" s="17" t="n">
        <x:v>5.727671412585373</x:v>
      </x:c>
      <x:c r="N899" s="11" t="n">
        <x:f>'Option source'!C639</x:f>
        <x:v>14418703</x:v>
      </x:c>
      <x:c r="O899" s="11" t="n">
        <x:f>'Option source'!G639</x:f>
        <x:v>75.01</x:v>
      </x:c>
      <x:c r="P899" s="11" t="n">
        <x:f>'Option source'!F639</x:f>
        <x:v>110</x:v>
      </x:c>
      <x:c r="Q899" s="1" t="str">
        <x:v>Screen passed; indicative</x:v>
      </x:c>
      <x:c r="R899" s="1" t="n">
        <x:v>634</x:v>
      </x:c>
    </x:row>
    <x:row r="900" ht="21" customHeight="1">
      <x:c r="A900" s="12" t="n">
        <x:v>46255</x:v>
      </x:c>
      <x:c r="B900" s="1" t="str">
        <x:v>GFGC7600OC</x:v>
      </x:c>
      <x:c r="C900" s="1" t="str">
        <x:v>call</x:v>
      </x:c>
      <x:c r="D900" s="11" t="n">
        <x:v>7600</x:v>
      </x:c>
      <x:c r="E900" s="11" t="n">
        <x:f>'Option source'!B316</x:f>
        <x:v>215.5</x:v>
      </x:c>
      <x:c r="F900" s="11" t="n">
        <x:v>6620</x:v>
      </x:c>
      <x:c r="G900" s="18" t="n">
        <x:v>56</x:v>
      </x:c>
      <x:c r="H900" s="11" t="n">
        <x:f>MAX(IF(C900="call",F900-D900,D900-F900),0)</x:f>
        <x:v>0</x:v>
      </x:c>
      <x:c r="I900" s="11" t="n">
        <x:f>E900-H900</x:f>
        <x:v>215.5</x:v>
      </x:c>
      <x:c r="J900" s="13" t="n">
        <x:f>D900/F900</x:f>
        <x:v>1.148036253776435</x:v>
      </x:c>
      <x:c r="K900" s="13" t="n">
        <x:v>0.43133050987662336</x:v>
      </x:c>
      <x:c r="L900" s="17" t="n">
        <x:v>0.3226805038129612</x:v>
      </x:c>
      <x:c r="M900" s="17" t="n">
        <x:v>9.305164788252732</x:v>
      </x:c>
      <x:c r="N900" s="11" t="n">
        <x:f>'Option source'!C316</x:f>
        <x:v>132477656</x:v>
      </x:c>
      <x:c r="O900" s="11" t="n">
        <x:f>'Option source'!G316</x:f>
        <x:v>205.01</x:v>
      </x:c>
      <x:c r="P900" s="11" t="n">
        <x:f>'Option source'!F316</x:f>
        <x:v>266</x:v>
      </x:c>
      <x:c r="Q900" s="1" t="str">
        <x:v>Screen passed; indicative</x:v>
      </x:c>
      <x:c r="R900" s="1" t="n">
        <x:v>311</x:v>
      </x:c>
    </x:row>
    <x:row r="901" ht="21" customHeight="1">
      <x:c r="A901" s="12" t="n">
        <x:v>46255</x:v>
      </x:c>
      <x:c r="B901" s="1" t="str">
        <x:v>GFGV7600OC</x:v>
      </x:c>
      <x:c r="C901" s="1" t="str">
        <x:v>put</x:v>
      </x:c>
      <x:c r="D901" s="11" t="n">
        <x:v>7600</x:v>
      </x:c>
      <x:c r="E901" s="11" t="n">
        <x:f>'Option source'!B810</x:f>
        <x:v>987.5</x:v>
      </x:c>
      <x:c r="F901" s="11" t="n">
        <x:v>6620</x:v>
      </x:c>
      <x:c r="G901" s="18" t="n">
        <x:v>56</x:v>
      </x:c>
      <x:c r="H901" s="11" t="n">
        <x:f>MAX(IF(C901="call",F901-D901,D901-F901),0)</x:f>
        <x:v>980</x:v>
      </x:c>
      <x:c r="I901" s="11" t="n">
        <x:f>E901-H901</x:f>
        <x:v>7.5</x:v>
      </x:c>
      <x:c r="J901" s="13" t="n">
        <x:f>D901/F901</x:f>
        <x:v>1.148036253776435</x:v>
      </x:c>
      <x:c r="K901" s="13"/>
      <x:c r="L901" s="17"/>
      <x:c r="M901" s="17"/>
      <x:c r="N901" s="11" t="n">
        <x:f>'Option source'!C810</x:f>
        <x:v>790000</x:v>
      </x:c>
      <x:c r="O901" s="11" t="n">
        <x:f>'Option source'!G810</x:f>
        <x:v>975</x:v>
      </x:c>
      <x:c r="P901" s="11" t="n">
        <x:f>'Option source'!F810</x:f>
        <x:v>975</x:v>
      </x:c>
      <x:c r="Q901" s="1" t="str">
        <x:v>Price outside daily range</x:v>
      </x:c>
      <x:c r="R901" s="1" t="n">
        <x:v>805</x:v>
      </x:c>
    </x:row>
    <x:row r="902" ht="21" customHeight="1">
      <x:c r="A902" s="12" t="n">
        <x:v>46255</x:v>
      </x:c>
      <x:c r="B902" s="1" t="str">
        <x:v>GFGV5600OC</x:v>
      </x:c>
      <x:c r="C902" s="1" t="str">
        <x:v>put</x:v>
      </x:c>
      <x:c r="D902" s="11" t="n">
        <x:v>5600</x:v>
      </x:c>
      <x:c r="E902" s="11" t="n">
        <x:f>'Option source'!B620</x:f>
        <x:v>62.84</x:v>
      </x:c>
      <x:c r="F902" s="11" t="n">
        <x:v>6620</x:v>
      </x:c>
      <x:c r="G902" s="18" t="n">
        <x:v>56</x:v>
      </x:c>
      <x:c r="H902" s="11" t="n">
        <x:f>MAX(IF(C902="call",F902-D902,D902-F902),0)</x:f>
        <x:v>0</x:v>
      </x:c>
      <x:c r="I902" s="11" t="n">
        <x:f>E902-H902</x:f>
        <x:v>62.84</x:v>
      </x:c>
      <x:c r="J902" s="13" t="n">
        <x:f>D902/F902</x:f>
        <x:v>0.8459214501510574</x:v>
      </x:c>
      <x:c r="K902" s="13" t="n">
        <x:v>0.45382123411807046</x:v>
      </x:c>
      <x:c r="L902" s="17" t="n">
        <x:v>-0.09867597939758876</x:v>
      </x:c>
      <x:c r="M902" s="17" t="n">
        <x:v>4.5065754697060925</x:v>
      </x:c>
      <x:c r="N902" s="11" t="n">
        <x:f>'Option source'!C620</x:f>
        <x:v>7936556</x:v>
      </x:c>
      <x:c r="O902" s="11" t="n">
        <x:f>'Option source'!G620</x:f>
        <x:v>48.67</x:v>
      </x:c>
      <x:c r="P902" s="11" t="n">
        <x:f>'Option source'!F620</x:f>
        <x:v>70</x:v>
      </x:c>
      <x:c r="Q902" s="1" t="str">
        <x:v>Screen passed; indicative</x:v>
      </x:c>
      <x:c r="R902" s="1" t="n">
        <x:v>615</x:v>
      </x:c>
    </x:row>
    <x:row r="903" ht="21" customHeight="1">
      <x:c r="A903" s="12" t="n">
        <x:v>46255</x:v>
      </x:c>
      <x:c r="B903" s="1" t="str">
        <x:v>GFGC7800OC</x:v>
      </x:c>
      <x:c r="C903" s="1" t="str">
        <x:v>call</x:v>
      </x:c>
      <x:c r="D903" s="11" t="n">
        <x:v>7800</x:v>
      </x:c>
      <x:c r="E903" s="11" t="n">
        <x:f>'Option source'!B335</x:f>
        <x:v>175.19</x:v>
      </x:c>
      <x:c r="F903" s="11" t="n">
        <x:v>6620</x:v>
      </x:c>
      <x:c r="G903" s="18" t="n">
        <x:v>56</x:v>
      </x:c>
      <x:c r="H903" s="11" t="n">
        <x:f>MAX(IF(C903="call",F903-D903,D903-F903),0)</x:f>
        <x:v>0</x:v>
      </x:c>
      <x:c r="I903" s="11" t="n">
        <x:f>E903-H903</x:f>
        <x:v>175.19</x:v>
      </x:c>
      <x:c r="J903" s="13" t="n">
        <x:f>D903/F903</x:f>
        <x:v>1.1782477341389728</x:v>
      </x:c>
      <x:c r="K903" s="13" t="n">
        <x:v>0.4378061766184886</x:v>
      </x:c>
      <x:c r="L903" s="17" t="n">
        <x:v>0.2734659213739128</x:v>
      </x:c>
      <x:c r="M903" s="17" t="n">
        <x:v>8.628303303853322</x:v>
      </x:c>
      <x:c r="N903" s="11" t="n">
        <x:f>'Option source'!C335</x:f>
        <x:v>75230696</x:v>
      </x:c>
      <x:c r="O903" s="11" t="n">
        <x:f>'Option source'!G335</x:f>
        <x:v>172.01</x:v>
      </x:c>
      <x:c r="P903" s="11" t="n">
        <x:f>'Option source'!F335</x:f>
        <x:v>215</x:v>
      </x:c>
      <x:c r="Q903" s="1" t="str">
        <x:v>Screen passed; indicative</x:v>
      </x:c>
      <x:c r="R903" s="1" t="n">
        <x:v>330</x:v>
      </x:c>
    </x:row>
    <x:row r="904" ht="21" customHeight="1">
      <x:c r="A904" s="12" t="n">
        <x:v>46255</x:v>
      </x:c>
      <x:c r="B904" s="1" t="str">
        <x:v>GFGV7800OC</x:v>
      </x:c>
      <x:c r="C904" s="1" t="str">
        <x:v>put</x:v>
      </x:c>
      <x:c r="D904" s="11" t="n">
        <x:v>7800</x:v>
      </x:c>
      <x:c r="E904" s="11" t="n">
        <x:f>'Option source'!B829</x:f>
        <x:v>1150</x:v>
      </x:c>
      <x:c r="F904" s="11" t="n">
        <x:v>6620</x:v>
      </x:c>
      <x:c r="G904" s="18" t="n">
        <x:v>56</x:v>
      </x:c>
      <x:c r="H904" s="11" t="n">
        <x:f>MAX(IF(C904="call",F904-D904,D904-F904),0)</x:f>
        <x:v>1180</x:v>
      </x:c>
      <x:c r="I904" s="11" t="n">
        <x:f>E904-H904</x:f>
        <x:v>-30</x:v>
      </x:c>
      <x:c r="J904" s="13" t="n">
        <x:f>D904/F904</x:f>
        <x:v>1.1782477341389728</x:v>
      </x:c>
      <x:c r="K904" s="13"/>
      <x:c r="L904" s="17"/>
      <x:c r="M904" s="17"/>
      <x:c r="N904" s="11" t="n">
        <x:f>'Option source'!C829</x:f>
        <x:v>230000</x:v>
      </x:c>
      <x:c r="O904" s="11" t="n">
        <x:f>'Option source'!G829</x:f>
        <x:v>1150</x:v>
      </x:c>
      <x:c r="P904" s="11" t="n">
        <x:f>'Option source'!F829</x:f>
        <x:v>1150</x:v>
      </x:c>
      <x:c r="Q904" s="1" t="str">
        <x:v>Below intrinsic value</x:v>
      </x:c>
      <x:c r="R904" s="1" t="n">
        <x:v>824</x:v>
      </x:c>
    </x:row>
    <x:row r="905" ht="21" customHeight="1">
      <x:c r="A905" s="12" t="n">
        <x:v>46255</x:v>
      </x:c>
      <x:c r="B905" s="1" t="str">
        <x:v>GFGC5400OC</x:v>
      </x:c>
      <x:c r="C905" s="1" t="str">
        <x:v>call</x:v>
      </x:c>
      <x:c r="D905" s="11" t="n">
        <x:v>5400</x:v>
      </x:c>
      <x:c r="E905" s="11" t="n">
        <x:f>'Option source'!B117</x:f>
        <x:v>1534</x:v>
      </x:c>
      <x:c r="F905" s="11" t="n">
        <x:v>6620</x:v>
      </x:c>
      <x:c r="G905" s="18" t="n">
        <x:v>56</x:v>
      </x:c>
      <x:c r="H905" s="11" t="n">
        <x:f>MAX(IF(C905="call",F905-D905,D905-F905),0)</x:f>
        <x:v>1220</x:v>
      </x:c>
      <x:c r="I905" s="11" t="n">
        <x:f>E905-H905</x:f>
        <x:v>314</x:v>
      </x:c>
      <x:c r="J905" s="13" t="n">
        <x:f>D905/F905</x:f>
        <x:v>0.8157099697885196</x:v>
      </x:c>
      <x:c r="K905" s="13"/>
      <x:c r="L905" s="17"/>
      <x:c r="M905" s="17"/>
      <x:c r="N905" s="11" t="n">
        <x:f>'Option source'!C117</x:f>
        <x:v>153400</x:v>
      </x:c>
      <x:c r="O905" s="11" t="n">
        <x:f>'Option source'!G117</x:f>
        <x:v>0</x:v>
      </x:c>
      <x:c r="P905" s="11" t="n">
        <x:f>'Option source'!F117</x:f>
        <x:v>0</x:v>
      </x:c>
      <x:c r="Q905" s="1" t="str">
        <x:v>Price outside daily range</x:v>
      </x:c>
      <x:c r="R905" s="1" t="n">
        <x:v>112</x:v>
      </x:c>
    </x:row>
    <x:row r="906" ht="21" customHeight="1">
      <x:c r="A906" s="12" t="n">
        <x:v>46255</x:v>
      </x:c>
      <x:c r="B906" s="1" t="str">
        <x:v>GFGV5400OC</x:v>
      </x:c>
      <x:c r="C906" s="1" t="str">
        <x:v>put</x:v>
      </x:c>
      <x:c r="D906" s="11" t="n">
        <x:v>5400</x:v>
      </x:c>
      <x:c r="E906" s="11" t="n">
        <x:f>'Option source'!B601</x:f>
        <x:v>39.81</x:v>
      </x:c>
      <x:c r="F906" s="11" t="n">
        <x:v>6620</x:v>
      </x:c>
      <x:c r="G906" s="18" t="n">
        <x:v>56</x:v>
      </x:c>
      <x:c r="H906" s="11" t="n">
        <x:f>MAX(IF(C906="call",F906-D906,D906-F906),0)</x:f>
        <x:v>0</x:v>
      </x:c>
      <x:c r="I906" s="11" t="n">
        <x:f>E906-H906</x:f>
        <x:v>39.81</x:v>
      </x:c>
      <x:c r="J906" s="13" t="n">
        <x:f>D906/F906</x:f>
        <x:v>0.8157099697885196</x:v>
      </x:c>
      <x:c r="K906" s="13" t="n">
        <x:v>0.45472651722534524</x:v>
      </x:c>
      <x:c r="L906" s="17" t="n">
        <x:v>-0.0679673030268706</x:v>
      </x:c>
      <x:c r="M906" s="17" t="n">
        <x:v>3.4034032232937226</x:v>
      </x:c>
      <x:c r="N906" s="11" t="n">
        <x:f>'Option source'!C601</x:f>
        <x:v>1855666.25</x:v>
      </x:c>
      <x:c r="O906" s="11" t="n">
        <x:f>'Option source'!G601</x:f>
        <x:v>28</x:v>
      </x:c>
      <x:c r="P906" s="11" t="n">
        <x:f>'Option source'!F601</x:f>
        <x:v>60</x:v>
      </x:c>
      <x:c r="Q906" s="1" t="str">
        <x:v>Screen passed; indicative</x:v>
      </x:c>
      <x:c r="R906" s="1" t="n">
        <x:v>596</x:v>
      </x:c>
    </x:row>
    <x:row r="907" ht="21" customHeight="1">
      <x:c r="A907" s="12" t="n">
        <x:v>46255</x:v>
      </x:c>
      <x:c r="B907" s="1" t="str">
        <x:v>GFGC8000OC</x:v>
      </x:c>
      <x:c r="C907" s="1" t="str">
        <x:v>call</x:v>
      </x:c>
      <x:c r="D907" s="11" t="n">
        <x:v>8000</x:v>
      </x:c>
      <x:c r="E907" s="11" t="n">
        <x:f>'Option source'!B354</x:f>
        <x:v>145.19</x:v>
      </x:c>
      <x:c r="F907" s="11" t="n">
        <x:v>6620</x:v>
      </x:c>
      <x:c r="G907" s="18" t="n">
        <x:v>56</x:v>
      </x:c>
      <x:c r="H907" s="11" t="n">
        <x:f>MAX(IF(C907="call",F907-D907,D907-F907),0)</x:f>
        <x:v>0</x:v>
      </x:c>
      <x:c r="I907" s="11" t="n">
        <x:f>E907-H907</x:f>
        <x:v>145.19</x:v>
      </x:c>
      <x:c r="J907" s="13" t="n">
        <x:f>D907/F907</x:f>
        <x:v>1.2084592145015105</x:v>
      </x:c>
      <x:c r="K907" s="13" t="n">
        <x:v>0.4478482214376382</x:v>
      </x:c>
      <x:c r="L907" s="17" t="n">
        <x:v>0.23291061020356488</x:v>
      </x:c>
      <x:c r="M907" s="17" t="n">
        <x:v>7.929052045532895</x:v>
      </x:c>
      <x:c r="N907" s="11" t="n">
        <x:f>'Option source'!C354</x:f>
        <x:v>68540312</x:v>
      </x:c>
      <x:c r="O907" s="11" t="n">
        <x:f>'Option source'!G354</x:f>
        <x:v>134.6</x:v>
      </x:c>
      <x:c r="P907" s="11" t="n">
        <x:f>'Option source'!F354</x:f>
        <x:v>190</x:v>
      </x:c>
      <x:c r="Q907" s="1" t="str">
        <x:v>Screen passed; indicative</x:v>
      </x:c>
      <x:c r="R907" s="1" t="n">
        <x:v>349</x:v>
      </x:c>
    </x:row>
    <x:row r="908" ht="21" customHeight="1">
      <x:c r="A908" s="12" t="n">
        <x:v>46255</x:v>
      </x:c>
      <x:c r="B908" s="1" t="str">
        <x:v>GFGV8000OC</x:v>
      </x:c>
      <x:c r="C908" s="1" t="str">
        <x:v>put</x:v>
      </x:c>
      <x:c r="D908" s="11" t="n">
        <x:v>8000</x:v>
      </x:c>
      <x:c r="E908" s="11" t="n">
        <x:f>'Option source'!B848</x:f>
        <x:v>1337.5</x:v>
      </x:c>
      <x:c r="F908" s="11" t="n">
        <x:v>6620</x:v>
      </x:c>
      <x:c r="G908" s="18" t="n">
        <x:v>56</x:v>
      </x:c>
      <x:c r="H908" s="11" t="n">
        <x:f>MAX(IF(C908="call",F908-D908,D908-F908),0)</x:f>
        <x:v>1380</x:v>
      </x:c>
      <x:c r="I908" s="11" t="n">
        <x:f>E908-H908</x:f>
        <x:v>-42.5</x:v>
      </x:c>
      <x:c r="J908" s="13" t="n">
        <x:f>D908/F908</x:f>
        <x:v>1.2084592145015105</x:v>
      </x:c>
      <x:c r="K908" s="13"/>
      <x:c r="L908" s="17"/>
      <x:c r="M908" s="17"/>
      <x:c r="N908" s="11" t="n">
        <x:f>'Option source'!C848</x:f>
        <x:v>1426500</x:v>
      </x:c>
      <x:c r="O908" s="11" t="n">
        <x:f>'Option source'!G848</x:f>
        <x:v>1325</x:v>
      </x:c>
      <x:c r="P908" s="11" t="n">
        <x:f>'Option source'!F848</x:f>
        <x:v>1490</x:v>
      </x:c>
      <x:c r="Q908" s="1" t="str">
        <x:v>Below intrinsic value</x:v>
      </x:c>
      <x:c r="R908" s="1" t="n">
        <x:v>843</x:v>
      </x:c>
    </x:row>
    <x:row r="909" ht="21" customHeight="1">
      <x:c r="A909" s="12" t="n">
        <x:v>46255</x:v>
      </x:c>
      <x:c r="B909" s="1" t="str">
        <x:v>GFGC5200OC</x:v>
      </x:c>
      <x:c r="C909" s="1" t="str">
        <x:v>call</x:v>
      </x:c>
      <x:c r="D909" s="11" t="n">
        <x:v>5200</x:v>
      </x:c>
      <x:c r="E909" s="11" t="n">
        <x:f>'Option source'!B98</x:f>
        <x:v>1712</x:v>
      </x:c>
      <x:c r="F909" s="11" t="n">
        <x:v>6620</x:v>
      </x:c>
      <x:c r="G909" s="18" t="n">
        <x:v>56</x:v>
      </x:c>
      <x:c r="H909" s="11" t="n">
        <x:f>MAX(IF(C909="call",F909-D909,D909-F909),0)</x:f>
        <x:v>1420</x:v>
      </x:c>
      <x:c r="I909" s="11" t="n">
        <x:f>E909-H909</x:f>
        <x:v>292</x:v>
      </x:c>
      <x:c r="J909" s="13" t="n">
        <x:f>D909/F909</x:f>
        <x:v>0.7854984894259819</x:v>
      </x:c>
      <x:c r="K909" s="13"/>
      <x:c r="L909" s="17"/>
      <x:c r="M909" s="17"/>
      <x:c r="N909" s="11" t="n">
        <x:f>'Option source'!C98</x:f>
        <x:v>331200</x:v>
      </x:c>
      <x:c r="O909" s="11" t="n">
        <x:f>'Option source'!G98</x:f>
        <x:v>1600</x:v>
      </x:c>
      <x:c r="P909" s="11" t="n">
        <x:f>'Option source'!F98</x:f>
        <x:v>1600</x:v>
      </x:c>
      <x:c r="Q909" s="1" t="str">
        <x:v>Price outside daily range</x:v>
      </x:c>
      <x:c r="R909" s="1" t="n">
        <x:v>93</x:v>
      </x:c>
    </x:row>
    <x:row r="910" ht="21" customHeight="1">
      <x:c r="A910" s="12" t="n">
        <x:v>46255</x:v>
      </x:c>
      <x:c r="B910" s="1" t="str">
        <x:v>GFGV5200OC</x:v>
      </x:c>
      <x:c r="C910" s="1" t="str">
        <x:v>put</x:v>
      </x:c>
      <x:c r="D910" s="11" t="n">
        <x:v>5200</x:v>
      </x:c>
      <x:c r="E910" s="11" t="n">
        <x:f>'Option source'!B582</x:f>
        <x:v>27.41</x:v>
      </x:c>
      <x:c r="F910" s="11" t="n">
        <x:v>6620</x:v>
      </x:c>
      <x:c r="G910" s="18" t="n">
        <x:v>56</x:v>
      </x:c>
      <x:c r="H910" s="11" t="n">
        <x:f>MAX(IF(C910="call",F910-D910,D910-F910),0)</x:f>
        <x:v>0</x:v>
      </x:c>
      <x:c r="I910" s="11" t="n">
        <x:f>E910-H910</x:f>
        <x:v>27.41</x:v>
      </x:c>
      <x:c r="J910" s="13" t="n">
        <x:f>D910/F910</x:f>
        <x:v>0.7854984894259819</x:v>
      </x:c>
      <x:c r="K910" s="13" t="n">
        <x:v>0.46753451685144826</x:v>
      </x:c>
      <x:c r="L910" s="17" t="n">
        <x:v>-0.04832799117734954</x:v>
      </x:c>
      <x:c r="M910" s="17" t="n">
        <x:v>2.6026579114489055</x:v>
      </x:c>
      <x:c r="N910" s="11" t="n">
        <x:f>'Option source'!C582</x:f>
        <x:v>2175175.75</x:v>
      </x:c>
      <x:c r="O910" s="11" t="n">
        <x:f>'Option source'!G582</x:f>
        <x:v>20</x:v>
      </x:c>
      <x:c r="P910" s="11" t="n">
        <x:f>'Option source'!F582</x:f>
        <x:v>30</x:v>
      </x:c>
      <x:c r="Q910" s="1" t="str">
        <x:v>Screen passed; indicative</x:v>
      </x:c>
      <x:c r="R910" s="1" t="n">
        <x:v>577</x:v>
      </x:c>
    </x:row>
    <x:row r="911" ht="21" customHeight="1">
      <x:c r="A911" s="12" t="n">
        <x:v>46255</x:v>
      </x:c>
      <x:c r="B911" s="1" t="str">
        <x:v>GFGV5000OC</x:v>
      </x:c>
      <x:c r="C911" s="1" t="str">
        <x:v>put</x:v>
      </x:c>
      <x:c r="D911" s="11" t="n">
        <x:v>5000</x:v>
      </x:c>
      <x:c r="E911" s="11" t="n">
        <x:f>'Option source'!B563</x:f>
        <x:v>17.89</x:v>
      </x:c>
      <x:c r="F911" s="11" t="n">
        <x:v>6620</x:v>
      </x:c>
      <x:c r="G911" s="18" t="n">
        <x:v>56</x:v>
      </x:c>
      <x:c r="H911" s="11" t="n">
        <x:f>MAX(IF(C911="call",F911-D911,D911-F911),0)</x:f>
        <x:v>0</x:v>
      </x:c>
      <x:c r="I911" s="11" t="n">
        <x:f>E911-H911</x:f>
        <x:v>17.89</x:v>
      </x:c>
      <x:c r="J911" s="13" t="n">
        <x:f>D911/F911</x:f>
        <x:v>0.7552870090634441</x:v>
      </x:c>
      <x:c r="K911" s="13" t="n">
        <x:v>0.4775711875807102</x:v>
      </x:c>
      <x:c r="L911" s="17" t="n">
        <x:v>-0.03288930621193353</x:v>
      </x:c>
      <x:c r="M911" s="17" t="n">
        <x:v>1.9036995365658707</x:v>
      </x:c>
      <x:c r="N911" s="11" t="n">
        <x:f>'Option source'!C563</x:f>
        <x:v>680300</x:v>
      </x:c>
      <x:c r="O911" s="11" t="n">
        <x:f>'Option source'!G563</x:f>
        <x:v>13</x:v>
      </x:c>
      <x:c r="P911" s="11" t="n">
        <x:f>'Option source'!F563</x:f>
        <x:v>19</x:v>
      </x:c>
      <x:c r="Q911" s="1" t="str">
        <x:v>Screen passed; indicative</x:v>
      </x:c>
      <x:c r="R911" s="1" t="n">
        <x:v>558</x:v>
      </x:c>
    </x:row>
    <x:row r="912" ht="21" customHeight="1">
      <x:c r="A912" s="12" t="n">
        <x:v>46255</x:v>
      </x:c>
      <x:c r="B912" s="1" t="str">
        <x:v>GFGC8300OC</x:v>
      </x:c>
      <x:c r="C912" s="1" t="str">
        <x:v>call</x:v>
      </x:c>
      <x:c r="D912" s="11" t="n">
        <x:v>8300</x:v>
      </x:c>
      <x:c r="E912" s="11" t="n">
        <x:f>'Option source'!B373</x:f>
        <x:v>100.86</x:v>
      </x:c>
      <x:c r="F912" s="11" t="n">
        <x:v>6620</x:v>
      </x:c>
      <x:c r="G912" s="18" t="n">
        <x:v>56</x:v>
      </x:c>
      <x:c r="H912" s="11" t="n">
        <x:f>MAX(IF(C912="call",F912-D912,D912-F912),0)</x:f>
        <x:v>0</x:v>
      </x:c>
      <x:c r="I912" s="11" t="n">
        <x:f>E912-H912</x:f>
        <x:v>100.86</x:v>
      </x:c>
      <x:c r="J912" s="13" t="n">
        <x:f>D912/F912</x:f>
        <x:v>1.2537764350453173</x:v>
      </x:c>
      <x:c r="K912" s="13" t="n">
        <x:v>0.44866310268335935</x:v>
      </x:c>
      <x:c r="L912" s="17" t="n">
        <x:v>0.17434517708826774</x:v>
      </x:c>
      <x:c r="M912" s="17" t="n">
        <x:v>6.668269248560005</x:v>
      </x:c>
      <x:c r="N912" s="11" t="n">
        <x:f>'Option source'!C373</x:f>
        <x:v>30151970</x:v>
      </x:c>
      <x:c r="O912" s="11" t="n">
        <x:f>'Option source'!G373</x:f>
        <x:v>70</x:v>
      </x:c>
      <x:c r="P912" s="11" t="n">
        <x:f>'Option source'!F373</x:f>
        <x:v>117.3</x:v>
      </x:c>
      <x:c r="Q912" s="1" t="str">
        <x:v>Screen passed; indicative</x:v>
      </x:c>
      <x:c r="R912" s="1" t="n">
        <x:v>368</x:v>
      </x:c>
    </x:row>
    <x:row r="913" ht="21" customHeight="1">
      <x:c r="A913" s="12" t="n">
        <x:v>46255</x:v>
      </x:c>
      <x:c r="B913" s="1" t="str">
        <x:v>GFGV8300OC</x:v>
      </x:c>
      <x:c r="C913" s="1" t="str">
        <x:v>put</x:v>
      </x:c>
      <x:c r="D913" s="11" t="n">
        <x:v>8300</x:v>
      </x:c>
      <x:c r="E913" s="11" t="n">
        <x:f>'Option source'!B867</x:f>
        <x:v>1580</x:v>
      </x:c>
      <x:c r="F913" s="11" t="n">
        <x:v>6620</x:v>
      </x:c>
      <x:c r="G913" s="18" t="n">
        <x:v>56</x:v>
      </x:c>
      <x:c r="H913" s="11" t="n">
        <x:f>MAX(IF(C913="call",F913-D913,D913-F913),0)</x:f>
        <x:v>1680</x:v>
      </x:c>
      <x:c r="I913" s="11" t="n">
        <x:f>E913-H913</x:f>
        <x:v>-100</x:v>
      </x:c>
      <x:c r="J913" s="13" t="n">
        <x:f>D913/F913</x:f>
        <x:v>1.2537764350453173</x:v>
      </x:c>
      <x:c r="K913" s="13"/>
      <x:c r="L913" s="17"/>
      <x:c r="M913" s="17"/>
      <x:c r="N913" s="11" t="n">
        <x:f>'Option source'!C867</x:f>
        <x:v>474000</x:v>
      </x:c>
      <x:c r="O913" s="11" t="n">
        <x:f>'Option source'!G867</x:f>
        <x:v>1580</x:v>
      </x:c>
      <x:c r="P913" s="11" t="n">
        <x:f>'Option source'!F867</x:f>
        <x:v>1580</x:v>
      </x:c>
      <x:c r="Q913" s="1" t="str">
        <x:v>Below intrinsic value</x:v>
      </x:c>
      <x:c r="R913" s="1" t="n">
        <x:v>862</x:v>
      </x:c>
    </x:row>
    <x:row r="914" ht="21" customHeight="1">
      <x:c r="A914" s="12" t="n">
        <x:v>46255</x:v>
      </x:c>
      <x:c r="B914" s="1" t="str">
        <x:v>GFGV4800OC</x:v>
      </x:c>
      <x:c r="C914" s="1" t="str">
        <x:v>put</x:v>
      </x:c>
      <x:c r="D914" s="11" t="n">
        <x:v>4800</x:v>
      </x:c>
      <x:c r="E914" s="11" t="n">
        <x:f>'Option source'!B544</x:f>
        <x:v>7.23</x:v>
      </x:c>
      <x:c r="F914" s="11" t="n">
        <x:v>6620</x:v>
      </x:c>
      <x:c r="G914" s="18" t="n">
        <x:v>56</x:v>
      </x:c>
      <x:c r="H914" s="11" t="n">
        <x:f>MAX(IF(C914="call",F914-D914,D914-F914),0)</x:f>
        <x:v>0</x:v>
      </x:c>
      <x:c r="I914" s="11" t="n">
        <x:f>E914-H914</x:f>
        <x:v>7.23</x:v>
      </x:c>
      <x:c r="J914" s="13" t="n">
        <x:f>D914/F914</x:f>
        <x:v>0.7250755287009063</x:v>
      </x:c>
      <x:c r="K914" s="13" t="n">
        <x:v>0.45437310108222934</x:v>
      </x:c>
      <x:c r="L914" s="17" t="n">
        <x:v>-0.015623328512885504</x:v>
      </x:c>
      <x:c r="M914" s="17" t="n">
        <x:v>1.016930934593087</x:v>
      </x:c>
      <x:c r="N914" s="11" t="n">
        <x:f>'Option source'!C544</x:f>
        <x:v>375929.09</x:v>
      </x:c>
      <x:c r="O914" s="11" t="n">
        <x:f>'Option source'!G544</x:f>
        <x:v>6.3</x:v>
      </x:c>
      <x:c r="P914" s="11" t="n">
        <x:f>'Option source'!F544</x:f>
        <x:v>15</x:v>
      </x:c>
      <x:c r="Q914" s="1" t="str">
        <x:v>Screen passed; indicative</x:v>
      </x:c>
      <x:c r="R914" s="1" t="n">
        <x:v>539</x:v>
      </x:c>
    </x:row>
    <x:row r="915" ht="21" customHeight="1">
      <x:c r="A915" s="12" t="n">
        <x:v>46255</x:v>
      </x:c>
      <x:c r="B915" s="1" t="str">
        <x:v>GFGC8600OC</x:v>
      </x:c>
      <x:c r="C915" s="1" t="str">
        <x:v>call</x:v>
      </x:c>
      <x:c r="D915" s="11" t="n">
        <x:v>8600</x:v>
      </x:c>
      <x:c r="E915" s="11" t="n">
        <x:f>'Option source'!B392</x:f>
        <x:v>72.05</x:v>
      </x:c>
      <x:c r="F915" s="11" t="n">
        <x:v>6620</x:v>
      </x:c>
      <x:c r="G915" s="18" t="n">
        <x:v>56</x:v>
      </x:c>
      <x:c r="H915" s="11" t="n">
        <x:f>MAX(IF(C915="call",F915-D915,D915-F915),0)</x:f>
        <x:v>0</x:v>
      </x:c>
      <x:c r="I915" s="11" t="n">
        <x:f>E915-H915</x:f>
        <x:v>72.05</x:v>
      </x:c>
      <x:c r="J915" s="13" t="n">
        <x:f>D915/F915</x:f>
        <x:v>1.299093655589124</x:v>
      </x:c>
      <x:c r="K915" s="13" t="n">
        <x:v>0.45501743400474975</x:v>
      </x:c>
      <x:c r="L915" s="17" t="n">
        <x:v>0.13118763463667615</x:v>
      </x:c>
      <x:c r="M915" s="17" t="n">
        <x:v>5.52000486234231</x:v>
      </x:c>
      <x:c r="N915" s="11" t="n">
        <x:f>'Option source'!C392</x:f>
        <x:v>38997476</x:v>
      </x:c>
      <x:c r="O915" s="11" t="n">
        <x:f>'Option source'!G392</x:f>
        <x:v>69</x:v>
      </x:c>
      <x:c r="P915" s="11" t="n">
        <x:f>'Option source'!F392</x:f>
        <x:v>87</x:v>
      </x:c>
      <x:c r="Q915" s="1" t="str">
        <x:v>Screen passed; indicative</x:v>
      </x:c>
      <x:c r="R915" s="1" t="n">
        <x:v>387</x:v>
      </x:c>
    </x:row>
    <x:row r="916" ht="21" customHeight="1">
      <x:c r="A916" s="12" t="n">
        <x:v>46255</x:v>
      </x:c>
      <x:c r="B916" s="1" t="str">
        <x:v>GFGV8600OC</x:v>
      </x:c>
      <x:c r="C916" s="1" t="str">
        <x:v>put</x:v>
      </x:c>
      <x:c r="D916" s="11" t="n">
        <x:v>8600</x:v>
      </x:c>
      <x:c r="E916" s="11" t="n">
        <x:f>'Option source'!B886</x:f>
        <x:v>1173.55</x:v>
      </x:c>
      <x:c r="F916" s="11" t="n">
        <x:v>6620</x:v>
      </x:c>
      <x:c r="G916" s="18" t="n">
        <x:v>56</x:v>
      </x:c>
      <x:c r="H916" s="11" t="n">
        <x:f>MAX(IF(C916="call",F916-D916,D916-F916),0)</x:f>
        <x:v>1980</x:v>
      </x:c>
      <x:c r="I916" s="11" t="n">
        <x:f>E916-H916</x:f>
        <x:v>-806.45</x:v>
      </x:c>
      <x:c r="J916" s="13" t="n">
        <x:f>D916/F916</x:f>
        <x:v>1.299093655589124</x:v>
      </x:c>
      <x:c r="K916" s="13"/>
      <x:c r="L916" s="17"/>
      <x:c r="M916" s="17"/>
      <x:c r="N916" s="11" t="n">
        <x:f>'Option source'!C886</x:f>
        <x:v>0</x:v>
      </x:c>
      <x:c r="O916" s="11" t="n">
        <x:f>'Option source'!G886</x:f>
        <x:v>1060</x:v>
      </x:c>
      <x:c r="P916" s="11" t="n">
        <x:f>'Option source'!F886</x:f>
        <x:v>1343.98</x:v>
      </x:c>
      <x:c r="Q916" s="1" t="str">
        <x:v>Zero reported volume; Below intrinsic value</x:v>
      </x:c>
      <x:c r="R916" s="1" t="n">
        <x:v>881</x:v>
      </x:c>
    </x:row>
    <x:row r="917" ht="21" customHeight="1">
      <x:c r="A917" s="12" t="n">
        <x:v>46255</x:v>
      </x:c>
      <x:c r="B917" s="1" t="str">
        <x:v>GFGC4600OC</x:v>
      </x:c>
      <x:c r="C917" s="1" t="str">
        <x:v>call</x:v>
      </x:c>
      <x:c r="D917" s="11" t="n">
        <x:v>4600</x:v>
      </x:c>
      <x:c r="E917" s="11" t="n">
        <x:f>'Option source'!B45</x:f>
        <x:v>2191.92</x:v>
      </x:c>
      <x:c r="F917" s="11" t="n">
        <x:v>6620</x:v>
      </x:c>
      <x:c r="G917" s="18" t="n">
        <x:v>56</x:v>
      </x:c>
      <x:c r="H917" s="11" t="n">
        <x:f>MAX(IF(C917="call",F917-D917,D917-F917),0)</x:f>
        <x:v>2020</x:v>
      </x:c>
      <x:c r="I917" s="11" t="n">
        <x:f>E917-H917</x:f>
        <x:v>171.92000000000007</x:v>
      </x:c>
      <x:c r="J917" s="13" t="n">
        <x:f>D917/F917</x:f>
        <x:v>0.6948640483383686</x:v>
      </x:c>
      <x:c r="K917" s="13"/>
      <x:c r="L917" s="17"/>
      <x:c r="M917" s="17"/>
      <x:c r="N917" s="11" t="n">
        <x:f>'Option source'!C45</x:f>
        <x:v>878768</x:v>
      </x:c>
      <x:c r="O917" s="11" t="n">
        <x:f>'Option source'!G45</x:f>
        <x:v>2196.92</x:v>
      </x:c>
      <x:c r="P917" s="11" t="n">
        <x:f>'Option source'!F45</x:f>
        <x:v>2196.92</x:v>
      </x:c>
      <x:c r="Q917" s="1" t="str">
        <x:v>Price outside daily range</x:v>
      </x:c>
      <x:c r="R917" s="1" t="n">
        <x:v>40</x:v>
      </x:c>
    </x:row>
    <x:row r="918" ht="21" customHeight="1">
      <x:c r="A918" s="12" t="n">
        <x:v>46255</x:v>
      </x:c>
      <x:c r="B918" s="1" t="str">
        <x:v>GFGV4600OC</x:v>
      </x:c>
      <x:c r="C918" s="1" t="str">
        <x:v>put</x:v>
      </x:c>
      <x:c r="D918" s="11" t="n">
        <x:v>4600</x:v>
      </x:c>
      <x:c r="E918" s="11" t="n">
        <x:f>'Option source'!B525</x:f>
        <x:v>0</x:v>
      </x:c>
      <x:c r="F918" s="11" t="n">
        <x:v>6620</x:v>
      </x:c>
      <x:c r="G918" s="18" t="n">
        <x:v>56</x:v>
      </x:c>
      <x:c r="H918" s="11" t="n">
        <x:f>MAX(IF(C918="call",F918-D918,D918-F918),0)</x:f>
        <x:v>0</x:v>
      </x:c>
      <x:c r="I918" s="11" t="n">
        <x:f>E918-H918</x:f>
        <x:v>0</x:v>
      </x:c>
      <x:c r="J918" s="13" t="n">
        <x:f>D918/F918</x:f>
        <x:v>0.6948640483383686</x:v>
      </x:c>
      <x:c r="K918" s="13"/>
      <x:c r="L918" s="17"/>
      <x:c r="M918" s="17"/>
      <x:c r="N918" s="11" t="n">
        <x:f>'Option source'!C525</x:f>
        <x:v>5777.5</x:v>
      </x:c>
      <x:c r="O918" s="11" t="n">
        <x:f>'Option source'!G525</x:f>
        <x:v>0</x:v>
      </x:c>
      <x:c r="P918" s="11" t="n">
        <x:f>'Option source'!F525</x:f>
        <x:v>16</x:v>
      </x:c>
      <x:c r="Q918" s="1" t="str">
        <x:v>No stable model IV</x:v>
      </x:c>
      <x:c r="R918" s="1" t="n">
        <x:v>520</x:v>
      </x:c>
    </x:row>
    <x:row r="919" ht="21" customHeight="1">
      <x:c r="A919" s="12" t="n">
        <x:v>46255</x:v>
      </x:c>
      <x:c r="B919" s="1" t="str">
        <x:v>GFGC4400OC</x:v>
      </x:c>
      <x:c r="C919" s="1" t="str">
        <x:v>call</x:v>
      </x:c>
      <x:c r="D919" s="11" t="n">
        <x:v>4400</x:v>
      </x:c>
      <x:c r="E919" s="11" t="n">
        <x:f>'Option source'!B26</x:f>
        <x:v>2387.12</x:v>
      </x:c>
      <x:c r="F919" s="11" t="n">
        <x:v>6620</x:v>
      </x:c>
      <x:c r="G919" s="18" t="n">
        <x:v>56</x:v>
      </x:c>
      <x:c r="H919" s="11" t="n">
        <x:f>MAX(IF(C919="call",F919-D919,D919-F919),0)</x:f>
        <x:v>2220</x:v>
      </x:c>
      <x:c r="I919" s="11" t="n">
        <x:f>E919-H919</x:f>
        <x:v>167.1199999999999</x:v>
      </x:c>
      <x:c r="J919" s="13" t="n">
        <x:f>D919/F919</x:f>
        <x:v>0.6646525679758308</x:v>
      </x:c>
      <x:c r="K919" s="13"/>
      <x:c r="L919" s="17"/>
      <x:c r="M919" s="17"/>
      <x:c r="N919" s="11" t="n">
        <x:f>'Option source'!C26</x:f>
        <x:v>2843784</x:v>
      </x:c>
      <x:c r="O919" s="11" t="n">
        <x:f>'Option source'!G26</x:f>
        <x:v>2366.48</x:v>
      </x:c>
      <x:c r="P919" s="11" t="n">
        <x:f>'Option source'!F26</x:f>
        <x:v>2376.5</x:v>
      </x:c>
      <x:c r="Q919" s="1" t="str">
        <x:v>Price outside daily range</x:v>
      </x:c>
      <x:c r="R919" s="1" t="n">
        <x:v>21</x:v>
      </x:c>
    </x:row>
    <x:row r="920" ht="21" customHeight="1">
      <x:c r="A920" s="12" t="n">
        <x:v>46255</x:v>
      </x:c>
      <x:c r="B920" s="1" t="str">
        <x:v>GFGV4400OC</x:v>
      </x:c>
      <x:c r="C920" s="1" t="str">
        <x:v>put</x:v>
      </x:c>
      <x:c r="D920" s="11" t="n">
        <x:v>4400</x:v>
      </x:c>
      <x:c r="E920" s="11" t="n">
        <x:f>'Option source'!B506</x:f>
        <x:v>10</x:v>
      </x:c>
      <x:c r="F920" s="11" t="n">
        <x:v>6620</x:v>
      </x:c>
      <x:c r="G920" s="18" t="n">
        <x:v>56</x:v>
      </x:c>
      <x:c r="H920" s="11" t="n">
        <x:f>MAX(IF(C920="call",F920-D920,D920-F920),0)</x:f>
        <x:v>0</x:v>
      </x:c>
      <x:c r="I920" s="11" t="n">
        <x:f>E920-H920</x:f>
        <x:v>10</x:v>
      </x:c>
      <x:c r="J920" s="13" t="n">
        <x:f>D920/F920</x:f>
        <x:v>0.6646525679758308</x:v>
      </x:c>
      <x:c r="K920" s="13" t="n">
        <x:v>0.5766420604758613</x:v>
      </x:c>
      <x:c r="L920" s="17" t="n">
        <x:v>-0.016782651082814626</x:v>
      </x:c>
      <x:c r="M920" s="17" t="n">
        <x:v>1.0812455917011492</x:v>
      </x:c>
      <x:c r="N920" s="11" t="n">
        <x:f>'Option source'!C506</x:f>
        <x:v>1000</x:v>
      </x:c>
      <x:c r="O920" s="11" t="n">
        <x:f>'Option source'!G506</x:f>
        <x:v>10</x:v>
      </x:c>
      <x:c r="P920" s="11" t="n">
        <x:f>'Option source'!F506</x:f>
        <x:v>10</x:v>
      </x:c>
      <x:c r="Q920" s="1" t="str">
        <x:v>Screen passed; indicative</x:v>
      </x:c>
      <x:c r="R920" s="1" t="n">
        <x:v>501</x:v>
      </x:c>
    </x:row>
    <x:row r="921" ht="21" customHeight="1">
      <x:c r="A921" s="12" t="n">
        <x:v>46255</x:v>
      </x:c>
      <x:c r="B921" s="1" t="str">
        <x:v>GFGC8900OC</x:v>
      </x:c>
      <x:c r="C921" s="1" t="str">
        <x:v>call</x:v>
      </x:c>
      <x:c r="D921" s="11" t="n">
        <x:v>8900</x:v>
      </x:c>
      <x:c r="E921" s="11" t="n">
        <x:f>'Option source'!B411</x:f>
        <x:v>49.98</x:v>
      </x:c>
      <x:c r="F921" s="11" t="n">
        <x:v>6620</x:v>
      </x:c>
      <x:c r="G921" s="18" t="n">
        <x:v>56</x:v>
      </x:c>
      <x:c r="H921" s="11" t="n">
        <x:f>MAX(IF(C921="call",F921-D921,D921-F921),0)</x:f>
        <x:v>0</x:v>
      </x:c>
      <x:c r="I921" s="11" t="n">
        <x:f>E921-H921</x:f>
        <x:v>49.98</x:v>
      </x:c>
      <x:c r="J921" s="13" t="n">
        <x:f>D921/F921</x:f>
        <x:v>1.3444108761329305</x:v>
      </x:c>
      <x:c r="K921" s="13" t="n">
        <x:v>0.4580703075657589</x:v>
      </x:c>
      <x:c r="L921" s="17" t="n">
        <x:v>0.09624643126912273</x:v>
      </x:c>
      <x:c r="M921" s="17" t="n">
        <x:v>4.424918867314172</x:v>
      </x:c>
      <x:c r="N921" s="11" t="n">
        <x:f>'Option source'!C411</x:f>
        <x:v>5966664</x:v>
      </x:c>
      <x:c r="O921" s="11" t="n">
        <x:f>'Option source'!G411</x:f>
        <x:v>46</x:v>
      </x:c>
      <x:c r="P921" s="11" t="n">
        <x:f>'Option source'!F411</x:f>
        <x:v>54</x:v>
      </x:c>
      <x:c r="Q921" s="1" t="str">
        <x:v>Screen passed; indicative</x:v>
      </x:c>
      <x:c r="R921" s="1" t="n">
        <x:v>406</x:v>
      </x:c>
    </x:row>
    <x:row r="922" ht="21" customHeight="1">
      <x:c r="A922" s="12" t="n">
        <x:v>46255</x:v>
      </x:c>
      <x:c r="B922" s="1" t="str">
        <x:v>GFGC4200OC</x:v>
      </x:c>
      <x:c r="C922" s="1" t="str">
        <x:v>call</x:v>
      </x:c>
      <x:c r="D922" s="11" t="n">
        <x:v>4200</x:v>
      </x:c>
      <x:c r="E922" s="11" t="n">
        <x:f>'Option source'!B7</x:f>
        <x:v>2544.61</x:v>
      </x:c>
      <x:c r="F922" s="11" t="n">
        <x:v>6620</x:v>
      </x:c>
      <x:c r="G922" s="18" t="n">
        <x:v>56</x:v>
      </x:c>
      <x:c r="H922" s="11" t="n">
        <x:f>MAX(IF(C922="call",F922-D922,D922-F922),0)</x:f>
        <x:v>2420</x:v>
      </x:c>
      <x:c r="I922" s="11" t="n">
        <x:f>E922-H922</x:f>
        <x:v>124.61000000000013</x:v>
      </x:c>
      <x:c r="J922" s="13" t="n">
        <x:f>D922/F922</x:f>
        <x:v>0.6344410876132931</x:v>
      </x:c>
      <x:c r="K922" s="13"/>
      <x:c r="L922" s="17"/>
      <x:c r="M922" s="17"/>
      <x:c r="N922" s="11" t="n">
        <x:f>'Option source'!C7</x:f>
        <x:v>97648600</x:v>
      </x:c>
      <x:c r="O922" s="11" t="n">
        <x:f>'Option source'!G7</x:f>
        <x:v>2529.59</x:v>
      </x:c>
      <x:c r="P922" s="11" t="n">
        <x:f>'Option source'!F7</x:f>
        <x:v>2594.68</x:v>
      </x:c>
      <x:c r="Q922" s="1" t="str">
        <x:v>No stable model IV</x:v>
      </x:c>
      <x:c r="R922" s="1" t="n">
        <x:v>2</x:v>
      </x:c>
    </x:row>
    <x:row r="923" ht="21" customHeight="1">
      <x:c r="A923" s="12" t="n">
        <x:v>46255</x:v>
      </x:c>
      <x:c r="B923" s="1" t="str">
        <x:v>GFGV4200OC</x:v>
      </x:c>
      <x:c r="C923" s="1" t="str">
        <x:v>put</x:v>
      </x:c>
      <x:c r="D923" s="11" t="n">
        <x:v>4200</x:v>
      </x:c>
      <x:c r="E923" s="11" t="n">
        <x:f>'Option source'!B487</x:f>
        <x:v>10</x:v>
      </x:c>
      <x:c r="F923" s="11" t="n">
        <x:v>6620</x:v>
      </x:c>
      <x:c r="G923" s="18" t="n">
        <x:v>56</x:v>
      </x:c>
      <x:c r="H923" s="11" t="n">
        <x:f>MAX(IF(C923="call",F923-D923,D923-F923),0)</x:f>
        <x:v>0</x:v>
      </x:c>
      <x:c r="I923" s="11" t="n">
        <x:f>E923-H923</x:f>
        <x:v>10</x:v>
      </x:c>
      <x:c r="J923" s="13" t="n">
        <x:f>D923/F923</x:f>
        <x:v>0.6344410876132931</x:v>
      </x:c>
      <x:c r="K923" s="13"/>
      <x:c r="L923" s="17"/>
      <x:c r="M923" s="17"/>
      <x:c r="N923" s="11" t="n">
        <x:f>'Option source'!C487</x:f>
        <x:v>1300</x:v>
      </x:c>
      <x:c r="O923" s="11" t="n">
        <x:f>'Option source'!G487</x:f>
        <x:v>5</x:v>
      </x:c>
      <x:c r="P923" s="11" t="n">
        <x:f>'Option source'!F487</x:f>
        <x:v>8</x:v>
      </x:c>
      <x:c r="Q923" s="1" t="str">
        <x:v>Price outside daily range</x:v>
      </x:c>
      <x:c r="R923" s="1" t="n">
        <x:v>482</x:v>
      </x:c>
    </x:row>
    <x:row r="924" ht="21" customHeight="1">
      <x:c r="A924" s="12" t="n">
        <x:v>46255</x:v>
      </x:c>
      <x:c r="B924" s="1" t="str">
        <x:v>GFGC9200OC</x:v>
      </x:c>
      <x:c r="C924" s="1" t="str">
        <x:v>call</x:v>
      </x:c>
      <x:c r="D924" s="11" t="n">
        <x:v>9200</x:v>
      </x:c>
      <x:c r="E924" s="11" t="n">
        <x:f>'Option source'!B430</x:f>
        <x:v>33.56</x:v>
      </x:c>
      <x:c r="F924" s="11" t="n">
        <x:v>6620</x:v>
      </x:c>
      <x:c r="G924" s="18" t="n">
        <x:v>56</x:v>
      </x:c>
      <x:c r="H924" s="11" t="n">
        <x:f>MAX(IF(C924="call",F924-D924,D924-F924),0)</x:f>
        <x:v>0</x:v>
      </x:c>
      <x:c r="I924" s="11" t="n">
        <x:f>E924-H924</x:f>
        <x:v>33.56</x:v>
      </x:c>
      <x:c r="J924" s="13" t="n">
        <x:f>D924/F924</x:f>
        <x:v>1.3897280966767371</x:v>
      </x:c>
      <x:c r="K924" s="13" t="n">
        <x:v>0.4584977243687643</x:v>
      </x:c>
      <x:c r="L924" s="17" t="n">
        <x:v>0.06857927496482494</x:v>
      </x:c>
      <x:c r="M924" s="17" t="n">
        <x:v>3.42702793903731</x:v>
      </x:c>
      <x:c r="N924" s="11" t="n">
        <x:f>'Option source'!C430</x:f>
        <x:v>7705131</x:v>
      </x:c>
      <x:c r="O924" s="11" t="n">
        <x:f>'Option source'!G430</x:f>
        <x:v>32.01</x:v>
      </x:c>
      <x:c r="P924" s="11" t="n">
        <x:f>'Option source'!F430</x:f>
        <x:v>47</x:v>
      </x:c>
      <x:c r="Q924" s="1" t="str">
        <x:v>Screen passed; indicative</x:v>
      </x:c>
      <x:c r="R924" s="1" t="n">
        <x:v>425</x:v>
      </x:c>
    </x:row>
    <x:row r="925" ht="21" customHeight="1">
      <x:c r="A925" s="12" t="n">
        <x:v>46255</x:v>
      </x:c>
      <x:c r="B925" s="1" t="str">
        <x:v>GFGC9500OC</x:v>
      </x:c>
      <x:c r="C925" s="1" t="str">
        <x:v>call</x:v>
      </x:c>
      <x:c r="D925" s="11" t="n">
        <x:v>9500</x:v>
      </x:c>
      <x:c r="E925" s="11" t="n">
        <x:f>'Option source'!B449</x:f>
        <x:v>25.5</x:v>
      </x:c>
      <x:c r="F925" s="11" t="n">
        <x:v>6620</x:v>
      </x:c>
      <x:c r="G925" s="18" t="n">
        <x:v>56</x:v>
      </x:c>
      <x:c r="H925" s="11" t="n">
        <x:f>MAX(IF(C925="call",F925-D925,D925-F925),0)</x:f>
        <x:v>0</x:v>
      </x:c>
      <x:c r="I925" s="11" t="n">
        <x:f>E925-H925</x:f>
        <x:v>25.5</x:v>
      </x:c>
      <x:c r="J925" s="13" t="n">
        <x:f>D925/F925</x:f>
        <x:v>1.4350453172205437</x:v>
      </x:c>
      <x:c r="K925" s="13" t="n">
        <x:v>0.4708626777020675</x:v>
      </x:c>
      <x:c r="L925" s="17" t="n">
        <x:v>0.05297974014932185</x:v>
      </x:c>
      <x:c r="M925" s="17" t="n">
        <x:v>2.8003169607821623</x:v>
      </x:c>
      <x:c r="N925" s="11" t="n">
        <x:f>'Option source'!C449</x:f>
        <x:v>2013076.5</x:v>
      </x:c>
      <x:c r="O925" s="11" t="n">
        <x:f>'Option source'!G449</x:f>
        <x:v>15</x:v>
      </x:c>
      <x:c r="P925" s="11" t="n">
        <x:f>'Option source'!F449</x:f>
        <x:v>29.5</x:v>
      </x:c>
      <x:c r="Q925" s="1" t="str">
        <x:v>Screen passed; indicative</x:v>
      </x:c>
      <x:c r="R925" s="1" t="n">
        <x:v>444</x:v>
      </x:c>
    </x:row>
    <x:row r="926" ht="21" customHeight="1">
      <x:c r="A926" s="12" t="n">
        <x:v>46255</x:v>
      </x:c>
      <x:c r="B926" s="1" t="str">
        <x:v>GFGC9900OC</x:v>
      </x:c>
      <x:c r="C926" s="1" t="str">
        <x:v>call</x:v>
      </x:c>
      <x:c r="D926" s="11" t="n">
        <x:v>9900</x:v>
      </x:c>
      <x:c r="E926" s="11" t="n">
        <x:f>'Option source'!B468</x:f>
        <x:v>16</x:v>
      </x:c>
      <x:c r="F926" s="11" t="n">
        <x:v>6620</x:v>
      </x:c>
      <x:c r="G926" s="18" t="n">
        <x:v>56</x:v>
      </x:c>
      <x:c r="H926" s="11" t="n">
        <x:f>MAX(IF(C926="call",F926-D926,D926-F926),0)</x:f>
        <x:v>0</x:v>
      </x:c>
      <x:c r="I926" s="11" t="n">
        <x:f>E926-H926</x:f>
        <x:v>16</x:v>
      </x:c>
      <x:c r="J926" s="13" t="n">
        <x:f>D926/F926</x:f>
        <x:v>1.4954682779456194</x:v>
      </x:c>
      <x:c r="K926" s="13" t="n">
        <x:v>0.47716943252180516</x:v>
      </x:c>
      <x:c r="L926" s="17" t="n">
        <x:v>0.034879984724217925</x:v>
      </x:c>
      <x:c r="M926" s="17" t="n">
        <x:v>1.9979857156066634</x:v>
      </x:c>
      <x:c r="N926" s="11" t="n">
        <x:f>'Option source'!C468</x:f>
        <x:v>1167424.62</x:v>
      </x:c>
      <x:c r="O926" s="11" t="n">
        <x:f>'Option source'!G468</x:f>
        <x:v>14.1</x:v>
      </x:c>
      <x:c r="P926" s="11" t="n">
        <x:f>'Option source'!F468</x:f>
        <x:v>19.9</x:v>
      </x:c>
      <x:c r="Q926" s="1" t="str">
        <x:v>Screen passed; indicative</x:v>
      </x:c>
      <x:c r="R926" s="1" t="n">
        <x:v>463</x:v>
      </x:c>
    </x:row>
  </x:sheetData>
  <x:conditionalFormatting sqref="Q7:Q926">
    <x:cfRule type="notContainsText" dxfId="0" priority="1" text="Screen passed"/>
  </x:conditionalFormatting>
  <x:pageMargins left="0.7" right="0.7" top="0.75" bottom="0.75" header="0.3" footer="0.3"/>
  <x:tableParts count="1">
    <x:tablePart xmlns:r="http://schemas.openxmlformats.org/officeDocument/2006/relationships" r:id="Rc330006c2b884d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8" hidden="0" customWidth="1"/>
    <x:col min="19" max="19" width="15" hidden="0" customWidth="1"/>
    <x:col min="20" max="20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1" customHeight="1">
      <x:c r="A2" s="2" t="str">
        <x:v>Butterflies and 1x2 ratio spreads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21" customHeight="1">
      <x:c r="A4" s="4" t="str">
        <x:v>Indicative PPI prices only. Expiration P&amp;L excludes costs and early assignment. 1x2 calls have unlimited upside loss.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40" customHeight="1">
      <x:c r="A6" s="10" t="str">
        <x:v>Date</x:v>
      </x:c>
      <x:c r="B6" s="10" t="str">
        <x:v>Strategy</x:v>
      </x:c>
      <x:c r="C6" s="10" t="str">
        <x:v>Type</x:v>
      </x:c>
      <x:c r="D6" s="10" t="str">
        <x:v>Long strike 1</x:v>
      </x:c>
      <x:c r="E6" s="10" t="str">
        <x:v>Short strike 2 (x2)</x:v>
      </x:c>
      <x:c r="F6" s="10" t="str">
        <x:v>Long strike 3</x:v>
      </x:c>
      <x:c r="G6" s="10" t="str">
        <x:v>Premium 1</x:v>
      </x:c>
      <x:c r="H6" s="10" t="str">
        <x:v>Premium 2</x:v>
      </x:c>
      <x:c r="I6" s="10" t="str">
        <x:v>Premium 3</x:v>
      </x:c>
      <x:c r="J6" s="10" t="str">
        <x:v>Net debit / share</x:v>
      </x:c>
      <x:c r="K6" s="10" t="str">
        <x:v>Strike width</x:v>
      </x:c>
      <x:c r="L6" s="10" t="str">
        <x:v>Peak P&amp;L / share</x:v>
      </x:c>
      <x:c r="M6" s="10" t="str">
        <x:v>Max loss / share</x:v>
      </x:c>
      <x:c r="N6" s="10" t="str">
        <x:v>Lower breakeven</x:v>
      </x:c>
      <x:c r="O6" s="10" t="str">
        <x:v>Upper breakeven</x:v>
      </x:c>
      <x:c r="P6" s="10" t="str">
        <x:v>Peak / debit</x:v>
      </x:c>
      <x:c r="Q6" s="10" t="str">
        <x:v>Net debit / set</x:v>
      </x:c>
      <x:c r="R6" s="10" t="str">
        <x:v>Data status</x:v>
      </x:c>
      <x:c r="S6" s="10" t="str">
        <x:v>Long leg source</x:v>
      </x:c>
      <x:c r="T6" s="10" t="str">
        <x:v>Short leg source</x:v>
      </x:c>
    </x:row>
    <x:row r="7" ht="21" customHeight="1">
      <x:c r="A7" s="12" t="n">
        <x:v>46281</x:v>
      </x:c>
      <x:c r="B7" s="1" t="str">
        <x:v>Butterfly</x:v>
      </x:c>
      <x:c r="C7" s="1" t="str">
        <x:v>call</x:v>
      </x:c>
      <x:c r="D7" s="11" t="n">
        <x:v>6600</x:v>
      </x:c>
      <x:c r="E7" s="11" t="n">
        <x:v>6800</x:v>
      </x:c>
      <x:c r="F7" s="11" t="n">
        <x:v>7000</x:v>
      </x:c>
      <x:c r="G7" s="11" t="n">
        <x:f>'Option source'!B239</x:f>
        <x:v>478.22</x:v>
      </x:c>
      <x:c r="H7" s="11" t="n">
        <x:f>'Option source'!B258</x:f>
        <x:v>376.43</x:v>
      </x:c>
      <x:c r="I7" s="11" t="n">
        <x:f>'Option source'!B277</x:f>
        <x:v>289.65</x:v>
      </x:c>
      <x:c r="J7" s="11" t="n">
        <x:f>G7-2*H7+IF(B7="Butterfly",I7,0)</x:f>
        <x:v>15.009999999999991</x:v>
      </x:c>
      <x:c r="K7" s="11" t="n">
        <x:f>ABS(E7-D7)</x:f>
        <x:v>200</x:v>
      </x:c>
      <x:c r="L7" s="11" t="n">
        <x:f>K7-J7</x:f>
        <x:v>184.99</x:v>
      </x:c>
      <x:c r="M7" s="11" t="n">
        <x:f>IF(B7="Butterfly",MAX(J7,0),IF(C7="call","Unlimited",MAX(2*E7-D7+J7,J7,0)))</x:f>
        <x:v>15.009999999999991</x:v>
      </x:c>
      <x:c r="N7" s="11" t="n">
        <x:f>IF(B7="Butterfly",IF(AND(J7&gt;0,J7&lt;K7),D7+J7,"n.a."),IF(C7="call",IF(AND(J7&gt;0,J7&lt;K7),D7+J7,"n.a."),IF(AND(K7&gt;J7,2*E7-D7+J7&gt;=0),2*E7-D7+J7,"n.a.")))</x:f>
        <x:v>6615.01</x:v>
      </x:c>
      <x:c r="O7" s="11" t="n">
        <x:f>IF(B7="Butterfly",IF(AND(J7&gt;0,J7&lt;K7),F7-J7,"n.a."),IF(C7="call",IF(K7&gt;J7,2*E7-D7-J7,"n.a."),IF(AND(J7&gt;0,J7&lt;K7),D7-J7,"n.a.")))</x:f>
        <x:v>6984.99</x:v>
      </x:c>
      <x:c r="P7" s="19" t="n">
        <x:f>IF(AND(B7="Butterfly",J7&gt;0,J7&lt;K7),L7/J7,"n.a.")</x:f>
        <x:v>12.324450366422393</x:v>
      </x:c>
      <x:c r="Q7" s="11" t="n">
        <x:f>J7*'Model inputs'!$B$8</x:f>
        <x:v>1500.999999999999</x:v>
      </x:c>
      <x:c r="R7" s="1" t="str">
        <x:v>Indicative only</x:v>
      </x:c>
      <x:c r="S7" s="1" t="n">
        <x:v>234</x:v>
      </x:c>
      <x:c r="T7" s="1" t="n">
        <x:v>253</x:v>
      </x:c>
    </x:row>
    <x:row r="8" ht="21" customHeight="1">
      <x:c r="A8" s="12" t="n">
        <x:v>46281</x:v>
      </x:c>
      <x:c r="B8" s="1" t="str">
        <x:v>Butterfly</x:v>
      </x:c>
      <x:c r="C8" s="1" t="str">
        <x:v>put</x:v>
      </x:c>
      <x:c r="D8" s="11" t="n">
        <x:v>6600</x:v>
      </x:c>
      <x:c r="E8" s="11" t="n">
        <x:v>6800</x:v>
      </x:c>
      <x:c r="F8" s="11" t="n">
        <x:v>7000</x:v>
      </x:c>
      <x:c r="G8" s="11" t="n">
        <x:f>'Option source'!B733</x:f>
        <x:v>222.45</x:v>
      </x:c>
      <x:c r="H8" s="11" t="n">
        <x:f>'Option source'!B752</x:f>
        <x:v>312.15</x:v>
      </x:c>
      <x:c r="I8" s="11" t="n">
        <x:f>'Option source'!B771</x:f>
        <x:v>427.03</x:v>
      </x:c>
      <x:c r="J8" s="11" t="n">
        <x:f>G8-2*H8+IF(B8="Butterfly",I8,0)</x:f>
        <x:v>25.180000000000007</x:v>
      </x:c>
      <x:c r="K8" s="11" t="n">
        <x:f>ABS(E8-D8)</x:f>
        <x:v>200</x:v>
      </x:c>
      <x:c r="L8" s="11" t="n">
        <x:f>K8-J8</x:f>
        <x:v>174.82</x:v>
      </x:c>
      <x:c r="M8" s="11" t="n">
        <x:f>IF(B8="Butterfly",MAX(J8,0),IF(C8="call","Unlimited",MAX(2*E8-D8+J8,J8,0)))</x:f>
        <x:v>25.180000000000007</x:v>
      </x:c>
      <x:c r="N8" s="11" t="n">
        <x:f>IF(B8="Butterfly",IF(AND(J8&gt;0,J8&lt;K8),D8+J8,"n.a."),IF(C8="call",IF(AND(J8&gt;0,J8&lt;K8),D8+J8,"n.a."),IF(AND(K8&gt;J8,2*E8-D8+J8&gt;=0),2*E8-D8+J8,"n.a.")))</x:f>
        <x:v>6625.18</x:v>
      </x:c>
      <x:c r="O8" s="11" t="n">
        <x:f>IF(B8="Butterfly",IF(AND(J8&gt;0,J8&lt;K8),F8-J8,"n.a."),IF(C8="call",IF(K8&gt;J8,2*E8-D8-J8,"n.a."),IF(AND(J8&gt;0,J8&lt;K8),D8-J8,"n.a.")))</x:f>
        <x:v>6974.82</x:v>
      </x:c>
      <x:c r="P8" s="19" t="n">
        <x:f>IF(AND(B8="Butterfly",J8&gt;0,J8&lt;K8),L8/J8,"n.a.")</x:f>
        <x:v>6.9428117553613955</x:v>
      </x:c>
      <x:c r="Q8" s="11" t="n">
        <x:f>J8*'Model inputs'!$B$8</x:f>
        <x:v>2518.000000000001</x:v>
      </x:c>
      <x:c r="R8" s="1" t="str">
        <x:v>Indicative only</x:v>
      </x:c>
      <x:c r="S8" s="1" t="n">
        <x:v>728</x:v>
      </x:c>
      <x:c r="T8" s="1" t="n">
        <x:v>747</x:v>
      </x:c>
    </x:row>
    <x:row r="9" ht="21" customHeight="1">
      <x:c r="A9" s="12" t="n">
        <x:v>46281</x:v>
      </x:c>
      <x:c r="B9" s="1" t="str">
        <x:v>Butterfly</x:v>
      </x:c>
      <x:c r="C9" s="1" t="str">
        <x:v>call</x:v>
      </x:c>
      <x:c r="D9" s="11" t="n">
        <x:v>6400</x:v>
      </x:c>
      <x:c r="E9" s="11" t="n">
        <x:v>6600</x:v>
      </x:c>
      <x:c r="F9" s="11" t="n">
        <x:v>6800</x:v>
      </x:c>
      <x:c r="G9" s="11" t="n">
        <x:f>'Option source'!B220</x:f>
        <x:v>616.1</x:v>
      </x:c>
      <x:c r="H9" s="11" t="n">
        <x:f>'Option source'!B239</x:f>
        <x:v>478.22</x:v>
      </x:c>
      <x:c r="I9" s="11" t="n">
        <x:f>'Option source'!B258</x:f>
        <x:v>376.43</x:v>
      </x:c>
      <x:c r="J9" s="11" t="n">
        <x:f>G9-2*H9+IF(B9="Butterfly",I9,0)</x:f>
        <x:v>36.089999999999975</x:v>
      </x:c>
      <x:c r="K9" s="11" t="n">
        <x:f>ABS(E9-D9)</x:f>
        <x:v>200</x:v>
      </x:c>
      <x:c r="L9" s="11" t="n">
        <x:f>K9-J9</x:f>
        <x:v>163.91000000000003</x:v>
      </x:c>
      <x:c r="M9" s="11" t="n">
        <x:f>IF(B9="Butterfly",MAX(J9,0),IF(C9="call","Unlimited",MAX(2*E9-D9+J9,J9,0)))</x:f>
        <x:v>36.089999999999975</x:v>
      </x:c>
      <x:c r="N9" s="11" t="n">
        <x:f>IF(B9="Butterfly",IF(AND(J9&gt;0,J9&lt;K9),D9+J9,"n.a."),IF(C9="call",IF(AND(J9&gt;0,J9&lt;K9),D9+J9,"n.a."),IF(AND(K9&gt;J9,2*E9-D9+J9&gt;=0),2*E9-D9+J9,"n.a.")))</x:f>
        <x:v>6436.09</x:v>
      </x:c>
      <x:c r="O9" s="11" t="n">
        <x:f>IF(B9="Butterfly",IF(AND(J9&gt;0,J9&lt;K9),F9-J9,"n.a."),IF(C9="call",IF(K9&gt;J9,2*E9-D9-J9,"n.a."),IF(AND(J9&gt;0,J9&lt;K9),D9-J9,"n.a.")))</x:f>
        <x:v>6763.91</x:v>
      </x:c>
      <x:c r="P9" s="19" t="n">
        <x:f>IF(AND(B9="Butterfly",J9&gt;0,J9&lt;K9),L9/J9,"n.a.")</x:f>
        <x:v>4.54170130229981</x:v>
      </x:c>
      <x:c r="Q9" s="11" t="n">
        <x:f>J9*'Model inputs'!$B$8</x:f>
        <x:v>3608.9999999999973</x:v>
      </x:c>
      <x:c r="R9" s="1" t="str">
        <x:v>Indicative only</x:v>
      </x:c>
      <x:c r="S9" s="1" t="n">
        <x:v>215</x:v>
      </x:c>
      <x:c r="T9" s="1" t="n">
        <x:v>234</x:v>
      </x:c>
    </x:row>
    <x:row r="10" ht="21" customHeight="1">
      <x:c r="A10" s="12" t="n">
        <x:v>46281</x:v>
      </x:c>
      <x:c r="B10" s="1" t="str">
        <x:v>Butterfly</x:v>
      </x:c>
      <x:c r="C10" s="1" t="str">
        <x:v>put</x:v>
      </x:c>
      <x:c r="D10" s="11" t="n">
        <x:v>6400</x:v>
      </x:c>
      <x:c r="E10" s="11" t="n">
        <x:v>6600</x:v>
      </x:c>
      <x:c r="F10" s="11" t="n">
        <x:v>6800</x:v>
      </x:c>
      <x:c r="G10" s="11" t="n">
        <x:f>'Option source'!B714</x:f>
        <x:v>150.25</x:v>
      </x:c>
      <x:c r="H10" s="11" t="n">
        <x:f>'Option source'!B733</x:f>
        <x:v>222.45</x:v>
      </x:c>
      <x:c r="I10" s="11" t="n">
        <x:f>'Option source'!B752</x:f>
        <x:v>312.15</x:v>
      </x:c>
      <x:c r="J10" s="11" t="n">
        <x:f>G10-2*H10+IF(B10="Butterfly",I10,0)</x:f>
        <x:v>17.5</x:v>
      </x:c>
      <x:c r="K10" s="11" t="n">
        <x:f>ABS(E10-D10)</x:f>
        <x:v>200</x:v>
      </x:c>
      <x:c r="L10" s="11" t="n">
        <x:f>K10-J10</x:f>
        <x:v>182.5</x:v>
      </x:c>
      <x:c r="M10" s="11" t="n">
        <x:f>IF(B10="Butterfly",MAX(J10,0),IF(C10="call","Unlimited",MAX(2*E10-D10+J10,J10,0)))</x:f>
        <x:v>17.5</x:v>
      </x:c>
      <x:c r="N10" s="11" t="n">
        <x:f>IF(B10="Butterfly",IF(AND(J10&gt;0,J10&lt;K10),D10+J10,"n.a."),IF(C10="call",IF(AND(J10&gt;0,J10&lt;K10),D10+J10,"n.a."),IF(AND(K10&gt;J10,2*E10-D10+J10&gt;=0),2*E10-D10+J10,"n.a.")))</x:f>
        <x:v>6417.5</x:v>
      </x:c>
      <x:c r="O10" s="11" t="n">
        <x:f>IF(B10="Butterfly",IF(AND(J10&gt;0,J10&lt;K10),F10-J10,"n.a."),IF(C10="call",IF(K10&gt;J10,2*E10-D10-J10,"n.a."),IF(AND(J10&gt;0,J10&lt;K10),D10-J10,"n.a.")))</x:f>
        <x:v>6782.5</x:v>
      </x:c>
      <x:c r="P10" s="19" t="n">
        <x:f>IF(AND(B10="Butterfly",J10&gt;0,J10&lt;K10),L10/J10,"n.a.")</x:f>
        <x:v>10.428571428571429</x:v>
      </x:c>
      <x:c r="Q10" s="11" t="n">
        <x:f>J10*'Model inputs'!$B$8</x:f>
        <x:v>1750</x:v>
      </x:c>
      <x:c r="R10" s="1" t="str">
        <x:v>Indicative only</x:v>
      </x:c>
      <x:c r="S10" s="1" t="n">
        <x:v>709</x:v>
      </x:c>
      <x:c r="T10" s="1" t="n">
        <x:v>728</x:v>
      </x:c>
    </x:row>
    <x:row r="11" ht="21" customHeight="1">
      <x:c r="A11" s="12" t="n">
        <x:v>46281</x:v>
      </x:c>
      <x:c r="B11" s="1" t="str">
        <x:v>Butterfly</x:v>
      </x:c>
      <x:c r="C11" s="1" t="str">
        <x:v>call</x:v>
      </x:c>
      <x:c r="D11" s="11" t="n">
        <x:v>6800</x:v>
      </x:c>
      <x:c r="E11" s="11" t="n">
        <x:v>7000</x:v>
      </x:c>
      <x:c r="F11" s="11" t="n">
        <x:v>7200</x:v>
      </x:c>
      <x:c r="G11" s="11" t="n">
        <x:f>'Option source'!B258</x:f>
        <x:v>376.43</x:v>
      </x:c>
      <x:c r="H11" s="11" t="n">
        <x:f>'Option source'!B277</x:f>
        <x:v>289.65</x:v>
      </x:c>
      <x:c r="I11" s="11" t="n">
        <x:f>'Option source'!B296</x:f>
        <x:v>213.18</x:v>
      </x:c>
      <x:c r="J11" s="11" t="n">
        <x:f>G11-2*H11+IF(B11="Butterfly",I11,0)</x:f>
        <x:v>10.31000000000006</x:v>
      </x:c>
      <x:c r="K11" s="11" t="n">
        <x:f>ABS(E11-D11)</x:f>
        <x:v>200</x:v>
      </x:c>
      <x:c r="L11" s="11" t="n">
        <x:f>K11-J11</x:f>
        <x:v>189.68999999999994</x:v>
      </x:c>
      <x:c r="M11" s="11" t="n">
        <x:f>IF(B11="Butterfly",MAX(J11,0),IF(C11="call","Unlimited",MAX(2*E11-D11+J11,J11,0)))</x:f>
        <x:v>10.31000000000006</x:v>
      </x:c>
      <x:c r="N11" s="11" t="n">
        <x:f>IF(B11="Butterfly",IF(AND(J11&gt;0,J11&lt;K11),D11+J11,"n.a."),IF(C11="call",IF(AND(J11&gt;0,J11&lt;K11),D11+J11,"n.a."),IF(AND(K11&gt;J11,2*E11-D11+J11&gt;=0),2*E11-D11+J11,"n.a.")))</x:f>
        <x:v>6810.31</x:v>
      </x:c>
      <x:c r="O11" s="11" t="n">
        <x:f>IF(B11="Butterfly",IF(AND(J11&gt;0,J11&lt;K11),F11-J11,"n.a."),IF(C11="call",IF(K11&gt;J11,2*E11-D11-J11,"n.a."),IF(AND(J11&gt;0,J11&lt;K11),D11-J11,"n.a.")))</x:f>
        <x:v>7189.69</x:v>
      </x:c>
      <x:c r="P11" s="19" t="n">
        <x:f>IF(AND(B11="Butterfly",J11&gt;0,J11&lt;K11),L11/J11,"n.a.")</x:f>
        <x:v>18.398642095053233</x:v>
      </x:c>
      <x:c r="Q11" s="11" t="n">
        <x:f>J11*'Model inputs'!$B$8</x:f>
        <x:v>1031.000000000006</x:v>
      </x:c>
      <x:c r="R11" s="1" t="str">
        <x:v>Indicative only</x:v>
      </x:c>
      <x:c r="S11" s="1" t="n">
        <x:v>253</x:v>
      </x:c>
      <x:c r="T11" s="1" t="n">
        <x:v>272</x:v>
      </x:c>
    </x:row>
    <x:row r="12" ht="21" customHeight="1">
      <x:c r="A12" s="12" t="n">
        <x:v>46281</x:v>
      </x:c>
      <x:c r="B12" s="1" t="str">
        <x:v>Butterfly</x:v>
      </x:c>
      <x:c r="C12" s="1" t="str">
        <x:v>put</x:v>
      </x:c>
      <x:c r="D12" s="11" t="n">
        <x:v>6800</x:v>
      </x:c>
      <x:c r="E12" s="11" t="n">
        <x:v>7000</x:v>
      </x:c>
      <x:c r="F12" s="11" t="n">
        <x:v>7200</x:v>
      </x:c>
      <x:c r="G12" s="11" t="n">
        <x:f>'Option source'!B752</x:f>
        <x:v>312.15</x:v>
      </x:c>
      <x:c r="H12" s="11" t="n">
        <x:f>'Option source'!B771</x:f>
        <x:v>427.03</x:v>
      </x:c>
      <x:c r="I12" s="11" t="n">
        <x:f>'Option source'!B790</x:f>
        <x:v>550.35</x:v>
      </x:c>
      <x:c r="J12" s="11" t="n">
        <x:f>G12-2*H12+IF(B12="Butterfly",I12,0)</x:f>
        <x:v>8.440000000000055</x:v>
      </x:c>
      <x:c r="K12" s="11" t="n">
        <x:f>ABS(E12-D12)</x:f>
        <x:v>200</x:v>
      </x:c>
      <x:c r="L12" s="11" t="n">
        <x:f>K12-J12</x:f>
        <x:v>191.55999999999995</x:v>
      </x:c>
      <x:c r="M12" s="11" t="n">
        <x:f>IF(B12="Butterfly",MAX(J12,0),IF(C12="call","Unlimited",MAX(2*E12-D12+J12,J12,0)))</x:f>
        <x:v>8.440000000000055</x:v>
      </x:c>
      <x:c r="N12" s="11" t="n">
        <x:f>IF(B12="Butterfly",IF(AND(J12&gt;0,J12&lt;K12),D12+J12,"n.a."),IF(C12="call",IF(AND(J12&gt;0,J12&lt;K12),D12+J12,"n.a."),IF(AND(K12&gt;J12,2*E12-D12+J12&gt;=0),2*E12-D12+J12,"n.a.")))</x:f>
        <x:v>6808.4400000000005</x:v>
      </x:c>
      <x:c r="O12" s="11" t="n">
        <x:f>IF(B12="Butterfly",IF(AND(J12&gt;0,J12&lt;K12),F12-J12,"n.a."),IF(C12="call",IF(K12&gt;J12,2*E12-D12-J12,"n.a."),IF(AND(J12&gt;0,J12&lt;K12),D12-J12,"n.a.")))</x:f>
        <x:v>7191.5599999999995</x:v>
      </x:c>
      <x:c r="P12" s="19" t="n">
        <x:f>IF(AND(B12="Butterfly",J12&gt;0,J12&lt;K12),L12/J12,"n.a.")</x:f>
        <x:v>22.696682464454824</x:v>
      </x:c>
      <x:c r="Q12" s="11" t="n">
        <x:f>J12*'Model inputs'!$B$8</x:f>
        <x:v>844.0000000000055</x:v>
      </x:c>
      <x:c r="R12" s="1" t="str">
        <x:v>Indicative only</x:v>
      </x:c>
      <x:c r="S12" s="1" t="n">
        <x:v>747</x:v>
      </x:c>
      <x:c r="T12" s="1" t="n">
        <x:v>766</x:v>
      </x:c>
    </x:row>
    <x:row r="13" ht="21" customHeight="1">
      <x:c r="A13" s="12" t="n">
        <x:v>46281</x:v>
      </x:c>
      <x:c r="B13" s="1" t="str">
        <x:v>Butterfly</x:v>
      </x:c>
      <x:c r="C13" s="1" t="str">
        <x:v>put</x:v>
      </x:c>
      <x:c r="D13" s="11" t="n">
        <x:v>6200</x:v>
      </x:c>
      <x:c r="E13" s="11" t="n">
        <x:v>6400</x:v>
      </x:c>
      <x:c r="F13" s="11" t="n">
        <x:v>6600</x:v>
      </x:c>
      <x:c r="G13" s="11" t="n">
        <x:f>'Option source'!B695</x:f>
        <x:v>97.41</x:v>
      </x:c>
      <x:c r="H13" s="11" t="n">
        <x:f>'Option source'!B714</x:f>
        <x:v>150.25</x:v>
      </x:c>
      <x:c r="I13" s="11" t="n">
        <x:f>'Option source'!B733</x:f>
        <x:v>222.45</x:v>
      </x:c>
      <x:c r="J13" s="11" t="n">
        <x:f>G13-2*H13+IF(B13="Butterfly",I13,0)</x:f>
        <x:v>19.359999999999985</x:v>
      </x:c>
      <x:c r="K13" s="11" t="n">
        <x:f>ABS(E13-D13)</x:f>
        <x:v>200</x:v>
      </x:c>
      <x:c r="L13" s="11" t="n">
        <x:f>K13-J13</x:f>
        <x:v>180.64000000000001</x:v>
      </x:c>
      <x:c r="M13" s="11" t="n">
        <x:f>IF(B13="Butterfly",MAX(J13,0),IF(C13="call","Unlimited",MAX(2*E13-D13+J13,J13,0)))</x:f>
        <x:v>19.359999999999985</x:v>
      </x:c>
      <x:c r="N13" s="11" t="n">
        <x:f>IF(B13="Butterfly",IF(AND(J13&gt;0,J13&lt;K13),D13+J13,"n.a."),IF(C13="call",IF(AND(J13&gt;0,J13&lt;K13),D13+J13,"n.a."),IF(AND(K13&gt;J13,2*E13-D13+J13&gt;=0),2*E13-D13+J13,"n.a.")))</x:f>
        <x:v>6219.36</x:v>
      </x:c>
      <x:c r="O13" s="11" t="n">
        <x:f>IF(B13="Butterfly",IF(AND(J13&gt;0,J13&lt;K13),F13-J13,"n.a."),IF(C13="call",IF(K13&gt;J13,2*E13-D13-J13,"n.a."),IF(AND(J13&gt;0,J13&lt;K13),D13-J13,"n.a.")))</x:f>
        <x:v>6580.64</x:v>
      </x:c>
      <x:c r="P13" s="19" t="n">
        <x:f>IF(AND(B13="Butterfly",J13&gt;0,J13&lt;K13),L13/J13,"n.a.")</x:f>
        <x:v>9.330578512396702</x:v>
      </x:c>
      <x:c r="Q13" s="11" t="n">
        <x:f>J13*'Model inputs'!$B$8</x:f>
        <x:v>1935.9999999999986</x:v>
      </x:c>
      <x:c r="R13" s="1" t="str">
        <x:v>Indicative only</x:v>
      </x:c>
      <x:c r="S13" s="1" t="n">
        <x:v>690</x:v>
      </x:c>
      <x:c r="T13" s="1" t="n">
        <x:v>709</x:v>
      </x:c>
    </x:row>
    <x:row r="14" ht="21" customHeight="1">
      <x:c r="A14" s="12" t="n">
        <x:v>46281</x:v>
      </x:c>
      <x:c r="B14" s="1" t="str">
        <x:v>Butterfly</x:v>
      </x:c>
      <x:c r="C14" s="1" t="str">
        <x:v>call</x:v>
      </x:c>
      <x:c r="D14" s="11" t="n">
        <x:v>7000</x:v>
      </x:c>
      <x:c r="E14" s="11" t="n">
        <x:v>7200</x:v>
      </x:c>
      <x:c r="F14" s="11" t="n">
        <x:v>7400</x:v>
      </x:c>
      <x:c r="G14" s="11" t="n">
        <x:f>'Option source'!B277</x:f>
        <x:v>289.65</x:v>
      </x:c>
      <x:c r="H14" s="11" t="n">
        <x:f>'Option source'!B296</x:f>
        <x:v>213.18</x:v>
      </x:c>
      <x:c r="I14" s="11" t="n">
        <x:f>'Option source'!B315</x:f>
        <x:v>157.14</x:v>
      </x:c>
      <x:c r="J14" s="11" t="n">
        <x:f>G14-2*H14+IF(B14="Butterfly",I14,0)</x:f>
        <x:v>20.42999999999995</x:v>
      </x:c>
      <x:c r="K14" s="11" t="n">
        <x:f>ABS(E14-D14)</x:f>
        <x:v>200</x:v>
      </x:c>
      <x:c r="L14" s="11" t="n">
        <x:f>K14-J14</x:f>
        <x:v>179.57000000000005</x:v>
      </x:c>
      <x:c r="M14" s="11" t="n">
        <x:f>IF(B14="Butterfly",MAX(J14,0),IF(C14="call","Unlimited",MAX(2*E14-D14+J14,J14,0)))</x:f>
        <x:v>20.42999999999995</x:v>
      </x:c>
      <x:c r="N14" s="11" t="n">
        <x:f>IF(B14="Butterfly",IF(AND(J14&gt;0,J14&lt;K14),D14+J14,"n.a."),IF(C14="call",IF(AND(J14&gt;0,J14&lt;K14),D14+J14,"n.a."),IF(AND(K14&gt;J14,2*E14-D14+J14&gt;=0),2*E14-D14+J14,"n.a.")))</x:f>
        <x:v>7020.43</x:v>
      </x:c>
      <x:c r="O14" s="11" t="n">
        <x:f>IF(B14="Butterfly",IF(AND(J14&gt;0,J14&lt;K14),F14-J14,"n.a."),IF(C14="call",IF(K14&gt;J14,2*E14-D14-J14,"n.a."),IF(AND(J14&gt;0,J14&lt;K14),D14-J14,"n.a.")))</x:f>
        <x:v>7379.57</x:v>
      </x:c>
      <x:c r="P14" s="19" t="n">
        <x:f>IF(AND(B14="Butterfly",J14&gt;0,J14&lt;K14),L14/J14,"n.a.")</x:f>
        <x:v>8.789525208027435</x:v>
      </x:c>
      <x:c r="Q14" s="11" t="n">
        <x:f>J14*'Model inputs'!$B$8</x:f>
        <x:v>2042.999999999995</x:v>
      </x:c>
      <x:c r="R14" s="1" t="str">
        <x:v>Indicative only</x:v>
      </x:c>
      <x:c r="S14" s="1" t="n">
        <x:v>272</x:v>
      </x:c>
      <x:c r="T14" s="1" t="n">
        <x:v>291</x:v>
      </x:c>
    </x:row>
    <x:row r="15" ht="21" customHeight="1">
      <x:c r="A15" s="12" t="n">
        <x:v>46281</x:v>
      </x:c>
      <x:c r="B15" s="1" t="str">
        <x:v>Butterfly</x:v>
      </x:c>
      <x:c r="C15" s="1" t="str">
        <x:v>put</x:v>
      </x:c>
      <x:c r="D15" s="11" t="n">
        <x:v>7000</x:v>
      </x:c>
      <x:c r="E15" s="11" t="n">
        <x:v>7200</x:v>
      </x:c>
      <x:c r="F15" s="11" t="n">
        <x:v>7400</x:v>
      </x:c>
      <x:c r="G15" s="11" t="n">
        <x:f>'Option source'!B771</x:f>
        <x:v>427.03</x:v>
      </x:c>
      <x:c r="H15" s="11" t="n">
        <x:f>'Option source'!B790</x:f>
        <x:v>550.35</x:v>
      </x:c>
      <x:c r="I15" s="11" t="n">
        <x:f>'Option source'!B809</x:f>
        <x:v>677.83</x:v>
      </x:c>
      <x:c r="J15" s="11" t="n">
        <x:f>G15-2*H15+IF(B15="Butterfly",I15,0)</x:f>
        <x:v>4.159999999999968</x:v>
      </x:c>
      <x:c r="K15" s="11" t="n">
        <x:f>ABS(E15-D15)</x:f>
        <x:v>200</x:v>
      </x:c>
      <x:c r="L15" s="11" t="n">
        <x:f>K15-J15</x:f>
        <x:v>195.84000000000003</x:v>
      </x:c>
      <x:c r="M15" s="11" t="n">
        <x:f>IF(B15="Butterfly",MAX(J15,0),IF(C15="call","Unlimited",MAX(2*E15-D15+J15,J15,0)))</x:f>
        <x:v>4.159999999999968</x:v>
      </x:c>
      <x:c r="N15" s="11" t="n">
        <x:f>IF(B15="Butterfly",IF(AND(J15&gt;0,J15&lt;K15),D15+J15,"n.a."),IF(C15="call",IF(AND(J15&gt;0,J15&lt;K15),D15+J15,"n.a."),IF(AND(K15&gt;J15,2*E15-D15+J15&gt;=0),2*E15-D15+J15,"n.a.")))</x:f>
        <x:v>7004.16</x:v>
      </x:c>
      <x:c r="O15" s="11" t="n">
        <x:f>IF(B15="Butterfly",IF(AND(J15&gt;0,J15&lt;K15),F15-J15,"n.a."),IF(C15="call",IF(K15&gt;J15,2*E15-D15-J15,"n.a."),IF(AND(J15&gt;0,J15&lt;K15),D15-J15,"n.a.")))</x:f>
        <x:v>7395.84</x:v>
      </x:c>
      <x:c r="P15" s="19" t="n">
        <x:f>IF(AND(B15="Butterfly",J15&gt;0,J15&lt;K15),L15/J15,"n.a.")</x:f>
        <x:v>47.07692307692344</x:v>
      </x:c>
      <x:c r="Q15" s="11" t="n">
        <x:f>J15*'Model inputs'!$B$8</x:f>
        <x:v>415.9999999999968</x:v>
      </x:c>
      <x:c r="R15" s="1" t="str">
        <x:v>Indicative only</x:v>
      </x:c>
      <x:c r="S15" s="1" t="n">
        <x:v>766</x:v>
      </x:c>
      <x:c r="T15" s="1" t="n">
        <x:v>785</x:v>
      </x:c>
    </x:row>
    <x:row r="16" ht="21" customHeight="1">
      <x:c r="A16" s="12" t="n">
        <x:v>46281</x:v>
      </x:c>
      <x:c r="B16" s="1" t="str">
        <x:v>Butterfly</x:v>
      </x:c>
      <x:c r="C16" s="1" t="str">
        <x:v>put</x:v>
      </x:c>
      <x:c r="D16" s="11" t="n">
        <x:v>6000</x:v>
      </x:c>
      <x:c r="E16" s="11" t="n">
        <x:v>6200</x:v>
      </x:c>
      <x:c r="F16" s="11" t="n">
        <x:v>6400</x:v>
      </x:c>
      <x:c r="G16" s="11" t="n">
        <x:f>'Option source'!B676</x:f>
        <x:v>56.82</x:v>
      </x:c>
      <x:c r="H16" s="11" t="n">
        <x:f>'Option source'!B695</x:f>
        <x:v>97.41</x:v>
      </x:c>
      <x:c r="I16" s="11" t="n">
        <x:f>'Option source'!B714</x:f>
        <x:v>150.25</x:v>
      </x:c>
      <x:c r="J16" s="11" t="n">
        <x:f>G16-2*H16+IF(B16="Butterfly",I16,0)</x:f>
        <x:v>12.25</x:v>
      </x:c>
      <x:c r="K16" s="11" t="n">
        <x:f>ABS(E16-D16)</x:f>
        <x:v>200</x:v>
      </x:c>
      <x:c r="L16" s="11" t="n">
        <x:f>K16-J16</x:f>
        <x:v>187.75</x:v>
      </x:c>
      <x:c r="M16" s="11" t="n">
        <x:f>IF(B16="Butterfly",MAX(J16,0),IF(C16="call","Unlimited",MAX(2*E16-D16+J16,J16,0)))</x:f>
        <x:v>12.25</x:v>
      </x:c>
      <x:c r="N16" s="11" t="n">
        <x:f>IF(B16="Butterfly",IF(AND(J16&gt;0,J16&lt;K16),D16+J16,"n.a."),IF(C16="call",IF(AND(J16&gt;0,J16&lt;K16),D16+J16,"n.a."),IF(AND(K16&gt;J16,2*E16-D16+J16&gt;=0),2*E16-D16+J16,"n.a.")))</x:f>
        <x:v>6012.25</x:v>
      </x:c>
      <x:c r="O16" s="11" t="n">
        <x:f>IF(B16="Butterfly",IF(AND(J16&gt;0,J16&lt;K16),F16-J16,"n.a."),IF(C16="call",IF(K16&gt;J16,2*E16-D16-J16,"n.a."),IF(AND(J16&gt;0,J16&lt;K16),D16-J16,"n.a.")))</x:f>
        <x:v>6387.75</x:v>
      </x:c>
      <x:c r="P16" s="19" t="n">
        <x:f>IF(AND(B16="Butterfly",J16&gt;0,J16&lt;K16),L16/J16,"n.a.")</x:f>
        <x:v>15.326530612244898</x:v>
      </x:c>
      <x:c r="Q16" s="11" t="n">
        <x:f>J16*'Model inputs'!$B$8</x:f>
        <x:v>1225</x:v>
      </x:c>
      <x:c r="R16" s="1" t="str">
        <x:v>Indicative only</x:v>
      </x:c>
      <x:c r="S16" s="1" t="n">
        <x:v>671</x:v>
      </x:c>
      <x:c r="T16" s="1" t="n">
        <x:v>690</x:v>
      </x:c>
    </x:row>
    <x:row r="17" ht="21" customHeight="1">
      <x:c r="A17" s="12" t="n">
        <x:v>46281</x:v>
      </x:c>
      <x:c r="B17" s="1" t="str">
        <x:v>Butterfly</x:v>
      </x:c>
      <x:c r="C17" s="1" t="str">
        <x:v>call</x:v>
      </x:c>
      <x:c r="D17" s="11" t="n">
        <x:v>7200</x:v>
      </x:c>
      <x:c r="E17" s="11" t="n">
        <x:v>7400</x:v>
      </x:c>
      <x:c r="F17" s="11" t="n">
        <x:v>7600</x:v>
      </x:c>
      <x:c r="G17" s="11" t="n">
        <x:f>'Option source'!B296</x:f>
        <x:v>213.18</x:v>
      </x:c>
      <x:c r="H17" s="11" t="n">
        <x:f>'Option source'!B315</x:f>
        <x:v>157.14</x:v>
      </x:c>
      <x:c r="I17" s="11" t="n">
        <x:f>'Option source'!B334</x:f>
        <x:v>107.66</x:v>
      </x:c>
      <x:c r="J17" s="11" t="n">
        <x:f>G17-2*H17+IF(B17="Butterfly",I17,0)</x:f>
        <x:v>6.560000000000031</x:v>
      </x:c>
      <x:c r="K17" s="11" t="n">
        <x:f>ABS(E17-D17)</x:f>
        <x:v>200</x:v>
      </x:c>
      <x:c r="L17" s="11" t="n">
        <x:f>K17-J17</x:f>
        <x:v>193.43999999999997</x:v>
      </x:c>
      <x:c r="M17" s="11" t="n">
        <x:f>IF(B17="Butterfly",MAX(J17,0),IF(C17="call","Unlimited",MAX(2*E17-D17+J17,J17,0)))</x:f>
        <x:v>6.560000000000031</x:v>
      </x:c>
      <x:c r="N17" s="11" t="n">
        <x:f>IF(B17="Butterfly",IF(AND(J17&gt;0,J17&lt;K17),D17+J17,"n.a."),IF(C17="call",IF(AND(J17&gt;0,J17&lt;K17),D17+J17,"n.a."),IF(AND(K17&gt;J17,2*E17-D17+J17&gt;=0),2*E17-D17+J17,"n.a.")))</x:f>
        <x:v>7206.56</x:v>
      </x:c>
      <x:c r="O17" s="11" t="n">
        <x:f>IF(B17="Butterfly",IF(AND(J17&gt;0,J17&lt;K17),F17-J17,"n.a."),IF(C17="call",IF(K17&gt;J17,2*E17-D17-J17,"n.a."),IF(AND(J17&gt;0,J17&lt;K17),D17-J17,"n.a.")))</x:f>
        <x:v>7593.44</x:v>
      </x:c>
      <x:c r="P17" s="19" t="n">
        <x:f>IF(AND(B17="Butterfly",J17&gt;0,J17&lt;K17),L17/J17,"n.a.")</x:f>
        <x:v>29.48780487804864</x:v>
      </x:c>
      <x:c r="Q17" s="11" t="n">
        <x:f>J17*'Model inputs'!$B$8</x:f>
        <x:v>656.0000000000031</x:v>
      </x:c>
      <x:c r="R17" s="1" t="str">
        <x:v>Indicative only</x:v>
      </x:c>
      <x:c r="S17" s="1" t="n">
        <x:v>291</x:v>
      </x:c>
      <x:c r="T17" s="1" t="n">
        <x:v>310</x:v>
      </x:c>
    </x:row>
    <x:row r="18" ht="21" customHeight="1">
      <x:c r="A18" s="12" t="n">
        <x:v>46281</x:v>
      </x:c>
      <x:c r="B18" s="1" t="str">
        <x:v>Butterfly</x:v>
      </x:c>
      <x:c r="C18" s="1" t="str">
        <x:v>put</x:v>
      </x:c>
      <x:c r="D18" s="11" t="n">
        <x:v>7200</x:v>
      </x:c>
      <x:c r="E18" s="11" t="n">
        <x:v>7400</x:v>
      </x:c>
      <x:c r="F18" s="11" t="n">
        <x:v>7600</x:v>
      </x:c>
      <x:c r="G18" s="11" t="n">
        <x:f>'Option source'!B790</x:f>
        <x:v>550.35</x:v>
      </x:c>
      <x:c r="H18" s="11" t="n">
        <x:f>'Option source'!B809</x:f>
        <x:v>677.83</x:v>
      </x:c>
      <x:c r="I18" s="11" t="n">
        <x:f>'Option source'!B828</x:f>
        <x:v>857</x:v>
      </x:c>
      <x:c r="J18" s="11" t="n">
        <x:f>G18-2*H18+IF(B18="Butterfly",I18,0)</x:f>
        <x:v>51.68999999999994</x:v>
      </x:c>
      <x:c r="K18" s="11" t="n">
        <x:f>ABS(E18-D18)</x:f>
        <x:v>200</x:v>
      </x:c>
      <x:c r="L18" s="11" t="n">
        <x:f>K18-J18</x:f>
        <x:v>148.31000000000006</x:v>
      </x:c>
      <x:c r="M18" s="11" t="n">
        <x:f>IF(B18="Butterfly",MAX(J18,0),IF(C18="call","Unlimited",MAX(2*E18-D18+J18,J18,0)))</x:f>
        <x:v>51.68999999999994</x:v>
      </x:c>
      <x:c r="N18" s="11" t="n">
        <x:f>IF(B18="Butterfly",IF(AND(J18&gt;0,J18&lt;K18),D18+J18,"n.a."),IF(C18="call",IF(AND(J18&gt;0,J18&lt;K18),D18+J18,"n.a."),IF(AND(K18&gt;J18,2*E18-D18+J18&gt;=0),2*E18-D18+J18,"n.a.")))</x:f>
        <x:v>7251.69</x:v>
      </x:c>
      <x:c r="O18" s="11" t="n">
        <x:f>IF(B18="Butterfly",IF(AND(J18&gt;0,J18&lt;K18),F18-J18,"n.a."),IF(C18="call",IF(K18&gt;J18,2*E18-D18-J18,"n.a."),IF(AND(J18&gt;0,J18&lt;K18),D18-J18,"n.a.")))</x:f>
        <x:v>7548.31</x:v>
      </x:c>
      <x:c r="P18" s="19" t="n">
        <x:f>IF(AND(B18="Butterfly",J18&gt;0,J18&lt;K18),L18/J18,"n.a.")</x:f>
        <x:v>2.8692203520990565</x:v>
      </x:c>
      <x:c r="Q18" s="11" t="n">
        <x:f>J18*'Model inputs'!$B$8</x:f>
        <x:v>5168.9999999999945</x:v>
      </x:c>
      <x:c r="R18" s="1" t="str">
        <x:v>Indicative only</x:v>
      </x:c>
      <x:c r="S18" s="1" t="n">
        <x:v>785</x:v>
      </x:c>
      <x:c r="T18" s="1" t="n">
        <x:v>804</x:v>
      </x:c>
    </x:row>
    <x:row r="19" ht="21" customHeight="1">
      <x:c r="A19" s="12" t="n">
        <x:v>46281</x:v>
      </x:c>
      <x:c r="B19" s="1" t="str">
        <x:v>Butterfly</x:v>
      </x:c>
      <x:c r="C19" s="1" t="str">
        <x:v>put</x:v>
      </x:c>
      <x:c r="D19" s="11" t="n">
        <x:v>5800</x:v>
      </x:c>
      <x:c r="E19" s="11" t="n">
        <x:v>6000</x:v>
      </x:c>
      <x:c r="F19" s="11" t="n">
        <x:v>6200</x:v>
      </x:c>
      <x:c r="G19" s="11" t="n">
        <x:f>'Option source'!B657</x:f>
        <x:v>31.98</x:v>
      </x:c>
      <x:c r="H19" s="11" t="n">
        <x:f>'Option source'!B676</x:f>
        <x:v>56.82</x:v>
      </x:c>
      <x:c r="I19" s="11" t="n">
        <x:f>'Option source'!B695</x:f>
        <x:v>97.41</x:v>
      </x:c>
      <x:c r="J19" s="11" t="n">
        <x:f>G19-2*H19+IF(B19="Butterfly",I19,0)</x:f>
        <x:v>15.75</x:v>
      </x:c>
      <x:c r="K19" s="11" t="n">
        <x:f>ABS(E19-D19)</x:f>
        <x:v>200</x:v>
      </x:c>
      <x:c r="L19" s="11" t="n">
        <x:f>K19-J19</x:f>
        <x:v>184.25</x:v>
      </x:c>
      <x:c r="M19" s="11" t="n">
        <x:f>IF(B19="Butterfly",MAX(J19,0),IF(C19="call","Unlimited",MAX(2*E19-D19+J19,J19,0)))</x:f>
        <x:v>15.75</x:v>
      </x:c>
      <x:c r="N19" s="11" t="n">
        <x:f>IF(B19="Butterfly",IF(AND(J19&gt;0,J19&lt;K19),D19+J19,"n.a."),IF(C19="call",IF(AND(J19&gt;0,J19&lt;K19),D19+J19,"n.a."),IF(AND(K19&gt;J19,2*E19-D19+J19&gt;=0),2*E19-D19+J19,"n.a.")))</x:f>
        <x:v>5815.75</x:v>
      </x:c>
      <x:c r="O19" s="11" t="n">
        <x:f>IF(B19="Butterfly",IF(AND(J19&gt;0,J19&lt;K19),F19-J19,"n.a."),IF(C19="call",IF(K19&gt;J19,2*E19-D19-J19,"n.a."),IF(AND(J19&gt;0,J19&lt;K19),D19-J19,"n.a.")))</x:f>
        <x:v>6184.25</x:v>
      </x:c>
      <x:c r="P19" s="19" t="n">
        <x:f>IF(AND(B19="Butterfly",J19&gt;0,J19&lt;K19),L19/J19,"n.a.")</x:f>
        <x:v>11.698412698412698</x:v>
      </x:c>
      <x:c r="Q19" s="11" t="n">
        <x:f>J19*'Model inputs'!$B$8</x:f>
        <x:v>1575</x:v>
      </x:c>
      <x:c r="R19" s="1" t="str">
        <x:v>Indicative only</x:v>
      </x:c>
      <x:c r="S19" s="1" t="n">
        <x:v>652</x:v>
      </x:c>
      <x:c r="T19" s="1" t="n">
        <x:v>671</x:v>
      </x:c>
    </x:row>
    <x:row r="20" ht="21" customHeight="1">
      <x:c r="A20" s="12" t="n">
        <x:v>46281</x:v>
      </x:c>
      <x:c r="B20" s="1" t="str">
        <x:v>Butterfly</x:v>
      </x:c>
      <x:c r="C20" s="1" t="str">
        <x:v>call</x:v>
      </x:c>
      <x:c r="D20" s="11" t="n">
        <x:v>7400</x:v>
      </x:c>
      <x:c r="E20" s="11" t="n">
        <x:v>7600</x:v>
      </x:c>
      <x:c r="F20" s="11" t="n">
        <x:v>7800</x:v>
      </x:c>
      <x:c r="G20" s="11" t="n">
        <x:f>'Option source'!B315</x:f>
        <x:v>157.14</x:v>
      </x:c>
      <x:c r="H20" s="11" t="n">
        <x:f>'Option source'!B334</x:f>
        <x:v>107.66</x:v>
      </x:c>
      <x:c r="I20" s="11" t="n">
        <x:f>'Option source'!B353</x:f>
        <x:v>75.86</x:v>
      </x:c>
      <x:c r="J20" s="11" t="n">
        <x:f>G20-2*H20+IF(B20="Butterfly",I20,0)</x:f>
        <x:v>17.679999999999993</x:v>
      </x:c>
      <x:c r="K20" s="11" t="n">
        <x:f>ABS(E20-D20)</x:f>
        <x:v>200</x:v>
      </x:c>
      <x:c r="L20" s="11" t="n">
        <x:f>K20-J20</x:f>
        <x:v>182.32</x:v>
      </x:c>
      <x:c r="M20" s="11" t="n">
        <x:f>IF(B20="Butterfly",MAX(J20,0),IF(C20="call","Unlimited",MAX(2*E20-D20+J20,J20,0)))</x:f>
        <x:v>17.679999999999993</x:v>
      </x:c>
      <x:c r="N20" s="11" t="n">
        <x:f>IF(B20="Butterfly",IF(AND(J20&gt;0,J20&lt;K20),D20+J20,"n.a."),IF(C20="call",IF(AND(J20&gt;0,J20&lt;K20),D20+J20,"n.a."),IF(AND(K20&gt;J20,2*E20-D20+J20&gt;=0),2*E20-D20+J20,"n.a.")))</x:f>
        <x:v>7417.68</x:v>
      </x:c>
      <x:c r="O20" s="11" t="n">
        <x:f>IF(B20="Butterfly",IF(AND(J20&gt;0,J20&lt;K20),F20-J20,"n.a."),IF(C20="call",IF(K20&gt;J20,2*E20-D20-J20,"n.a."),IF(AND(J20&gt;0,J20&lt;K20),D20-J20,"n.a.")))</x:f>
        <x:v>7782.32</x:v>
      </x:c>
      <x:c r="P20" s="19" t="n">
        <x:f>IF(AND(B20="Butterfly",J20&gt;0,J20&lt;K20),L20/J20,"n.a.")</x:f>
        <x:v>10.31221719457014</x:v>
      </x:c>
      <x:c r="Q20" s="11" t="n">
        <x:f>J20*'Model inputs'!$B$8</x:f>
        <x:v>1767.9999999999993</x:v>
      </x:c>
      <x:c r="R20" s="1" t="str">
        <x:v>Indicative only</x:v>
      </x:c>
      <x:c r="S20" s="1" t="n">
        <x:v>310</x:v>
      </x:c>
      <x:c r="T20" s="1" t="n">
        <x:v>329</x:v>
      </x:c>
    </x:row>
    <x:row r="21" ht="21" customHeight="1">
      <x:c r="A21" s="12" t="n">
        <x:v>46281</x:v>
      </x:c>
      <x:c r="B21" s="1" t="str">
        <x:v>Butterfly</x:v>
      </x:c>
      <x:c r="C21" s="1" t="str">
        <x:v>put</x:v>
      </x:c>
      <x:c r="D21" s="11" t="n">
        <x:v>5600</x:v>
      </x:c>
      <x:c r="E21" s="11" t="n">
        <x:v>5800</x:v>
      </x:c>
      <x:c r="F21" s="11" t="n">
        <x:v>6000</x:v>
      </x:c>
      <x:c r="G21" s="11" t="n">
        <x:f>'Option source'!B638</x:f>
        <x:v>17.15</x:v>
      </x:c>
      <x:c r="H21" s="11" t="n">
        <x:f>'Option source'!B657</x:f>
        <x:v>31.98</x:v>
      </x:c>
      <x:c r="I21" s="11" t="n">
        <x:f>'Option source'!B676</x:f>
        <x:v>56.82</x:v>
      </x:c>
      <x:c r="J21" s="11" t="n">
        <x:f>G21-2*H21+IF(B21="Butterfly",I21,0)</x:f>
        <x:v>10.009999999999998</x:v>
      </x:c>
      <x:c r="K21" s="11" t="n">
        <x:f>ABS(E21-D21)</x:f>
        <x:v>200</x:v>
      </x:c>
      <x:c r="L21" s="11" t="n">
        <x:f>K21-J21</x:f>
        <x:v>189.99</x:v>
      </x:c>
      <x:c r="M21" s="11" t="n">
        <x:f>IF(B21="Butterfly",MAX(J21,0),IF(C21="call","Unlimited",MAX(2*E21-D21+J21,J21,0)))</x:f>
        <x:v>10.009999999999998</x:v>
      </x:c>
      <x:c r="N21" s="11" t="n">
        <x:f>IF(B21="Butterfly",IF(AND(J21&gt;0,J21&lt;K21),D21+J21,"n.a."),IF(C21="call",IF(AND(J21&gt;0,J21&lt;K21),D21+J21,"n.a."),IF(AND(K21&gt;J21,2*E21-D21+J21&gt;=0),2*E21-D21+J21,"n.a.")))</x:f>
        <x:v>5610.01</x:v>
      </x:c>
      <x:c r="O21" s="11" t="n">
        <x:f>IF(B21="Butterfly",IF(AND(J21&gt;0,J21&lt;K21),F21-J21,"n.a."),IF(C21="call",IF(K21&gt;J21,2*E21-D21-J21,"n.a."),IF(AND(J21&gt;0,J21&lt;K21),D21-J21,"n.a.")))</x:f>
        <x:v>5989.99</x:v>
      </x:c>
      <x:c r="P21" s="19" t="n">
        <x:f>IF(AND(B21="Butterfly",J21&gt;0,J21&lt;K21),L21/J21,"n.a.")</x:f>
        <x:v>18.980019980019986</x:v>
      </x:c>
      <x:c r="Q21" s="11" t="n">
        <x:f>J21*'Model inputs'!$B$8</x:f>
        <x:v>1000.9999999999998</x:v>
      </x:c>
      <x:c r="R21" s="1" t="str">
        <x:v>Indicative only</x:v>
      </x:c>
      <x:c r="S21" s="1" t="n">
        <x:v>633</x:v>
      </x:c>
      <x:c r="T21" s="1" t="n">
        <x:v>652</x:v>
      </x:c>
    </x:row>
    <x:row r="22" ht="21" customHeight="1">
      <x:c r="A22" s="12" t="n">
        <x:v>46281</x:v>
      </x:c>
      <x:c r="B22" s="1" t="str">
        <x:v>Butterfly</x:v>
      </x:c>
      <x:c r="C22" s="1" t="str">
        <x:v>call</x:v>
      </x:c>
      <x:c r="D22" s="11" t="n">
        <x:v>7600</x:v>
      </x:c>
      <x:c r="E22" s="11" t="n">
        <x:v>7800</x:v>
      </x:c>
      <x:c r="F22" s="11" t="n">
        <x:v>8000</x:v>
      </x:c>
      <x:c r="G22" s="11" t="n">
        <x:f>'Option source'!B334</x:f>
        <x:v>107.66</x:v>
      </x:c>
      <x:c r="H22" s="11" t="n">
        <x:f>'Option source'!B353</x:f>
        <x:v>75.86</x:v>
      </x:c>
      <x:c r="I22" s="11" t="n">
        <x:f>'Option source'!B372</x:f>
        <x:v>54.71</x:v>
      </x:c>
      <x:c r="J22" s="11" t="n">
        <x:f>G22-2*H22+IF(B22="Butterfly",I22,0)</x:f>
        <x:v>10.649999999999999</x:v>
      </x:c>
      <x:c r="K22" s="11" t="n">
        <x:f>ABS(E22-D22)</x:f>
        <x:v>200</x:v>
      </x:c>
      <x:c r="L22" s="11" t="n">
        <x:f>K22-J22</x:f>
        <x:v>189.35</x:v>
      </x:c>
      <x:c r="M22" s="11" t="n">
        <x:f>IF(B22="Butterfly",MAX(J22,0),IF(C22="call","Unlimited",MAX(2*E22-D22+J22,J22,0)))</x:f>
        <x:v>10.649999999999999</x:v>
      </x:c>
      <x:c r="N22" s="11" t="n">
        <x:f>IF(B22="Butterfly",IF(AND(J22&gt;0,J22&lt;K22),D22+J22,"n.a."),IF(C22="call",IF(AND(J22&gt;0,J22&lt;K22),D22+J22,"n.a."),IF(AND(K22&gt;J22,2*E22-D22+J22&gt;=0),2*E22-D22+J22,"n.a.")))</x:f>
        <x:v>7610.65</x:v>
      </x:c>
      <x:c r="O22" s="11" t="n">
        <x:f>IF(B22="Butterfly",IF(AND(J22&gt;0,J22&lt;K22),F22-J22,"n.a."),IF(C22="call",IF(K22&gt;J22,2*E22-D22-J22,"n.a."),IF(AND(J22&gt;0,J22&lt;K22),D22-J22,"n.a.")))</x:f>
        <x:v>7989.35</x:v>
      </x:c>
      <x:c r="P22" s="19" t="n">
        <x:f>IF(AND(B22="Butterfly",J22&gt;0,J22&lt;K22),L22/J22,"n.a.")</x:f>
        <x:v>17.779342723004696</x:v>
      </x:c>
      <x:c r="Q22" s="11" t="n">
        <x:f>J22*'Model inputs'!$B$8</x:f>
        <x:v>1064.9999999999998</x:v>
      </x:c>
      <x:c r="R22" s="1" t="str">
        <x:v>Indicative only</x:v>
      </x:c>
      <x:c r="S22" s="1" t="n">
        <x:v>329</x:v>
      </x:c>
      <x:c r="T22" s="1" t="n">
        <x:v>348</x:v>
      </x:c>
    </x:row>
    <x:row r="23" ht="21" customHeight="1">
      <x:c r="A23" s="12" t="n">
        <x:v>46281</x:v>
      </x:c>
      <x:c r="B23" s="1" t="str">
        <x:v>Butterfly</x:v>
      </x:c>
      <x:c r="C23" s="1" t="str">
        <x:v>put</x:v>
      </x:c>
      <x:c r="D23" s="11" t="n">
        <x:v>5400</x:v>
      </x:c>
      <x:c r="E23" s="11" t="n">
        <x:v>5600</x:v>
      </x:c>
      <x:c r="F23" s="11" t="n">
        <x:v>5800</x:v>
      </x:c>
      <x:c r="G23" s="11" t="n">
        <x:f>'Option source'!B619</x:f>
        <x:v>9.02</x:v>
      </x:c>
      <x:c r="H23" s="11" t="n">
        <x:f>'Option source'!B638</x:f>
        <x:v>17.15</x:v>
      </x:c>
      <x:c r="I23" s="11" t="n">
        <x:f>'Option source'!B657</x:f>
        <x:v>31.98</x:v>
      </x:c>
      <x:c r="J23" s="11" t="n">
        <x:f>G23-2*H23+IF(B23="Butterfly",I23,0)</x:f>
        <x:v>6.700000000000003</x:v>
      </x:c>
      <x:c r="K23" s="11" t="n">
        <x:f>ABS(E23-D23)</x:f>
        <x:v>200</x:v>
      </x:c>
      <x:c r="L23" s="11" t="n">
        <x:f>K23-J23</x:f>
        <x:v>193.3</x:v>
      </x:c>
      <x:c r="M23" s="11" t="n">
        <x:f>IF(B23="Butterfly",MAX(J23,0),IF(C23="call","Unlimited",MAX(2*E23-D23+J23,J23,0)))</x:f>
        <x:v>6.700000000000003</x:v>
      </x:c>
      <x:c r="N23" s="11" t="n">
        <x:f>IF(B23="Butterfly",IF(AND(J23&gt;0,J23&lt;K23),D23+J23,"n.a."),IF(C23="call",IF(AND(J23&gt;0,J23&lt;K23),D23+J23,"n.a."),IF(AND(K23&gt;J23,2*E23-D23+J23&gt;=0),2*E23-D23+J23,"n.a.")))</x:f>
        <x:v>5406.7</x:v>
      </x:c>
      <x:c r="O23" s="11" t="n">
        <x:f>IF(B23="Butterfly",IF(AND(J23&gt;0,J23&lt;K23),F23-J23,"n.a."),IF(C23="call",IF(K23&gt;J23,2*E23-D23-J23,"n.a."),IF(AND(J23&gt;0,J23&lt;K23),D23-J23,"n.a.")))</x:f>
        <x:v>5793.3</x:v>
      </x:c>
      <x:c r="P23" s="19" t="n">
        <x:f>IF(AND(B23="Butterfly",J23&gt;0,J23&lt;K23),L23/J23,"n.a.")</x:f>
        <x:v>28.850746268656707</x:v>
      </x:c>
      <x:c r="Q23" s="11" t="n">
        <x:f>J23*'Model inputs'!$B$8</x:f>
        <x:v>670.0000000000002</x:v>
      </x:c>
      <x:c r="R23" s="1" t="str">
        <x:v>Indicative only</x:v>
      </x:c>
      <x:c r="S23" s="1" t="n">
        <x:v>614</x:v>
      </x:c>
      <x:c r="T23" s="1" t="n">
        <x:v>633</x:v>
      </x:c>
    </x:row>
    <x:row r="24" ht="21" customHeight="1">
      <x:c r="A24" s="12" t="n">
        <x:v>46281</x:v>
      </x:c>
      <x:c r="B24" s="1" t="str">
        <x:v>Butterfly</x:v>
      </x:c>
      <x:c r="C24" s="1" t="str">
        <x:v>put</x:v>
      </x:c>
      <x:c r="D24" s="11" t="n">
        <x:v>5200</x:v>
      </x:c>
      <x:c r="E24" s="11" t="n">
        <x:v>5400</x:v>
      </x:c>
      <x:c r="F24" s="11" t="n">
        <x:v>5600</x:v>
      </x:c>
      <x:c r="G24" s="11" t="n">
        <x:f>'Option source'!B600</x:f>
        <x:v>6.01</x:v>
      </x:c>
      <x:c r="H24" s="11" t="n">
        <x:f>'Option source'!B619</x:f>
        <x:v>9.02</x:v>
      </x:c>
      <x:c r="I24" s="11" t="n">
        <x:f>'Option source'!B638</x:f>
        <x:v>17.15</x:v>
      </x:c>
      <x:c r="J24" s="11" t="n">
        <x:f>G24-2*H24+IF(B24="Butterfly",I24,0)</x:f>
        <x:v>5.119999999999999</x:v>
      </x:c>
      <x:c r="K24" s="11" t="n">
        <x:f>ABS(E24-D24)</x:f>
        <x:v>200</x:v>
      </x:c>
      <x:c r="L24" s="11" t="n">
        <x:f>K24-J24</x:f>
        <x:v>194.88</x:v>
      </x:c>
      <x:c r="M24" s="11" t="n">
        <x:f>IF(B24="Butterfly",MAX(J24,0),IF(C24="call","Unlimited",MAX(2*E24-D24+J24,J24,0)))</x:f>
        <x:v>5.119999999999999</x:v>
      </x:c>
      <x:c r="N24" s="11" t="n">
        <x:f>IF(B24="Butterfly",IF(AND(J24&gt;0,J24&lt;K24),D24+J24,"n.a."),IF(C24="call",IF(AND(J24&gt;0,J24&lt;K24),D24+J24,"n.a."),IF(AND(K24&gt;J24,2*E24-D24+J24&gt;=0),2*E24-D24+J24,"n.a.")))</x:f>
        <x:v>5205.12</x:v>
      </x:c>
      <x:c r="O24" s="11" t="n">
        <x:f>IF(B24="Butterfly",IF(AND(J24&gt;0,J24&lt;K24),F24-J24,"n.a."),IF(C24="call",IF(K24&gt;J24,2*E24-D24-J24,"n.a."),IF(AND(J24&gt;0,J24&lt;K24),D24-J24,"n.a.")))</x:f>
        <x:v>5594.88</x:v>
      </x:c>
      <x:c r="P24" s="19" t="n">
        <x:f>IF(AND(B24="Butterfly",J24&gt;0,J24&lt;K24),L24/J24,"n.a.")</x:f>
        <x:v>38.06250000000001</x:v>
      </x:c>
      <x:c r="Q24" s="11" t="n">
        <x:f>J24*'Model inputs'!$B$8</x:f>
        <x:v>511.99999999999994</x:v>
      </x:c>
      <x:c r="R24" s="1" t="str">
        <x:v>Indicative only</x:v>
      </x:c>
      <x:c r="S24" s="1" t="n">
        <x:v>595</x:v>
      </x:c>
      <x:c r="T24" s="1" t="n">
        <x:v>614</x:v>
      </x:c>
    </x:row>
    <x:row r="25" ht="21" customHeight="1">
      <x:c r="A25" s="12" t="n">
        <x:v>46281</x:v>
      </x:c>
      <x:c r="B25" s="1" t="str">
        <x:v>Butterfly</x:v>
      </x:c>
      <x:c r="C25" s="1" t="str">
        <x:v>call</x:v>
      </x:c>
      <x:c r="D25" s="11" t="n">
        <x:v>8000</x:v>
      </x:c>
      <x:c r="E25" s="11" t="n">
        <x:v>8300</x:v>
      </x:c>
      <x:c r="F25" s="11" t="n">
        <x:v>8600</x:v>
      </x:c>
      <x:c r="G25" s="11" t="n">
        <x:f>'Option source'!B372</x:f>
        <x:v>54.71</x:v>
      </x:c>
      <x:c r="H25" s="11" t="n">
        <x:f>'Option source'!B391</x:f>
        <x:v>32.2</x:v>
      </x:c>
      <x:c r="I25" s="11" t="n">
        <x:f>'Option source'!B410</x:f>
        <x:v>17.94</x:v>
      </x:c>
      <x:c r="J25" s="11" t="n">
        <x:f>G25-2*H25+IF(B25="Butterfly",I25,0)</x:f>
        <x:v>8.249999999999996</x:v>
      </x:c>
      <x:c r="K25" s="11" t="n">
        <x:f>ABS(E25-D25)</x:f>
        <x:v>300</x:v>
      </x:c>
      <x:c r="L25" s="11" t="n">
        <x:f>K25-J25</x:f>
        <x:v>291.75</x:v>
      </x:c>
      <x:c r="M25" s="11" t="n">
        <x:f>IF(B25="Butterfly",MAX(J25,0),IF(C25="call","Unlimited",MAX(2*E25-D25+J25,J25,0)))</x:f>
        <x:v>8.249999999999996</x:v>
      </x:c>
      <x:c r="N25" s="11" t="n">
        <x:f>IF(B25="Butterfly",IF(AND(J25&gt;0,J25&lt;K25),D25+J25,"n.a."),IF(C25="call",IF(AND(J25&gt;0,J25&lt;K25),D25+J25,"n.a."),IF(AND(K25&gt;J25,2*E25-D25+J25&gt;=0),2*E25-D25+J25,"n.a.")))</x:f>
        <x:v>8008.25</x:v>
      </x:c>
      <x:c r="O25" s="11" t="n">
        <x:f>IF(B25="Butterfly",IF(AND(J25&gt;0,J25&lt;K25),F25-J25,"n.a."),IF(C25="call",IF(K25&gt;J25,2*E25-D25-J25,"n.a."),IF(AND(J25&gt;0,J25&lt;K25),D25-J25,"n.a.")))</x:f>
        <x:v>8591.75</x:v>
      </x:c>
      <x:c r="P25" s="19" t="n">
        <x:f>IF(AND(B25="Butterfly",J25&gt;0,J25&lt;K25),L25/J25,"n.a.")</x:f>
        <x:v>35.36363636363638</x:v>
      </x:c>
      <x:c r="Q25" s="11" t="n">
        <x:f>J25*'Model inputs'!$B$8</x:f>
        <x:v>824.9999999999997</x:v>
      </x:c>
      <x:c r="R25" s="1" t="str">
        <x:v>Indicative only</x:v>
      </x:c>
      <x:c r="S25" s="1" t="n">
        <x:v>367</x:v>
      </x:c>
      <x:c r="T25" s="1" t="n">
        <x:v>386</x:v>
      </x:c>
    </x:row>
    <x:row r="26" ht="21" customHeight="1">
      <x:c r="A26" s="12" t="n">
        <x:v>46281</x:v>
      </x:c>
      <x:c r="B26" s="1" t="str">
        <x:v>Butterfly</x:v>
      </x:c>
      <x:c r="C26" s="1" t="str">
        <x:v>put</x:v>
      </x:c>
      <x:c r="D26" s="11" t="n">
        <x:v>5000</x:v>
      </x:c>
      <x:c r="E26" s="11" t="n">
        <x:v>5200</x:v>
      </x:c>
      <x:c r="F26" s="11" t="n">
        <x:v>5400</x:v>
      </x:c>
      <x:c r="G26" s="11" t="n">
        <x:f>'Option source'!B581</x:f>
        <x:v>3.18</x:v>
      </x:c>
      <x:c r="H26" s="11" t="n">
        <x:f>'Option source'!B600</x:f>
        <x:v>6.01</x:v>
      </x:c>
      <x:c r="I26" s="11" t="n">
        <x:f>'Option source'!B619</x:f>
        <x:v>9.02</x:v>
      </x:c>
      <x:c r="J26" s="11" t="n">
        <x:f>G26-2*H26+IF(B26="Butterfly",I26,0)</x:f>
        <x:v>0.17999999999999972</x:v>
      </x:c>
      <x:c r="K26" s="11" t="n">
        <x:f>ABS(E26-D26)</x:f>
        <x:v>200</x:v>
      </x:c>
      <x:c r="L26" s="11" t="n">
        <x:f>K26-J26</x:f>
        <x:v>199.82</x:v>
      </x:c>
      <x:c r="M26" s="11" t="n">
        <x:f>IF(B26="Butterfly",MAX(J26,0),IF(C26="call","Unlimited",MAX(2*E26-D26+J26,J26,0)))</x:f>
        <x:v>0.17999999999999972</x:v>
      </x:c>
      <x:c r="N26" s="11" t="n">
        <x:f>IF(B26="Butterfly",IF(AND(J26&gt;0,J26&lt;K26),D26+J26,"n.a."),IF(C26="call",IF(AND(J26&gt;0,J26&lt;K26),D26+J26,"n.a."),IF(AND(K26&gt;J26,2*E26-D26+J26&gt;=0),2*E26-D26+J26,"n.a.")))</x:f>
        <x:v>5000.18</x:v>
      </x:c>
      <x:c r="O26" s="11" t="n">
        <x:f>IF(B26="Butterfly",IF(AND(J26&gt;0,J26&lt;K26),F26-J26,"n.a."),IF(C26="call",IF(K26&gt;J26,2*E26-D26-J26,"n.a."),IF(AND(J26&gt;0,J26&lt;K26),D26-J26,"n.a.")))</x:f>
        <x:v>5399.82</x:v>
      </x:c>
      <x:c r="P26" s="19" t="n">
        <x:f>IF(AND(B26="Butterfly",J26&gt;0,J26&lt;K26),L26/J26,"n.a.")</x:f>
        <x:v>1110.111111111113</x:v>
      </x:c>
      <x:c r="Q26" s="11" t="n">
        <x:f>J26*'Model inputs'!$B$8</x:f>
        <x:v>17.99999999999997</x:v>
      </x:c>
      <x:c r="R26" s="1" t="str">
        <x:v>Indicative only</x:v>
      </x:c>
      <x:c r="S26" s="1" t="n">
        <x:v>576</x:v>
      </x:c>
      <x:c r="T26" s="1" t="n">
        <x:v>595</x:v>
      </x:c>
    </x:row>
    <x:row r="27" ht="21" customHeight="1">
      <x:c r="A27" s="12" t="n">
        <x:v>46281</x:v>
      </x:c>
      <x:c r="B27" s="1" t="str">
        <x:v>Butterfly</x:v>
      </x:c>
      <x:c r="C27" s="1" t="str">
        <x:v>put</x:v>
      </x:c>
      <x:c r="D27" s="11" t="n">
        <x:v>4800</x:v>
      </x:c>
      <x:c r="E27" s="11" t="n">
        <x:v>5000</x:v>
      </x:c>
      <x:c r="F27" s="11" t="n">
        <x:v>5200</x:v>
      </x:c>
      <x:c r="G27" s="11" t="n">
        <x:f>'Option source'!B562</x:f>
        <x:v>1.93</x:v>
      </x:c>
      <x:c r="H27" s="11" t="n">
        <x:f>'Option source'!B581</x:f>
        <x:v>3.18</x:v>
      </x:c>
      <x:c r="I27" s="11" t="n">
        <x:f>'Option source'!B600</x:f>
        <x:v>6.01</x:v>
      </x:c>
      <x:c r="J27" s="11" t="n">
        <x:f>G27-2*H27+IF(B27="Butterfly",I27,0)</x:f>
        <x:v>1.5799999999999992</x:v>
      </x:c>
      <x:c r="K27" s="11" t="n">
        <x:f>ABS(E27-D27)</x:f>
        <x:v>200</x:v>
      </x:c>
      <x:c r="L27" s="11" t="n">
        <x:f>K27-J27</x:f>
        <x:v>198.42</x:v>
      </x:c>
      <x:c r="M27" s="11" t="n">
        <x:f>IF(B27="Butterfly",MAX(J27,0),IF(C27="call","Unlimited",MAX(2*E27-D27+J27,J27,0)))</x:f>
        <x:v>1.5799999999999992</x:v>
      </x:c>
      <x:c r="N27" s="11" t="n">
        <x:f>IF(B27="Butterfly",IF(AND(J27&gt;0,J27&lt;K27),D27+J27,"n.a."),IF(C27="call",IF(AND(J27&gt;0,J27&lt;K27),D27+J27,"n.a."),IF(AND(K27&gt;J27,2*E27-D27+J27&gt;=0),2*E27-D27+J27,"n.a.")))</x:f>
        <x:v>4801.58</x:v>
      </x:c>
      <x:c r="O27" s="11" t="n">
        <x:f>IF(B27="Butterfly",IF(AND(J27&gt;0,J27&lt;K27),F27-J27,"n.a."),IF(C27="call",IF(K27&gt;J27,2*E27-D27-J27,"n.a."),IF(AND(J27&gt;0,J27&lt;K27),D27-J27,"n.a.")))</x:f>
        <x:v>5198.42</x:v>
      </x:c>
      <x:c r="P27" s="19" t="n">
        <x:f>IF(AND(B27="Butterfly",J27&gt;0,J27&lt;K27),L27/J27,"n.a.")</x:f>
        <x:v>125.58227848101272</x:v>
      </x:c>
      <x:c r="Q27" s="11" t="n">
        <x:f>J27*'Model inputs'!$B$8</x:f>
        <x:v>157.99999999999991</x:v>
      </x:c>
      <x:c r="R27" s="1" t="str">
        <x:v>Indicative only</x:v>
      </x:c>
      <x:c r="S27" s="1" t="n">
        <x:v>557</x:v>
      </x:c>
      <x:c r="T27" s="1" t="n">
        <x:v>576</x:v>
      </x:c>
    </x:row>
    <x:row r="28" ht="21" customHeight="1">
      <x:c r="A28" s="12" t="n">
        <x:v>46281</x:v>
      </x:c>
      <x:c r="B28" s="1" t="str">
        <x:v>Butterfly</x:v>
      </x:c>
      <x:c r="C28" s="1" t="str">
        <x:v>call</x:v>
      </x:c>
      <x:c r="D28" s="11" t="n">
        <x:v>8300</x:v>
      </x:c>
      <x:c r="E28" s="11" t="n">
        <x:v>8600</x:v>
      </x:c>
      <x:c r="F28" s="11" t="n">
        <x:v>8900</x:v>
      </x:c>
      <x:c r="G28" s="11" t="n">
        <x:f>'Option source'!B391</x:f>
        <x:v>32.2</x:v>
      </x:c>
      <x:c r="H28" s="11" t="n">
        <x:f>'Option source'!B410</x:f>
        <x:v>17.94</x:v>
      </x:c>
      <x:c r="I28" s="11" t="n">
        <x:f>'Option source'!B429</x:f>
        <x:v>9.99</x:v>
      </x:c>
      <x:c r="J28" s="11" t="n">
        <x:f>G28-2*H28+IF(B28="Butterfly",I28,0)</x:f>
        <x:v>6.3100000000000005</x:v>
      </x:c>
      <x:c r="K28" s="11" t="n">
        <x:f>ABS(E28-D28)</x:f>
        <x:v>300</x:v>
      </x:c>
      <x:c r="L28" s="11" t="n">
        <x:f>K28-J28</x:f>
        <x:v>293.69</x:v>
      </x:c>
      <x:c r="M28" s="11" t="n">
        <x:f>IF(B28="Butterfly",MAX(J28,0),IF(C28="call","Unlimited",MAX(2*E28-D28+J28,J28,0)))</x:f>
        <x:v>6.3100000000000005</x:v>
      </x:c>
      <x:c r="N28" s="11" t="n">
        <x:f>IF(B28="Butterfly",IF(AND(J28&gt;0,J28&lt;K28),D28+J28,"n.a."),IF(C28="call",IF(AND(J28&gt;0,J28&lt;K28),D28+J28,"n.a."),IF(AND(K28&gt;J28,2*E28-D28+J28&gt;=0),2*E28-D28+J28,"n.a.")))</x:f>
        <x:v>8306.31</x:v>
      </x:c>
      <x:c r="O28" s="11" t="n">
        <x:f>IF(B28="Butterfly",IF(AND(J28&gt;0,J28&lt;K28),F28-J28,"n.a."),IF(C28="call",IF(K28&gt;J28,2*E28-D28-J28,"n.a."),IF(AND(J28&gt;0,J28&lt;K28),D28-J28,"n.a.")))</x:f>
        <x:v>8893.69</x:v>
      </x:c>
      <x:c r="P28" s="19" t="n">
        <x:f>IF(AND(B28="Butterfly",J28&gt;0,J28&lt;K28),L28/J28,"n.a.")</x:f>
        <x:v>46.543581616481774</x:v>
      </x:c>
      <x:c r="Q28" s="11" t="n">
        <x:f>J28*'Model inputs'!$B$8</x:f>
        <x:v>631</x:v>
      </x:c>
      <x:c r="R28" s="1" t="str">
        <x:v>Indicative only</x:v>
      </x:c>
      <x:c r="S28" s="1" t="n">
        <x:v>386</x:v>
      </x:c>
      <x:c r="T28" s="1" t="n">
        <x:v>405</x:v>
      </x:c>
    </x:row>
    <x:row r="29" ht="21" customHeight="1">
      <x:c r="A29" s="12" t="n">
        <x:v>46281</x:v>
      </x:c>
      <x:c r="B29" s="1" t="str">
        <x:v>Butterfly</x:v>
      </x:c>
      <x:c r="C29" s="1" t="str">
        <x:v>put</x:v>
      </x:c>
      <x:c r="D29" s="11" t="n">
        <x:v>4600</x:v>
      </x:c>
      <x:c r="E29" s="11" t="n">
        <x:v>4800</x:v>
      </x:c>
      <x:c r="F29" s="11" t="n">
        <x:v>5000</x:v>
      </x:c>
      <x:c r="G29" s="11" t="n">
        <x:f>'Option source'!B543</x:f>
        <x:v>1.62</x:v>
      </x:c>
      <x:c r="H29" s="11" t="n">
        <x:f>'Option source'!B562</x:f>
        <x:v>1.93</x:v>
      </x:c>
      <x:c r="I29" s="11" t="n">
        <x:f>'Option source'!B581</x:f>
        <x:v>3.18</x:v>
      </x:c>
      <x:c r="J29" s="11" t="n">
        <x:f>G29-2*H29+IF(B29="Butterfly",I29,0)</x:f>
        <x:v>0.9400000000000004</x:v>
      </x:c>
      <x:c r="K29" s="11" t="n">
        <x:f>ABS(E29-D29)</x:f>
        <x:v>200</x:v>
      </x:c>
      <x:c r="L29" s="11" t="n">
        <x:f>K29-J29</x:f>
        <x:v>199.06</x:v>
      </x:c>
      <x:c r="M29" s="11" t="n">
        <x:f>IF(B29="Butterfly",MAX(J29,0),IF(C29="call","Unlimited",MAX(2*E29-D29+J29,J29,0)))</x:f>
        <x:v>0.9400000000000004</x:v>
      </x:c>
      <x:c r="N29" s="11" t="n">
        <x:f>IF(B29="Butterfly",IF(AND(J29&gt;0,J29&lt;K29),D29+J29,"n.a."),IF(C29="call",IF(AND(J29&gt;0,J29&lt;K29),D29+J29,"n.a."),IF(AND(K29&gt;J29,2*E29-D29+J29&gt;=0),2*E29-D29+J29,"n.a.")))</x:f>
        <x:v>4600.94</x:v>
      </x:c>
      <x:c r="O29" s="11" t="n">
        <x:f>IF(B29="Butterfly",IF(AND(J29&gt;0,J29&lt;K29),F29-J29,"n.a."),IF(C29="call",IF(K29&gt;J29,2*E29-D29-J29,"n.a."),IF(AND(J29&gt;0,J29&lt;K29),D29-J29,"n.a.")))</x:f>
        <x:v>4999.06</x:v>
      </x:c>
      <x:c r="P29" s="19" t="n">
        <x:f>IF(AND(B29="Butterfly",J29&gt;0,J29&lt;K29),L29/J29,"n.a.")</x:f>
        <x:v>211.76595744680841</x:v>
      </x:c>
      <x:c r="Q29" s="11" t="n">
        <x:f>J29*'Model inputs'!$B$8</x:f>
        <x:v>94.00000000000004</x:v>
      </x:c>
      <x:c r="R29" s="1" t="str">
        <x:v>Indicative only</x:v>
      </x:c>
      <x:c r="S29" s="1" t="n">
        <x:v>538</x:v>
      </x:c>
      <x:c r="T29" s="1" t="n">
        <x:v>557</x:v>
      </x:c>
    </x:row>
    <x:row r="30" ht="21" customHeight="1">
      <x:c r="A30" s="12" t="n">
        <x:v>46281</x:v>
      </x:c>
      <x:c r="B30" s="1" t="str">
        <x:v>Butterfly</x:v>
      </x:c>
      <x:c r="C30" s="1" t="str">
        <x:v>call</x:v>
      </x:c>
      <x:c r="D30" s="11" t="n">
        <x:v>8600</x:v>
      </x:c>
      <x:c r="E30" s="11" t="n">
        <x:v>8900</x:v>
      </x:c>
      <x:c r="F30" s="11" t="n">
        <x:v>9200</x:v>
      </x:c>
      <x:c r="G30" s="11" t="n">
        <x:f>'Option source'!B410</x:f>
        <x:v>17.94</x:v>
      </x:c>
      <x:c r="H30" s="11" t="n">
        <x:f>'Option source'!B429</x:f>
        <x:v>9.99</x:v>
      </x:c>
      <x:c r="I30" s="11" t="n">
        <x:f>'Option source'!B448</x:f>
        <x:v>3.53</x:v>
      </x:c>
      <x:c r="J30" s="11" t="n">
        <x:f>G30-2*H30+IF(B30="Butterfly",I30,0)</x:f>
        <x:v>1.4900000000000007</x:v>
      </x:c>
      <x:c r="K30" s="11" t="n">
        <x:f>ABS(E30-D30)</x:f>
        <x:v>300</x:v>
      </x:c>
      <x:c r="L30" s="11" t="n">
        <x:f>K30-J30</x:f>
        <x:v>298.51</x:v>
      </x:c>
      <x:c r="M30" s="11" t="n">
        <x:f>IF(B30="Butterfly",MAX(J30,0),IF(C30="call","Unlimited",MAX(2*E30-D30+J30,J30,0)))</x:f>
        <x:v>1.4900000000000007</x:v>
      </x:c>
      <x:c r="N30" s="11" t="n">
        <x:f>IF(B30="Butterfly",IF(AND(J30&gt;0,J30&lt;K30),D30+J30,"n.a."),IF(C30="call",IF(AND(J30&gt;0,J30&lt;K30),D30+J30,"n.a."),IF(AND(K30&gt;J30,2*E30-D30+J30&gt;=0),2*E30-D30+J30,"n.a.")))</x:f>
        <x:v>8601.49</x:v>
      </x:c>
      <x:c r="O30" s="11" t="n">
        <x:f>IF(B30="Butterfly",IF(AND(J30&gt;0,J30&lt;K30),F30-J30,"n.a."),IF(C30="call",IF(K30&gt;J30,2*E30-D30-J30,"n.a."),IF(AND(J30&gt;0,J30&lt;K30),D30-J30,"n.a.")))</x:f>
        <x:v>9198.51</x:v>
      </x:c>
      <x:c r="P30" s="19" t="n">
        <x:f>IF(AND(B30="Butterfly",J30&gt;0,J30&lt;K30),L30/J30,"n.a.")</x:f>
        <x:v>200.34228187919453</x:v>
      </x:c>
      <x:c r="Q30" s="11" t="n">
        <x:f>J30*'Model inputs'!$B$8</x:f>
        <x:v>149.00000000000006</x:v>
      </x:c>
      <x:c r="R30" s="1" t="str">
        <x:v>Indicative only</x:v>
      </x:c>
      <x:c r="S30" s="1" t="n">
        <x:v>405</x:v>
      </x:c>
      <x:c r="T30" s="1" t="n">
        <x:v>424</x:v>
      </x:c>
    </x:row>
    <x:row r="31" ht="21" customHeight="1">
      <x:c r="A31" s="12" t="n">
        <x:v>46281</x:v>
      </x:c>
      <x:c r="B31" s="1" t="str">
        <x:v>Butterfly</x:v>
      </x:c>
      <x:c r="C31" s="1" t="str">
        <x:v>put</x:v>
      </x:c>
      <x:c r="D31" s="11" t="n">
        <x:v>4200</x:v>
      </x:c>
      <x:c r="E31" s="11" t="n">
        <x:v>4400</x:v>
      </x:c>
      <x:c r="F31" s="11" t="n">
        <x:v>4600</x:v>
      </x:c>
      <x:c r="G31" s="11" t="n">
        <x:f>'Option source'!B505</x:f>
        <x:v>1.21</x:v>
      </x:c>
      <x:c r="H31" s="11" t="n">
        <x:f>'Option source'!B524</x:f>
        <x:v>0.91</x:v>
      </x:c>
      <x:c r="I31" s="11" t="n">
        <x:f>'Option source'!B543</x:f>
        <x:v>1.62</x:v>
      </x:c>
      <x:c r="J31" s="11" t="n">
        <x:f>G31-2*H31+IF(B31="Butterfly",I31,0)</x:f>
        <x:v>1.01</x:v>
      </x:c>
      <x:c r="K31" s="11" t="n">
        <x:f>ABS(E31-D31)</x:f>
        <x:v>200</x:v>
      </x:c>
      <x:c r="L31" s="11" t="n">
        <x:f>K31-J31</x:f>
        <x:v>198.99</x:v>
      </x:c>
      <x:c r="M31" s="11" t="n">
        <x:f>IF(B31="Butterfly",MAX(J31,0),IF(C31="call","Unlimited",MAX(2*E31-D31+J31,J31,0)))</x:f>
        <x:v>1.01</x:v>
      </x:c>
      <x:c r="N31" s="11" t="n">
        <x:f>IF(B31="Butterfly",IF(AND(J31&gt;0,J31&lt;K31),D31+J31,"n.a."),IF(C31="call",IF(AND(J31&gt;0,J31&lt;K31),D31+J31,"n.a."),IF(AND(K31&gt;J31,2*E31-D31+J31&gt;=0),2*E31-D31+J31,"n.a.")))</x:f>
        <x:v>4201.01</x:v>
      </x:c>
      <x:c r="O31" s="11" t="n">
        <x:f>IF(B31="Butterfly",IF(AND(J31&gt;0,J31&lt;K31),F31-J31,"n.a."),IF(C31="call",IF(K31&gt;J31,2*E31-D31-J31,"n.a."),IF(AND(J31&gt;0,J31&lt;K31),D31-J31,"n.a.")))</x:f>
        <x:v>4598.99</x:v>
      </x:c>
      <x:c r="P31" s="19" t="n">
        <x:f>IF(AND(B31="Butterfly",J31&gt;0,J31&lt;K31),L31/J31,"n.a.")</x:f>
        <x:v>197.01980198019803</x:v>
      </x:c>
      <x:c r="Q31" s="11" t="n">
        <x:f>J31*'Model inputs'!$B$8</x:f>
        <x:v>101</x:v>
      </x:c>
      <x:c r="R31" s="1" t="str">
        <x:v>Indicative only</x:v>
      </x:c>
      <x:c r="S31" s="1" t="n">
        <x:v>500</x:v>
      </x:c>
      <x:c r="T31" s="1" t="n">
        <x:v>519</x:v>
      </x:c>
    </x:row>
    <x:row r="32" ht="21" customHeight="1">
      <x:c r="A32" s="12" t="n">
        <x:v>46281</x:v>
      </x:c>
      <x:c r="B32" s="1" t="str">
        <x:v>Butterfly</x:v>
      </x:c>
      <x:c r="C32" s="1" t="str">
        <x:v>call</x:v>
      </x:c>
      <x:c r="D32" s="11" t="n">
        <x:v>8900</x:v>
      </x:c>
      <x:c r="E32" s="11" t="n">
        <x:v>9200</x:v>
      </x:c>
      <x:c r="F32" s="11" t="n">
        <x:v>9500</x:v>
      </x:c>
      <x:c r="G32" s="11" t="n">
        <x:f>'Option source'!B429</x:f>
        <x:v>9.99</x:v>
      </x:c>
      <x:c r="H32" s="11" t="n">
        <x:f>'Option source'!B448</x:f>
        <x:v>3.53</x:v>
      </x:c>
      <x:c r="I32" s="11" t="n">
        <x:f>'Option source'!B467</x:f>
        <x:v>3.44</x:v>
      </x:c>
      <x:c r="J32" s="11" t="n">
        <x:f>G32-2*H32+IF(B32="Butterfly",I32,0)</x:f>
        <x:v>6.370000000000001</x:v>
      </x:c>
      <x:c r="K32" s="11" t="n">
        <x:f>ABS(E32-D32)</x:f>
        <x:v>300</x:v>
      </x:c>
      <x:c r="L32" s="11" t="n">
        <x:f>K32-J32</x:f>
        <x:v>293.63</x:v>
      </x:c>
      <x:c r="M32" s="11" t="n">
        <x:f>IF(B32="Butterfly",MAX(J32,0),IF(C32="call","Unlimited",MAX(2*E32-D32+J32,J32,0)))</x:f>
        <x:v>6.370000000000001</x:v>
      </x:c>
      <x:c r="N32" s="11" t="n">
        <x:f>IF(B32="Butterfly",IF(AND(J32&gt;0,J32&lt;K32),D32+J32,"n.a."),IF(C32="call",IF(AND(J32&gt;0,J32&lt;K32),D32+J32,"n.a."),IF(AND(K32&gt;J32,2*E32-D32+J32&gt;=0),2*E32-D32+J32,"n.a.")))</x:f>
        <x:v>8906.37</x:v>
      </x:c>
      <x:c r="O32" s="11" t="n">
        <x:f>IF(B32="Butterfly",IF(AND(J32&gt;0,J32&lt;K32),F32-J32,"n.a."),IF(C32="call",IF(K32&gt;J32,2*E32-D32-J32,"n.a."),IF(AND(J32&gt;0,J32&lt;K32),D32-J32,"n.a.")))</x:f>
        <x:v>9493.63</x:v>
      </x:c>
      <x:c r="P32" s="19" t="n">
        <x:f>IF(AND(B32="Butterfly",J32&gt;0,J32&lt;K32),L32/J32,"n.a.")</x:f>
        <x:v>46.09576138147566</x:v>
      </x:c>
      <x:c r="Q32" s="11" t="n">
        <x:f>J32*'Model inputs'!$B$8</x:f>
        <x:v>637.0000000000001</x:v>
      </x:c>
      <x:c r="R32" s="1" t="str">
        <x:v>Indicative only</x:v>
      </x:c>
      <x:c r="S32" s="1" t="n">
        <x:v>424</x:v>
      </x:c>
      <x:c r="T32" s="1" t="n">
        <x:v>443</x:v>
      </x:c>
    </x:row>
    <x:row r="33" ht="21" customHeight="1">
      <x:c r="A33" s="12" t="n">
        <x:v>46281</x:v>
      </x:c>
      <x:c r="B33" s="1" t="str">
        <x:v>Butterfly</x:v>
      </x:c>
      <x:c r="C33" s="1" t="str">
        <x:v>call</x:v>
      </x:c>
      <x:c r="D33" s="11" t="n">
        <x:v>6200</x:v>
      </x:c>
      <x:c r="E33" s="11" t="n">
        <x:v>6400</x:v>
      </x:c>
      <x:c r="F33" s="11" t="n">
        <x:v>6600</x:v>
      </x:c>
      <x:c r="G33" s="11" t="n">
        <x:f>'Option source'!B201</x:f>
        <x:v>704.74</x:v>
      </x:c>
      <x:c r="H33" s="11" t="n">
        <x:f>'Option source'!B220</x:f>
        <x:v>616.1</x:v>
      </x:c>
      <x:c r="I33" s="11" t="n">
        <x:f>'Option source'!B239</x:f>
        <x:v>478.22</x:v>
      </x:c>
      <x:c r="J33" s="11" t="n">
        <x:f>G33-2*H33+IF(B33="Butterfly",I33,0)</x:f>
        <x:v>-49.24000000000001</x:v>
      </x:c>
      <x:c r="K33" s="11" t="n">
        <x:f>ABS(E33-D33)</x:f>
        <x:v>200</x:v>
      </x:c>
      <x:c r="L33" s="11" t="n">
        <x:f>K33-J33</x:f>
        <x:v>249.24</x:v>
      </x:c>
      <x:c r="M33" s="11" t="n">
        <x:f>IF(B33="Butterfly",MAX(J33,0),IF(C33="call","Unlimited",MAX(2*E33-D33+J33,J33,0)))</x:f>
        <x:v>0</x:v>
      </x:c>
      <x:c r="N33" s="11" t="str">
        <x:f>IF(B33="Butterfly",IF(AND(J33&gt;0,J33&lt;K33),D33+J33,"n.a."),IF(C33="call",IF(AND(J33&gt;0,J33&lt;K33),D33+J33,"n.a."),IF(AND(K33&gt;J33,2*E33-D33+J33&gt;=0),2*E33-D33+J33,"n.a.")))</x:f>
        <x:v>n.a.</x:v>
      </x:c>
      <x:c r="O33" s="11" t="str">
        <x:f>IF(B33="Butterfly",IF(AND(J33&gt;0,J33&lt;K33),F33-J33,"n.a."),IF(C33="call",IF(K33&gt;J33,2*E33-D33-J33,"n.a."),IF(AND(J33&gt;0,J33&lt;K33),D33-J33,"n.a.")))</x:f>
        <x:v>n.a.</x:v>
      </x:c>
      <x:c r="P33" s="19" t="str">
        <x:f>IF(AND(B33="Butterfly",J33&gt;0,J33&lt;K33),L33/J33,"n.a.")</x:f>
        <x:v>n.a.</x:v>
      </x:c>
      <x:c r="Q33" s="11" t="n">
        <x:f>J33*'Model inputs'!$B$8</x:f>
        <x:v>-4924.000000000001</x:v>
      </x:c>
      <x:c r="R33" s="1" t="str">
        <x:v>Outside standard debit bounds</x:v>
      </x:c>
      <x:c r="S33" s="1" t="n">
        <x:v>196</x:v>
      </x:c>
      <x:c r="T33" s="1" t="n">
        <x:v>215</x:v>
      </x:c>
    </x:row>
    <x:row r="34" ht="21" customHeight="1">
      <x:c r="A34" s="12" t="n">
        <x:v>46281</x:v>
      </x:c>
      <x:c r="B34" s="1" t="str">
        <x:v>Butterfly</x:v>
      </x:c>
      <x:c r="C34" s="1" t="str">
        <x:v>call</x:v>
      </x:c>
      <x:c r="D34" s="11" t="n">
        <x:v>6000</x:v>
      </x:c>
      <x:c r="E34" s="11" t="n">
        <x:v>6200</x:v>
      </x:c>
      <x:c r="F34" s="11" t="n">
        <x:v>6400</x:v>
      </x:c>
      <x:c r="G34" s="11" t="n">
        <x:f>'Option source'!B182</x:f>
        <x:v>916.41</x:v>
      </x:c>
      <x:c r="H34" s="11" t="n">
        <x:f>'Option source'!B201</x:f>
        <x:v>704.74</x:v>
      </x:c>
      <x:c r="I34" s="11" t="n">
        <x:f>'Option source'!B220</x:f>
        <x:v>616.1</x:v>
      </x:c>
      <x:c r="J34" s="11" t="n">
        <x:f>G34-2*H34+IF(B34="Butterfly",I34,0)</x:f>
        <x:v>123.02999999999997</x:v>
      </x:c>
      <x:c r="K34" s="11" t="n">
        <x:f>ABS(E34-D34)</x:f>
        <x:v>200</x:v>
      </x:c>
      <x:c r="L34" s="11" t="n">
        <x:f>K34-J34</x:f>
        <x:v>76.97000000000003</x:v>
      </x:c>
      <x:c r="M34" s="11" t="n">
        <x:f>IF(B34="Butterfly",MAX(J34,0),IF(C34="call","Unlimited",MAX(2*E34-D34+J34,J34,0)))</x:f>
        <x:v>123.02999999999997</x:v>
      </x:c>
      <x:c r="N34" s="11" t="n">
        <x:f>IF(B34="Butterfly",IF(AND(J34&gt;0,J34&lt;K34),D34+J34,"n.a."),IF(C34="call",IF(AND(J34&gt;0,J34&lt;K34),D34+J34,"n.a."),IF(AND(K34&gt;J34,2*E34-D34+J34&gt;=0),2*E34-D34+J34,"n.a.")))</x:f>
        <x:v>6123.03</x:v>
      </x:c>
      <x:c r="O34" s="11" t="n">
        <x:f>IF(B34="Butterfly",IF(AND(J34&gt;0,J34&lt;K34),F34-J34,"n.a."),IF(C34="call",IF(K34&gt;J34,2*E34-D34-J34,"n.a."),IF(AND(J34&gt;0,J34&lt;K34),D34-J34,"n.a.")))</x:f>
        <x:v>6276.97</x:v>
      </x:c>
      <x:c r="P34" s="19" t="n">
        <x:f>IF(AND(B34="Butterfly",J34&gt;0,J34&lt;K34),L34/J34,"n.a.")</x:f>
        <x:v>0.6256197675363736</x:v>
      </x:c>
      <x:c r="Q34" s="11" t="n">
        <x:f>J34*'Model inputs'!$B$8</x:f>
        <x:v>12302.999999999996</x:v>
      </x:c>
      <x:c r="R34" s="1" t="str">
        <x:v>Flagged leg data</x:v>
      </x:c>
      <x:c r="S34" s="1" t="n">
        <x:v>177</x:v>
      </x:c>
      <x:c r="T34" s="1" t="n">
        <x:v>196</x:v>
      </x:c>
    </x:row>
    <x:row r="35" ht="21" customHeight="1">
      <x:c r="A35" s="12" t="n">
        <x:v>46281</x:v>
      </x:c>
      <x:c r="B35" s="1" t="str">
        <x:v>Butterfly</x:v>
      </x:c>
      <x:c r="C35" s="1" t="str">
        <x:v>call</x:v>
      </x:c>
      <x:c r="D35" s="11" t="n">
        <x:v>5800</x:v>
      </x:c>
      <x:c r="E35" s="11" t="n">
        <x:v>6000</x:v>
      </x:c>
      <x:c r="F35" s="11" t="n">
        <x:v>6200</x:v>
      </x:c>
      <x:c r="G35" s="11" t="n">
        <x:f>'Option source'!B163</x:f>
        <x:v>1049.9</x:v>
      </x:c>
      <x:c r="H35" s="11" t="n">
        <x:f>'Option source'!B182</x:f>
        <x:v>916.41</x:v>
      </x:c>
      <x:c r="I35" s="11" t="n">
        <x:f>'Option source'!B201</x:f>
        <x:v>704.74</x:v>
      </x:c>
      <x:c r="J35" s="11" t="n">
        <x:f>G35-2*H35+IF(B35="Butterfly",I35,0)</x:f>
        <x:v>-78.17999999999984</x:v>
      </x:c>
      <x:c r="K35" s="11" t="n">
        <x:f>ABS(E35-D35)</x:f>
        <x:v>200</x:v>
      </x:c>
      <x:c r="L35" s="11" t="n">
        <x:f>K35-J35</x:f>
        <x:v>278.17999999999984</x:v>
      </x:c>
      <x:c r="M35" s="11" t="n">
        <x:f>IF(B35="Butterfly",MAX(J35,0),IF(C35="call","Unlimited",MAX(2*E35-D35+J35,J35,0)))</x:f>
        <x:v>0</x:v>
      </x:c>
      <x:c r="N35" s="11" t="str">
        <x:f>IF(B35="Butterfly",IF(AND(J35&gt;0,J35&lt;K35),D35+J35,"n.a."),IF(C35="call",IF(AND(J35&gt;0,J35&lt;K35),D35+J35,"n.a."),IF(AND(K35&gt;J35,2*E35-D35+J35&gt;=0),2*E35-D35+J35,"n.a.")))</x:f>
        <x:v>n.a.</x:v>
      </x:c>
      <x:c r="O35" s="11" t="str">
        <x:f>IF(B35="Butterfly",IF(AND(J35&gt;0,J35&lt;K35),F35-J35,"n.a."),IF(C35="call",IF(K35&gt;J35,2*E35-D35-J35,"n.a."),IF(AND(J35&gt;0,J35&lt;K35),D35-J35,"n.a.")))</x:f>
        <x:v>n.a.</x:v>
      </x:c>
      <x:c r="P35" s="19" t="str">
        <x:f>IF(AND(B35="Butterfly",J35&gt;0,J35&lt;K35),L35/J35,"n.a.")</x:f>
        <x:v>n.a.</x:v>
      </x:c>
      <x:c r="Q35" s="11" t="n">
        <x:f>J35*'Model inputs'!$B$8</x:f>
        <x:v>-7817.999999999984</x:v>
      </x:c>
      <x:c r="R35" s="1" t="str">
        <x:v>Outside standard debit bounds</x:v>
      </x:c>
      <x:c r="S35" s="1" t="n">
        <x:v>158</x:v>
      </x:c>
      <x:c r="T35" s="1" t="n">
        <x:v>177</x:v>
      </x:c>
    </x:row>
    <x:row r="36" ht="21" customHeight="1">
      <x:c r="A36" s="12" t="n">
        <x:v>46281</x:v>
      </x:c>
      <x:c r="B36" s="1" t="str">
        <x:v>Butterfly</x:v>
      </x:c>
      <x:c r="C36" s="1" t="str">
        <x:v>put</x:v>
      </x:c>
      <x:c r="D36" s="11" t="n">
        <x:v>7400</x:v>
      </x:c>
      <x:c r="E36" s="11" t="n">
        <x:v>7600</x:v>
      </x:c>
      <x:c r="F36" s="11" t="n">
        <x:v>7800</x:v>
      </x:c>
      <x:c r="G36" s="11" t="n">
        <x:f>'Option source'!B809</x:f>
        <x:v>677.83</x:v>
      </x:c>
      <x:c r="H36" s="11" t="n">
        <x:f>'Option source'!B828</x:f>
        <x:v>857</x:v>
      </x:c>
      <x:c r="I36" s="11" t="n">
        <x:f>'Option source'!B847</x:f>
        <x:v>1000</x:v>
      </x:c>
      <x:c r="J36" s="11" t="n">
        <x:f>G36-2*H36+IF(B36="Butterfly",I36,0)</x:f>
        <x:v>-36.17000000000007</x:v>
      </x:c>
      <x:c r="K36" s="11" t="n">
        <x:f>ABS(E36-D36)</x:f>
        <x:v>200</x:v>
      </x:c>
      <x:c r="L36" s="11" t="n">
        <x:f>K36-J36</x:f>
        <x:v>236.17000000000007</x:v>
      </x:c>
      <x:c r="M36" s="11" t="n">
        <x:f>IF(B36="Butterfly",MAX(J36,0),IF(C36="call","Unlimited",MAX(2*E36-D36+J36,J36,0)))</x:f>
        <x:v>0</x:v>
      </x:c>
      <x:c r="N36" s="11" t="str">
        <x:f>IF(B36="Butterfly",IF(AND(J36&gt;0,J36&lt;K36),D36+J36,"n.a."),IF(C36="call",IF(AND(J36&gt;0,J36&lt;K36),D36+J36,"n.a."),IF(AND(K36&gt;J36,2*E36-D36+J36&gt;=0),2*E36-D36+J36,"n.a.")))</x:f>
        <x:v>n.a.</x:v>
      </x:c>
      <x:c r="O36" s="11" t="str">
        <x:f>IF(B36="Butterfly",IF(AND(J36&gt;0,J36&lt;K36),F36-J36,"n.a."),IF(C36="call",IF(K36&gt;J36,2*E36-D36-J36,"n.a."),IF(AND(J36&gt;0,J36&lt;K36),D36-J36,"n.a.")))</x:f>
        <x:v>n.a.</x:v>
      </x:c>
      <x:c r="P36" s="19" t="str">
        <x:f>IF(AND(B36="Butterfly",J36&gt;0,J36&lt;K36),L36/J36,"n.a.")</x:f>
        <x:v>n.a.</x:v>
      </x:c>
      <x:c r="Q36" s="11" t="n">
        <x:f>J36*'Model inputs'!$B$8</x:f>
        <x:v>-3617.0000000000073</x:v>
      </x:c>
      <x:c r="R36" s="1" t="str">
        <x:v>Outside standard debit bounds</x:v>
      </x:c>
      <x:c r="S36" s="1" t="n">
        <x:v>804</x:v>
      </x:c>
      <x:c r="T36" s="1" t="n">
        <x:v>823</x:v>
      </x:c>
    </x:row>
    <x:row r="37" ht="21" customHeight="1">
      <x:c r="A37" s="12" t="n">
        <x:v>46281</x:v>
      </x:c>
      <x:c r="B37" s="1" t="str">
        <x:v>Butterfly</x:v>
      </x:c>
      <x:c r="C37" s="1" t="str">
        <x:v>call</x:v>
      </x:c>
      <x:c r="D37" s="11" t="n">
        <x:v>5600</x:v>
      </x:c>
      <x:c r="E37" s="11" t="n">
        <x:v>5800</x:v>
      </x:c>
      <x:c r="F37" s="11" t="n">
        <x:v>6000</x:v>
      </x:c>
      <x:c r="G37" s="11" t="n">
        <x:f>'Option source'!B153</x:f>
        <x:v>1233.13</x:v>
      </x:c>
      <x:c r="H37" s="11" t="n">
        <x:f>'Option source'!B163</x:f>
        <x:v>1049.9</x:v>
      </x:c>
      <x:c r="I37" s="11" t="n">
        <x:f>'Option source'!B182</x:f>
        <x:v>916.41</x:v>
      </x:c>
      <x:c r="J37" s="11" t="n">
        <x:f>G37-2*H37+IF(B37="Butterfly",I37,0)</x:f>
        <x:v>49.739999999999895</x:v>
      </x:c>
      <x:c r="K37" s="11" t="n">
        <x:f>ABS(E37-D37)</x:f>
        <x:v>200</x:v>
      </x:c>
      <x:c r="L37" s="11" t="n">
        <x:f>K37-J37</x:f>
        <x:v>150.2600000000001</x:v>
      </x:c>
      <x:c r="M37" s="11" t="n">
        <x:f>IF(B37="Butterfly",MAX(J37,0),IF(C37="call","Unlimited",MAX(2*E37-D37+J37,J37,0)))</x:f>
        <x:v>49.739999999999895</x:v>
      </x:c>
      <x:c r="N37" s="11" t="n">
        <x:f>IF(B37="Butterfly",IF(AND(J37&gt;0,J37&lt;K37),D37+J37,"n.a."),IF(C37="call",IF(AND(J37&gt;0,J37&lt;K37),D37+J37,"n.a."),IF(AND(K37&gt;J37,2*E37-D37+J37&gt;=0),2*E37-D37+J37,"n.a.")))</x:f>
        <x:v>5649.74</x:v>
      </x:c>
      <x:c r="O37" s="11" t="n">
        <x:f>IF(B37="Butterfly",IF(AND(J37&gt;0,J37&lt;K37),F37-J37,"n.a."),IF(C37="call",IF(K37&gt;J37,2*E37-D37-J37,"n.a."),IF(AND(J37&gt;0,J37&lt;K37),D37-J37,"n.a.")))</x:f>
        <x:v>5950.26</x:v>
      </x:c>
      <x:c r="P37" s="19" t="n">
        <x:f>IF(AND(B37="Butterfly",J37&gt;0,J37&lt;K37),L37/J37,"n.a.")</x:f>
        <x:v>3.0209087253719424</x:v>
      </x:c>
      <x:c r="Q37" s="11" t="n">
        <x:f>J37*'Model inputs'!$B$8</x:f>
        <x:v>4973.999999999989</x:v>
      </x:c>
      <x:c r="R37" s="1" t="str">
        <x:v>Flagged leg data</x:v>
      </x:c>
      <x:c r="S37" s="1" t="n">
        <x:v>148</x:v>
      </x:c>
      <x:c r="T37" s="1" t="n">
        <x:v>158</x:v>
      </x:c>
    </x:row>
    <x:row r="38" ht="21" customHeight="1">
      <x:c r="A38" s="12" t="n">
        <x:v>46281</x:v>
      </x:c>
      <x:c r="B38" s="1" t="str">
        <x:v>Butterfly</x:v>
      </x:c>
      <x:c r="C38" s="1" t="str">
        <x:v>put</x:v>
      </x:c>
      <x:c r="D38" s="11" t="n">
        <x:v>7600</x:v>
      </x:c>
      <x:c r="E38" s="11" t="n">
        <x:v>7800</x:v>
      </x:c>
      <x:c r="F38" s="11" t="n">
        <x:v>8000</x:v>
      </x:c>
      <x:c r="G38" s="11" t="n">
        <x:f>'Option source'!B828</x:f>
        <x:v>857</x:v>
      </x:c>
      <x:c r="H38" s="11" t="n">
        <x:f>'Option source'!B847</x:f>
        <x:v>1000</x:v>
      </x:c>
      <x:c r="I38" s="11" t="n">
        <x:f>'Option source'!B866</x:f>
        <x:v>1230</x:v>
      </x:c>
      <x:c r="J38" s="11" t="n">
        <x:f>G38-2*H38+IF(B38="Butterfly",I38,0)</x:f>
        <x:v>87</x:v>
      </x:c>
      <x:c r="K38" s="11" t="n">
        <x:f>ABS(E38-D38)</x:f>
        <x:v>200</x:v>
      </x:c>
      <x:c r="L38" s="11" t="n">
        <x:f>K38-J38</x:f>
        <x:v>113</x:v>
      </x:c>
      <x:c r="M38" s="11" t="n">
        <x:f>IF(B38="Butterfly",MAX(J38,0),IF(C38="call","Unlimited",MAX(2*E38-D38+J38,J38,0)))</x:f>
        <x:v>87</x:v>
      </x:c>
      <x:c r="N38" s="11" t="n">
        <x:f>IF(B38="Butterfly",IF(AND(J38&gt;0,J38&lt;K38),D38+J38,"n.a."),IF(C38="call",IF(AND(J38&gt;0,J38&lt;K38),D38+J38,"n.a."),IF(AND(K38&gt;J38,2*E38-D38+J38&gt;=0),2*E38-D38+J38,"n.a.")))</x:f>
        <x:v>7687</x:v>
      </x:c>
      <x:c r="O38" s="11" t="n">
        <x:f>IF(B38="Butterfly",IF(AND(J38&gt;0,J38&lt;K38),F38-J38,"n.a."),IF(C38="call",IF(K38&gt;J38,2*E38-D38-J38,"n.a."),IF(AND(J38&gt;0,J38&lt;K38),D38-J38,"n.a.")))</x:f>
        <x:v>7913</x:v>
      </x:c>
      <x:c r="P38" s="19" t="n">
        <x:f>IF(AND(B38="Butterfly",J38&gt;0,J38&lt;K38),L38/J38,"n.a.")</x:f>
        <x:v>1.2988505747126438</x:v>
      </x:c>
      <x:c r="Q38" s="11" t="n">
        <x:f>J38*'Model inputs'!$B$8</x:f>
        <x:v>8700</x:v>
      </x:c>
      <x:c r="R38" s="1" t="str">
        <x:v>Flagged leg data</x:v>
      </x:c>
      <x:c r="S38" s="1" t="n">
        <x:v>823</x:v>
      </x:c>
      <x:c r="T38" s="1" t="n">
        <x:v>842</x:v>
      </x:c>
    </x:row>
    <x:row r="39" ht="21" customHeight="1">
      <x:c r="A39" s="12" t="n">
        <x:v>46281</x:v>
      </x:c>
      <x:c r="B39" s="1" t="str">
        <x:v>Butterfly</x:v>
      </x:c>
      <x:c r="C39" s="1" t="str">
        <x:v>call</x:v>
      </x:c>
      <x:c r="D39" s="11" t="n">
        <x:v>5400</x:v>
      </x:c>
      <x:c r="E39" s="11" t="n">
        <x:v>5600</x:v>
      </x:c>
      <x:c r="F39" s="11" t="n">
        <x:v>5800</x:v>
      </x:c>
      <x:c r="G39" s="11" t="n">
        <x:f>'Option source'!B135</x:f>
        <x:v>1470</x:v>
      </x:c>
      <x:c r="H39" s="11" t="n">
        <x:f>'Option source'!B153</x:f>
        <x:v>1233.13</x:v>
      </x:c>
      <x:c r="I39" s="11" t="n">
        <x:f>'Option source'!B163</x:f>
        <x:v>1049.9</x:v>
      </x:c>
      <x:c r="J39" s="11" t="n">
        <x:f>G39-2*H39+IF(B39="Butterfly",I39,0)</x:f>
        <x:v>53.63999999999987</x:v>
      </x:c>
      <x:c r="K39" s="11" t="n">
        <x:f>ABS(E39-D39)</x:f>
        <x:v>200</x:v>
      </x:c>
      <x:c r="L39" s="11" t="n">
        <x:f>K39-J39</x:f>
        <x:v>146.36000000000013</x:v>
      </x:c>
      <x:c r="M39" s="11" t="n">
        <x:f>IF(B39="Butterfly",MAX(J39,0),IF(C39="call","Unlimited",MAX(2*E39-D39+J39,J39,0)))</x:f>
        <x:v>53.63999999999987</x:v>
      </x:c>
      <x:c r="N39" s="11" t="n">
        <x:f>IF(B39="Butterfly",IF(AND(J39&gt;0,J39&lt;K39),D39+J39,"n.a."),IF(C39="call",IF(AND(J39&gt;0,J39&lt;K39),D39+J39,"n.a."),IF(AND(K39&gt;J39,2*E39-D39+J39&gt;=0),2*E39-D39+J39,"n.a.")))</x:f>
        <x:v>5453.639999999999</x:v>
      </x:c>
      <x:c r="O39" s="11" t="n">
        <x:f>IF(B39="Butterfly",IF(AND(J39&gt;0,J39&lt;K39),F39-J39,"n.a."),IF(C39="call",IF(K39&gt;J39,2*E39-D39-J39,"n.a."),IF(AND(J39&gt;0,J39&lt;K39),D39-J39,"n.a.")))</x:f>
        <x:v>5746.360000000001</x:v>
      </x:c>
      <x:c r="P39" s="19" t="n">
        <x:f>IF(AND(B39="Butterfly",J39&gt;0,J39&lt;K39),L39/J39,"n.a.")</x:f>
        <x:v>2.7285607755406502</x:v>
      </x:c>
      <x:c r="Q39" s="11" t="n">
        <x:f>J39*'Model inputs'!$B$8</x:f>
        <x:v>5363.999999999987</x:v>
      </x:c>
      <x:c r="R39" s="1" t="str">
        <x:v>Flagged leg data</x:v>
      </x:c>
      <x:c r="S39" s="1" t="n">
        <x:v>130</x:v>
      </x:c>
      <x:c r="T39" s="1" t="n">
        <x:v>148</x:v>
      </x:c>
    </x:row>
    <x:row r="40" ht="21" customHeight="1">
      <x:c r="A40" s="12" t="n">
        <x:v>46281</x:v>
      </x:c>
      <x:c r="B40" s="1" t="str">
        <x:v>Butterfly</x:v>
      </x:c>
      <x:c r="C40" s="1" t="str">
        <x:v>call</x:v>
      </x:c>
      <x:c r="D40" s="11" t="n">
        <x:v>5200</x:v>
      </x:c>
      <x:c r="E40" s="11" t="n">
        <x:v>5400</x:v>
      </x:c>
      <x:c r="F40" s="11" t="n">
        <x:v>5600</x:v>
      </x:c>
      <x:c r="G40" s="11" t="n">
        <x:f>'Option source'!B116</x:f>
        <x:v>1678.07</x:v>
      </x:c>
      <x:c r="H40" s="11" t="n">
        <x:f>'Option source'!B135</x:f>
        <x:v>1470</x:v>
      </x:c>
      <x:c r="I40" s="11" t="n">
        <x:f>'Option source'!B153</x:f>
        <x:v>1233.13</x:v>
      </x:c>
      <x:c r="J40" s="11" t="n">
        <x:f>G40-2*H40+IF(B40="Butterfly",I40,0)</x:f>
        <x:v>-28.799999999999955</x:v>
      </x:c>
      <x:c r="K40" s="11" t="n">
        <x:f>ABS(E40-D40)</x:f>
        <x:v>200</x:v>
      </x:c>
      <x:c r="L40" s="11" t="n">
        <x:f>K40-J40</x:f>
        <x:v>228.79999999999995</x:v>
      </x:c>
      <x:c r="M40" s="11" t="n">
        <x:f>IF(B40="Butterfly",MAX(J40,0),IF(C40="call","Unlimited",MAX(2*E40-D40+J40,J40,0)))</x:f>
        <x:v>0</x:v>
      </x:c>
      <x:c r="N40" s="11" t="str">
        <x:f>IF(B40="Butterfly",IF(AND(J40&gt;0,J40&lt;K40),D40+J40,"n.a."),IF(C40="call",IF(AND(J40&gt;0,J40&lt;K40),D40+J40,"n.a."),IF(AND(K40&gt;J40,2*E40-D40+J40&gt;=0),2*E40-D40+J40,"n.a.")))</x:f>
        <x:v>n.a.</x:v>
      </x:c>
      <x:c r="O40" s="11" t="str">
        <x:f>IF(B40="Butterfly",IF(AND(J40&gt;0,J40&lt;K40),F40-J40,"n.a."),IF(C40="call",IF(K40&gt;J40,2*E40-D40-J40,"n.a."),IF(AND(J40&gt;0,J40&lt;K40),D40-J40,"n.a.")))</x:f>
        <x:v>n.a.</x:v>
      </x:c>
      <x:c r="P40" s="19" t="str">
        <x:f>IF(AND(B40="Butterfly",J40&gt;0,J40&lt;K40),L40/J40,"n.a.")</x:f>
        <x:v>n.a.</x:v>
      </x:c>
      <x:c r="Q40" s="11" t="n">
        <x:f>J40*'Model inputs'!$B$8</x:f>
        <x:v>-2879.9999999999955</x:v>
      </x:c>
      <x:c r="R40" s="1" t="str">
        <x:v>Outside standard debit bounds</x:v>
      </x:c>
      <x:c r="S40" s="1" t="n">
        <x:v>111</x:v>
      </x:c>
      <x:c r="T40" s="1" t="n">
        <x:v>130</x:v>
      </x:c>
    </x:row>
    <x:row r="41" ht="21" customHeight="1">
      <x:c r="A41" s="12" t="n">
        <x:v>46281</x:v>
      </x:c>
      <x:c r="B41" s="1" t="str">
        <x:v>Butterfly</x:v>
      </x:c>
      <x:c r="C41" s="1" t="str">
        <x:v>put</x:v>
      </x:c>
      <x:c r="D41" s="11" t="n">
        <x:v>8000</x:v>
      </x:c>
      <x:c r="E41" s="11" t="n">
        <x:v>8300</x:v>
      </x:c>
      <x:c r="F41" s="11" t="n">
        <x:v>8600</x:v>
      </x:c>
      <x:c r="G41" s="11" t="n">
        <x:f>'Option source'!B866</x:f>
        <x:v>1230</x:v>
      </x:c>
      <x:c r="H41" s="11" t="n">
        <x:f>'Option source'!B885</x:f>
        <x:v>1520</x:v>
      </x:c>
      <x:c r="I41" s="11" t="n">
        <x:f>'Option source'!B904</x:f>
        <x:v>1648.65</x:v>
      </x:c>
      <x:c r="J41" s="11" t="n">
        <x:f>G41-2*H41+IF(B41="Butterfly",I41,0)</x:f>
        <x:v>-161.3499999999999</x:v>
      </x:c>
      <x:c r="K41" s="11" t="n">
        <x:f>ABS(E41-D41)</x:f>
        <x:v>300</x:v>
      </x:c>
      <x:c r="L41" s="11" t="n">
        <x:f>K41-J41</x:f>
        <x:v>461.3499999999999</x:v>
      </x:c>
      <x:c r="M41" s="11" t="n">
        <x:f>IF(B41="Butterfly",MAX(J41,0),IF(C41="call","Unlimited",MAX(2*E41-D41+J41,J41,0)))</x:f>
        <x:v>0</x:v>
      </x:c>
      <x:c r="N41" s="11" t="str">
        <x:f>IF(B41="Butterfly",IF(AND(J41&gt;0,J41&lt;K41),D41+J41,"n.a."),IF(C41="call",IF(AND(J41&gt;0,J41&lt;K41),D41+J41,"n.a."),IF(AND(K41&gt;J41,2*E41-D41+J41&gt;=0),2*E41-D41+J41,"n.a.")))</x:f>
        <x:v>n.a.</x:v>
      </x:c>
      <x:c r="O41" s="11" t="str">
        <x:f>IF(B41="Butterfly",IF(AND(J41&gt;0,J41&lt;K41),F41-J41,"n.a."),IF(C41="call",IF(K41&gt;J41,2*E41-D41-J41,"n.a."),IF(AND(J41&gt;0,J41&lt;K41),D41-J41,"n.a.")))</x:f>
        <x:v>n.a.</x:v>
      </x:c>
      <x:c r="P41" s="19" t="str">
        <x:f>IF(AND(B41="Butterfly",J41&gt;0,J41&lt;K41),L41/J41,"n.a.")</x:f>
        <x:v>n.a.</x:v>
      </x:c>
      <x:c r="Q41" s="11" t="n">
        <x:f>J41*'Model inputs'!$B$8</x:f>
        <x:v>-16134.99999999999</x:v>
      </x:c>
      <x:c r="R41" s="1" t="str">
        <x:v>Outside standard debit bounds</x:v>
      </x:c>
      <x:c r="S41" s="1" t="n">
        <x:v>861</x:v>
      </x:c>
      <x:c r="T41" s="1" t="n">
        <x:v>880</x:v>
      </x:c>
    </x:row>
    <x:row r="42" ht="21" customHeight="1">
      <x:c r="A42" s="12" t="n">
        <x:v>46281</x:v>
      </x:c>
      <x:c r="B42" s="1" t="str">
        <x:v>Butterfly</x:v>
      </x:c>
      <x:c r="C42" s="1" t="str">
        <x:v>call</x:v>
      </x:c>
      <x:c r="D42" s="11" t="n">
        <x:v>5000</x:v>
      </x:c>
      <x:c r="E42" s="11" t="n">
        <x:v>5200</x:v>
      </x:c>
      <x:c r="F42" s="11" t="n">
        <x:v>5400</x:v>
      </x:c>
      <x:c r="G42" s="11" t="n">
        <x:f>'Option source'!B97</x:f>
        <x:v>1808.85</x:v>
      </x:c>
      <x:c r="H42" s="11" t="n">
        <x:f>'Option source'!B116</x:f>
        <x:v>1678.07</x:v>
      </x:c>
      <x:c r="I42" s="11" t="n">
        <x:f>'Option source'!B135</x:f>
        <x:v>1470</x:v>
      </x:c>
      <x:c r="J42" s="11" t="n">
        <x:f>G42-2*H42+IF(B42="Butterfly",I42,0)</x:f>
        <x:v>-77.28999999999996</x:v>
      </x:c>
      <x:c r="K42" s="11" t="n">
        <x:f>ABS(E42-D42)</x:f>
        <x:v>200</x:v>
      </x:c>
      <x:c r="L42" s="11" t="n">
        <x:f>K42-J42</x:f>
        <x:v>277.28999999999996</x:v>
      </x:c>
      <x:c r="M42" s="11" t="n">
        <x:f>IF(B42="Butterfly",MAX(J42,0),IF(C42="call","Unlimited",MAX(2*E42-D42+J42,J42,0)))</x:f>
        <x:v>0</x:v>
      </x:c>
      <x:c r="N42" s="11" t="str">
        <x:f>IF(B42="Butterfly",IF(AND(J42&gt;0,J42&lt;K42),D42+J42,"n.a."),IF(C42="call",IF(AND(J42&gt;0,J42&lt;K42),D42+J42,"n.a."),IF(AND(K42&gt;J42,2*E42-D42+J42&gt;=0),2*E42-D42+J42,"n.a.")))</x:f>
        <x:v>n.a.</x:v>
      </x:c>
      <x:c r="O42" s="11" t="str">
        <x:f>IF(B42="Butterfly",IF(AND(J42&gt;0,J42&lt;K42),F42-J42,"n.a."),IF(C42="call",IF(K42&gt;J42,2*E42-D42-J42,"n.a."),IF(AND(J42&gt;0,J42&lt;K42),D42-J42,"n.a.")))</x:f>
        <x:v>n.a.</x:v>
      </x:c>
      <x:c r="P42" s="19" t="str">
        <x:f>IF(AND(B42="Butterfly",J42&gt;0,J42&lt;K42),L42/J42,"n.a.")</x:f>
        <x:v>n.a.</x:v>
      </x:c>
      <x:c r="Q42" s="11" t="n">
        <x:f>J42*'Model inputs'!$B$8</x:f>
        <x:v>-7728.999999999996</x:v>
      </x:c>
      <x:c r="R42" s="1" t="str">
        <x:v>Outside standard debit bounds</x:v>
      </x:c>
      <x:c r="S42" s="1" t="n">
        <x:v>92</x:v>
      </x:c>
      <x:c r="T42" s="1" t="n">
        <x:v>111</x:v>
      </x:c>
    </x:row>
    <x:row r="43" ht="21" customHeight="1">
      <x:c r="A43" s="12" t="n">
        <x:v>46281</x:v>
      </x:c>
      <x:c r="B43" s="1" t="str">
        <x:v>Butterfly</x:v>
      </x:c>
      <x:c r="C43" s="1" t="str">
        <x:v>call</x:v>
      </x:c>
      <x:c r="D43" s="11" t="n">
        <x:v>4800</x:v>
      </x:c>
      <x:c r="E43" s="11" t="n">
        <x:v>5000</x:v>
      </x:c>
      <x:c r="F43" s="11" t="n">
        <x:v>5200</x:v>
      </x:c>
      <x:c r="G43" s="11" t="n">
        <x:f>'Option source'!B80</x:f>
        <x:v>2084.21</x:v>
      </x:c>
      <x:c r="H43" s="11" t="n">
        <x:f>'Option source'!B97</x:f>
        <x:v>1808.85</x:v>
      </x:c>
      <x:c r="I43" s="11" t="n">
        <x:f>'Option source'!B116</x:f>
        <x:v>1678.07</x:v>
      </x:c>
      <x:c r="J43" s="11" t="n">
        <x:f>G43-2*H43+IF(B43="Butterfly",I43,0)</x:f>
        <x:v>144.58000000000015</x:v>
      </x:c>
      <x:c r="K43" s="11" t="n">
        <x:f>ABS(E43-D43)</x:f>
        <x:v>200</x:v>
      </x:c>
      <x:c r="L43" s="11" t="n">
        <x:f>K43-J43</x:f>
        <x:v>55.419999999999845</x:v>
      </x:c>
      <x:c r="M43" s="11" t="n">
        <x:f>IF(B43="Butterfly",MAX(J43,0),IF(C43="call","Unlimited",MAX(2*E43-D43+J43,J43,0)))</x:f>
        <x:v>144.58000000000015</x:v>
      </x:c>
      <x:c r="N43" s="11" t="n">
        <x:f>IF(B43="Butterfly",IF(AND(J43&gt;0,J43&lt;K43),D43+J43,"n.a."),IF(C43="call",IF(AND(J43&gt;0,J43&lt;K43),D43+J43,"n.a."),IF(AND(K43&gt;J43,2*E43-D43+J43&gt;=0),2*E43-D43+J43,"n.a.")))</x:f>
        <x:v>4944.58</x:v>
      </x:c>
      <x:c r="O43" s="11" t="n">
        <x:f>IF(B43="Butterfly",IF(AND(J43&gt;0,J43&lt;K43),F43-J43,"n.a."),IF(C43="call",IF(K43&gt;J43,2*E43-D43-J43,"n.a."),IF(AND(J43&gt;0,J43&lt;K43),D43-J43,"n.a.")))</x:f>
        <x:v>5055.42</x:v>
      </x:c>
      <x:c r="P43" s="19" t="n">
        <x:f>IF(AND(B43="Butterfly",J43&gt;0,J43&lt;K43),L43/J43,"n.a.")</x:f>
        <x:v>0.3833171946327278</x:v>
      </x:c>
      <x:c r="Q43" s="11" t="n">
        <x:f>J43*'Model inputs'!$B$8</x:f>
        <x:v>14458.000000000015</x:v>
      </x:c>
      <x:c r="R43" s="1" t="str">
        <x:v>Flagged leg data</x:v>
      </x:c>
      <x:c r="S43" s="1" t="n">
        <x:v>75</x:v>
      </x:c>
      <x:c r="T43" s="1" t="n">
        <x:v>92</x:v>
      </x:c>
    </x:row>
    <x:row r="44" ht="21" customHeight="1">
      <x:c r="A44" s="12" t="n">
        <x:v>46281</x:v>
      </x:c>
      <x:c r="B44" s="1" t="str">
        <x:v>Butterfly</x:v>
      </x:c>
      <x:c r="C44" s="1" t="str">
        <x:v>put</x:v>
      </x:c>
      <x:c r="D44" s="11" t="n">
        <x:v>8300</x:v>
      </x:c>
      <x:c r="E44" s="11" t="n">
        <x:v>8600</x:v>
      </x:c>
      <x:c r="F44" s="11" t="n">
        <x:v>8900</x:v>
      </x:c>
      <x:c r="G44" s="11" t="n">
        <x:f>'Option source'!B885</x:f>
        <x:v>1520</x:v>
      </x:c>
      <x:c r="H44" s="11" t="n">
        <x:f>'Option source'!B904</x:f>
        <x:v>1648.65</x:v>
      </x:c>
      <x:c r="I44" s="11" t="n">
        <x:f>'Option source'!B919</x:f>
        <x:v>2022.5</x:v>
      </x:c>
      <x:c r="J44" s="11" t="n">
        <x:f>G44-2*H44+IF(B44="Butterfly",I44,0)</x:f>
        <x:v>245.19999999999982</x:v>
      </x:c>
      <x:c r="K44" s="11" t="n">
        <x:f>ABS(E44-D44)</x:f>
        <x:v>300</x:v>
      </x:c>
      <x:c r="L44" s="11" t="n">
        <x:f>K44-J44</x:f>
        <x:v>54.80000000000018</x:v>
      </x:c>
      <x:c r="M44" s="11" t="n">
        <x:f>IF(B44="Butterfly",MAX(J44,0),IF(C44="call","Unlimited",MAX(2*E44-D44+J44,J44,0)))</x:f>
        <x:v>245.19999999999982</x:v>
      </x:c>
      <x:c r="N44" s="11" t="n">
        <x:f>IF(B44="Butterfly",IF(AND(J44&gt;0,J44&lt;K44),D44+J44,"n.a."),IF(C44="call",IF(AND(J44&gt;0,J44&lt;K44),D44+J44,"n.a."),IF(AND(K44&gt;J44,2*E44-D44+J44&gt;=0),2*E44-D44+J44,"n.a.")))</x:f>
        <x:v>8545.2</x:v>
      </x:c>
      <x:c r="O44" s="11" t="n">
        <x:f>IF(B44="Butterfly",IF(AND(J44&gt;0,J44&lt;K44),F44-J44,"n.a."),IF(C44="call",IF(K44&gt;J44,2*E44-D44-J44,"n.a."),IF(AND(J44&gt;0,J44&lt;K44),D44-J44,"n.a.")))</x:f>
        <x:v>8654.8</x:v>
      </x:c>
      <x:c r="P44" s="19" t="n">
        <x:f>IF(AND(B44="Butterfly",J44&gt;0,J44&lt;K44),L44/J44,"n.a.")</x:f>
        <x:v>0.2234910277324642</x:v>
      </x:c>
      <x:c r="Q44" s="11" t="n">
        <x:f>J44*'Model inputs'!$B$8</x:f>
        <x:v>24519.99999999998</x:v>
      </x:c>
      <x:c r="R44" s="1" t="str">
        <x:v>Flagged leg data</x:v>
      </x:c>
      <x:c r="S44" s="1" t="n">
        <x:v>880</x:v>
      </x:c>
      <x:c r="T44" s="1" t="n">
        <x:v>899</x:v>
      </x:c>
    </x:row>
    <x:row r="45" ht="21" customHeight="1">
      <x:c r="A45" s="12" t="n">
        <x:v>46281</x:v>
      </x:c>
      <x:c r="B45" s="1" t="str">
        <x:v>Butterfly</x:v>
      </x:c>
      <x:c r="C45" s="1" t="str">
        <x:v>call</x:v>
      </x:c>
      <x:c r="D45" s="11" t="n">
        <x:v>4600</x:v>
      </x:c>
      <x:c r="E45" s="11" t="n">
        <x:v>4800</x:v>
      </x:c>
      <x:c r="F45" s="11" t="n">
        <x:v>5000</x:v>
      </x:c>
      <x:c r="G45" s="11" t="n">
        <x:f>'Option source'!B63</x:f>
        <x:v>2280.1</x:v>
      </x:c>
      <x:c r="H45" s="11" t="n">
        <x:f>'Option source'!B80</x:f>
        <x:v>2084.21</x:v>
      </x:c>
      <x:c r="I45" s="11" t="n">
        <x:f>'Option source'!B97</x:f>
        <x:v>1808.85</x:v>
      </x:c>
      <x:c r="J45" s="11" t="n">
        <x:f>G45-2*H45+IF(B45="Butterfly",I45,0)</x:f>
        <x:v>-79.47000000000025</x:v>
      </x:c>
      <x:c r="K45" s="11" t="n">
        <x:f>ABS(E45-D45)</x:f>
        <x:v>200</x:v>
      </x:c>
      <x:c r="L45" s="11" t="n">
        <x:f>K45-J45</x:f>
        <x:v>279.47000000000025</x:v>
      </x:c>
      <x:c r="M45" s="11" t="n">
        <x:f>IF(B45="Butterfly",MAX(J45,0),IF(C45="call","Unlimited",MAX(2*E45-D45+J45,J45,0)))</x:f>
        <x:v>0</x:v>
      </x:c>
      <x:c r="N45" s="11" t="str">
        <x:f>IF(B45="Butterfly",IF(AND(J45&gt;0,J45&lt;K45),D45+J45,"n.a."),IF(C45="call",IF(AND(J45&gt;0,J45&lt;K45),D45+J45,"n.a."),IF(AND(K45&gt;J45,2*E45-D45+J45&gt;=0),2*E45-D45+J45,"n.a.")))</x:f>
        <x:v>n.a.</x:v>
      </x:c>
      <x:c r="O45" s="11" t="str">
        <x:f>IF(B45="Butterfly",IF(AND(J45&gt;0,J45&lt;K45),F45-J45,"n.a."),IF(C45="call",IF(K45&gt;J45,2*E45-D45-J45,"n.a."),IF(AND(J45&gt;0,J45&lt;K45),D45-J45,"n.a.")))</x:f>
        <x:v>n.a.</x:v>
      </x:c>
      <x:c r="P45" s="19" t="str">
        <x:f>IF(AND(B45="Butterfly",J45&gt;0,J45&lt;K45),L45/J45,"n.a.")</x:f>
        <x:v>n.a.</x:v>
      </x:c>
      <x:c r="Q45" s="11" t="n">
        <x:f>J45*'Model inputs'!$B$8</x:f>
        <x:v>-7947.0000000000255</x:v>
      </x:c>
      <x:c r="R45" s="1" t="str">
        <x:v>Outside standard debit bounds</x:v>
      </x:c>
      <x:c r="S45" s="1" t="n">
        <x:v>58</x:v>
      </x:c>
      <x:c r="T45" s="1" t="n">
        <x:v>75</x:v>
      </x:c>
    </x:row>
    <x:row r="46" ht="21" customHeight="1">
      <x:c r="A46" s="12" t="n">
        <x:v>46281</x:v>
      </x:c>
      <x:c r="B46" s="1" t="str">
        <x:v>Butterfly</x:v>
      </x:c>
      <x:c r="C46" s="1" t="str">
        <x:v>put</x:v>
      </x:c>
      <x:c r="D46" s="11" t="n">
        <x:v>8600</x:v>
      </x:c>
      <x:c r="E46" s="11" t="n">
        <x:v>8900</x:v>
      </x:c>
      <x:c r="F46" s="11" t="n">
        <x:v>9200</x:v>
      </x:c>
      <x:c r="G46" s="11" t="n">
        <x:f>'Option source'!B904</x:f>
        <x:v>1648.65</x:v>
      </x:c>
      <x:c r="H46" s="11" t="n">
        <x:f>'Option source'!B919</x:f>
        <x:v>2022.5</x:v>
      </x:c>
      <x:c r="I46" s="11" t="n">
        <x:f>'Option source'!B926</x:f>
        <x:v>2268.51</x:v>
      </x:c>
      <x:c r="J46" s="11" t="n">
        <x:f>G46-2*H46+IF(B46="Butterfly",I46,0)</x:f>
        <x:v>-127.83999999999969</x:v>
      </x:c>
      <x:c r="K46" s="11" t="n">
        <x:f>ABS(E46-D46)</x:f>
        <x:v>300</x:v>
      </x:c>
      <x:c r="L46" s="11" t="n">
        <x:f>K46-J46</x:f>
        <x:v>427.8399999999997</x:v>
      </x:c>
      <x:c r="M46" s="11" t="n">
        <x:f>IF(B46="Butterfly",MAX(J46,0),IF(C46="call","Unlimited",MAX(2*E46-D46+J46,J46,0)))</x:f>
        <x:v>0</x:v>
      </x:c>
      <x:c r="N46" s="11" t="str">
        <x:f>IF(B46="Butterfly",IF(AND(J46&gt;0,J46&lt;K46),D46+J46,"n.a."),IF(C46="call",IF(AND(J46&gt;0,J46&lt;K46),D46+J46,"n.a."),IF(AND(K46&gt;J46,2*E46-D46+J46&gt;=0),2*E46-D46+J46,"n.a.")))</x:f>
        <x:v>n.a.</x:v>
      </x:c>
      <x:c r="O46" s="11" t="str">
        <x:f>IF(B46="Butterfly",IF(AND(J46&gt;0,J46&lt;K46),F46-J46,"n.a."),IF(C46="call",IF(K46&gt;J46,2*E46-D46-J46,"n.a."),IF(AND(J46&gt;0,J46&lt;K46),D46-J46,"n.a.")))</x:f>
        <x:v>n.a.</x:v>
      </x:c>
      <x:c r="P46" s="19" t="str">
        <x:f>IF(AND(B46="Butterfly",J46&gt;0,J46&lt;K46),L46/J46,"n.a.")</x:f>
        <x:v>n.a.</x:v>
      </x:c>
      <x:c r="Q46" s="11" t="n">
        <x:f>J46*'Model inputs'!$B$8</x:f>
        <x:v>-12783.999999999969</x:v>
      </x:c>
      <x:c r="R46" s="1" t="str">
        <x:v>Outside standard debit bounds</x:v>
      </x:c>
      <x:c r="S46" s="1" t="n">
        <x:v>899</x:v>
      </x:c>
      <x:c r="T46" s="1" t="n">
        <x:v>914</x:v>
      </x:c>
    </x:row>
    <x:row r="47" ht="21" customHeight="1">
      <x:c r="A47" s="12" t="n">
        <x:v>46281</x:v>
      </x:c>
      <x:c r="B47" s="1" t="str">
        <x:v>Butterfly</x:v>
      </x:c>
      <x:c r="C47" s="1" t="str">
        <x:v>call</x:v>
      </x:c>
      <x:c r="D47" s="11" t="n">
        <x:v>4400</x:v>
      </x:c>
      <x:c r="E47" s="11" t="n">
        <x:v>4600</x:v>
      </x:c>
      <x:c r="F47" s="11" t="n">
        <x:v>4800</x:v>
      </x:c>
      <x:c r="G47" s="11" t="n">
        <x:f>'Option source'!B44</x:f>
        <x:v>2422</x:v>
      </x:c>
      <x:c r="H47" s="11" t="n">
        <x:f>'Option source'!B63</x:f>
        <x:v>2280.1</x:v>
      </x:c>
      <x:c r="I47" s="11" t="n">
        <x:f>'Option source'!B80</x:f>
        <x:v>2084.21</x:v>
      </x:c>
      <x:c r="J47" s="11" t="n">
        <x:f>G47-2*H47+IF(B47="Butterfly",I47,0)</x:f>
        <x:v>-53.98999999999978</x:v>
      </x:c>
      <x:c r="K47" s="11" t="n">
        <x:f>ABS(E47-D47)</x:f>
        <x:v>200</x:v>
      </x:c>
      <x:c r="L47" s="11" t="n">
        <x:f>K47-J47</x:f>
        <x:v>253.98999999999978</x:v>
      </x:c>
      <x:c r="M47" s="11" t="n">
        <x:f>IF(B47="Butterfly",MAX(J47,0),IF(C47="call","Unlimited",MAX(2*E47-D47+J47,J47,0)))</x:f>
        <x:v>0</x:v>
      </x:c>
      <x:c r="N47" s="11" t="str">
        <x:f>IF(B47="Butterfly",IF(AND(J47&gt;0,J47&lt;K47),D47+J47,"n.a."),IF(C47="call",IF(AND(J47&gt;0,J47&lt;K47),D47+J47,"n.a."),IF(AND(K47&gt;J47,2*E47-D47+J47&gt;=0),2*E47-D47+J47,"n.a.")))</x:f>
        <x:v>n.a.</x:v>
      </x:c>
      <x:c r="O47" s="11" t="str">
        <x:f>IF(B47="Butterfly",IF(AND(J47&gt;0,J47&lt;K47),F47-J47,"n.a."),IF(C47="call",IF(K47&gt;J47,2*E47-D47-J47,"n.a."),IF(AND(J47&gt;0,J47&lt;K47),D47-J47,"n.a.")))</x:f>
        <x:v>n.a.</x:v>
      </x:c>
      <x:c r="P47" s="19" t="str">
        <x:f>IF(AND(B47="Butterfly",J47&gt;0,J47&lt;K47),L47/J47,"n.a.")</x:f>
        <x:v>n.a.</x:v>
      </x:c>
      <x:c r="Q47" s="11" t="n">
        <x:f>J47*'Model inputs'!$B$8</x:f>
        <x:v>-5398.999999999978</x:v>
      </x:c>
      <x:c r="R47" s="1" t="str">
        <x:v>Outside standard debit bounds</x:v>
      </x:c>
      <x:c r="S47" s="1" t="n">
        <x:v>39</x:v>
      </x:c>
      <x:c r="T47" s="1" t="n">
        <x:v>58</x:v>
      </x:c>
    </x:row>
    <x:row r="48" ht="21" customHeight="1">
      <x:c r="A48" s="12" t="n">
        <x:v>46281</x:v>
      </x:c>
      <x:c r="B48" s="1" t="str">
        <x:v>Butterfly</x:v>
      </x:c>
      <x:c r="C48" s="1" t="str">
        <x:v>put</x:v>
      </x:c>
      <x:c r="D48" s="11" t="n">
        <x:v>4400</x:v>
      </x:c>
      <x:c r="E48" s="11" t="n">
        <x:v>4600</x:v>
      </x:c>
      <x:c r="F48" s="11" t="n">
        <x:v>4800</x:v>
      </x:c>
      <x:c r="G48" s="11" t="n">
        <x:f>'Option source'!B524</x:f>
        <x:v>0.91</x:v>
      </x:c>
      <x:c r="H48" s="11" t="n">
        <x:f>'Option source'!B543</x:f>
        <x:v>1.62</x:v>
      </x:c>
      <x:c r="I48" s="11" t="n">
        <x:f>'Option source'!B562</x:f>
        <x:v>1.93</x:v>
      </x:c>
      <x:c r="J48" s="11" t="n">
        <x:f>G48-2*H48+IF(B48="Butterfly",I48,0)</x:f>
        <x:v>-0.40000000000000013</x:v>
      </x:c>
      <x:c r="K48" s="11" t="n">
        <x:f>ABS(E48-D48)</x:f>
        <x:v>200</x:v>
      </x:c>
      <x:c r="L48" s="11" t="n">
        <x:f>K48-J48</x:f>
        <x:v>200.4</x:v>
      </x:c>
      <x:c r="M48" s="11" t="n">
        <x:f>IF(B48="Butterfly",MAX(J48,0),IF(C48="call","Unlimited",MAX(2*E48-D48+J48,J48,0)))</x:f>
        <x:v>0</x:v>
      </x:c>
      <x:c r="N48" s="11" t="str">
        <x:f>IF(B48="Butterfly",IF(AND(J48&gt;0,J48&lt;K48),D48+J48,"n.a."),IF(C48="call",IF(AND(J48&gt;0,J48&lt;K48),D48+J48,"n.a."),IF(AND(K48&gt;J48,2*E48-D48+J48&gt;=0),2*E48-D48+J48,"n.a.")))</x:f>
        <x:v>n.a.</x:v>
      </x:c>
      <x:c r="O48" s="11" t="str">
        <x:f>IF(B48="Butterfly",IF(AND(J48&gt;0,J48&lt;K48),F48-J48,"n.a."),IF(C48="call",IF(K48&gt;J48,2*E48-D48-J48,"n.a."),IF(AND(J48&gt;0,J48&lt;K48),D48-J48,"n.a.")))</x:f>
        <x:v>n.a.</x:v>
      </x:c>
      <x:c r="P48" s="19" t="str">
        <x:f>IF(AND(B48="Butterfly",J48&gt;0,J48&lt;K48),L48/J48,"n.a.")</x:f>
        <x:v>n.a.</x:v>
      </x:c>
      <x:c r="Q48" s="11" t="n">
        <x:f>J48*'Model inputs'!$B$8</x:f>
        <x:v>-40.000000000000014</x:v>
      </x:c>
      <x:c r="R48" s="1" t="str">
        <x:v>Outside standard debit bounds</x:v>
      </x:c>
      <x:c r="S48" s="1" t="n">
        <x:v>519</x:v>
      </x:c>
      <x:c r="T48" s="1" t="n">
        <x:v>538</x:v>
      </x:c>
    </x:row>
    <x:row r="49" ht="21" customHeight="1">
      <x:c r="A49" s="12" t="n">
        <x:v>46281</x:v>
      </x:c>
      <x:c r="B49" s="1" t="str">
        <x:v>Butterfly</x:v>
      </x:c>
      <x:c r="C49" s="1" t="str">
        <x:v>call</x:v>
      </x:c>
      <x:c r="D49" s="11" t="n">
        <x:v>4200</x:v>
      </x:c>
      <x:c r="E49" s="11" t="n">
        <x:v>4400</x:v>
      </x:c>
      <x:c r="F49" s="11" t="n">
        <x:v>4600</x:v>
      </x:c>
      <x:c r="G49" s="11" t="n">
        <x:f>'Option source'!B25</x:f>
        <x:v>2587.49</x:v>
      </x:c>
      <x:c r="H49" s="11" t="n">
        <x:f>'Option source'!B44</x:f>
        <x:v>2422</x:v>
      </x:c>
      <x:c r="I49" s="11" t="n">
        <x:f>'Option source'!B63</x:f>
        <x:v>2280.1</x:v>
      </x:c>
      <x:c r="J49" s="11" t="n">
        <x:f>G49-2*H49+IF(B49="Butterfly",I49,0)</x:f>
        <x:v>23.58999999999969</x:v>
      </x:c>
      <x:c r="K49" s="11" t="n">
        <x:f>ABS(E49-D49)</x:f>
        <x:v>200</x:v>
      </x:c>
      <x:c r="L49" s="11" t="n">
        <x:f>K49-J49</x:f>
        <x:v>176.4100000000003</x:v>
      </x:c>
      <x:c r="M49" s="11" t="n">
        <x:f>IF(B49="Butterfly",MAX(J49,0),IF(C49="call","Unlimited",MAX(2*E49-D49+J49,J49,0)))</x:f>
        <x:v>23.58999999999969</x:v>
      </x:c>
      <x:c r="N49" s="11" t="n">
        <x:f>IF(B49="Butterfly",IF(AND(J49&gt;0,J49&lt;K49),D49+J49,"n.a."),IF(C49="call",IF(AND(J49&gt;0,J49&lt;K49),D49+J49,"n.a."),IF(AND(K49&gt;J49,2*E49-D49+J49&gt;=0),2*E49-D49+J49,"n.a.")))</x:f>
        <x:v>4223.59</x:v>
      </x:c>
      <x:c r="O49" s="11" t="n">
        <x:f>IF(B49="Butterfly",IF(AND(J49&gt;0,J49&lt;K49),F49-J49,"n.a."),IF(C49="call",IF(K49&gt;J49,2*E49-D49-J49,"n.a."),IF(AND(J49&gt;0,J49&lt;K49),D49-J49,"n.a.")))</x:f>
        <x:v>4576.41</x:v>
      </x:c>
      <x:c r="P49" s="19" t="n">
        <x:f>IF(AND(B49="Butterfly",J49&gt;0,J49&lt;K49),L49/J49,"n.a.")</x:f>
        <x:v>7.478168715557551</x:v>
      </x:c>
      <x:c r="Q49" s="11" t="n">
        <x:f>J49*'Model inputs'!$B$8</x:f>
        <x:v>2358.999999999969</x:v>
      </x:c>
      <x:c r="R49" s="1" t="str">
        <x:v>Flagged leg data</x:v>
      </x:c>
      <x:c r="S49" s="1" t="n">
        <x:v>20</x:v>
      </x:c>
      <x:c r="T49" s="1" t="n">
        <x:v>39</x:v>
      </x:c>
    </x:row>
    <x:row r="50" ht="21" customHeight="1">
      <x:c r="A50" s="12" t="n">
        <x:v>46281</x:v>
      </x:c>
      <x:c r="B50" s="1" t="str">
        <x:v>1x2 ratio</x:v>
      </x:c>
      <x:c r="C50" s="1" t="str">
        <x:v>call</x:v>
      </x:c>
      <x:c r="D50" s="11" t="n">
        <x:v>6600</x:v>
      </x:c>
      <x:c r="E50" s="11" t="n">
        <x:v>6800</x:v>
      </x:c>
      <x:c r="F50" s="11"/>
      <x:c r="G50" s="11" t="n">
        <x:f>'Option source'!B239</x:f>
        <x:v>478.22</x:v>
      </x:c>
      <x:c r="H50" s="11" t="n">
        <x:f>'Option source'!B258</x:f>
        <x:v>376.43</x:v>
      </x:c>
      <x:c r="I50" s="11"/>
      <x:c r="J50" s="11" t="n">
        <x:f>G50-2*H50+IF(B50="Butterfly",I50,0)</x:f>
        <x:v>-274.64</x:v>
      </x:c>
      <x:c r="K50" s="11" t="n">
        <x:f>ABS(E50-D50)</x:f>
        <x:v>200</x:v>
      </x:c>
      <x:c r="L50" s="11" t="n">
        <x:f>K50-J50</x:f>
        <x:v>474.64</x:v>
      </x:c>
      <x:c r="M50" s="11" t="str">
        <x:f>IF(B50="Butterfly",MAX(J50,0),IF(C50="call","Unlimited",MAX(2*E50-D50+J50,J50,0)))</x:f>
        <x:v>Unlimited</x:v>
      </x:c>
      <x:c r="N50" s="11" t="str">
        <x:f>IF(B50="Butterfly",IF(AND(J50&gt;0,J50&lt;K50),D50+J50,"n.a."),IF(C50="call",IF(AND(J50&gt;0,J50&lt;K50),D50+J50,"n.a."),IF(AND(K50&gt;J50,2*E50-D50+J50&gt;=0),2*E50-D50+J50,"n.a.")))</x:f>
        <x:v>n.a.</x:v>
      </x:c>
      <x:c r="O50" s="11" t="n">
        <x:f>IF(B50="Butterfly",IF(AND(J50&gt;0,J50&lt;K50),F50-J50,"n.a."),IF(C50="call",IF(K50&gt;J50,2*E50-D50-J50,"n.a."),IF(AND(J50&gt;0,J50&lt;K50),D50-J50,"n.a.")))</x:f>
        <x:v>7274.64</x:v>
      </x:c>
      <x:c r="P50" s="19" t="str">
        <x:f>IF(AND(B50="Butterfly",J50&gt;0,J50&lt;K50),L50/J50,"n.a.")</x:f>
        <x:v>n.a.</x:v>
      </x:c>
      <x:c r="Q50" s="11" t="n">
        <x:f>J50*'Model inputs'!$B$8</x:f>
        <x:v>-27464</x:v>
      </x:c>
      <x:c r="R50" s="1" t="str">
        <x:v>Indicative only</x:v>
      </x:c>
      <x:c r="S50" s="1" t="n">
        <x:v>234</x:v>
      </x:c>
      <x:c r="T50" s="1" t="n">
        <x:v>253</x:v>
      </x:c>
    </x:row>
    <x:row r="51" ht="21" customHeight="1">
      <x:c r="A51" s="12" t="n">
        <x:v>46281</x:v>
      </x:c>
      <x:c r="B51" s="1" t="str">
        <x:v>1x2 ratio</x:v>
      </x:c>
      <x:c r="C51" s="1" t="str">
        <x:v>put</x:v>
      </x:c>
      <x:c r="D51" s="11" t="n">
        <x:v>7000</x:v>
      </x:c>
      <x:c r="E51" s="11" t="n">
        <x:v>6800</x:v>
      </x:c>
      <x:c r="F51" s="11"/>
      <x:c r="G51" s="11" t="n">
        <x:f>'Option source'!B771</x:f>
        <x:v>427.03</x:v>
      </x:c>
      <x:c r="H51" s="11" t="n">
        <x:f>'Option source'!B752</x:f>
        <x:v>312.15</x:v>
      </x:c>
      <x:c r="I51" s="11"/>
      <x:c r="J51" s="11" t="n">
        <x:f>G51-2*H51+IF(B51="Butterfly",I51,0)</x:f>
        <x:v>-197.26999999999998</x:v>
      </x:c>
      <x:c r="K51" s="11" t="n">
        <x:f>ABS(E51-D51)</x:f>
        <x:v>200</x:v>
      </x:c>
      <x:c r="L51" s="11" t="n">
        <x:f>K51-J51</x:f>
        <x:v>397.27</x:v>
      </x:c>
      <x:c r="M51" s="11" t="n">
        <x:f>IF(B51="Butterfly",MAX(J51,0),IF(C51="call","Unlimited",MAX(2*E51-D51+J51,J51,0)))</x:f>
        <x:v>6402.73</x:v>
      </x:c>
      <x:c r="N51" s="11" t="n">
        <x:f>IF(B51="Butterfly",IF(AND(J51&gt;0,J51&lt;K51),D51+J51,"n.a."),IF(C51="call",IF(AND(J51&gt;0,J51&lt;K51),D51+J51,"n.a."),IF(AND(K51&gt;J51,2*E51-D51+J51&gt;=0),2*E51-D51+J51,"n.a.")))</x:f>
        <x:v>6402.73</x:v>
      </x:c>
      <x:c r="O51" s="11" t="str">
        <x:f>IF(B51="Butterfly",IF(AND(J51&gt;0,J51&lt;K51),F51-J51,"n.a."),IF(C51="call",IF(K51&gt;J51,2*E51-D51-J51,"n.a."),IF(AND(J51&gt;0,J51&lt;K51),D51-J51,"n.a.")))</x:f>
        <x:v>n.a.</x:v>
      </x:c>
      <x:c r="P51" s="19" t="str">
        <x:f>IF(AND(B51="Butterfly",J51&gt;0,J51&lt;K51),L51/J51,"n.a.")</x:f>
        <x:v>n.a.</x:v>
      </x:c>
      <x:c r="Q51" s="11" t="n">
        <x:f>J51*'Model inputs'!$B$8</x:f>
        <x:v>-19727</x:v>
      </x:c>
      <x:c r="R51" s="1" t="str">
        <x:v>Indicative only</x:v>
      </x:c>
      <x:c r="S51" s="1" t="n">
        <x:v>766</x:v>
      </x:c>
      <x:c r="T51" s="1" t="n">
        <x:v>747</x:v>
      </x:c>
    </x:row>
    <x:row r="52" ht="21" customHeight="1">
      <x:c r="A52" s="12" t="n">
        <x:v>46281</x:v>
      </x:c>
      <x:c r="B52" s="1" t="str">
        <x:v>1x2 ratio</x:v>
      </x:c>
      <x:c r="C52" s="1" t="str">
        <x:v>call</x:v>
      </x:c>
      <x:c r="D52" s="11" t="n">
        <x:v>6400</x:v>
      </x:c>
      <x:c r="E52" s="11" t="n">
        <x:v>6600</x:v>
      </x:c>
      <x:c r="F52" s="11"/>
      <x:c r="G52" s="11" t="n">
        <x:f>'Option source'!B220</x:f>
        <x:v>616.1</x:v>
      </x:c>
      <x:c r="H52" s="11" t="n">
        <x:f>'Option source'!B239</x:f>
        <x:v>478.22</x:v>
      </x:c>
      <x:c r="I52" s="11"/>
      <x:c r="J52" s="11" t="n">
        <x:f>G52-2*H52+IF(B52="Butterfly",I52,0)</x:f>
        <x:v>-340.34000000000003</x:v>
      </x:c>
      <x:c r="K52" s="11" t="n">
        <x:f>ABS(E52-D52)</x:f>
        <x:v>200</x:v>
      </x:c>
      <x:c r="L52" s="11" t="n">
        <x:f>K52-J52</x:f>
        <x:v>540.34</x:v>
      </x:c>
      <x:c r="M52" s="11" t="str">
        <x:f>IF(B52="Butterfly",MAX(J52,0),IF(C52="call","Unlimited",MAX(2*E52-D52+J52,J52,0)))</x:f>
        <x:v>Unlimited</x:v>
      </x:c>
      <x:c r="N52" s="11" t="str">
        <x:f>IF(B52="Butterfly",IF(AND(J52&gt;0,J52&lt;K52),D52+J52,"n.a."),IF(C52="call",IF(AND(J52&gt;0,J52&lt;K52),D52+J52,"n.a."),IF(AND(K52&gt;J52,2*E52-D52+J52&gt;=0),2*E52-D52+J52,"n.a.")))</x:f>
        <x:v>n.a.</x:v>
      </x:c>
      <x:c r="O52" s="11" t="n">
        <x:f>IF(B52="Butterfly",IF(AND(J52&gt;0,J52&lt;K52),F52-J52,"n.a."),IF(C52="call",IF(K52&gt;J52,2*E52-D52-J52,"n.a."),IF(AND(J52&gt;0,J52&lt;K52),D52-J52,"n.a.")))</x:f>
        <x:v>7140.34</x:v>
      </x:c>
      <x:c r="P52" s="19" t="str">
        <x:f>IF(AND(B52="Butterfly",J52&gt;0,J52&lt;K52),L52/J52,"n.a.")</x:f>
        <x:v>n.a.</x:v>
      </x:c>
      <x:c r="Q52" s="11" t="n">
        <x:f>J52*'Model inputs'!$B$8</x:f>
        <x:v>-34034</x:v>
      </x:c>
      <x:c r="R52" s="1" t="str">
        <x:v>Indicative only</x:v>
      </x:c>
      <x:c r="S52" s="1" t="n">
        <x:v>215</x:v>
      </x:c>
      <x:c r="T52" s="1" t="n">
        <x:v>234</x:v>
      </x:c>
    </x:row>
    <x:row r="53" ht="21" customHeight="1">
      <x:c r="A53" s="12" t="n">
        <x:v>46281</x:v>
      </x:c>
      <x:c r="B53" s="1" t="str">
        <x:v>1x2 ratio</x:v>
      </x:c>
      <x:c r="C53" s="1" t="str">
        <x:v>put</x:v>
      </x:c>
      <x:c r="D53" s="11" t="n">
        <x:v>6800</x:v>
      </x:c>
      <x:c r="E53" s="11" t="n">
        <x:v>6600</x:v>
      </x:c>
      <x:c r="F53" s="11"/>
      <x:c r="G53" s="11" t="n">
        <x:f>'Option source'!B752</x:f>
        <x:v>312.15</x:v>
      </x:c>
      <x:c r="H53" s="11" t="n">
        <x:f>'Option source'!B733</x:f>
        <x:v>222.45</x:v>
      </x:c>
      <x:c r="I53" s="11"/>
      <x:c r="J53" s="11" t="n">
        <x:f>G53-2*H53+IF(B53="Butterfly",I53,0)</x:f>
        <x:v>-132.75</x:v>
      </x:c>
      <x:c r="K53" s="11" t="n">
        <x:f>ABS(E53-D53)</x:f>
        <x:v>200</x:v>
      </x:c>
      <x:c r="L53" s="11" t="n">
        <x:f>K53-J53</x:f>
        <x:v>332.75</x:v>
      </x:c>
      <x:c r="M53" s="11" t="n">
        <x:f>IF(B53="Butterfly",MAX(J53,0),IF(C53="call","Unlimited",MAX(2*E53-D53+J53,J53,0)))</x:f>
        <x:v>6267.25</x:v>
      </x:c>
      <x:c r="N53" s="11" t="n">
        <x:f>IF(B53="Butterfly",IF(AND(J53&gt;0,J53&lt;K53),D53+J53,"n.a."),IF(C53="call",IF(AND(J53&gt;0,J53&lt;K53),D53+J53,"n.a."),IF(AND(K53&gt;J53,2*E53-D53+J53&gt;=0),2*E53-D53+J53,"n.a.")))</x:f>
        <x:v>6267.25</x:v>
      </x:c>
      <x:c r="O53" s="11" t="str">
        <x:f>IF(B53="Butterfly",IF(AND(J53&gt;0,J53&lt;K53),F53-J53,"n.a."),IF(C53="call",IF(K53&gt;J53,2*E53-D53-J53,"n.a."),IF(AND(J53&gt;0,J53&lt;K53),D53-J53,"n.a.")))</x:f>
        <x:v>n.a.</x:v>
      </x:c>
      <x:c r="P53" s="19" t="str">
        <x:f>IF(AND(B53="Butterfly",J53&gt;0,J53&lt;K53),L53/J53,"n.a.")</x:f>
        <x:v>n.a.</x:v>
      </x:c>
      <x:c r="Q53" s="11" t="n">
        <x:f>J53*'Model inputs'!$B$8</x:f>
        <x:v>-13275</x:v>
      </x:c>
      <x:c r="R53" s="1" t="str">
        <x:v>Indicative only</x:v>
      </x:c>
      <x:c r="S53" s="1" t="n">
        <x:v>747</x:v>
      </x:c>
      <x:c r="T53" s="1" t="n">
        <x:v>728</x:v>
      </x:c>
    </x:row>
    <x:row r="54" ht="21" customHeight="1">
      <x:c r="A54" s="12" t="n">
        <x:v>46281</x:v>
      </x:c>
      <x:c r="B54" s="1" t="str">
        <x:v>1x2 ratio</x:v>
      </x:c>
      <x:c r="C54" s="1" t="str">
        <x:v>call</x:v>
      </x:c>
      <x:c r="D54" s="11" t="n">
        <x:v>6800</x:v>
      </x:c>
      <x:c r="E54" s="11" t="n">
        <x:v>7000</x:v>
      </x:c>
      <x:c r="F54" s="11"/>
      <x:c r="G54" s="11" t="n">
        <x:f>'Option source'!B258</x:f>
        <x:v>376.43</x:v>
      </x:c>
      <x:c r="H54" s="11" t="n">
        <x:f>'Option source'!B277</x:f>
        <x:v>289.65</x:v>
      </x:c>
      <x:c r="I54" s="11"/>
      <x:c r="J54" s="11" t="n">
        <x:f>G54-2*H54+IF(B54="Butterfly",I54,0)</x:f>
        <x:v>-202.86999999999995</x:v>
      </x:c>
      <x:c r="K54" s="11" t="n">
        <x:f>ABS(E54-D54)</x:f>
        <x:v>200</x:v>
      </x:c>
      <x:c r="L54" s="11" t="n">
        <x:f>K54-J54</x:f>
        <x:v>402.86999999999995</x:v>
      </x:c>
      <x:c r="M54" s="11" t="str">
        <x:f>IF(B54="Butterfly",MAX(J54,0),IF(C54="call","Unlimited",MAX(2*E54-D54+J54,J54,0)))</x:f>
        <x:v>Unlimited</x:v>
      </x:c>
      <x:c r="N54" s="11" t="str">
        <x:f>IF(B54="Butterfly",IF(AND(J54&gt;0,J54&lt;K54),D54+J54,"n.a."),IF(C54="call",IF(AND(J54&gt;0,J54&lt;K54),D54+J54,"n.a."),IF(AND(K54&gt;J54,2*E54-D54+J54&gt;=0),2*E54-D54+J54,"n.a.")))</x:f>
        <x:v>n.a.</x:v>
      </x:c>
      <x:c r="O54" s="11" t="n">
        <x:f>IF(B54="Butterfly",IF(AND(J54&gt;0,J54&lt;K54),F54-J54,"n.a."),IF(C54="call",IF(K54&gt;J54,2*E54-D54-J54,"n.a."),IF(AND(J54&gt;0,J54&lt;K54),D54-J54,"n.a.")))</x:f>
        <x:v>7402.87</x:v>
      </x:c>
      <x:c r="P54" s="19" t="str">
        <x:f>IF(AND(B54="Butterfly",J54&gt;0,J54&lt;K54),L54/J54,"n.a.")</x:f>
        <x:v>n.a.</x:v>
      </x:c>
      <x:c r="Q54" s="11" t="n">
        <x:f>J54*'Model inputs'!$B$8</x:f>
        <x:v>-20286.999999999996</x:v>
      </x:c>
      <x:c r="R54" s="1" t="str">
        <x:v>Indicative only</x:v>
      </x:c>
      <x:c r="S54" s="1" t="n">
        <x:v>253</x:v>
      </x:c>
      <x:c r="T54" s="1" t="n">
        <x:v>272</x:v>
      </x:c>
    </x:row>
    <x:row r="55" ht="21" customHeight="1">
      <x:c r="A55" s="12" t="n">
        <x:v>46281</x:v>
      </x:c>
      <x:c r="B55" s="1" t="str">
        <x:v>1x2 ratio</x:v>
      </x:c>
      <x:c r="C55" s="1" t="str">
        <x:v>put</x:v>
      </x:c>
      <x:c r="D55" s="11" t="n">
        <x:v>7200</x:v>
      </x:c>
      <x:c r="E55" s="11" t="n">
        <x:v>7000</x:v>
      </x:c>
      <x:c r="F55" s="11"/>
      <x:c r="G55" s="11" t="n">
        <x:f>'Option source'!B790</x:f>
        <x:v>550.35</x:v>
      </x:c>
      <x:c r="H55" s="11" t="n">
        <x:f>'Option source'!B771</x:f>
        <x:v>427.03</x:v>
      </x:c>
      <x:c r="I55" s="11"/>
      <x:c r="J55" s="11" t="n">
        <x:f>G55-2*H55+IF(B55="Butterfly",I55,0)</x:f>
        <x:v>-303.7099999999999</x:v>
      </x:c>
      <x:c r="K55" s="11" t="n">
        <x:f>ABS(E55-D55)</x:f>
        <x:v>200</x:v>
      </x:c>
      <x:c r="L55" s="11" t="n">
        <x:f>K55-J55</x:f>
        <x:v>503.7099999999999</x:v>
      </x:c>
      <x:c r="M55" s="11" t="n">
        <x:f>IF(B55="Butterfly",MAX(J55,0),IF(C55="call","Unlimited",MAX(2*E55-D55+J55,J55,0)))</x:f>
        <x:v>6496.29</x:v>
      </x:c>
      <x:c r="N55" s="11" t="n">
        <x:f>IF(B55="Butterfly",IF(AND(J55&gt;0,J55&lt;K55),D55+J55,"n.a."),IF(C55="call",IF(AND(J55&gt;0,J55&lt;K55),D55+J55,"n.a."),IF(AND(K55&gt;J55,2*E55-D55+J55&gt;=0),2*E55-D55+J55,"n.a.")))</x:f>
        <x:v>6496.29</x:v>
      </x:c>
      <x:c r="O55" s="11" t="str">
        <x:f>IF(B55="Butterfly",IF(AND(J55&gt;0,J55&lt;K55),F55-J55,"n.a."),IF(C55="call",IF(K55&gt;J55,2*E55-D55-J55,"n.a."),IF(AND(J55&gt;0,J55&lt;K55),D55-J55,"n.a.")))</x:f>
        <x:v>n.a.</x:v>
      </x:c>
      <x:c r="P55" s="19" t="str">
        <x:f>IF(AND(B55="Butterfly",J55&gt;0,J55&lt;K55),L55/J55,"n.a.")</x:f>
        <x:v>n.a.</x:v>
      </x:c>
      <x:c r="Q55" s="11" t="n">
        <x:f>J55*'Model inputs'!$B$8</x:f>
        <x:v>-30370.999999999993</x:v>
      </x:c>
      <x:c r="R55" s="1" t="str">
        <x:v>Indicative only</x:v>
      </x:c>
      <x:c r="S55" s="1" t="n">
        <x:v>785</x:v>
      </x:c>
      <x:c r="T55" s="1" t="n">
        <x:v>766</x:v>
      </x:c>
    </x:row>
    <x:row r="56" ht="21" customHeight="1">
      <x:c r="A56" s="12" t="n">
        <x:v>46281</x:v>
      </x:c>
      <x:c r="B56" s="1" t="str">
        <x:v>1x2 ratio</x:v>
      </x:c>
      <x:c r="C56" s="1" t="str">
        <x:v>put</x:v>
      </x:c>
      <x:c r="D56" s="11" t="n">
        <x:v>6600</x:v>
      </x:c>
      <x:c r="E56" s="11" t="n">
        <x:v>6400</x:v>
      </x:c>
      <x:c r="F56" s="11"/>
      <x:c r="G56" s="11" t="n">
        <x:f>'Option source'!B733</x:f>
        <x:v>222.45</x:v>
      </x:c>
      <x:c r="H56" s="11" t="n">
        <x:f>'Option source'!B714</x:f>
        <x:v>150.25</x:v>
      </x:c>
      <x:c r="I56" s="11"/>
      <x:c r="J56" s="11" t="n">
        <x:f>G56-2*H56+IF(B56="Butterfly",I56,0)</x:f>
        <x:v>-78.05000000000001</x:v>
      </x:c>
      <x:c r="K56" s="11" t="n">
        <x:f>ABS(E56-D56)</x:f>
        <x:v>200</x:v>
      </x:c>
      <x:c r="L56" s="11" t="n">
        <x:f>K56-J56</x:f>
        <x:v>278.05</x:v>
      </x:c>
      <x:c r="M56" s="11" t="n">
        <x:f>IF(B56="Butterfly",MAX(J56,0),IF(C56="call","Unlimited",MAX(2*E56-D56+J56,J56,0)))</x:f>
        <x:v>6121.95</x:v>
      </x:c>
      <x:c r="N56" s="11" t="n">
        <x:f>IF(B56="Butterfly",IF(AND(J56&gt;0,J56&lt;K56),D56+J56,"n.a."),IF(C56="call",IF(AND(J56&gt;0,J56&lt;K56),D56+J56,"n.a."),IF(AND(K56&gt;J56,2*E56-D56+J56&gt;=0),2*E56-D56+J56,"n.a.")))</x:f>
        <x:v>6121.95</x:v>
      </x:c>
      <x:c r="O56" s="11" t="str">
        <x:f>IF(B56="Butterfly",IF(AND(J56&gt;0,J56&lt;K56),F56-J56,"n.a."),IF(C56="call",IF(K56&gt;J56,2*E56-D56-J56,"n.a."),IF(AND(J56&gt;0,J56&lt;K56),D56-J56,"n.a.")))</x:f>
        <x:v>n.a.</x:v>
      </x:c>
      <x:c r="P56" s="19" t="str">
        <x:f>IF(AND(B56="Butterfly",J56&gt;0,J56&lt;K56),L56/J56,"n.a.")</x:f>
        <x:v>n.a.</x:v>
      </x:c>
      <x:c r="Q56" s="11" t="n">
        <x:f>J56*'Model inputs'!$B$8</x:f>
        <x:v>-7805.000000000001</x:v>
      </x:c>
      <x:c r="R56" s="1" t="str">
        <x:v>Indicative only</x:v>
      </x:c>
      <x:c r="S56" s="1" t="n">
        <x:v>728</x:v>
      </x:c>
      <x:c r="T56" s="1" t="n">
        <x:v>709</x:v>
      </x:c>
    </x:row>
    <x:row r="57" ht="21" customHeight="1">
      <x:c r="A57" s="12" t="n">
        <x:v>46281</x:v>
      </x:c>
      <x:c r="B57" s="1" t="str">
        <x:v>1x2 ratio</x:v>
      </x:c>
      <x:c r="C57" s="1" t="str">
        <x:v>call</x:v>
      </x:c>
      <x:c r="D57" s="11" t="n">
        <x:v>7000</x:v>
      </x:c>
      <x:c r="E57" s="11" t="n">
        <x:v>7200</x:v>
      </x:c>
      <x:c r="F57" s="11"/>
      <x:c r="G57" s="11" t="n">
        <x:f>'Option source'!B277</x:f>
        <x:v>289.65</x:v>
      </x:c>
      <x:c r="H57" s="11" t="n">
        <x:f>'Option source'!B296</x:f>
        <x:v>213.18</x:v>
      </x:c>
      <x:c r="I57" s="11"/>
      <x:c r="J57" s="11" t="n">
        <x:f>G57-2*H57+IF(B57="Butterfly",I57,0)</x:f>
        <x:v>-136.71000000000004</x:v>
      </x:c>
      <x:c r="K57" s="11" t="n">
        <x:f>ABS(E57-D57)</x:f>
        <x:v>200</x:v>
      </x:c>
      <x:c r="L57" s="11" t="n">
        <x:f>K57-J57</x:f>
        <x:v>336.71000000000004</x:v>
      </x:c>
      <x:c r="M57" s="11" t="str">
        <x:f>IF(B57="Butterfly",MAX(J57,0),IF(C57="call","Unlimited",MAX(2*E57-D57+J57,J57,0)))</x:f>
        <x:v>Unlimited</x:v>
      </x:c>
      <x:c r="N57" s="11" t="str">
        <x:f>IF(B57="Butterfly",IF(AND(J57&gt;0,J57&lt;K57),D57+J57,"n.a."),IF(C57="call",IF(AND(J57&gt;0,J57&lt;K57),D57+J57,"n.a."),IF(AND(K57&gt;J57,2*E57-D57+J57&gt;=0),2*E57-D57+J57,"n.a.")))</x:f>
        <x:v>n.a.</x:v>
      </x:c>
      <x:c r="O57" s="11" t="n">
        <x:f>IF(B57="Butterfly",IF(AND(J57&gt;0,J57&lt;K57),F57-J57,"n.a."),IF(C57="call",IF(K57&gt;J57,2*E57-D57-J57,"n.a."),IF(AND(J57&gt;0,J57&lt;K57),D57-J57,"n.a.")))</x:f>
        <x:v>7536.71</x:v>
      </x:c>
      <x:c r="P57" s="19" t="str">
        <x:f>IF(AND(B57="Butterfly",J57&gt;0,J57&lt;K57),L57/J57,"n.a.")</x:f>
        <x:v>n.a.</x:v>
      </x:c>
      <x:c r="Q57" s="11" t="n">
        <x:f>J57*'Model inputs'!$B$8</x:f>
        <x:v>-13671.000000000004</x:v>
      </x:c>
      <x:c r="R57" s="1" t="str">
        <x:v>Indicative only</x:v>
      </x:c>
      <x:c r="S57" s="1" t="n">
        <x:v>272</x:v>
      </x:c>
      <x:c r="T57" s="1" t="n">
        <x:v>291</x:v>
      </x:c>
    </x:row>
    <x:row r="58" ht="21" customHeight="1">
      <x:c r="A58" s="12" t="n">
        <x:v>46281</x:v>
      </x:c>
      <x:c r="B58" s="1" t="str">
        <x:v>1x2 ratio</x:v>
      </x:c>
      <x:c r="C58" s="1" t="str">
        <x:v>put</x:v>
      </x:c>
      <x:c r="D58" s="11" t="n">
        <x:v>7400</x:v>
      </x:c>
      <x:c r="E58" s="11" t="n">
        <x:v>7200</x:v>
      </x:c>
      <x:c r="F58" s="11"/>
      <x:c r="G58" s="11" t="n">
        <x:f>'Option source'!B809</x:f>
        <x:v>677.83</x:v>
      </x:c>
      <x:c r="H58" s="11" t="n">
        <x:f>'Option source'!B790</x:f>
        <x:v>550.35</x:v>
      </x:c>
      <x:c r="I58" s="11"/>
      <x:c r="J58" s="11" t="n">
        <x:f>G58-2*H58+IF(B58="Butterfly",I58,0)</x:f>
        <x:v>-422.87</x:v>
      </x:c>
      <x:c r="K58" s="11" t="n">
        <x:f>ABS(E58-D58)</x:f>
        <x:v>200</x:v>
      </x:c>
      <x:c r="L58" s="11" t="n">
        <x:f>K58-J58</x:f>
        <x:v>622.87</x:v>
      </x:c>
      <x:c r="M58" s="11" t="n">
        <x:f>IF(B58="Butterfly",MAX(J58,0),IF(C58="call","Unlimited",MAX(2*E58-D58+J58,J58,0)))</x:f>
        <x:v>6577.13</x:v>
      </x:c>
      <x:c r="N58" s="11" t="n">
        <x:f>IF(B58="Butterfly",IF(AND(J58&gt;0,J58&lt;K58),D58+J58,"n.a."),IF(C58="call",IF(AND(J58&gt;0,J58&lt;K58),D58+J58,"n.a."),IF(AND(K58&gt;J58,2*E58-D58+J58&gt;=0),2*E58-D58+J58,"n.a.")))</x:f>
        <x:v>6577.13</x:v>
      </x:c>
      <x:c r="O58" s="11" t="str">
        <x:f>IF(B58="Butterfly",IF(AND(J58&gt;0,J58&lt;K58),F58-J58,"n.a."),IF(C58="call",IF(K58&gt;J58,2*E58-D58-J58,"n.a."),IF(AND(J58&gt;0,J58&lt;K58),D58-J58,"n.a.")))</x:f>
        <x:v>n.a.</x:v>
      </x:c>
      <x:c r="P58" s="19" t="str">
        <x:f>IF(AND(B58="Butterfly",J58&gt;0,J58&lt;K58),L58/J58,"n.a.")</x:f>
        <x:v>n.a.</x:v>
      </x:c>
      <x:c r="Q58" s="11" t="n">
        <x:f>J58*'Model inputs'!$B$8</x:f>
        <x:v>-42287</x:v>
      </x:c>
      <x:c r="R58" s="1" t="str">
        <x:v>Indicative only</x:v>
      </x:c>
      <x:c r="S58" s="1" t="n">
        <x:v>804</x:v>
      </x:c>
      <x:c r="T58" s="1" t="n">
        <x:v>785</x:v>
      </x:c>
    </x:row>
    <x:row r="59" ht="21" customHeight="1">
      <x:c r="A59" s="12" t="n">
        <x:v>46281</x:v>
      </x:c>
      <x:c r="B59" s="1" t="str">
        <x:v>1x2 ratio</x:v>
      </x:c>
      <x:c r="C59" s="1" t="str">
        <x:v>put</x:v>
      </x:c>
      <x:c r="D59" s="11" t="n">
        <x:v>6400</x:v>
      </x:c>
      <x:c r="E59" s="11" t="n">
        <x:v>6200</x:v>
      </x:c>
      <x:c r="F59" s="11"/>
      <x:c r="G59" s="11" t="n">
        <x:f>'Option source'!B714</x:f>
        <x:v>150.25</x:v>
      </x:c>
      <x:c r="H59" s="11" t="n">
        <x:f>'Option source'!B695</x:f>
        <x:v>97.41</x:v>
      </x:c>
      <x:c r="I59" s="11"/>
      <x:c r="J59" s="11" t="n">
        <x:f>G59-2*H59+IF(B59="Butterfly",I59,0)</x:f>
        <x:v>-44.56999999999999</x:v>
      </x:c>
      <x:c r="K59" s="11" t="n">
        <x:f>ABS(E59-D59)</x:f>
        <x:v>200</x:v>
      </x:c>
      <x:c r="L59" s="11" t="n">
        <x:f>K59-J59</x:f>
        <x:v>244.57</x:v>
      </x:c>
      <x:c r="M59" s="11" t="n">
        <x:f>IF(B59="Butterfly",MAX(J59,0),IF(C59="call","Unlimited",MAX(2*E59-D59+J59,J59,0)))</x:f>
        <x:v>5955.43</x:v>
      </x:c>
      <x:c r="N59" s="11" t="n">
        <x:f>IF(B59="Butterfly",IF(AND(J59&gt;0,J59&lt;K59),D59+J59,"n.a."),IF(C59="call",IF(AND(J59&gt;0,J59&lt;K59),D59+J59,"n.a."),IF(AND(K59&gt;J59,2*E59-D59+J59&gt;=0),2*E59-D59+J59,"n.a.")))</x:f>
        <x:v>5955.43</x:v>
      </x:c>
      <x:c r="O59" s="11" t="str">
        <x:f>IF(B59="Butterfly",IF(AND(J59&gt;0,J59&lt;K59),F59-J59,"n.a."),IF(C59="call",IF(K59&gt;J59,2*E59-D59-J59,"n.a."),IF(AND(J59&gt;0,J59&lt;K59),D59-J59,"n.a.")))</x:f>
        <x:v>n.a.</x:v>
      </x:c>
      <x:c r="P59" s="19" t="str">
        <x:f>IF(AND(B59="Butterfly",J59&gt;0,J59&lt;K59),L59/J59,"n.a.")</x:f>
        <x:v>n.a.</x:v>
      </x:c>
      <x:c r="Q59" s="11" t="n">
        <x:f>J59*'Model inputs'!$B$8</x:f>
        <x:v>-4456.999999999999</x:v>
      </x:c>
      <x:c r="R59" s="1" t="str">
        <x:v>Indicative only</x:v>
      </x:c>
      <x:c r="S59" s="1" t="n">
        <x:v>709</x:v>
      </x:c>
      <x:c r="T59" s="1" t="n">
        <x:v>690</x:v>
      </x:c>
    </x:row>
    <x:row r="60" ht="21" customHeight="1">
      <x:c r="A60" s="12" t="n">
        <x:v>46281</x:v>
      </x:c>
      <x:c r="B60" s="1" t="str">
        <x:v>1x2 ratio</x:v>
      </x:c>
      <x:c r="C60" s="1" t="str">
        <x:v>call</x:v>
      </x:c>
      <x:c r="D60" s="11" t="n">
        <x:v>7200</x:v>
      </x:c>
      <x:c r="E60" s="11" t="n">
        <x:v>7400</x:v>
      </x:c>
      <x:c r="F60" s="11"/>
      <x:c r="G60" s="11" t="n">
        <x:f>'Option source'!B296</x:f>
        <x:v>213.18</x:v>
      </x:c>
      <x:c r="H60" s="11" t="n">
        <x:f>'Option source'!B315</x:f>
        <x:v>157.14</x:v>
      </x:c>
      <x:c r="I60" s="11"/>
      <x:c r="J60" s="11" t="n">
        <x:f>G60-2*H60+IF(B60="Butterfly",I60,0)</x:f>
        <x:v>-101.09999999999997</x:v>
      </x:c>
      <x:c r="K60" s="11" t="n">
        <x:f>ABS(E60-D60)</x:f>
        <x:v>200</x:v>
      </x:c>
      <x:c r="L60" s="11" t="n">
        <x:f>K60-J60</x:f>
        <x:v>301.09999999999997</x:v>
      </x:c>
      <x:c r="M60" s="11" t="str">
        <x:f>IF(B60="Butterfly",MAX(J60,0),IF(C60="call","Unlimited",MAX(2*E60-D60+J60,J60,0)))</x:f>
        <x:v>Unlimited</x:v>
      </x:c>
      <x:c r="N60" s="11" t="str">
        <x:f>IF(B60="Butterfly",IF(AND(J60&gt;0,J60&lt;K60),D60+J60,"n.a."),IF(C60="call",IF(AND(J60&gt;0,J60&lt;K60),D60+J60,"n.a."),IF(AND(K60&gt;J60,2*E60-D60+J60&gt;=0),2*E60-D60+J60,"n.a.")))</x:f>
        <x:v>n.a.</x:v>
      </x:c>
      <x:c r="O60" s="11" t="n">
        <x:f>IF(B60="Butterfly",IF(AND(J60&gt;0,J60&lt;K60),F60-J60,"n.a."),IF(C60="call",IF(K60&gt;J60,2*E60-D60-J60,"n.a."),IF(AND(J60&gt;0,J60&lt;K60),D60-J60,"n.a.")))</x:f>
        <x:v>7701.1</x:v>
      </x:c>
      <x:c r="P60" s="19" t="str">
        <x:f>IF(AND(B60="Butterfly",J60&gt;0,J60&lt;K60),L60/J60,"n.a.")</x:f>
        <x:v>n.a.</x:v>
      </x:c>
      <x:c r="Q60" s="11" t="n">
        <x:f>J60*'Model inputs'!$B$8</x:f>
        <x:v>-10109.999999999996</x:v>
      </x:c>
      <x:c r="R60" s="1" t="str">
        <x:v>Indicative only</x:v>
      </x:c>
      <x:c r="S60" s="1" t="n">
        <x:v>291</x:v>
      </x:c>
      <x:c r="T60" s="1" t="n">
        <x:v>310</x:v>
      </x:c>
    </x:row>
    <x:row r="61" ht="21" customHeight="1">
      <x:c r="A61" s="12" t="n">
        <x:v>46281</x:v>
      </x:c>
      <x:c r="B61" s="1" t="str">
        <x:v>1x2 ratio</x:v>
      </x:c>
      <x:c r="C61" s="1" t="str">
        <x:v>put</x:v>
      </x:c>
      <x:c r="D61" s="11" t="n">
        <x:v>7600</x:v>
      </x:c>
      <x:c r="E61" s="11" t="n">
        <x:v>7400</x:v>
      </x:c>
      <x:c r="F61" s="11"/>
      <x:c r="G61" s="11" t="n">
        <x:f>'Option source'!B828</x:f>
        <x:v>857</x:v>
      </x:c>
      <x:c r="H61" s="11" t="n">
        <x:f>'Option source'!B809</x:f>
        <x:v>677.83</x:v>
      </x:c>
      <x:c r="I61" s="11"/>
      <x:c r="J61" s="11" t="n">
        <x:f>G61-2*H61+IF(B61="Butterfly",I61,0)</x:f>
        <x:v>-498.6600000000001</x:v>
      </x:c>
      <x:c r="K61" s="11" t="n">
        <x:f>ABS(E61-D61)</x:f>
        <x:v>200</x:v>
      </x:c>
      <x:c r="L61" s="11" t="n">
        <x:f>K61-J61</x:f>
        <x:v>698.6600000000001</x:v>
      </x:c>
      <x:c r="M61" s="11" t="n">
        <x:f>IF(B61="Butterfly",MAX(J61,0),IF(C61="call","Unlimited",MAX(2*E61-D61+J61,J61,0)))</x:f>
        <x:v>6701.34</x:v>
      </x:c>
      <x:c r="N61" s="11" t="n">
        <x:f>IF(B61="Butterfly",IF(AND(J61&gt;0,J61&lt;K61),D61+J61,"n.a."),IF(C61="call",IF(AND(J61&gt;0,J61&lt;K61),D61+J61,"n.a."),IF(AND(K61&gt;J61,2*E61-D61+J61&gt;=0),2*E61-D61+J61,"n.a.")))</x:f>
        <x:v>6701.34</x:v>
      </x:c>
      <x:c r="O61" s="11" t="str">
        <x:f>IF(B61="Butterfly",IF(AND(J61&gt;0,J61&lt;K61),F61-J61,"n.a."),IF(C61="call",IF(K61&gt;J61,2*E61-D61-J61,"n.a."),IF(AND(J61&gt;0,J61&lt;K61),D61-J61,"n.a.")))</x:f>
        <x:v>n.a.</x:v>
      </x:c>
      <x:c r="P61" s="19" t="str">
        <x:f>IF(AND(B61="Butterfly",J61&gt;0,J61&lt;K61),L61/J61,"n.a.")</x:f>
        <x:v>n.a.</x:v>
      </x:c>
      <x:c r="Q61" s="11" t="n">
        <x:f>J61*'Model inputs'!$B$8</x:f>
        <x:v>-49866.00000000001</x:v>
      </x:c>
      <x:c r="R61" s="1" t="str">
        <x:v>Indicative only</x:v>
      </x:c>
      <x:c r="S61" s="1" t="n">
        <x:v>823</x:v>
      </x:c>
      <x:c r="T61" s="1" t="n">
        <x:v>804</x:v>
      </x:c>
    </x:row>
    <x:row r="62" ht="21" customHeight="1">
      <x:c r="A62" s="12" t="n">
        <x:v>46281</x:v>
      </x:c>
      <x:c r="B62" s="1" t="str">
        <x:v>1x2 ratio</x:v>
      </x:c>
      <x:c r="C62" s="1" t="str">
        <x:v>put</x:v>
      </x:c>
      <x:c r="D62" s="11" t="n">
        <x:v>6200</x:v>
      </x:c>
      <x:c r="E62" s="11" t="n">
        <x:v>6000</x:v>
      </x:c>
      <x:c r="F62" s="11"/>
      <x:c r="G62" s="11" t="n">
        <x:f>'Option source'!B695</x:f>
        <x:v>97.41</x:v>
      </x:c>
      <x:c r="H62" s="11" t="n">
        <x:f>'Option source'!B676</x:f>
        <x:v>56.82</x:v>
      </x:c>
      <x:c r="I62" s="11"/>
      <x:c r="J62" s="11" t="n">
        <x:f>G62-2*H62+IF(B62="Butterfly",I62,0)</x:f>
        <x:v>-16.230000000000004</x:v>
      </x:c>
      <x:c r="K62" s="11" t="n">
        <x:f>ABS(E62-D62)</x:f>
        <x:v>200</x:v>
      </x:c>
      <x:c r="L62" s="11" t="n">
        <x:f>K62-J62</x:f>
        <x:v>216.23000000000002</x:v>
      </x:c>
      <x:c r="M62" s="11" t="n">
        <x:f>IF(B62="Butterfly",MAX(J62,0),IF(C62="call","Unlimited",MAX(2*E62-D62+J62,J62,0)))</x:f>
        <x:v>5783.77</x:v>
      </x:c>
      <x:c r="N62" s="11" t="n">
        <x:f>IF(B62="Butterfly",IF(AND(J62&gt;0,J62&lt;K62),D62+J62,"n.a."),IF(C62="call",IF(AND(J62&gt;0,J62&lt;K62),D62+J62,"n.a."),IF(AND(K62&gt;J62,2*E62-D62+J62&gt;=0),2*E62-D62+J62,"n.a.")))</x:f>
        <x:v>5783.77</x:v>
      </x:c>
      <x:c r="O62" s="11" t="str">
        <x:f>IF(B62="Butterfly",IF(AND(J62&gt;0,J62&lt;K62),F62-J62,"n.a."),IF(C62="call",IF(K62&gt;J62,2*E62-D62-J62,"n.a."),IF(AND(J62&gt;0,J62&lt;K62),D62-J62,"n.a.")))</x:f>
        <x:v>n.a.</x:v>
      </x:c>
      <x:c r="P62" s="19" t="str">
        <x:f>IF(AND(B62="Butterfly",J62&gt;0,J62&lt;K62),L62/J62,"n.a.")</x:f>
        <x:v>n.a.</x:v>
      </x:c>
      <x:c r="Q62" s="11" t="n">
        <x:f>J62*'Model inputs'!$B$8</x:f>
        <x:v>-1623.0000000000005</x:v>
      </x:c>
      <x:c r="R62" s="1" t="str">
        <x:v>Indicative only</x:v>
      </x:c>
      <x:c r="S62" s="1" t="n">
        <x:v>690</x:v>
      </x:c>
      <x:c r="T62" s="1" t="n">
        <x:v>671</x:v>
      </x:c>
    </x:row>
    <x:row r="63" ht="21" customHeight="1">
      <x:c r="A63" s="12" t="n">
        <x:v>46281</x:v>
      </x:c>
      <x:c r="B63" s="1" t="str">
        <x:v>1x2 ratio</x:v>
      </x:c>
      <x:c r="C63" s="1" t="str">
        <x:v>call</x:v>
      </x:c>
      <x:c r="D63" s="11" t="n">
        <x:v>7400</x:v>
      </x:c>
      <x:c r="E63" s="11" t="n">
        <x:v>7600</x:v>
      </x:c>
      <x:c r="F63" s="11"/>
      <x:c r="G63" s="11" t="n">
        <x:f>'Option source'!B315</x:f>
        <x:v>157.14</x:v>
      </x:c>
      <x:c r="H63" s="11" t="n">
        <x:f>'Option source'!B334</x:f>
        <x:v>107.66</x:v>
      </x:c>
      <x:c r="I63" s="11"/>
      <x:c r="J63" s="11" t="n">
        <x:f>G63-2*H63+IF(B63="Butterfly",I63,0)</x:f>
        <x:v>-58.18000000000001</x:v>
      </x:c>
      <x:c r="K63" s="11" t="n">
        <x:f>ABS(E63-D63)</x:f>
        <x:v>200</x:v>
      </x:c>
      <x:c r="L63" s="11" t="n">
        <x:f>K63-J63</x:f>
        <x:v>258.18</x:v>
      </x:c>
      <x:c r="M63" s="11" t="str">
        <x:f>IF(B63="Butterfly",MAX(J63,0),IF(C63="call","Unlimited",MAX(2*E63-D63+J63,J63,0)))</x:f>
        <x:v>Unlimited</x:v>
      </x:c>
      <x:c r="N63" s="11" t="str">
        <x:f>IF(B63="Butterfly",IF(AND(J63&gt;0,J63&lt;K63),D63+J63,"n.a."),IF(C63="call",IF(AND(J63&gt;0,J63&lt;K63),D63+J63,"n.a."),IF(AND(K63&gt;J63,2*E63-D63+J63&gt;=0),2*E63-D63+J63,"n.a.")))</x:f>
        <x:v>n.a.</x:v>
      </x:c>
      <x:c r="O63" s="11" t="n">
        <x:f>IF(B63="Butterfly",IF(AND(J63&gt;0,J63&lt;K63),F63-J63,"n.a."),IF(C63="call",IF(K63&gt;J63,2*E63-D63-J63,"n.a."),IF(AND(J63&gt;0,J63&lt;K63),D63-J63,"n.a.")))</x:f>
        <x:v>7858.18</x:v>
      </x:c>
      <x:c r="P63" s="19" t="str">
        <x:f>IF(AND(B63="Butterfly",J63&gt;0,J63&lt;K63),L63/J63,"n.a.")</x:f>
        <x:v>n.a.</x:v>
      </x:c>
      <x:c r="Q63" s="11" t="n">
        <x:f>J63*'Model inputs'!$B$8</x:f>
        <x:v>-5818.000000000001</x:v>
      </x:c>
      <x:c r="R63" s="1" t="str">
        <x:v>Indicative only</x:v>
      </x:c>
      <x:c r="S63" s="1" t="n">
        <x:v>310</x:v>
      </x:c>
      <x:c r="T63" s="1" t="n">
        <x:v>329</x:v>
      </x:c>
    </x:row>
    <x:row r="64" ht="21" customHeight="1">
      <x:c r="A64" s="12" t="n">
        <x:v>46281</x:v>
      </x:c>
      <x:c r="B64" s="1" t="str">
        <x:v>1x2 ratio</x:v>
      </x:c>
      <x:c r="C64" s="1" t="str">
        <x:v>put</x:v>
      </x:c>
      <x:c r="D64" s="11" t="n">
        <x:v>6000</x:v>
      </x:c>
      <x:c r="E64" s="11" t="n">
        <x:v>5800</x:v>
      </x:c>
      <x:c r="F64" s="11"/>
      <x:c r="G64" s="11" t="n">
        <x:f>'Option source'!B676</x:f>
        <x:v>56.82</x:v>
      </x:c>
      <x:c r="H64" s="11" t="n">
        <x:f>'Option source'!B657</x:f>
        <x:v>31.98</x:v>
      </x:c>
      <x:c r="I64" s="11"/>
      <x:c r="J64" s="11" t="n">
        <x:f>G64-2*H64+IF(B64="Butterfly",I64,0)</x:f>
        <x:v>-7.140000000000001</x:v>
      </x:c>
      <x:c r="K64" s="11" t="n">
        <x:f>ABS(E64-D64)</x:f>
        <x:v>200</x:v>
      </x:c>
      <x:c r="L64" s="11" t="n">
        <x:f>K64-J64</x:f>
        <x:v>207.14</x:v>
      </x:c>
      <x:c r="M64" s="11" t="n">
        <x:f>IF(B64="Butterfly",MAX(J64,0),IF(C64="call","Unlimited",MAX(2*E64-D64+J64,J64,0)))</x:f>
        <x:v>5592.86</x:v>
      </x:c>
      <x:c r="N64" s="11" t="n">
        <x:f>IF(B64="Butterfly",IF(AND(J64&gt;0,J64&lt;K64),D64+J64,"n.a."),IF(C64="call",IF(AND(J64&gt;0,J64&lt;K64),D64+J64,"n.a."),IF(AND(K64&gt;J64,2*E64-D64+J64&gt;=0),2*E64-D64+J64,"n.a.")))</x:f>
        <x:v>5592.86</x:v>
      </x:c>
      <x:c r="O64" s="11" t="str">
        <x:f>IF(B64="Butterfly",IF(AND(J64&gt;0,J64&lt;K64),F64-J64,"n.a."),IF(C64="call",IF(K64&gt;J64,2*E64-D64-J64,"n.a."),IF(AND(J64&gt;0,J64&lt;K64),D64-J64,"n.a.")))</x:f>
        <x:v>n.a.</x:v>
      </x:c>
      <x:c r="P64" s="19" t="str">
        <x:f>IF(AND(B64="Butterfly",J64&gt;0,J64&lt;K64),L64/J64,"n.a.")</x:f>
        <x:v>n.a.</x:v>
      </x:c>
      <x:c r="Q64" s="11" t="n">
        <x:f>J64*'Model inputs'!$B$8</x:f>
        <x:v>-714</x:v>
      </x:c>
      <x:c r="R64" s="1" t="str">
        <x:v>Indicative only</x:v>
      </x:c>
      <x:c r="S64" s="1" t="n">
        <x:v>671</x:v>
      </x:c>
      <x:c r="T64" s="1" t="n">
        <x:v>652</x:v>
      </x:c>
    </x:row>
    <x:row r="65" ht="21" customHeight="1">
      <x:c r="A65" s="12" t="n">
        <x:v>46281</x:v>
      </x:c>
      <x:c r="B65" s="1" t="str">
        <x:v>1x2 ratio</x:v>
      </x:c>
      <x:c r="C65" s="1" t="str">
        <x:v>call</x:v>
      </x:c>
      <x:c r="D65" s="11" t="n">
        <x:v>7600</x:v>
      </x:c>
      <x:c r="E65" s="11" t="n">
        <x:v>7800</x:v>
      </x:c>
      <x:c r="F65" s="11"/>
      <x:c r="G65" s="11" t="n">
        <x:f>'Option source'!B334</x:f>
        <x:v>107.66</x:v>
      </x:c>
      <x:c r="H65" s="11" t="n">
        <x:f>'Option source'!B353</x:f>
        <x:v>75.86</x:v>
      </x:c>
      <x:c r="I65" s="11"/>
      <x:c r="J65" s="11" t="n">
        <x:f>G65-2*H65+IF(B65="Butterfly",I65,0)</x:f>
        <x:v>-44.06</x:v>
      </x:c>
      <x:c r="K65" s="11" t="n">
        <x:f>ABS(E65-D65)</x:f>
        <x:v>200</x:v>
      </x:c>
      <x:c r="L65" s="11" t="n">
        <x:f>K65-J65</x:f>
        <x:v>244.06</x:v>
      </x:c>
      <x:c r="M65" s="11" t="str">
        <x:f>IF(B65="Butterfly",MAX(J65,0),IF(C65="call","Unlimited",MAX(2*E65-D65+J65,J65,0)))</x:f>
        <x:v>Unlimited</x:v>
      </x:c>
      <x:c r="N65" s="11" t="str">
        <x:f>IF(B65="Butterfly",IF(AND(J65&gt;0,J65&lt;K65),D65+J65,"n.a."),IF(C65="call",IF(AND(J65&gt;0,J65&lt;K65),D65+J65,"n.a."),IF(AND(K65&gt;J65,2*E65-D65+J65&gt;=0),2*E65-D65+J65,"n.a.")))</x:f>
        <x:v>n.a.</x:v>
      </x:c>
      <x:c r="O65" s="11" t="n">
        <x:f>IF(B65="Butterfly",IF(AND(J65&gt;0,J65&lt;K65),F65-J65,"n.a."),IF(C65="call",IF(K65&gt;J65,2*E65-D65-J65,"n.a."),IF(AND(J65&gt;0,J65&lt;K65),D65-J65,"n.a.")))</x:f>
        <x:v>8044.06</x:v>
      </x:c>
      <x:c r="P65" s="19" t="str">
        <x:f>IF(AND(B65="Butterfly",J65&gt;0,J65&lt;K65),L65/J65,"n.a.")</x:f>
        <x:v>n.a.</x:v>
      </x:c>
      <x:c r="Q65" s="11" t="n">
        <x:f>J65*'Model inputs'!$B$8</x:f>
        <x:v>-4406</x:v>
      </x:c>
      <x:c r="R65" s="1" t="str">
        <x:v>Indicative only</x:v>
      </x:c>
      <x:c r="S65" s="1" t="n">
        <x:v>329</x:v>
      </x:c>
      <x:c r="T65" s="1" t="n">
        <x:v>348</x:v>
      </x:c>
    </x:row>
    <x:row r="66" ht="21" customHeight="1">
      <x:c r="A66" s="12" t="n">
        <x:v>46281</x:v>
      </x:c>
      <x:c r="B66" s="1" t="str">
        <x:v>1x2 ratio</x:v>
      </x:c>
      <x:c r="C66" s="1" t="str">
        <x:v>put</x:v>
      </x:c>
      <x:c r="D66" s="11" t="n">
        <x:v>5800</x:v>
      </x:c>
      <x:c r="E66" s="11" t="n">
        <x:v>5600</x:v>
      </x:c>
      <x:c r="F66" s="11"/>
      <x:c r="G66" s="11" t="n">
        <x:f>'Option source'!B657</x:f>
        <x:v>31.98</x:v>
      </x:c>
      <x:c r="H66" s="11" t="n">
        <x:f>'Option source'!B638</x:f>
        <x:v>17.15</x:v>
      </x:c>
      <x:c r="I66" s="11"/>
      <x:c r="J66" s="11" t="n">
        <x:f>G66-2*H66+IF(B66="Butterfly",I66,0)</x:f>
        <x:v>-2.3199999999999967</x:v>
      </x:c>
      <x:c r="K66" s="11" t="n">
        <x:f>ABS(E66-D66)</x:f>
        <x:v>200</x:v>
      </x:c>
      <x:c r="L66" s="11" t="n">
        <x:f>K66-J66</x:f>
        <x:v>202.32</x:v>
      </x:c>
      <x:c r="M66" s="11" t="n">
        <x:f>IF(B66="Butterfly",MAX(J66,0),IF(C66="call","Unlimited",MAX(2*E66-D66+J66,J66,0)))</x:f>
        <x:v>5397.68</x:v>
      </x:c>
      <x:c r="N66" s="11" t="n">
        <x:f>IF(B66="Butterfly",IF(AND(J66&gt;0,J66&lt;K66),D66+J66,"n.a."),IF(C66="call",IF(AND(J66&gt;0,J66&lt;K66),D66+J66,"n.a."),IF(AND(K66&gt;J66,2*E66-D66+J66&gt;=0),2*E66-D66+J66,"n.a.")))</x:f>
        <x:v>5397.68</x:v>
      </x:c>
      <x:c r="O66" s="11" t="str">
        <x:f>IF(B66="Butterfly",IF(AND(J66&gt;0,J66&lt;K66),F66-J66,"n.a."),IF(C66="call",IF(K66&gt;J66,2*E66-D66-J66,"n.a."),IF(AND(J66&gt;0,J66&lt;K66),D66-J66,"n.a.")))</x:f>
        <x:v>n.a.</x:v>
      </x:c>
      <x:c r="P66" s="19" t="str">
        <x:f>IF(AND(B66="Butterfly",J66&gt;0,J66&lt;K66),L66/J66,"n.a.")</x:f>
        <x:v>n.a.</x:v>
      </x:c>
      <x:c r="Q66" s="11" t="n">
        <x:f>J66*'Model inputs'!$B$8</x:f>
        <x:v>-231.99999999999966</x:v>
      </x:c>
      <x:c r="R66" s="1" t="str">
        <x:v>Indicative only</x:v>
      </x:c>
      <x:c r="S66" s="1" t="n">
        <x:v>652</x:v>
      </x:c>
      <x:c r="T66" s="1" t="n">
        <x:v>633</x:v>
      </x:c>
    </x:row>
    <x:row r="67" ht="21" customHeight="1">
      <x:c r="A67" s="12" t="n">
        <x:v>46281</x:v>
      </x:c>
      <x:c r="B67" s="1" t="str">
        <x:v>1x2 ratio</x:v>
      </x:c>
      <x:c r="C67" s="1" t="str">
        <x:v>call</x:v>
      </x:c>
      <x:c r="D67" s="11" t="n">
        <x:v>7800</x:v>
      </x:c>
      <x:c r="E67" s="11" t="n">
        <x:v>8000</x:v>
      </x:c>
      <x:c r="F67" s="11"/>
      <x:c r="G67" s="11" t="n">
        <x:f>'Option source'!B353</x:f>
        <x:v>75.86</x:v>
      </x:c>
      <x:c r="H67" s="11" t="n">
        <x:f>'Option source'!B372</x:f>
        <x:v>54.71</x:v>
      </x:c>
      <x:c r="I67" s="11"/>
      <x:c r="J67" s="11" t="n">
        <x:f>G67-2*H67+IF(B67="Butterfly",I67,0)</x:f>
        <x:v>-33.56</x:v>
      </x:c>
      <x:c r="K67" s="11" t="n">
        <x:f>ABS(E67-D67)</x:f>
        <x:v>200</x:v>
      </x:c>
      <x:c r="L67" s="11" t="n">
        <x:f>K67-J67</x:f>
        <x:v>233.56</x:v>
      </x:c>
      <x:c r="M67" s="11" t="str">
        <x:f>IF(B67="Butterfly",MAX(J67,0),IF(C67="call","Unlimited",MAX(2*E67-D67+J67,J67,0)))</x:f>
        <x:v>Unlimited</x:v>
      </x:c>
      <x:c r="N67" s="11" t="str">
        <x:f>IF(B67="Butterfly",IF(AND(J67&gt;0,J67&lt;K67),D67+J67,"n.a."),IF(C67="call",IF(AND(J67&gt;0,J67&lt;K67),D67+J67,"n.a."),IF(AND(K67&gt;J67,2*E67-D67+J67&gt;=0),2*E67-D67+J67,"n.a.")))</x:f>
        <x:v>n.a.</x:v>
      </x:c>
      <x:c r="O67" s="11" t="n">
        <x:f>IF(B67="Butterfly",IF(AND(J67&gt;0,J67&lt;K67),F67-J67,"n.a."),IF(C67="call",IF(K67&gt;J67,2*E67-D67-J67,"n.a."),IF(AND(J67&gt;0,J67&lt;K67),D67-J67,"n.a.")))</x:f>
        <x:v>8233.56</x:v>
      </x:c>
      <x:c r="P67" s="19" t="str">
        <x:f>IF(AND(B67="Butterfly",J67&gt;0,J67&lt;K67),L67/J67,"n.a.")</x:f>
        <x:v>n.a.</x:v>
      </x:c>
      <x:c r="Q67" s="11" t="n">
        <x:f>J67*'Model inputs'!$B$8</x:f>
        <x:v>-3356</x:v>
      </x:c>
      <x:c r="R67" s="1" t="str">
        <x:v>Indicative only</x:v>
      </x:c>
      <x:c r="S67" s="1" t="n">
        <x:v>348</x:v>
      </x:c>
      <x:c r="T67" s="1" t="n">
        <x:v>367</x:v>
      </x:c>
    </x:row>
    <x:row r="68" ht="21" customHeight="1">
      <x:c r="A68" s="12" t="n">
        <x:v>46281</x:v>
      </x:c>
      <x:c r="B68" s="1" t="str">
        <x:v>1x2 ratio</x:v>
      </x:c>
      <x:c r="C68" s="1" t="str">
        <x:v>put</x:v>
      </x:c>
      <x:c r="D68" s="11" t="n">
        <x:v>5600</x:v>
      </x:c>
      <x:c r="E68" s="11" t="n">
        <x:v>5400</x:v>
      </x:c>
      <x:c r="F68" s="11"/>
      <x:c r="G68" s="11" t="n">
        <x:f>'Option source'!B638</x:f>
        <x:v>17.15</x:v>
      </x:c>
      <x:c r="H68" s="11" t="n">
        <x:f>'Option source'!B619</x:f>
        <x:v>9.02</x:v>
      </x:c>
      <x:c r="I68" s="11"/>
      <x:c r="J68" s="11" t="n">
        <x:f>G68-2*H68+IF(B68="Butterfly",I68,0)</x:f>
        <x:v>-0.8900000000000006</x:v>
      </x:c>
      <x:c r="K68" s="11" t="n">
        <x:f>ABS(E68-D68)</x:f>
        <x:v>200</x:v>
      </x:c>
      <x:c r="L68" s="11" t="n">
        <x:f>K68-J68</x:f>
        <x:v>200.89</x:v>
      </x:c>
      <x:c r="M68" s="11" t="n">
        <x:f>IF(B68="Butterfly",MAX(J68,0),IF(C68="call","Unlimited",MAX(2*E68-D68+J68,J68,0)))</x:f>
        <x:v>5199.11</x:v>
      </x:c>
      <x:c r="N68" s="11" t="n">
        <x:f>IF(B68="Butterfly",IF(AND(J68&gt;0,J68&lt;K68),D68+J68,"n.a."),IF(C68="call",IF(AND(J68&gt;0,J68&lt;K68),D68+J68,"n.a."),IF(AND(K68&gt;J68,2*E68-D68+J68&gt;=0),2*E68-D68+J68,"n.a.")))</x:f>
        <x:v>5199.11</x:v>
      </x:c>
      <x:c r="O68" s="11" t="str">
        <x:f>IF(B68="Butterfly",IF(AND(J68&gt;0,J68&lt;K68),F68-J68,"n.a."),IF(C68="call",IF(K68&gt;J68,2*E68-D68-J68,"n.a."),IF(AND(J68&gt;0,J68&lt;K68),D68-J68,"n.a.")))</x:f>
        <x:v>n.a.</x:v>
      </x:c>
      <x:c r="P68" s="19" t="str">
        <x:f>IF(AND(B68="Butterfly",J68&gt;0,J68&lt;K68),L68/J68,"n.a.")</x:f>
        <x:v>n.a.</x:v>
      </x:c>
      <x:c r="Q68" s="11" t="n">
        <x:f>J68*'Model inputs'!$B$8</x:f>
        <x:v>-89.00000000000006</x:v>
      </x:c>
      <x:c r="R68" s="1" t="str">
        <x:v>Indicative only</x:v>
      </x:c>
      <x:c r="S68" s="1" t="n">
        <x:v>633</x:v>
      </x:c>
      <x:c r="T68" s="1" t="n">
        <x:v>614</x:v>
      </x:c>
    </x:row>
    <x:row r="69" ht="21" customHeight="1">
      <x:c r="A69" s="12" t="n">
        <x:v>46281</x:v>
      </x:c>
      <x:c r="B69" s="1" t="str">
        <x:v>1x2 ratio</x:v>
      </x:c>
      <x:c r="C69" s="1" t="str">
        <x:v>call</x:v>
      </x:c>
      <x:c r="D69" s="11" t="n">
        <x:v>8000</x:v>
      </x:c>
      <x:c r="E69" s="11" t="n">
        <x:v>8300</x:v>
      </x:c>
      <x:c r="F69" s="11"/>
      <x:c r="G69" s="11" t="n">
        <x:f>'Option source'!B372</x:f>
        <x:v>54.71</x:v>
      </x:c>
      <x:c r="H69" s="11" t="n">
        <x:f>'Option source'!B391</x:f>
        <x:v>32.2</x:v>
      </x:c>
      <x:c r="I69" s="11"/>
      <x:c r="J69" s="11" t="n">
        <x:f>G69-2*H69+IF(B69="Butterfly",I69,0)</x:f>
        <x:v>-9.690000000000005</x:v>
      </x:c>
      <x:c r="K69" s="11" t="n">
        <x:f>ABS(E69-D69)</x:f>
        <x:v>300</x:v>
      </x:c>
      <x:c r="L69" s="11" t="n">
        <x:f>K69-J69</x:f>
        <x:v>309.69</x:v>
      </x:c>
      <x:c r="M69" s="11" t="str">
        <x:f>IF(B69="Butterfly",MAX(J69,0),IF(C69="call","Unlimited",MAX(2*E69-D69+J69,J69,0)))</x:f>
        <x:v>Unlimited</x:v>
      </x:c>
      <x:c r="N69" s="11" t="str">
        <x:f>IF(B69="Butterfly",IF(AND(J69&gt;0,J69&lt;K69),D69+J69,"n.a."),IF(C69="call",IF(AND(J69&gt;0,J69&lt;K69),D69+J69,"n.a."),IF(AND(K69&gt;J69,2*E69-D69+J69&gt;=0),2*E69-D69+J69,"n.a.")))</x:f>
        <x:v>n.a.</x:v>
      </x:c>
      <x:c r="O69" s="11" t="n">
        <x:f>IF(B69="Butterfly",IF(AND(J69&gt;0,J69&lt;K69),F69-J69,"n.a."),IF(C69="call",IF(K69&gt;J69,2*E69-D69-J69,"n.a."),IF(AND(J69&gt;0,J69&lt;K69),D69-J69,"n.a.")))</x:f>
        <x:v>8609.69</x:v>
      </x:c>
      <x:c r="P69" s="19" t="str">
        <x:f>IF(AND(B69="Butterfly",J69&gt;0,J69&lt;K69),L69/J69,"n.a.")</x:f>
        <x:v>n.a.</x:v>
      </x:c>
      <x:c r="Q69" s="11" t="n">
        <x:f>J69*'Model inputs'!$B$8</x:f>
        <x:v>-969.0000000000005</x:v>
      </x:c>
      <x:c r="R69" s="1" t="str">
        <x:v>Indicative only</x:v>
      </x:c>
      <x:c r="S69" s="1" t="n">
        <x:v>367</x:v>
      </x:c>
      <x:c r="T69" s="1" t="n">
        <x:v>386</x:v>
      </x:c>
    </x:row>
    <x:row r="70" ht="21" customHeight="1">
      <x:c r="A70" s="12" t="n">
        <x:v>46281</x:v>
      </x:c>
      <x:c r="B70" s="1" t="str">
        <x:v>1x2 ratio</x:v>
      </x:c>
      <x:c r="C70" s="1" t="str">
        <x:v>put</x:v>
      </x:c>
      <x:c r="D70" s="11" t="n">
        <x:v>5400</x:v>
      </x:c>
      <x:c r="E70" s="11" t="n">
        <x:v>5200</x:v>
      </x:c>
      <x:c r="F70" s="11"/>
      <x:c r="G70" s="11" t="n">
        <x:f>'Option source'!B619</x:f>
        <x:v>9.02</x:v>
      </x:c>
      <x:c r="H70" s="11" t="n">
        <x:f>'Option source'!B600</x:f>
        <x:v>6.01</x:v>
      </x:c>
      <x:c r="I70" s="11"/>
      <x:c r="J70" s="11" t="n">
        <x:f>G70-2*H70+IF(B70="Butterfly",I70,0)</x:f>
        <x:v>-3</x:v>
      </x:c>
      <x:c r="K70" s="11" t="n">
        <x:f>ABS(E70-D70)</x:f>
        <x:v>200</x:v>
      </x:c>
      <x:c r="L70" s="11" t="n">
        <x:f>K70-J70</x:f>
        <x:v>203</x:v>
      </x:c>
      <x:c r="M70" s="11" t="n">
        <x:f>IF(B70="Butterfly",MAX(J70,0),IF(C70="call","Unlimited",MAX(2*E70-D70+J70,J70,0)))</x:f>
        <x:v>4997</x:v>
      </x:c>
      <x:c r="N70" s="11" t="n">
        <x:f>IF(B70="Butterfly",IF(AND(J70&gt;0,J70&lt;K70),D70+J70,"n.a."),IF(C70="call",IF(AND(J70&gt;0,J70&lt;K70),D70+J70,"n.a."),IF(AND(K70&gt;J70,2*E70-D70+J70&gt;=0),2*E70-D70+J70,"n.a.")))</x:f>
        <x:v>4997</x:v>
      </x:c>
      <x:c r="O70" s="11" t="str">
        <x:f>IF(B70="Butterfly",IF(AND(J70&gt;0,J70&lt;K70),F70-J70,"n.a."),IF(C70="call",IF(K70&gt;J70,2*E70-D70-J70,"n.a."),IF(AND(J70&gt;0,J70&lt;K70),D70-J70,"n.a.")))</x:f>
        <x:v>n.a.</x:v>
      </x:c>
      <x:c r="P70" s="19" t="str">
        <x:f>IF(AND(B70="Butterfly",J70&gt;0,J70&lt;K70),L70/J70,"n.a.")</x:f>
        <x:v>n.a.</x:v>
      </x:c>
      <x:c r="Q70" s="11" t="n">
        <x:f>J70*'Model inputs'!$B$8</x:f>
        <x:v>-300</x:v>
      </x:c>
      <x:c r="R70" s="1" t="str">
        <x:v>Indicative only</x:v>
      </x:c>
      <x:c r="S70" s="1" t="n">
        <x:v>614</x:v>
      </x:c>
      <x:c r="T70" s="1" t="n">
        <x:v>595</x:v>
      </x:c>
    </x:row>
    <x:row r="71" ht="21" customHeight="1">
      <x:c r="A71" s="12" t="n">
        <x:v>46281</x:v>
      </x:c>
      <x:c r="B71" s="1" t="str">
        <x:v>1x2 ratio</x:v>
      </x:c>
      <x:c r="C71" s="1" t="str">
        <x:v>put</x:v>
      </x:c>
      <x:c r="D71" s="11" t="n">
        <x:v>5200</x:v>
      </x:c>
      <x:c r="E71" s="11" t="n">
        <x:v>5000</x:v>
      </x:c>
      <x:c r="F71" s="11"/>
      <x:c r="G71" s="11" t="n">
        <x:f>'Option source'!B600</x:f>
        <x:v>6.01</x:v>
      </x:c>
      <x:c r="H71" s="11" t="n">
        <x:f>'Option source'!B581</x:f>
        <x:v>3.18</x:v>
      </x:c>
      <x:c r="I71" s="11"/>
      <x:c r="J71" s="11" t="n">
        <x:f>G71-2*H71+IF(B71="Butterfly",I71,0)</x:f>
        <x:v>-0.35000000000000053</x:v>
      </x:c>
      <x:c r="K71" s="11" t="n">
        <x:f>ABS(E71-D71)</x:f>
        <x:v>200</x:v>
      </x:c>
      <x:c r="L71" s="11" t="n">
        <x:f>K71-J71</x:f>
        <x:v>200.35</x:v>
      </x:c>
      <x:c r="M71" s="11" t="n">
        <x:f>IF(B71="Butterfly",MAX(J71,0),IF(C71="call","Unlimited",MAX(2*E71-D71+J71,J71,0)))</x:f>
        <x:v>4799.65</x:v>
      </x:c>
      <x:c r="N71" s="11" t="n">
        <x:f>IF(B71="Butterfly",IF(AND(J71&gt;0,J71&lt;K71),D71+J71,"n.a."),IF(C71="call",IF(AND(J71&gt;0,J71&lt;K71),D71+J71,"n.a."),IF(AND(K71&gt;J71,2*E71-D71+J71&gt;=0),2*E71-D71+J71,"n.a.")))</x:f>
        <x:v>4799.65</x:v>
      </x:c>
      <x:c r="O71" s="11" t="str">
        <x:f>IF(B71="Butterfly",IF(AND(J71&gt;0,J71&lt;K71),F71-J71,"n.a."),IF(C71="call",IF(K71&gt;J71,2*E71-D71-J71,"n.a."),IF(AND(J71&gt;0,J71&lt;K71),D71-J71,"n.a.")))</x:f>
        <x:v>n.a.</x:v>
      </x:c>
      <x:c r="P71" s="19" t="str">
        <x:f>IF(AND(B71="Butterfly",J71&gt;0,J71&lt;K71),L71/J71,"n.a.")</x:f>
        <x:v>n.a.</x:v>
      </x:c>
      <x:c r="Q71" s="11" t="n">
        <x:f>J71*'Model inputs'!$B$8</x:f>
        <x:v>-35.00000000000006</x:v>
      </x:c>
      <x:c r="R71" s="1" t="str">
        <x:v>Indicative only</x:v>
      </x:c>
      <x:c r="S71" s="1" t="n">
        <x:v>595</x:v>
      </x:c>
      <x:c r="T71" s="1" t="n">
        <x:v>576</x:v>
      </x:c>
    </x:row>
    <x:row r="72" ht="21" customHeight="1">
      <x:c r="A72" s="12" t="n">
        <x:v>46281</x:v>
      </x:c>
      <x:c r="B72" s="1" t="str">
        <x:v>1x2 ratio</x:v>
      </x:c>
      <x:c r="C72" s="1" t="str">
        <x:v>call</x:v>
      </x:c>
      <x:c r="D72" s="11" t="n">
        <x:v>8300</x:v>
      </x:c>
      <x:c r="E72" s="11" t="n">
        <x:v>8600</x:v>
      </x:c>
      <x:c r="F72" s="11"/>
      <x:c r="G72" s="11" t="n">
        <x:f>'Option source'!B391</x:f>
        <x:v>32.2</x:v>
      </x:c>
      <x:c r="H72" s="11" t="n">
        <x:f>'Option source'!B410</x:f>
        <x:v>17.94</x:v>
      </x:c>
      <x:c r="I72" s="11"/>
      <x:c r="J72" s="11" t="n">
        <x:f>G72-2*H72+IF(B72="Butterfly",I72,0)</x:f>
        <x:v>-3.6799999999999997</x:v>
      </x:c>
      <x:c r="K72" s="11" t="n">
        <x:f>ABS(E72-D72)</x:f>
        <x:v>300</x:v>
      </x:c>
      <x:c r="L72" s="11" t="n">
        <x:f>K72-J72</x:f>
        <x:v>303.68</x:v>
      </x:c>
      <x:c r="M72" s="11" t="str">
        <x:f>IF(B72="Butterfly",MAX(J72,0),IF(C72="call","Unlimited",MAX(2*E72-D72+J72,J72,0)))</x:f>
        <x:v>Unlimited</x:v>
      </x:c>
      <x:c r="N72" s="11" t="str">
        <x:f>IF(B72="Butterfly",IF(AND(J72&gt;0,J72&lt;K72),D72+J72,"n.a."),IF(C72="call",IF(AND(J72&gt;0,J72&lt;K72),D72+J72,"n.a."),IF(AND(K72&gt;J72,2*E72-D72+J72&gt;=0),2*E72-D72+J72,"n.a.")))</x:f>
        <x:v>n.a.</x:v>
      </x:c>
      <x:c r="O72" s="11" t="n">
        <x:f>IF(B72="Butterfly",IF(AND(J72&gt;0,J72&lt;K72),F72-J72,"n.a."),IF(C72="call",IF(K72&gt;J72,2*E72-D72-J72,"n.a."),IF(AND(J72&gt;0,J72&lt;K72),D72-J72,"n.a.")))</x:f>
        <x:v>8903.68</x:v>
      </x:c>
      <x:c r="P72" s="19" t="str">
        <x:f>IF(AND(B72="Butterfly",J72&gt;0,J72&lt;K72),L72/J72,"n.a.")</x:f>
        <x:v>n.a.</x:v>
      </x:c>
      <x:c r="Q72" s="11" t="n">
        <x:f>J72*'Model inputs'!$B$8</x:f>
        <x:v>-368</x:v>
      </x:c>
      <x:c r="R72" s="1" t="str">
        <x:v>Indicative only</x:v>
      </x:c>
      <x:c r="S72" s="1" t="n">
        <x:v>386</x:v>
      </x:c>
      <x:c r="T72" s="1" t="n">
        <x:v>405</x:v>
      </x:c>
    </x:row>
    <x:row r="73" ht="21" customHeight="1">
      <x:c r="A73" s="12" t="n">
        <x:v>46281</x:v>
      </x:c>
      <x:c r="B73" s="1" t="str">
        <x:v>1x2 ratio</x:v>
      </x:c>
      <x:c r="C73" s="1" t="str">
        <x:v>put</x:v>
      </x:c>
      <x:c r="D73" s="11" t="n">
        <x:v>5000</x:v>
      </x:c>
      <x:c r="E73" s="11" t="n">
        <x:v>4800</x:v>
      </x:c>
      <x:c r="F73" s="11"/>
      <x:c r="G73" s="11" t="n">
        <x:f>'Option source'!B581</x:f>
        <x:v>3.18</x:v>
      </x:c>
      <x:c r="H73" s="11" t="n">
        <x:f>'Option source'!B562</x:f>
        <x:v>1.93</x:v>
      </x:c>
      <x:c r="I73" s="11"/>
      <x:c r="J73" s="11" t="n">
        <x:f>G73-2*H73+IF(B73="Butterfly",I73,0)</x:f>
        <x:v>-0.6799999999999997</x:v>
      </x:c>
      <x:c r="K73" s="11" t="n">
        <x:f>ABS(E73-D73)</x:f>
        <x:v>200</x:v>
      </x:c>
      <x:c r="L73" s="11" t="n">
        <x:f>K73-J73</x:f>
        <x:v>200.68</x:v>
      </x:c>
      <x:c r="M73" s="11" t="n">
        <x:f>IF(B73="Butterfly",MAX(J73,0),IF(C73="call","Unlimited",MAX(2*E73-D73+J73,J73,0)))</x:f>
        <x:v>4599.32</x:v>
      </x:c>
      <x:c r="N73" s="11" t="n">
        <x:f>IF(B73="Butterfly",IF(AND(J73&gt;0,J73&lt;K73),D73+J73,"n.a."),IF(C73="call",IF(AND(J73&gt;0,J73&lt;K73),D73+J73,"n.a."),IF(AND(K73&gt;J73,2*E73-D73+J73&gt;=0),2*E73-D73+J73,"n.a.")))</x:f>
        <x:v>4599.32</x:v>
      </x:c>
      <x:c r="O73" s="11" t="str">
        <x:f>IF(B73="Butterfly",IF(AND(J73&gt;0,J73&lt;K73),F73-J73,"n.a."),IF(C73="call",IF(K73&gt;J73,2*E73-D73-J73,"n.a."),IF(AND(J73&gt;0,J73&lt;K73),D73-J73,"n.a.")))</x:f>
        <x:v>n.a.</x:v>
      </x:c>
      <x:c r="P73" s="19" t="str">
        <x:f>IF(AND(B73="Butterfly",J73&gt;0,J73&lt;K73),L73/J73,"n.a.")</x:f>
        <x:v>n.a.</x:v>
      </x:c>
      <x:c r="Q73" s="11" t="n">
        <x:f>J73*'Model inputs'!$B$8</x:f>
        <x:v>-67.99999999999997</x:v>
      </x:c>
      <x:c r="R73" s="1" t="str">
        <x:v>Indicative only</x:v>
      </x:c>
      <x:c r="S73" s="1" t="n">
        <x:v>576</x:v>
      </x:c>
      <x:c r="T73" s="1" t="n">
        <x:v>557</x:v>
      </x:c>
    </x:row>
    <x:row r="74" ht="21" customHeight="1">
      <x:c r="A74" s="12" t="n">
        <x:v>46281</x:v>
      </x:c>
      <x:c r="B74" s="1" t="str">
        <x:v>1x2 ratio</x:v>
      </x:c>
      <x:c r="C74" s="1" t="str">
        <x:v>call</x:v>
      </x:c>
      <x:c r="D74" s="11" t="n">
        <x:v>8600</x:v>
      </x:c>
      <x:c r="E74" s="11" t="n">
        <x:v>8900</x:v>
      </x:c>
      <x:c r="F74" s="11"/>
      <x:c r="G74" s="11" t="n">
        <x:f>'Option source'!B410</x:f>
        <x:v>17.94</x:v>
      </x:c>
      <x:c r="H74" s="11" t="n">
        <x:f>'Option source'!B429</x:f>
        <x:v>9.99</x:v>
      </x:c>
      <x:c r="I74" s="11"/>
      <x:c r="J74" s="11" t="n">
        <x:f>G74-2*H74+IF(B74="Butterfly",I74,0)</x:f>
        <x:v>-2.039999999999999</x:v>
      </x:c>
      <x:c r="K74" s="11" t="n">
        <x:f>ABS(E74-D74)</x:f>
        <x:v>300</x:v>
      </x:c>
      <x:c r="L74" s="11" t="n">
        <x:f>K74-J74</x:f>
        <x:v>302.04</x:v>
      </x:c>
      <x:c r="M74" s="11" t="str">
        <x:f>IF(B74="Butterfly",MAX(J74,0),IF(C74="call","Unlimited",MAX(2*E74-D74+J74,J74,0)))</x:f>
        <x:v>Unlimited</x:v>
      </x:c>
      <x:c r="N74" s="11" t="str">
        <x:f>IF(B74="Butterfly",IF(AND(J74&gt;0,J74&lt;K74),D74+J74,"n.a."),IF(C74="call",IF(AND(J74&gt;0,J74&lt;K74),D74+J74,"n.a."),IF(AND(K74&gt;J74,2*E74-D74+J74&gt;=0),2*E74-D74+J74,"n.a.")))</x:f>
        <x:v>n.a.</x:v>
      </x:c>
      <x:c r="O74" s="11" t="n">
        <x:f>IF(B74="Butterfly",IF(AND(J74&gt;0,J74&lt;K74),F74-J74,"n.a."),IF(C74="call",IF(K74&gt;J74,2*E74-D74-J74,"n.a."),IF(AND(J74&gt;0,J74&lt;K74),D74-J74,"n.a.")))</x:f>
        <x:v>9202.04</x:v>
      </x:c>
      <x:c r="P74" s="19" t="str">
        <x:f>IF(AND(B74="Butterfly",J74&gt;0,J74&lt;K74),L74/J74,"n.a.")</x:f>
        <x:v>n.a.</x:v>
      </x:c>
      <x:c r="Q74" s="11" t="n">
        <x:f>J74*'Model inputs'!$B$8</x:f>
        <x:v>-203.99999999999991</x:v>
      </x:c>
      <x:c r="R74" s="1" t="str">
        <x:v>Indicative only</x:v>
      </x:c>
      <x:c r="S74" s="1" t="n">
        <x:v>405</x:v>
      </x:c>
      <x:c r="T74" s="1" t="n">
        <x:v>424</x:v>
      </x:c>
    </x:row>
    <x:row r="75" ht="21" customHeight="1">
      <x:c r="A75" s="12" t="n">
        <x:v>46281</x:v>
      </x:c>
      <x:c r="B75" s="1" t="str">
        <x:v>1x2 ratio</x:v>
      </x:c>
      <x:c r="C75" s="1" t="str">
        <x:v>put</x:v>
      </x:c>
      <x:c r="D75" s="11" t="n">
        <x:v>4800</x:v>
      </x:c>
      <x:c r="E75" s="11" t="n">
        <x:v>4600</x:v>
      </x:c>
      <x:c r="F75" s="11"/>
      <x:c r="G75" s="11" t="n">
        <x:f>'Option source'!B562</x:f>
        <x:v>1.93</x:v>
      </x:c>
      <x:c r="H75" s="11" t="n">
        <x:f>'Option source'!B543</x:f>
        <x:v>1.62</x:v>
      </x:c>
      <x:c r="I75" s="11"/>
      <x:c r="J75" s="11" t="n">
        <x:f>G75-2*H75+IF(B75="Butterfly",I75,0)</x:f>
        <x:v>-1.3100000000000003</x:v>
      </x:c>
      <x:c r="K75" s="11" t="n">
        <x:f>ABS(E75-D75)</x:f>
        <x:v>200</x:v>
      </x:c>
      <x:c r="L75" s="11" t="n">
        <x:f>K75-J75</x:f>
        <x:v>201.31</x:v>
      </x:c>
      <x:c r="M75" s="11" t="n">
        <x:f>IF(B75="Butterfly",MAX(J75,0),IF(C75="call","Unlimited",MAX(2*E75-D75+J75,J75,0)))</x:f>
        <x:v>4398.69</x:v>
      </x:c>
      <x:c r="N75" s="11" t="n">
        <x:f>IF(B75="Butterfly",IF(AND(J75&gt;0,J75&lt;K75),D75+J75,"n.a."),IF(C75="call",IF(AND(J75&gt;0,J75&lt;K75),D75+J75,"n.a."),IF(AND(K75&gt;J75,2*E75-D75+J75&gt;=0),2*E75-D75+J75,"n.a.")))</x:f>
        <x:v>4398.69</x:v>
      </x:c>
      <x:c r="O75" s="11" t="str">
        <x:f>IF(B75="Butterfly",IF(AND(J75&gt;0,J75&lt;K75),F75-J75,"n.a."),IF(C75="call",IF(K75&gt;J75,2*E75-D75-J75,"n.a."),IF(AND(J75&gt;0,J75&lt;K75),D75-J75,"n.a.")))</x:f>
        <x:v>n.a.</x:v>
      </x:c>
      <x:c r="P75" s="19" t="str">
        <x:f>IF(AND(B75="Butterfly",J75&gt;0,J75&lt;K75),L75/J75,"n.a.")</x:f>
        <x:v>n.a.</x:v>
      </x:c>
      <x:c r="Q75" s="11" t="n">
        <x:f>J75*'Model inputs'!$B$8</x:f>
        <x:v>-131.00000000000003</x:v>
      </x:c>
      <x:c r="R75" s="1" t="str">
        <x:v>Indicative only</x:v>
      </x:c>
      <x:c r="S75" s="1" t="n">
        <x:v>557</x:v>
      </x:c>
      <x:c r="T75" s="1" t="n">
        <x:v>538</x:v>
      </x:c>
    </x:row>
    <x:row r="76" ht="21" customHeight="1">
      <x:c r="A76" s="12" t="n">
        <x:v>46281</x:v>
      </x:c>
      <x:c r="B76" s="1" t="str">
        <x:v>1x2 ratio</x:v>
      </x:c>
      <x:c r="C76" s="1" t="str">
        <x:v>put</x:v>
      </x:c>
      <x:c r="D76" s="11" t="n">
        <x:v>4600</x:v>
      </x:c>
      <x:c r="E76" s="11" t="n">
        <x:v>4400</x:v>
      </x:c>
      <x:c r="F76" s="11"/>
      <x:c r="G76" s="11" t="n">
        <x:f>'Option source'!B543</x:f>
        <x:v>1.62</x:v>
      </x:c>
      <x:c r="H76" s="11" t="n">
        <x:f>'Option source'!B524</x:f>
        <x:v>0.91</x:v>
      </x:c>
      <x:c r="I76" s="11"/>
      <x:c r="J76" s="11" t="n">
        <x:f>G76-2*H76+IF(B76="Butterfly",I76,0)</x:f>
        <x:v>-0.19999999999999996</x:v>
      </x:c>
      <x:c r="K76" s="11" t="n">
        <x:f>ABS(E76-D76)</x:f>
        <x:v>200</x:v>
      </x:c>
      <x:c r="L76" s="11" t="n">
        <x:f>K76-J76</x:f>
        <x:v>200.2</x:v>
      </x:c>
      <x:c r="M76" s="11" t="n">
        <x:f>IF(B76="Butterfly",MAX(J76,0),IF(C76="call","Unlimited",MAX(2*E76-D76+J76,J76,0)))</x:f>
        <x:v>4199.8</x:v>
      </x:c>
      <x:c r="N76" s="11" t="n">
        <x:f>IF(B76="Butterfly",IF(AND(J76&gt;0,J76&lt;K76),D76+J76,"n.a."),IF(C76="call",IF(AND(J76&gt;0,J76&lt;K76),D76+J76,"n.a."),IF(AND(K76&gt;J76,2*E76-D76+J76&gt;=0),2*E76-D76+J76,"n.a.")))</x:f>
        <x:v>4199.8</x:v>
      </x:c>
      <x:c r="O76" s="11" t="str">
        <x:f>IF(B76="Butterfly",IF(AND(J76&gt;0,J76&lt;K76),F76-J76,"n.a."),IF(C76="call",IF(K76&gt;J76,2*E76-D76-J76,"n.a."),IF(AND(J76&gt;0,J76&lt;K76),D76-J76,"n.a.")))</x:f>
        <x:v>n.a.</x:v>
      </x:c>
      <x:c r="P76" s="19" t="str">
        <x:f>IF(AND(B76="Butterfly",J76&gt;0,J76&lt;K76),L76/J76,"n.a.")</x:f>
        <x:v>n.a.</x:v>
      </x:c>
      <x:c r="Q76" s="11" t="n">
        <x:f>J76*'Model inputs'!$B$8</x:f>
        <x:v>-19.999999999999996</x:v>
      </x:c>
      <x:c r="R76" s="1" t="str">
        <x:v>Indicative only</x:v>
      </x:c>
      <x:c r="S76" s="1" t="n">
        <x:v>538</x:v>
      </x:c>
      <x:c r="T76" s="1" t="n">
        <x:v>519</x:v>
      </x:c>
    </x:row>
    <x:row r="77" ht="21" customHeight="1">
      <x:c r="A77" s="12" t="n">
        <x:v>46281</x:v>
      </x:c>
      <x:c r="B77" s="1" t="str">
        <x:v>1x2 ratio</x:v>
      </x:c>
      <x:c r="C77" s="1" t="str">
        <x:v>call</x:v>
      </x:c>
      <x:c r="D77" s="11" t="n">
        <x:v>8900</x:v>
      </x:c>
      <x:c r="E77" s="11" t="n">
        <x:v>9200</x:v>
      </x:c>
      <x:c r="F77" s="11"/>
      <x:c r="G77" s="11" t="n">
        <x:f>'Option source'!B429</x:f>
        <x:v>9.99</x:v>
      </x:c>
      <x:c r="H77" s="11" t="n">
        <x:f>'Option source'!B448</x:f>
        <x:v>3.53</x:v>
      </x:c>
      <x:c r="I77" s="11"/>
      <x:c r="J77" s="11" t="n">
        <x:f>G77-2*H77+IF(B77="Butterfly",I77,0)</x:f>
        <x:v>2.9300000000000006</x:v>
      </x:c>
      <x:c r="K77" s="11" t="n">
        <x:f>ABS(E77-D77)</x:f>
        <x:v>300</x:v>
      </x:c>
      <x:c r="L77" s="11" t="n">
        <x:f>K77-J77</x:f>
        <x:v>297.07</x:v>
      </x:c>
      <x:c r="M77" s="11" t="str">
        <x:f>IF(B77="Butterfly",MAX(J77,0),IF(C77="call","Unlimited",MAX(2*E77-D77+J77,J77,0)))</x:f>
        <x:v>Unlimited</x:v>
      </x:c>
      <x:c r="N77" s="11" t="n">
        <x:f>IF(B77="Butterfly",IF(AND(J77&gt;0,J77&lt;K77),D77+J77,"n.a."),IF(C77="call",IF(AND(J77&gt;0,J77&lt;K77),D77+J77,"n.a."),IF(AND(K77&gt;J77,2*E77-D77+J77&gt;=0),2*E77-D77+J77,"n.a.")))</x:f>
        <x:v>8902.93</x:v>
      </x:c>
      <x:c r="O77" s="11" t="n">
        <x:f>IF(B77="Butterfly",IF(AND(J77&gt;0,J77&lt;K77),F77-J77,"n.a."),IF(C77="call",IF(K77&gt;J77,2*E77-D77-J77,"n.a."),IF(AND(J77&gt;0,J77&lt;K77),D77-J77,"n.a.")))</x:f>
        <x:v>9497.07</x:v>
      </x:c>
      <x:c r="P77" s="19" t="str">
        <x:f>IF(AND(B77="Butterfly",J77&gt;0,J77&lt;K77),L77/J77,"n.a.")</x:f>
        <x:v>n.a.</x:v>
      </x:c>
      <x:c r="Q77" s="11" t="n">
        <x:f>J77*'Model inputs'!$B$8</x:f>
        <x:v>293.00000000000006</x:v>
      </x:c>
      <x:c r="R77" s="1" t="str">
        <x:v>Indicative only</x:v>
      </x:c>
      <x:c r="S77" s="1" t="n">
        <x:v>424</x:v>
      </x:c>
      <x:c r="T77" s="1" t="n">
        <x:v>443</x:v>
      </x:c>
    </x:row>
    <x:row r="78" ht="21" customHeight="1">
      <x:c r="A78" s="12" t="n">
        <x:v>46281</x:v>
      </x:c>
      <x:c r="B78" s="1" t="str">
        <x:v>1x2 ratio</x:v>
      </x:c>
      <x:c r="C78" s="1" t="str">
        <x:v>put</x:v>
      </x:c>
      <x:c r="D78" s="11" t="n">
        <x:v>4400</x:v>
      </x:c>
      <x:c r="E78" s="11" t="n">
        <x:v>4200</x:v>
      </x:c>
      <x:c r="F78" s="11"/>
      <x:c r="G78" s="11" t="n">
        <x:f>'Option source'!B524</x:f>
        <x:v>0.91</x:v>
      </x:c>
      <x:c r="H78" s="11" t="n">
        <x:f>'Option source'!B505</x:f>
        <x:v>1.21</x:v>
      </x:c>
      <x:c r="I78" s="11"/>
      <x:c r="J78" s="11" t="n">
        <x:f>G78-2*H78+IF(B78="Butterfly",I78,0)</x:f>
        <x:v>-1.5099999999999998</x:v>
      </x:c>
      <x:c r="K78" s="11" t="n">
        <x:f>ABS(E78-D78)</x:f>
        <x:v>200</x:v>
      </x:c>
      <x:c r="L78" s="11" t="n">
        <x:f>K78-J78</x:f>
        <x:v>201.51</x:v>
      </x:c>
      <x:c r="M78" s="11" t="n">
        <x:f>IF(B78="Butterfly",MAX(J78,0),IF(C78="call","Unlimited",MAX(2*E78-D78+J78,J78,0)))</x:f>
        <x:v>3998.49</x:v>
      </x:c>
      <x:c r="N78" s="11" t="n">
        <x:f>IF(B78="Butterfly",IF(AND(J78&gt;0,J78&lt;K78),D78+J78,"n.a."),IF(C78="call",IF(AND(J78&gt;0,J78&lt;K78),D78+J78,"n.a."),IF(AND(K78&gt;J78,2*E78-D78+J78&gt;=0),2*E78-D78+J78,"n.a.")))</x:f>
        <x:v>3998.49</x:v>
      </x:c>
      <x:c r="O78" s="11" t="str">
        <x:f>IF(B78="Butterfly",IF(AND(J78&gt;0,J78&lt;K78),F78-J78,"n.a."),IF(C78="call",IF(K78&gt;J78,2*E78-D78-J78,"n.a."),IF(AND(J78&gt;0,J78&lt;K78),D78-J78,"n.a.")))</x:f>
        <x:v>n.a.</x:v>
      </x:c>
      <x:c r="P78" s="19" t="str">
        <x:f>IF(AND(B78="Butterfly",J78&gt;0,J78&lt;K78),L78/J78,"n.a.")</x:f>
        <x:v>n.a.</x:v>
      </x:c>
      <x:c r="Q78" s="11" t="n">
        <x:f>J78*'Model inputs'!$B$8</x:f>
        <x:v>-150.99999999999997</x:v>
      </x:c>
      <x:c r="R78" s="1" t="str">
        <x:v>Indicative only</x:v>
      </x:c>
      <x:c r="S78" s="1" t="n">
        <x:v>519</x:v>
      </x:c>
      <x:c r="T78" s="1" t="n">
        <x:v>500</x:v>
      </x:c>
    </x:row>
    <x:row r="79" ht="21" customHeight="1">
      <x:c r="A79" s="12" t="n">
        <x:v>46281</x:v>
      </x:c>
      <x:c r="B79" s="1" t="str">
        <x:v>1x2 ratio</x:v>
      </x:c>
      <x:c r="C79" s="1" t="str">
        <x:v>call</x:v>
      </x:c>
      <x:c r="D79" s="11" t="n">
        <x:v>9200</x:v>
      </x:c>
      <x:c r="E79" s="11" t="n">
        <x:v>9500</x:v>
      </x:c>
      <x:c r="F79" s="11"/>
      <x:c r="G79" s="11" t="n">
        <x:f>'Option source'!B448</x:f>
        <x:v>3.53</x:v>
      </x:c>
      <x:c r="H79" s="11" t="n">
        <x:f>'Option source'!B467</x:f>
        <x:v>3.44</x:v>
      </x:c>
      <x:c r="I79" s="11"/>
      <x:c r="J79" s="11" t="n">
        <x:f>G79-2*H79+IF(B79="Butterfly",I79,0)</x:f>
        <x:v>-3.35</x:v>
      </x:c>
      <x:c r="K79" s="11" t="n">
        <x:f>ABS(E79-D79)</x:f>
        <x:v>300</x:v>
      </x:c>
      <x:c r="L79" s="11" t="n">
        <x:f>K79-J79</x:f>
        <x:v>303.35</x:v>
      </x:c>
      <x:c r="M79" s="11" t="str">
        <x:f>IF(B79="Butterfly",MAX(J79,0),IF(C79="call","Unlimited",MAX(2*E79-D79+J79,J79,0)))</x:f>
        <x:v>Unlimited</x:v>
      </x:c>
      <x:c r="N79" s="11" t="str">
        <x:f>IF(B79="Butterfly",IF(AND(J79&gt;0,J79&lt;K79),D79+J79,"n.a."),IF(C79="call",IF(AND(J79&gt;0,J79&lt;K79),D79+J79,"n.a."),IF(AND(K79&gt;J79,2*E79-D79+J79&gt;=0),2*E79-D79+J79,"n.a.")))</x:f>
        <x:v>n.a.</x:v>
      </x:c>
      <x:c r="O79" s="11" t="n">
        <x:f>IF(B79="Butterfly",IF(AND(J79&gt;0,J79&lt;K79),F79-J79,"n.a."),IF(C79="call",IF(K79&gt;J79,2*E79-D79-J79,"n.a."),IF(AND(J79&gt;0,J79&lt;K79),D79-J79,"n.a.")))</x:f>
        <x:v>9803.35</x:v>
      </x:c>
      <x:c r="P79" s="19" t="str">
        <x:f>IF(AND(B79="Butterfly",J79&gt;0,J79&lt;K79),L79/J79,"n.a.")</x:f>
        <x:v>n.a.</x:v>
      </x:c>
      <x:c r="Q79" s="11" t="n">
        <x:f>J79*'Model inputs'!$B$8</x:f>
        <x:v>-335</x:v>
      </x:c>
      <x:c r="R79" s="1" t="str">
        <x:v>Indicative only</x:v>
      </x:c>
      <x:c r="S79" s="1" t="n">
        <x:v>443</x:v>
      </x:c>
      <x:c r="T79" s="1" t="n">
        <x:v>462</x:v>
      </x:c>
    </x:row>
    <x:row r="80" ht="21" customHeight="1">
      <x:c r="A80" s="12" t="n">
        <x:v>46281</x:v>
      </x:c>
      <x:c r="B80" s="1" t="str">
        <x:v>1x2 ratio</x:v>
      </x:c>
      <x:c r="C80" s="1" t="str">
        <x:v>call</x:v>
      </x:c>
      <x:c r="D80" s="11" t="n">
        <x:v>9500</x:v>
      </x:c>
      <x:c r="E80" s="11" t="n">
        <x:v>9900</x:v>
      </x:c>
      <x:c r="F80" s="11"/>
      <x:c r="G80" s="11" t="n">
        <x:f>'Option source'!B467</x:f>
        <x:v>3.44</x:v>
      </x:c>
      <x:c r="H80" s="11" t="n">
        <x:f>'Option source'!B486</x:f>
        <x:v>2.06</x:v>
      </x:c>
      <x:c r="I80" s="11"/>
      <x:c r="J80" s="11" t="n">
        <x:f>G80-2*H80+IF(B80="Butterfly",I80,0)</x:f>
        <x:v>-0.6800000000000002</x:v>
      </x:c>
      <x:c r="K80" s="11" t="n">
        <x:f>ABS(E80-D80)</x:f>
        <x:v>400</x:v>
      </x:c>
      <x:c r="L80" s="11" t="n">
        <x:f>K80-J80</x:f>
        <x:v>400.68</x:v>
      </x:c>
      <x:c r="M80" s="11" t="str">
        <x:f>IF(B80="Butterfly",MAX(J80,0),IF(C80="call","Unlimited",MAX(2*E80-D80+J80,J80,0)))</x:f>
        <x:v>Unlimited</x:v>
      </x:c>
      <x:c r="N80" s="11" t="str">
        <x:f>IF(B80="Butterfly",IF(AND(J80&gt;0,J80&lt;K80),D80+J80,"n.a."),IF(C80="call",IF(AND(J80&gt;0,J80&lt;K80),D80+J80,"n.a."),IF(AND(K80&gt;J80,2*E80-D80+J80&gt;=0),2*E80-D80+J80,"n.a.")))</x:f>
        <x:v>n.a.</x:v>
      </x:c>
      <x:c r="O80" s="11" t="n">
        <x:f>IF(B80="Butterfly",IF(AND(J80&gt;0,J80&lt;K80),F80-J80,"n.a."),IF(C80="call",IF(K80&gt;J80,2*E80-D80-J80,"n.a."),IF(AND(J80&gt;0,J80&lt;K80),D80-J80,"n.a.")))</x:f>
        <x:v>10300.68</x:v>
      </x:c>
      <x:c r="P80" s="19" t="str">
        <x:f>IF(AND(B80="Butterfly",J80&gt;0,J80&lt;K80),L80/J80,"n.a.")</x:f>
        <x:v>n.a.</x:v>
      </x:c>
      <x:c r="Q80" s="11" t="n">
        <x:f>J80*'Model inputs'!$B$8</x:f>
        <x:v>-68.00000000000001</x:v>
      </x:c>
      <x:c r="R80" s="1" t="str">
        <x:v>Indicative only</x:v>
      </x:c>
      <x:c r="S80" s="1" t="n">
        <x:v>462</x:v>
      </x:c>
      <x:c r="T80" s="1" t="n">
        <x:v>481</x:v>
      </x:c>
    </x:row>
    <x:row r="81" ht="21" customHeight="1">
      <x:c r="A81" s="12" t="n">
        <x:v>46281</x:v>
      </x:c>
      <x:c r="B81" s="1" t="str">
        <x:v>1x2 ratio</x:v>
      </x:c>
      <x:c r="C81" s="1" t="str">
        <x:v>call</x:v>
      </x:c>
      <x:c r="D81" s="11" t="n">
        <x:v>6200</x:v>
      </x:c>
      <x:c r="E81" s="11" t="n">
        <x:v>6400</x:v>
      </x:c>
      <x:c r="F81" s="11"/>
      <x:c r="G81" s="11" t="n">
        <x:f>'Option source'!B201</x:f>
        <x:v>704.74</x:v>
      </x:c>
      <x:c r="H81" s="11" t="n">
        <x:f>'Option source'!B220</x:f>
        <x:v>616.1</x:v>
      </x:c>
      <x:c r="I81" s="11"/>
      <x:c r="J81" s="11" t="n">
        <x:f>G81-2*H81+IF(B81="Butterfly",I81,0)</x:f>
        <x:v>-527.46</x:v>
      </x:c>
      <x:c r="K81" s="11" t="n">
        <x:f>ABS(E81-D81)</x:f>
        <x:v>200</x:v>
      </x:c>
      <x:c r="L81" s="11" t="n">
        <x:f>K81-J81</x:f>
        <x:v>727.46</x:v>
      </x:c>
      <x:c r="M81" s="11" t="str">
        <x:f>IF(B81="Butterfly",MAX(J81,0),IF(C81="call","Unlimited",MAX(2*E81-D81+J81,J81,0)))</x:f>
        <x:v>Unlimited</x:v>
      </x:c>
      <x:c r="N81" s="11" t="str">
        <x:f>IF(B81="Butterfly",IF(AND(J81&gt;0,J81&lt;K81),D81+J81,"n.a."),IF(C81="call",IF(AND(J81&gt;0,J81&lt;K81),D81+J81,"n.a."),IF(AND(K81&gt;J81,2*E81-D81+J81&gt;=0),2*E81-D81+J81,"n.a.")))</x:f>
        <x:v>n.a.</x:v>
      </x:c>
      <x:c r="O81" s="11" t="n">
        <x:f>IF(B81="Butterfly",IF(AND(J81&gt;0,J81&lt;K81),F81-J81,"n.a."),IF(C81="call",IF(K81&gt;J81,2*E81-D81-J81,"n.a."),IF(AND(J81&gt;0,J81&lt;K81),D81-J81,"n.a.")))</x:f>
        <x:v>7127.46</x:v>
      </x:c>
      <x:c r="P81" s="19" t="str">
        <x:f>IF(AND(B81="Butterfly",J81&gt;0,J81&lt;K81),L81/J81,"n.a.")</x:f>
        <x:v>n.a.</x:v>
      </x:c>
      <x:c r="Q81" s="11" t="n">
        <x:f>J81*'Model inputs'!$B$8</x:f>
        <x:v>-52746</x:v>
      </x:c>
      <x:c r="R81" s="1" t="str">
        <x:v>Flagged leg data</x:v>
      </x:c>
      <x:c r="S81" s="1" t="n">
        <x:v>196</x:v>
      </x:c>
      <x:c r="T81" s="1" t="n">
        <x:v>215</x:v>
      </x:c>
    </x:row>
    <x:row r="82" ht="21" customHeight="1">
      <x:c r="A82" s="12" t="n">
        <x:v>46281</x:v>
      </x:c>
      <x:c r="B82" s="1" t="str">
        <x:v>1x2 ratio</x:v>
      </x:c>
      <x:c r="C82" s="1" t="str">
        <x:v>call</x:v>
      </x:c>
      <x:c r="D82" s="11" t="n">
        <x:v>6000</x:v>
      </x:c>
      <x:c r="E82" s="11" t="n">
        <x:v>6200</x:v>
      </x:c>
      <x:c r="F82" s="11"/>
      <x:c r="G82" s="11" t="n">
        <x:f>'Option source'!B182</x:f>
        <x:v>916.41</x:v>
      </x:c>
      <x:c r="H82" s="11" t="n">
        <x:f>'Option source'!B201</x:f>
        <x:v>704.74</x:v>
      </x:c>
      <x:c r="I82" s="11"/>
      <x:c r="J82" s="11" t="n">
        <x:f>G82-2*H82+IF(B82="Butterfly",I82,0)</x:f>
        <x:v>-493.07000000000005</x:v>
      </x:c>
      <x:c r="K82" s="11" t="n">
        <x:f>ABS(E82-D82)</x:f>
        <x:v>200</x:v>
      </x:c>
      <x:c r="L82" s="11" t="n">
        <x:f>K82-J82</x:f>
        <x:v>693.07</x:v>
      </x:c>
      <x:c r="M82" s="11" t="str">
        <x:f>IF(B82="Butterfly",MAX(J82,0),IF(C82="call","Unlimited",MAX(2*E82-D82+J82,J82,0)))</x:f>
        <x:v>Unlimited</x:v>
      </x:c>
      <x:c r="N82" s="11" t="str">
        <x:f>IF(B82="Butterfly",IF(AND(J82&gt;0,J82&lt;K82),D82+J82,"n.a."),IF(C82="call",IF(AND(J82&gt;0,J82&lt;K82),D82+J82,"n.a."),IF(AND(K82&gt;J82,2*E82-D82+J82&gt;=0),2*E82-D82+J82,"n.a.")))</x:f>
        <x:v>n.a.</x:v>
      </x:c>
      <x:c r="O82" s="11" t="n">
        <x:f>IF(B82="Butterfly",IF(AND(J82&gt;0,J82&lt;K82),F82-J82,"n.a."),IF(C82="call",IF(K82&gt;J82,2*E82-D82-J82,"n.a."),IF(AND(J82&gt;0,J82&lt;K82),D82-J82,"n.a.")))</x:f>
        <x:v>6893.07</x:v>
      </x:c>
      <x:c r="P82" s="19" t="str">
        <x:f>IF(AND(B82="Butterfly",J82&gt;0,J82&lt;K82),L82/J82,"n.a.")</x:f>
        <x:v>n.a.</x:v>
      </x:c>
      <x:c r="Q82" s="11" t="n">
        <x:f>J82*'Model inputs'!$B$8</x:f>
        <x:v>-49307.00000000001</x:v>
      </x:c>
      <x:c r="R82" s="1" t="str">
        <x:v>Flagged leg data</x:v>
      </x:c>
      <x:c r="S82" s="1" t="n">
        <x:v>177</x:v>
      </x:c>
      <x:c r="T82" s="1" t="n">
        <x:v>196</x:v>
      </x:c>
    </x:row>
    <x:row r="83" ht="21" customHeight="1">
      <x:c r="A83" s="12" t="n">
        <x:v>46281</x:v>
      </x:c>
      <x:c r="B83" s="1" t="str">
        <x:v>1x2 ratio</x:v>
      </x:c>
      <x:c r="C83" s="1" t="str">
        <x:v>call</x:v>
      </x:c>
      <x:c r="D83" s="11" t="n">
        <x:v>5800</x:v>
      </x:c>
      <x:c r="E83" s="11" t="n">
        <x:v>6000</x:v>
      </x:c>
      <x:c r="F83" s="11"/>
      <x:c r="G83" s="11" t="n">
        <x:f>'Option source'!B163</x:f>
        <x:v>1049.9</x:v>
      </x:c>
      <x:c r="H83" s="11" t="n">
        <x:f>'Option source'!B182</x:f>
        <x:v>916.41</x:v>
      </x:c>
      <x:c r="I83" s="11"/>
      <x:c r="J83" s="11" t="n">
        <x:f>G83-2*H83+IF(B83="Butterfly",I83,0)</x:f>
        <x:v>-782.9199999999998</x:v>
      </x:c>
      <x:c r="K83" s="11" t="n">
        <x:f>ABS(E83-D83)</x:f>
        <x:v>200</x:v>
      </x:c>
      <x:c r="L83" s="11" t="n">
        <x:f>K83-J83</x:f>
        <x:v>982.9199999999998</x:v>
      </x:c>
      <x:c r="M83" s="11" t="str">
        <x:f>IF(B83="Butterfly",MAX(J83,0),IF(C83="call","Unlimited",MAX(2*E83-D83+J83,J83,0)))</x:f>
        <x:v>Unlimited</x:v>
      </x:c>
      <x:c r="N83" s="11" t="str">
        <x:f>IF(B83="Butterfly",IF(AND(J83&gt;0,J83&lt;K83),D83+J83,"n.a."),IF(C83="call",IF(AND(J83&gt;0,J83&lt;K83),D83+J83,"n.a."),IF(AND(K83&gt;J83,2*E83-D83+J83&gt;=0),2*E83-D83+J83,"n.a.")))</x:f>
        <x:v>n.a.</x:v>
      </x:c>
      <x:c r="O83" s="11" t="n">
        <x:f>IF(B83="Butterfly",IF(AND(J83&gt;0,J83&lt;K83),F83-J83,"n.a."),IF(C83="call",IF(K83&gt;J83,2*E83-D83-J83,"n.a."),IF(AND(J83&gt;0,J83&lt;K83),D83-J83,"n.a.")))</x:f>
        <x:v>6982.92</x:v>
      </x:c>
      <x:c r="P83" s="19" t="str">
        <x:f>IF(AND(B83="Butterfly",J83&gt;0,J83&lt;K83),L83/J83,"n.a.")</x:f>
        <x:v>n.a.</x:v>
      </x:c>
      <x:c r="Q83" s="11" t="n">
        <x:f>J83*'Model inputs'!$B$8</x:f>
        <x:v>-78291.99999999999</x:v>
      </x:c>
      <x:c r="R83" s="1" t="str">
        <x:v>Flagged leg data</x:v>
      </x:c>
      <x:c r="S83" s="1" t="n">
        <x:v>158</x:v>
      </x:c>
      <x:c r="T83" s="1" t="n">
        <x:v>177</x:v>
      </x:c>
    </x:row>
    <x:row r="84" ht="21" customHeight="1">
      <x:c r="A84" s="12" t="n">
        <x:v>46281</x:v>
      </x:c>
      <x:c r="B84" s="1" t="str">
        <x:v>1x2 ratio</x:v>
      </x:c>
      <x:c r="C84" s="1" t="str">
        <x:v>put</x:v>
      </x:c>
      <x:c r="D84" s="11" t="n">
        <x:v>7800</x:v>
      </x:c>
      <x:c r="E84" s="11" t="n">
        <x:v>7600</x:v>
      </x:c>
      <x:c r="F84" s="11"/>
      <x:c r="G84" s="11" t="n">
        <x:f>'Option source'!B847</x:f>
        <x:v>1000</x:v>
      </x:c>
      <x:c r="H84" s="11" t="n">
        <x:f>'Option source'!B828</x:f>
        <x:v>857</x:v>
      </x:c>
      <x:c r="I84" s="11"/>
      <x:c r="J84" s="11" t="n">
        <x:f>G84-2*H84+IF(B84="Butterfly",I84,0)</x:f>
        <x:v>-714</x:v>
      </x:c>
      <x:c r="K84" s="11" t="n">
        <x:f>ABS(E84-D84)</x:f>
        <x:v>200</x:v>
      </x:c>
      <x:c r="L84" s="11" t="n">
        <x:f>K84-J84</x:f>
        <x:v>914</x:v>
      </x:c>
      <x:c r="M84" s="11" t="n">
        <x:f>IF(B84="Butterfly",MAX(J84,0),IF(C84="call","Unlimited",MAX(2*E84-D84+J84,J84,0)))</x:f>
        <x:v>6686</x:v>
      </x:c>
      <x:c r="N84" s="11" t="n">
        <x:f>IF(B84="Butterfly",IF(AND(J84&gt;0,J84&lt;K84),D84+J84,"n.a."),IF(C84="call",IF(AND(J84&gt;0,J84&lt;K84),D84+J84,"n.a."),IF(AND(K84&gt;J84,2*E84-D84+J84&gt;=0),2*E84-D84+J84,"n.a.")))</x:f>
        <x:v>6686</x:v>
      </x:c>
      <x:c r="O84" s="11" t="str">
        <x:f>IF(B84="Butterfly",IF(AND(J84&gt;0,J84&lt;K84),F84-J84,"n.a."),IF(C84="call",IF(K84&gt;J84,2*E84-D84-J84,"n.a."),IF(AND(J84&gt;0,J84&lt;K84),D84-J84,"n.a.")))</x:f>
        <x:v>n.a.</x:v>
      </x:c>
      <x:c r="P84" s="19" t="str">
        <x:f>IF(AND(B84="Butterfly",J84&gt;0,J84&lt;K84),L84/J84,"n.a.")</x:f>
        <x:v>n.a.</x:v>
      </x:c>
      <x:c r="Q84" s="11" t="n">
        <x:f>J84*'Model inputs'!$B$8</x:f>
        <x:v>-71400</x:v>
      </x:c>
      <x:c r="R84" s="1" t="str">
        <x:v>Flagged leg data</x:v>
      </x:c>
      <x:c r="S84" s="1" t="n">
        <x:v>842</x:v>
      </x:c>
      <x:c r="T84" s="1" t="n">
        <x:v>823</x:v>
      </x:c>
    </x:row>
    <x:row r="85" ht="21" customHeight="1">
      <x:c r="A85" s="12" t="n">
        <x:v>46281</x:v>
      </x:c>
      <x:c r="B85" s="1" t="str">
        <x:v>1x2 ratio</x:v>
      </x:c>
      <x:c r="C85" s="1" t="str">
        <x:v>call</x:v>
      </x:c>
      <x:c r="D85" s="11" t="n">
        <x:v>5600</x:v>
      </x:c>
      <x:c r="E85" s="11" t="n">
        <x:v>5800</x:v>
      </x:c>
      <x:c r="F85" s="11"/>
      <x:c r="G85" s="11" t="n">
        <x:f>'Option source'!B153</x:f>
        <x:v>1233.13</x:v>
      </x:c>
      <x:c r="H85" s="11" t="n">
        <x:f>'Option source'!B163</x:f>
        <x:v>1049.9</x:v>
      </x:c>
      <x:c r="I85" s="11"/>
      <x:c r="J85" s="11" t="n">
        <x:f>G85-2*H85+IF(B85="Butterfly",I85,0)</x:f>
        <x:v>-866.6700000000001</x:v>
      </x:c>
      <x:c r="K85" s="11" t="n">
        <x:f>ABS(E85-D85)</x:f>
        <x:v>200</x:v>
      </x:c>
      <x:c r="L85" s="11" t="n">
        <x:f>K85-J85</x:f>
        <x:v>1066.67</x:v>
      </x:c>
      <x:c r="M85" s="11" t="str">
        <x:f>IF(B85="Butterfly",MAX(J85,0),IF(C85="call","Unlimited",MAX(2*E85-D85+J85,J85,0)))</x:f>
        <x:v>Unlimited</x:v>
      </x:c>
      <x:c r="N85" s="11" t="str">
        <x:f>IF(B85="Butterfly",IF(AND(J85&gt;0,J85&lt;K85),D85+J85,"n.a."),IF(C85="call",IF(AND(J85&gt;0,J85&lt;K85),D85+J85,"n.a."),IF(AND(K85&gt;J85,2*E85-D85+J85&gt;=0),2*E85-D85+J85,"n.a.")))</x:f>
        <x:v>n.a.</x:v>
      </x:c>
      <x:c r="O85" s="11" t="n">
        <x:f>IF(B85="Butterfly",IF(AND(J85&gt;0,J85&lt;K85),F85-J85,"n.a."),IF(C85="call",IF(K85&gt;J85,2*E85-D85-J85,"n.a."),IF(AND(J85&gt;0,J85&lt;K85),D85-J85,"n.a.")))</x:f>
        <x:v>6866.67</x:v>
      </x:c>
      <x:c r="P85" s="19" t="str">
        <x:f>IF(AND(B85="Butterfly",J85&gt;0,J85&lt;K85),L85/J85,"n.a.")</x:f>
        <x:v>n.a.</x:v>
      </x:c>
      <x:c r="Q85" s="11" t="n">
        <x:f>J85*'Model inputs'!$B$8</x:f>
        <x:v>-86667</x:v>
      </x:c>
      <x:c r="R85" s="1" t="str">
        <x:v>Flagged leg data</x:v>
      </x:c>
      <x:c r="S85" s="1" t="n">
        <x:v>148</x:v>
      </x:c>
      <x:c r="T85" s="1" t="n">
        <x:v>158</x:v>
      </x:c>
    </x:row>
    <x:row r="86" ht="21" customHeight="1">
      <x:c r="A86" s="12" t="n">
        <x:v>46281</x:v>
      </x:c>
      <x:c r="B86" s="1" t="str">
        <x:v>1x2 ratio</x:v>
      </x:c>
      <x:c r="C86" s="1" t="str">
        <x:v>put</x:v>
      </x:c>
      <x:c r="D86" s="11" t="n">
        <x:v>8000</x:v>
      </x:c>
      <x:c r="E86" s="11" t="n">
        <x:v>7800</x:v>
      </x:c>
      <x:c r="F86" s="11"/>
      <x:c r="G86" s="11" t="n">
        <x:f>'Option source'!B866</x:f>
        <x:v>1230</x:v>
      </x:c>
      <x:c r="H86" s="11" t="n">
        <x:f>'Option source'!B847</x:f>
        <x:v>1000</x:v>
      </x:c>
      <x:c r="I86" s="11"/>
      <x:c r="J86" s="11" t="n">
        <x:f>G86-2*H86+IF(B86="Butterfly",I86,0)</x:f>
        <x:v>-770</x:v>
      </x:c>
      <x:c r="K86" s="11" t="n">
        <x:f>ABS(E86-D86)</x:f>
        <x:v>200</x:v>
      </x:c>
      <x:c r="L86" s="11" t="n">
        <x:f>K86-J86</x:f>
        <x:v>970</x:v>
      </x:c>
      <x:c r="M86" s="11" t="n">
        <x:f>IF(B86="Butterfly",MAX(J86,0),IF(C86="call","Unlimited",MAX(2*E86-D86+J86,J86,0)))</x:f>
        <x:v>6830</x:v>
      </x:c>
      <x:c r="N86" s="11" t="n">
        <x:f>IF(B86="Butterfly",IF(AND(J86&gt;0,J86&lt;K86),D86+J86,"n.a."),IF(C86="call",IF(AND(J86&gt;0,J86&lt;K86),D86+J86,"n.a."),IF(AND(K86&gt;J86,2*E86-D86+J86&gt;=0),2*E86-D86+J86,"n.a.")))</x:f>
        <x:v>6830</x:v>
      </x:c>
      <x:c r="O86" s="11" t="str">
        <x:f>IF(B86="Butterfly",IF(AND(J86&gt;0,J86&lt;K86),F86-J86,"n.a."),IF(C86="call",IF(K86&gt;J86,2*E86-D86-J86,"n.a."),IF(AND(J86&gt;0,J86&lt;K86),D86-J86,"n.a.")))</x:f>
        <x:v>n.a.</x:v>
      </x:c>
      <x:c r="P86" s="19" t="str">
        <x:f>IF(AND(B86="Butterfly",J86&gt;0,J86&lt;K86),L86/J86,"n.a.")</x:f>
        <x:v>n.a.</x:v>
      </x:c>
      <x:c r="Q86" s="11" t="n">
        <x:f>J86*'Model inputs'!$B$8</x:f>
        <x:v>-77000</x:v>
      </x:c>
      <x:c r="R86" s="1" t="str">
        <x:v>Flagged leg data</x:v>
      </x:c>
      <x:c r="S86" s="1" t="n">
        <x:v>861</x:v>
      </x:c>
      <x:c r="T86" s="1" t="n">
        <x:v>842</x:v>
      </x:c>
    </x:row>
    <x:row r="87" ht="21" customHeight="1">
      <x:c r="A87" s="12" t="n">
        <x:v>46281</x:v>
      </x:c>
      <x:c r="B87" s="1" t="str">
        <x:v>1x2 ratio</x:v>
      </x:c>
      <x:c r="C87" s="1" t="str">
        <x:v>call</x:v>
      </x:c>
      <x:c r="D87" s="11" t="n">
        <x:v>5400</x:v>
      </x:c>
      <x:c r="E87" s="11" t="n">
        <x:v>5600</x:v>
      </x:c>
      <x:c r="F87" s="11"/>
      <x:c r="G87" s="11" t="n">
        <x:f>'Option source'!B135</x:f>
        <x:v>1470</x:v>
      </x:c>
      <x:c r="H87" s="11" t="n">
        <x:f>'Option source'!B153</x:f>
        <x:v>1233.13</x:v>
      </x:c>
      <x:c r="I87" s="11"/>
      <x:c r="J87" s="11" t="n">
        <x:f>G87-2*H87+IF(B87="Butterfly",I87,0)</x:f>
        <x:v>-996.2600000000002</x:v>
      </x:c>
      <x:c r="K87" s="11" t="n">
        <x:f>ABS(E87-D87)</x:f>
        <x:v>200</x:v>
      </x:c>
      <x:c r="L87" s="11" t="n">
        <x:f>K87-J87</x:f>
        <x:v>1196.2600000000002</x:v>
      </x:c>
      <x:c r="M87" s="11" t="str">
        <x:f>IF(B87="Butterfly",MAX(J87,0),IF(C87="call","Unlimited",MAX(2*E87-D87+J87,J87,0)))</x:f>
        <x:v>Unlimited</x:v>
      </x:c>
      <x:c r="N87" s="11" t="str">
        <x:f>IF(B87="Butterfly",IF(AND(J87&gt;0,J87&lt;K87),D87+J87,"n.a."),IF(C87="call",IF(AND(J87&gt;0,J87&lt;K87),D87+J87,"n.a."),IF(AND(K87&gt;J87,2*E87-D87+J87&gt;=0),2*E87-D87+J87,"n.a.")))</x:f>
        <x:v>n.a.</x:v>
      </x:c>
      <x:c r="O87" s="11" t="n">
        <x:f>IF(B87="Butterfly",IF(AND(J87&gt;0,J87&lt;K87),F87-J87,"n.a."),IF(C87="call",IF(K87&gt;J87,2*E87-D87-J87,"n.a."),IF(AND(J87&gt;0,J87&lt;K87),D87-J87,"n.a.")))</x:f>
        <x:v>6796.26</x:v>
      </x:c>
      <x:c r="P87" s="19" t="str">
        <x:f>IF(AND(B87="Butterfly",J87&gt;0,J87&lt;K87),L87/J87,"n.a.")</x:f>
        <x:v>n.a.</x:v>
      </x:c>
      <x:c r="Q87" s="11" t="n">
        <x:f>J87*'Model inputs'!$B$8</x:f>
        <x:v>-99626.00000000003</x:v>
      </x:c>
      <x:c r="R87" s="1" t="str">
        <x:v>Flagged leg data</x:v>
      </x:c>
      <x:c r="S87" s="1" t="n">
        <x:v>130</x:v>
      </x:c>
      <x:c r="T87" s="1" t="n">
        <x:v>148</x:v>
      </x:c>
    </x:row>
    <x:row r="88" ht="21" customHeight="1">
      <x:c r="A88" s="12" t="n">
        <x:v>46281</x:v>
      </x:c>
      <x:c r="B88" s="1" t="str">
        <x:v>1x2 ratio</x:v>
      </x:c>
      <x:c r="C88" s="1" t="str">
        <x:v>put</x:v>
      </x:c>
      <x:c r="D88" s="11" t="n">
        <x:v>8300</x:v>
      </x:c>
      <x:c r="E88" s="11" t="n">
        <x:v>8000</x:v>
      </x:c>
      <x:c r="F88" s="11"/>
      <x:c r="G88" s="11" t="n">
        <x:f>'Option source'!B885</x:f>
        <x:v>1520</x:v>
      </x:c>
      <x:c r="H88" s="11" t="n">
        <x:f>'Option source'!B866</x:f>
        <x:v>1230</x:v>
      </x:c>
      <x:c r="I88" s="11"/>
      <x:c r="J88" s="11" t="n">
        <x:f>G88-2*H88+IF(B88="Butterfly",I88,0)</x:f>
        <x:v>-940</x:v>
      </x:c>
      <x:c r="K88" s="11" t="n">
        <x:f>ABS(E88-D88)</x:f>
        <x:v>300</x:v>
      </x:c>
      <x:c r="L88" s="11" t="n">
        <x:f>K88-J88</x:f>
        <x:v>1240</x:v>
      </x:c>
      <x:c r="M88" s="11" t="n">
        <x:f>IF(B88="Butterfly",MAX(J88,0),IF(C88="call","Unlimited",MAX(2*E88-D88+J88,J88,0)))</x:f>
        <x:v>6760</x:v>
      </x:c>
      <x:c r="N88" s="11" t="n">
        <x:f>IF(B88="Butterfly",IF(AND(J88&gt;0,J88&lt;K88),D88+J88,"n.a."),IF(C88="call",IF(AND(J88&gt;0,J88&lt;K88),D88+J88,"n.a."),IF(AND(K88&gt;J88,2*E88-D88+J88&gt;=0),2*E88-D88+J88,"n.a.")))</x:f>
        <x:v>6760</x:v>
      </x:c>
      <x:c r="O88" s="11" t="str">
        <x:f>IF(B88="Butterfly",IF(AND(J88&gt;0,J88&lt;K88),F88-J88,"n.a."),IF(C88="call",IF(K88&gt;J88,2*E88-D88-J88,"n.a."),IF(AND(J88&gt;0,J88&lt;K88),D88-J88,"n.a.")))</x:f>
        <x:v>n.a.</x:v>
      </x:c>
      <x:c r="P88" s="19" t="str">
        <x:f>IF(AND(B88="Butterfly",J88&gt;0,J88&lt;K88),L88/J88,"n.a.")</x:f>
        <x:v>n.a.</x:v>
      </x:c>
      <x:c r="Q88" s="11" t="n">
        <x:f>J88*'Model inputs'!$B$8</x:f>
        <x:v>-94000</x:v>
      </x:c>
      <x:c r="R88" s="1" t="str">
        <x:v>Flagged leg data</x:v>
      </x:c>
      <x:c r="S88" s="1" t="n">
        <x:v>880</x:v>
      </x:c>
      <x:c r="T88" s="1" t="n">
        <x:v>861</x:v>
      </x:c>
    </x:row>
    <x:row r="89" ht="21" customHeight="1">
      <x:c r="A89" s="12" t="n">
        <x:v>46281</x:v>
      </x:c>
      <x:c r="B89" s="1" t="str">
        <x:v>1x2 ratio</x:v>
      </x:c>
      <x:c r="C89" s="1" t="str">
        <x:v>call</x:v>
      </x:c>
      <x:c r="D89" s="11" t="n">
        <x:v>5200</x:v>
      </x:c>
      <x:c r="E89" s="11" t="n">
        <x:v>5400</x:v>
      </x:c>
      <x:c r="F89" s="11"/>
      <x:c r="G89" s="11" t="n">
        <x:f>'Option source'!B116</x:f>
        <x:v>1678.07</x:v>
      </x:c>
      <x:c r="H89" s="11" t="n">
        <x:f>'Option source'!B135</x:f>
        <x:v>1470</x:v>
      </x:c>
      <x:c r="I89" s="11"/>
      <x:c r="J89" s="11" t="n">
        <x:f>G89-2*H89+IF(B89="Butterfly",I89,0)</x:f>
        <x:v>-1261.93</x:v>
      </x:c>
      <x:c r="K89" s="11" t="n">
        <x:f>ABS(E89-D89)</x:f>
        <x:v>200</x:v>
      </x:c>
      <x:c r="L89" s="11" t="n">
        <x:f>K89-J89</x:f>
        <x:v>1461.93</x:v>
      </x:c>
      <x:c r="M89" s="11" t="str">
        <x:f>IF(B89="Butterfly",MAX(J89,0),IF(C89="call","Unlimited",MAX(2*E89-D89+J89,J89,0)))</x:f>
        <x:v>Unlimited</x:v>
      </x:c>
      <x:c r="N89" s="11" t="str">
        <x:f>IF(B89="Butterfly",IF(AND(J89&gt;0,J89&lt;K89),D89+J89,"n.a."),IF(C89="call",IF(AND(J89&gt;0,J89&lt;K89),D89+J89,"n.a."),IF(AND(K89&gt;J89,2*E89-D89+J89&gt;=0),2*E89-D89+J89,"n.a.")))</x:f>
        <x:v>n.a.</x:v>
      </x:c>
      <x:c r="O89" s="11" t="n">
        <x:f>IF(B89="Butterfly",IF(AND(J89&gt;0,J89&lt;K89),F89-J89,"n.a."),IF(C89="call",IF(K89&gt;J89,2*E89-D89-J89,"n.a."),IF(AND(J89&gt;0,J89&lt;K89),D89-J89,"n.a.")))</x:f>
        <x:v>6861.93</x:v>
      </x:c>
      <x:c r="P89" s="19" t="str">
        <x:f>IF(AND(B89="Butterfly",J89&gt;0,J89&lt;K89),L89/J89,"n.a.")</x:f>
        <x:v>n.a.</x:v>
      </x:c>
      <x:c r="Q89" s="11" t="n">
        <x:f>J89*'Model inputs'!$B$8</x:f>
        <x:v>-126193</x:v>
      </x:c>
      <x:c r="R89" s="1" t="str">
        <x:v>Flagged leg data</x:v>
      </x:c>
      <x:c r="S89" s="1" t="n">
        <x:v>111</x:v>
      </x:c>
      <x:c r="T89" s="1" t="n">
        <x:v>130</x:v>
      </x:c>
    </x:row>
    <x:row r="90" ht="21" customHeight="1">
      <x:c r="A90" s="12" t="n">
        <x:v>46281</x:v>
      </x:c>
      <x:c r="B90" s="1" t="str">
        <x:v>1x2 ratio</x:v>
      </x:c>
      <x:c r="C90" s="1" t="str">
        <x:v>put</x:v>
      </x:c>
      <x:c r="D90" s="11" t="n">
        <x:v>8600</x:v>
      </x:c>
      <x:c r="E90" s="11" t="n">
        <x:v>8300</x:v>
      </x:c>
      <x:c r="F90" s="11"/>
      <x:c r="G90" s="11" t="n">
        <x:f>'Option source'!B904</x:f>
        <x:v>1648.65</x:v>
      </x:c>
      <x:c r="H90" s="11" t="n">
        <x:f>'Option source'!B885</x:f>
        <x:v>1520</x:v>
      </x:c>
      <x:c r="I90" s="11"/>
      <x:c r="J90" s="11" t="n">
        <x:f>G90-2*H90+IF(B90="Butterfly",I90,0)</x:f>
        <x:v>-1391.35</x:v>
      </x:c>
      <x:c r="K90" s="11" t="n">
        <x:f>ABS(E90-D90)</x:f>
        <x:v>300</x:v>
      </x:c>
      <x:c r="L90" s="11" t="n">
        <x:f>K90-J90</x:f>
        <x:v>1691.35</x:v>
      </x:c>
      <x:c r="M90" s="11" t="n">
        <x:f>IF(B90="Butterfly",MAX(J90,0),IF(C90="call","Unlimited",MAX(2*E90-D90+J90,J90,0)))</x:f>
        <x:v>6608.65</x:v>
      </x:c>
      <x:c r="N90" s="11" t="n">
        <x:f>IF(B90="Butterfly",IF(AND(J90&gt;0,J90&lt;K90),D90+J90,"n.a."),IF(C90="call",IF(AND(J90&gt;0,J90&lt;K90),D90+J90,"n.a."),IF(AND(K90&gt;J90,2*E90-D90+J90&gt;=0),2*E90-D90+J90,"n.a.")))</x:f>
        <x:v>6608.65</x:v>
      </x:c>
      <x:c r="O90" s="11" t="str">
        <x:f>IF(B90="Butterfly",IF(AND(J90&gt;0,J90&lt;K90),F90-J90,"n.a."),IF(C90="call",IF(K90&gt;J90,2*E90-D90-J90,"n.a."),IF(AND(J90&gt;0,J90&lt;K90),D90-J90,"n.a.")))</x:f>
        <x:v>n.a.</x:v>
      </x:c>
      <x:c r="P90" s="19" t="str">
        <x:f>IF(AND(B90="Butterfly",J90&gt;0,J90&lt;K90),L90/J90,"n.a.")</x:f>
        <x:v>n.a.</x:v>
      </x:c>
      <x:c r="Q90" s="11" t="n">
        <x:f>J90*'Model inputs'!$B$8</x:f>
        <x:v>-139135</x:v>
      </x:c>
      <x:c r="R90" s="1" t="str">
        <x:v>Flagged leg data</x:v>
      </x:c>
      <x:c r="S90" s="1" t="n">
        <x:v>899</x:v>
      </x:c>
      <x:c r="T90" s="1" t="n">
        <x:v>880</x:v>
      </x:c>
    </x:row>
    <x:row r="91" ht="21" customHeight="1">
      <x:c r="A91" s="12" t="n">
        <x:v>46281</x:v>
      </x:c>
      <x:c r="B91" s="1" t="str">
        <x:v>1x2 ratio</x:v>
      </x:c>
      <x:c r="C91" s="1" t="str">
        <x:v>call</x:v>
      </x:c>
      <x:c r="D91" s="11" t="n">
        <x:v>5000</x:v>
      </x:c>
      <x:c r="E91" s="11" t="n">
        <x:v>5200</x:v>
      </x:c>
      <x:c r="F91" s="11"/>
      <x:c r="G91" s="11" t="n">
        <x:f>'Option source'!B97</x:f>
        <x:v>1808.85</x:v>
      </x:c>
      <x:c r="H91" s="11" t="n">
        <x:f>'Option source'!B116</x:f>
        <x:v>1678.07</x:v>
      </x:c>
      <x:c r="I91" s="11"/>
      <x:c r="J91" s="11" t="n">
        <x:f>G91-2*H91+IF(B91="Butterfly",I91,0)</x:f>
        <x:v>-1547.29</x:v>
      </x:c>
      <x:c r="K91" s="11" t="n">
        <x:f>ABS(E91-D91)</x:f>
        <x:v>200</x:v>
      </x:c>
      <x:c r="L91" s="11" t="n">
        <x:f>K91-J91</x:f>
        <x:v>1747.29</x:v>
      </x:c>
      <x:c r="M91" s="11" t="str">
        <x:f>IF(B91="Butterfly",MAX(J91,0),IF(C91="call","Unlimited",MAX(2*E91-D91+J91,J91,0)))</x:f>
        <x:v>Unlimited</x:v>
      </x:c>
      <x:c r="N91" s="11" t="str">
        <x:f>IF(B91="Butterfly",IF(AND(J91&gt;0,J91&lt;K91),D91+J91,"n.a."),IF(C91="call",IF(AND(J91&gt;0,J91&lt;K91),D91+J91,"n.a."),IF(AND(K91&gt;J91,2*E91-D91+J91&gt;=0),2*E91-D91+J91,"n.a.")))</x:f>
        <x:v>n.a.</x:v>
      </x:c>
      <x:c r="O91" s="11" t="n">
        <x:f>IF(B91="Butterfly",IF(AND(J91&gt;0,J91&lt;K91),F91-J91,"n.a."),IF(C91="call",IF(K91&gt;J91,2*E91-D91-J91,"n.a."),IF(AND(J91&gt;0,J91&lt;K91),D91-J91,"n.a.")))</x:f>
        <x:v>6947.29</x:v>
      </x:c>
      <x:c r="P91" s="19" t="str">
        <x:f>IF(AND(B91="Butterfly",J91&gt;0,J91&lt;K91),L91/J91,"n.a.")</x:f>
        <x:v>n.a.</x:v>
      </x:c>
      <x:c r="Q91" s="11" t="n">
        <x:f>J91*'Model inputs'!$B$8</x:f>
        <x:v>-154729</x:v>
      </x:c>
      <x:c r="R91" s="1" t="str">
        <x:v>Flagged leg data</x:v>
      </x:c>
      <x:c r="S91" s="1" t="n">
        <x:v>92</x:v>
      </x:c>
      <x:c r="T91" s="1" t="n">
        <x:v>111</x:v>
      </x:c>
    </x:row>
    <x:row r="92" ht="21" customHeight="1">
      <x:c r="A92" s="12" t="n">
        <x:v>46281</x:v>
      </x:c>
      <x:c r="B92" s="1" t="str">
        <x:v>1x2 ratio</x:v>
      </x:c>
      <x:c r="C92" s="1" t="str">
        <x:v>call</x:v>
      </x:c>
      <x:c r="D92" s="11" t="n">
        <x:v>4800</x:v>
      </x:c>
      <x:c r="E92" s="11" t="n">
        <x:v>5000</x:v>
      </x:c>
      <x:c r="F92" s="11"/>
      <x:c r="G92" s="11" t="n">
        <x:f>'Option source'!B80</x:f>
        <x:v>2084.21</x:v>
      </x:c>
      <x:c r="H92" s="11" t="n">
        <x:f>'Option source'!B97</x:f>
        <x:v>1808.85</x:v>
      </x:c>
      <x:c r="I92" s="11"/>
      <x:c r="J92" s="11" t="n">
        <x:f>G92-2*H92+IF(B92="Butterfly",I92,0)</x:f>
        <x:v>-1533.4899999999998</x:v>
      </x:c>
      <x:c r="K92" s="11" t="n">
        <x:f>ABS(E92-D92)</x:f>
        <x:v>200</x:v>
      </x:c>
      <x:c r="L92" s="11" t="n">
        <x:f>K92-J92</x:f>
        <x:v>1733.4899999999998</x:v>
      </x:c>
      <x:c r="M92" s="11" t="str">
        <x:f>IF(B92="Butterfly",MAX(J92,0),IF(C92="call","Unlimited",MAX(2*E92-D92+J92,J92,0)))</x:f>
        <x:v>Unlimited</x:v>
      </x:c>
      <x:c r="N92" s="11" t="str">
        <x:f>IF(B92="Butterfly",IF(AND(J92&gt;0,J92&lt;K92),D92+J92,"n.a."),IF(C92="call",IF(AND(J92&gt;0,J92&lt;K92),D92+J92,"n.a."),IF(AND(K92&gt;J92,2*E92-D92+J92&gt;=0),2*E92-D92+J92,"n.a.")))</x:f>
        <x:v>n.a.</x:v>
      </x:c>
      <x:c r="O92" s="11" t="n">
        <x:f>IF(B92="Butterfly",IF(AND(J92&gt;0,J92&lt;K92),F92-J92,"n.a."),IF(C92="call",IF(K92&gt;J92,2*E92-D92-J92,"n.a."),IF(AND(J92&gt;0,J92&lt;K92),D92-J92,"n.a.")))</x:f>
        <x:v>6733.49</x:v>
      </x:c>
      <x:c r="P92" s="19" t="str">
        <x:f>IF(AND(B92="Butterfly",J92&gt;0,J92&lt;K92),L92/J92,"n.a.")</x:f>
        <x:v>n.a.</x:v>
      </x:c>
      <x:c r="Q92" s="11" t="n">
        <x:f>J92*'Model inputs'!$B$8</x:f>
        <x:v>-153348.99999999997</x:v>
      </x:c>
      <x:c r="R92" s="1" t="str">
        <x:v>Flagged leg data</x:v>
      </x:c>
      <x:c r="S92" s="1" t="n">
        <x:v>75</x:v>
      </x:c>
      <x:c r="T92" s="1" t="n">
        <x:v>92</x:v>
      </x:c>
    </x:row>
    <x:row r="93" ht="21" customHeight="1">
      <x:c r="A93" s="12" t="n">
        <x:v>46281</x:v>
      </x:c>
      <x:c r="B93" s="1" t="str">
        <x:v>1x2 ratio</x:v>
      </x:c>
      <x:c r="C93" s="1" t="str">
        <x:v>put</x:v>
      </x:c>
      <x:c r="D93" s="11" t="n">
        <x:v>8900</x:v>
      </x:c>
      <x:c r="E93" s="11" t="n">
        <x:v>8600</x:v>
      </x:c>
      <x:c r="F93" s="11"/>
      <x:c r="G93" s="11" t="n">
        <x:f>'Option source'!B919</x:f>
        <x:v>2022.5</x:v>
      </x:c>
      <x:c r="H93" s="11" t="n">
        <x:f>'Option source'!B904</x:f>
        <x:v>1648.65</x:v>
      </x:c>
      <x:c r="I93" s="11"/>
      <x:c r="J93" s="11" t="n">
        <x:f>G93-2*H93+IF(B93="Butterfly",I93,0)</x:f>
        <x:v>-1274.8000000000002</x:v>
      </x:c>
      <x:c r="K93" s="11" t="n">
        <x:f>ABS(E93-D93)</x:f>
        <x:v>300</x:v>
      </x:c>
      <x:c r="L93" s="11" t="n">
        <x:f>K93-J93</x:f>
        <x:v>1574.8000000000002</x:v>
      </x:c>
      <x:c r="M93" s="11" t="n">
        <x:f>IF(B93="Butterfly",MAX(J93,0),IF(C93="call","Unlimited",MAX(2*E93-D93+J93,J93,0)))</x:f>
        <x:v>7025.2</x:v>
      </x:c>
      <x:c r="N93" s="11" t="n">
        <x:f>IF(B93="Butterfly",IF(AND(J93&gt;0,J93&lt;K93),D93+J93,"n.a."),IF(C93="call",IF(AND(J93&gt;0,J93&lt;K93),D93+J93,"n.a."),IF(AND(K93&gt;J93,2*E93-D93+J93&gt;=0),2*E93-D93+J93,"n.a.")))</x:f>
        <x:v>7025.2</x:v>
      </x:c>
      <x:c r="O93" s="11" t="str">
        <x:f>IF(B93="Butterfly",IF(AND(J93&gt;0,J93&lt;K93),F93-J93,"n.a."),IF(C93="call",IF(K93&gt;J93,2*E93-D93-J93,"n.a."),IF(AND(J93&gt;0,J93&lt;K93),D93-J93,"n.a.")))</x:f>
        <x:v>n.a.</x:v>
      </x:c>
      <x:c r="P93" s="19" t="str">
        <x:f>IF(AND(B93="Butterfly",J93&gt;0,J93&lt;K93),L93/J93,"n.a.")</x:f>
        <x:v>n.a.</x:v>
      </x:c>
      <x:c r="Q93" s="11" t="n">
        <x:f>J93*'Model inputs'!$B$8</x:f>
        <x:v>-127480.00000000001</x:v>
      </x:c>
      <x:c r="R93" s="1" t="str">
        <x:v>Flagged leg data</x:v>
      </x:c>
      <x:c r="S93" s="1" t="n">
        <x:v>914</x:v>
      </x:c>
      <x:c r="T93" s="1" t="n">
        <x:v>899</x:v>
      </x:c>
    </x:row>
    <x:row r="94" ht="21" customHeight="1">
      <x:c r="A94" s="12" t="n">
        <x:v>46281</x:v>
      </x:c>
      <x:c r="B94" s="1" t="str">
        <x:v>1x2 ratio</x:v>
      </x:c>
      <x:c r="C94" s="1" t="str">
        <x:v>call</x:v>
      </x:c>
      <x:c r="D94" s="11" t="n">
        <x:v>4600</x:v>
      </x:c>
      <x:c r="E94" s="11" t="n">
        <x:v>4800</x:v>
      </x:c>
      <x:c r="F94" s="11"/>
      <x:c r="G94" s="11" t="n">
        <x:f>'Option source'!B63</x:f>
        <x:v>2280.1</x:v>
      </x:c>
      <x:c r="H94" s="11" t="n">
        <x:f>'Option source'!B80</x:f>
        <x:v>2084.21</x:v>
      </x:c>
      <x:c r="I94" s="11"/>
      <x:c r="J94" s="11" t="n">
        <x:f>G94-2*H94+IF(B94="Butterfly",I94,0)</x:f>
        <x:v>-1888.3200000000002</x:v>
      </x:c>
      <x:c r="K94" s="11" t="n">
        <x:f>ABS(E94-D94)</x:f>
        <x:v>200</x:v>
      </x:c>
      <x:c r="L94" s="11" t="n">
        <x:f>K94-J94</x:f>
        <x:v>2088.32</x:v>
      </x:c>
      <x:c r="M94" s="11" t="str">
        <x:f>IF(B94="Butterfly",MAX(J94,0),IF(C94="call","Unlimited",MAX(2*E94-D94+J94,J94,0)))</x:f>
        <x:v>Unlimited</x:v>
      </x:c>
      <x:c r="N94" s="11" t="str">
        <x:f>IF(B94="Butterfly",IF(AND(J94&gt;0,J94&lt;K94),D94+J94,"n.a."),IF(C94="call",IF(AND(J94&gt;0,J94&lt;K94),D94+J94,"n.a."),IF(AND(K94&gt;J94,2*E94-D94+J94&gt;=0),2*E94-D94+J94,"n.a.")))</x:f>
        <x:v>n.a.</x:v>
      </x:c>
      <x:c r="O94" s="11" t="n">
        <x:f>IF(B94="Butterfly",IF(AND(J94&gt;0,J94&lt;K94),F94-J94,"n.a."),IF(C94="call",IF(K94&gt;J94,2*E94-D94-J94,"n.a."),IF(AND(J94&gt;0,J94&lt;K94),D94-J94,"n.a.")))</x:f>
        <x:v>6888.32</x:v>
      </x:c>
      <x:c r="P94" s="19" t="str">
        <x:f>IF(AND(B94="Butterfly",J94&gt;0,J94&lt;K94),L94/J94,"n.a.")</x:f>
        <x:v>n.a.</x:v>
      </x:c>
      <x:c r="Q94" s="11" t="n">
        <x:f>J94*'Model inputs'!$B$8</x:f>
        <x:v>-188832.00000000003</x:v>
      </x:c>
      <x:c r="R94" s="1" t="str">
        <x:v>Flagged leg data</x:v>
      </x:c>
      <x:c r="S94" s="1" t="n">
        <x:v>58</x:v>
      </x:c>
      <x:c r="T94" s="1" t="n">
        <x:v>75</x:v>
      </x:c>
    </x:row>
    <x:row r="95" ht="21" customHeight="1">
      <x:c r="A95" s="12" t="n">
        <x:v>46281</x:v>
      </x:c>
      <x:c r="B95" s="1" t="str">
        <x:v>1x2 ratio</x:v>
      </x:c>
      <x:c r="C95" s="1" t="str">
        <x:v>put</x:v>
      </x:c>
      <x:c r="D95" s="11" t="n">
        <x:v>9200</x:v>
      </x:c>
      <x:c r="E95" s="11" t="n">
        <x:v>8900</x:v>
      </x:c>
      <x:c r="F95" s="11"/>
      <x:c r="G95" s="11" t="n">
        <x:f>'Option source'!B926</x:f>
        <x:v>2268.51</x:v>
      </x:c>
      <x:c r="H95" s="11" t="n">
        <x:f>'Option source'!B919</x:f>
        <x:v>2022.5</x:v>
      </x:c>
      <x:c r="I95" s="11"/>
      <x:c r="J95" s="11" t="n">
        <x:f>G95-2*H95+IF(B95="Butterfly",I95,0)</x:f>
        <x:v>-1776.4899999999998</x:v>
      </x:c>
      <x:c r="K95" s="11" t="n">
        <x:f>ABS(E95-D95)</x:f>
        <x:v>300</x:v>
      </x:c>
      <x:c r="L95" s="11" t="n">
        <x:f>K95-J95</x:f>
        <x:v>2076.49</x:v>
      </x:c>
      <x:c r="M95" s="11" t="n">
        <x:f>IF(B95="Butterfly",MAX(J95,0),IF(C95="call","Unlimited",MAX(2*E95-D95+J95,J95,0)))</x:f>
        <x:v>6823.51</x:v>
      </x:c>
      <x:c r="N95" s="11" t="n">
        <x:f>IF(B95="Butterfly",IF(AND(J95&gt;0,J95&lt;K95),D95+J95,"n.a."),IF(C95="call",IF(AND(J95&gt;0,J95&lt;K95),D95+J95,"n.a."),IF(AND(K95&gt;J95,2*E95-D95+J95&gt;=0),2*E95-D95+J95,"n.a.")))</x:f>
        <x:v>6823.51</x:v>
      </x:c>
      <x:c r="O95" s="11" t="str">
        <x:f>IF(B95="Butterfly",IF(AND(J95&gt;0,J95&lt;K95),F95-J95,"n.a."),IF(C95="call",IF(K95&gt;J95,2*E95-D95-J95,"n.a."),IF(AND(J95&gt;0,J95&lt;K95),D95-J95,"n.a.")))</x:f>
        <x:v>n.a.</x:v>
      </x:c>
      <x:c r="P95" s="19" t="str">
        <x:f>IF(AND(B95="Butterfly",J95&gt;0,J95&lt;K95),L95/J95,"n.a.")</x:f>
        <x:v>n.a.</x:v>
      </x:c>
      <x:c r="Q95" s="11" t="n">
        <x:f>J95*'Model inputs'!$B$8</x:f>
        <x:v>-177648.99999999997</x:v>
      </x:c>
      <x:c r="R95" s="1" t="str">
        <x:v>Flagged leg data</x:v>
      </x:c>
      <x:c r="S95" s="1" t="n">
        <x:v>921</x:v>
      </x:c>
      <x:c r="T95" s="1" t="n">
        <x:v>914</x:v>
      </x:c>
    </x:row>
    <x:row r="96" ht="21" customHeight="1">
      <x:c r="A96" s="12" t="n">
        <x:v>46281</x:v>
      </x:c>
      <x:c r="B96" s="1" t="str">
        <x:v>1x2 ratio</x:v>
      </x:c>
      <x:c r="C96" s="1" t="str">
        <x:v>call</x:v>
      </x:c>
      <x:c r="D96" s="11" t="n">
        <x:v>4400</x:v>
      </x:c>
      <x:c r="E96" s="11" t="n">
        <x:v>4600</x:v>
      </x:c>
      <x:c r="F96" s="11"/>
      <x:c r="G96" s="11" t="n">
        <x:f>'Option source'!B44</x:f>
        <x:v>2422</x:v>
      </x:c>
      <x:c r="H96" s="11" t="n">
        <x:f>'Option source'!B63</x:f>
        <x:v>2280.1</x:v>
      </x:c>
      <x:c r="I96" s="11"/>
      <x:c r="J96" s="11" t="n">
        <x:f>G96-2*H96+IF(B96="Butterfly",I96,0)</x:f>
        <x:v>-2138.2</x:v>
      </x:c>
      <x:c r="K96" s="11" t="n">
        <x:f>ABS(E96-D96)</x:f>
        <x:v>200</x:v>
      </x:c>
      <x:c r="L96" s="11" t="n">
        <x:f>K96-J96</x:f>
        <x:v>2338.2</x:v>
      </x:c>
      <x:c r="M96" s="11" t="str">
        <x:f>IF(B96="Butterfly",MAX(J96,0),IF(C96="call","Unlimited",MAX(2*E96-D96+J96,J96,0)))</x:f>
        <x:v>Unlimited</x:v>
      </x:c>
      <x:c r="N96" s="11" t="str">
        <x:f>IF(B96="Butterfly",IF(AND(J96&gt;0,J96&lt;K96),D96+J96,"n.a."),IF(C96="call",IF(AND(J96&gt;0,J96&lt;K96),D96+J96,"n.a."),IF(AND(K96&gt;J96,2*E96-D96+J96&gt;=0),2*E96-D96+J96,"n.a.")))</x:f>
        <x:v>n.a.</x:v>
      </x:c>
      <x:c r="O96" s="11" t="n">
        <x:f>IF(B96="Butterfly",IF(AND(J96&gt;0,J96&lt;K96),F96-J96,"n.a."),IF(C96="call",IF(K96&gt;J96,2*E96-D96-J96,"n.a."),IF(AND(J96&gt;0,J96&lt;K96),D96-J96,"n.a.")))</x:f>
        <x:v>6938.2</x:v>
      </x:c>
      <x:c r="P96" s="19" t="str">
        <x:f>IF(AND(B96="Butterfly",J96&gt;0,J96&lt;K96),L96/J96,"n.a.")</x:f>
        <x:v>n.a.</x:v>
      </x:c>
      <x:c r="Q96" s="11" t="n">
        <x:f>J96*'Model inputs'!$B$8</x:f>
        <x:v>-213819.99999999997</x:v>
      </x:c>
      <x:c r="R96" s="1" t="str">
        <x:v>Flagged leg data</x:v>
      </x:c>
      <x:c r="S96" s="1" t="n">
        <x:v>39</x:v>
      </x:c>
      <x:c r="T96" s="1" t="n">
        <x:v>58</x:v>
      </x:c>
    </x:row>
    <x:row r="97" ht="21" customHeight="1">
      <x:c r="A97" s="12" t="n">
        <x:v>46281</x:v>
      </x:c>
      <x:c r="B97" s="1" t="str">
        <x:v>1x2 ratio</x:v>
      </x:c>
      <x:c r="C97" s="1" t="str">
        <x:v>call</x:v>
      </x:c>
      <x:c r="D97" s="11" t="n">
        <x:v>4200</x:v>
      </x:c>
      <x:c r="E97" s="11" t="n">
        <x:v>4400</x:v>
      </x:c>
      <x:c r="F97" s="11"/>
      <x:c r="G97" s="11" t="n">
        <x:f>'Option source'!B25</x:f>
        <x:v>2587.49</x:v>
      </x:c>
      <x:c r="H97" s="11" t="n">
        <x:f>'Option source'!B44</x:f>
        <x:v>2422</x:v>
      </x:c>
      <x:c r="I97" s="11"/>
      <x:c r="J97" s="11" t="n">
        <x:f>G97-2*H97+IF(B97="Butterfly",I97,0)</x:f>
        <x:v>-2256.51</x:v>
      </x:c>
      <x:c r="K97" s="11" t="n">
        <x:f>ABS(E97-D97)</x:f>
        <x:v>200</x:v>
      </x:c>
      <x:c r="L97" s="11" t="n">
        <x:f>K97-J97</x:f>
        <x:v>2456.51</x:v>
      </x:c>
      <x:c r="M97" s="11" t="str">
        <x:f>IF(B97="Butterfly",MAX(J97,0),IF(C97="call","Unlimited",MAX(2*E97-D97+J97,J97,0)))</x:f>
        <x:v>Unlimited</x:v>
      </x:c>
      <x:c r="N97" s="11" t="str">
        <x:f>IF(B97="Butterfly",IF(AND(J97&gt;0,J97&lt;K97),D97+J97,"n.a."),IF(C97="call",IF(AND(J97&gt;0,J97&lt;K97),D97+J97,"n.a."),IF(AND(K97&gt;J97,2*E97-D97+J97&gt;=0),2*E97-D97+J97,"n.a.")))</x:f>
        <x:v>n.a.</x:v>
      </x:c>
      <x:c r="O97" s="11" t="n">
        <x:f>IF(B97="Butterfly",IF(AND(J97&gt;0,J97&lt;K97),F97-J97,"n.a."),IF(C97="call",IF(K97&gt;J97,2*E97-D97-J97,"n.a."),IF(AND(J97&gt;0,J97&lt;K97),D97-J97,"n.a.")))</x:f>
        <x:v>6856.51</x:v>
      </x:c>
      <x:c r="P97" s="19" t="str">
        <x:f>IF(AND(B97="Butterfly",J97&gt;0,J97&lt;K97),L97/J97,"n.a.")</x:f>
        <x:v>n.a.</x:v>
      </x:c>
      <x:c r="Q97" s="11" t="n">
        <x:f>J97*'Model inputs'!$B$8</x:f>
        <x:v>-225651.00000000003</x:v>
      </x:c>
      <x:c r="R97" s="1" t="str">
        <x:v>Flagged leg data</x:v>
      </x:c>
      <x:c r="S97" s="1" t="n">
        <x:v>20</x:v>
      </x:c>
      <x:c r="T97" s="1" t="n">
        <x:v>39</x:v>
      </x:c>
    </x:row>
    <x:row r="98" ht="21" customHeight="1">
      <x:c r="A98" s="12" t="n">
        <x:v>46280</x:v>
      </x:c>
      <x:c r="B98" s="1" t="str">
        <x:v>Butterfly</x:v>
      </x:c>
      <x:c r="C98" s="1" t="str">
        <x:v>call</x:v>
      </x:c>
      <x:c r="D98" s="11" t="n">
        <x:v>6600</x:v>
      </x:c>
      <x:c r="E98" s="11" t="n">
        <x:v>6800</x:v>
      </x:c>
      <x:c r="F98" s="11" t="n">
        <x:v>7000</x:v>
      </x:c>
      <x:c r="G98" s="11" t="n">
        <x:f>'Option source'!B238</x:f>
        <x:v>490</x:v>
      </x:c>
      <x:c r="H98" s="11" t="n">
        <x:f>'Option source'!B257</x:f>
        <x:v>380.09</x:v>
      </x:c>
      <x:c r="I98" s="11" t="n">
        <x:f>'Option source'!B276</x:f>
        <x:v>277.07</x:v>
      </x:c>
      <x:c r="J98" s="11" t="n">
        <x:f>G98-2*H98+IF(B98="Butterfly",I98,0)</x:f>
        <x:v>6.890000000000043</x:v>
      </x:c>
      <x:c r="K98" s="11" t="n">
        <x:f>ABS(E98-D98)</x:f>
        <x:v>200</x:v>
      </x:c>
      <x:c r="L98" s="11" t="n">
        <x:f>K98-J98</x:f>
        <x:v>193.10999999999996</x:v>
      </x:c>
      <x:c r="M98" s="11" t="n">
        <x:f>IF(B98="Butterfly",MAX(J98,0),IF(C98="call","Unlimited",MAX(2*E98-D98+J98,J98,0)))</x:f>
        <x:v>6.890000000000043</x:v>
      </x:c>
      <x:c r="N98" s="11" t="n">
        <x:f>IF(B98="Butterfly",IF(AND(J98&gt;0,J98&lt;K98),D98+J98,"n.a."),IF(C98="call",IF(AND(J98&gt;0,J98&lt;K98),D98+J98,"n.a."),IF(AND(K98&gt;J98,2*E98-D98+J98&gt;=0),2*E98-D98+J98,"n.a.")))</x:f>
        <x:v>6606.89</x:v>
      </x:c>
      <x:c r="O98" s="11" t="n">
        <x:f>IF(B98="Butterfly",IF(AND(J98&gt;0,J98&lt;K98),F98-J98,"n.a."),IF(C98="call",IF(K98&gt;J98,2*E98-D98-J98,"n.a."),IF(AND(J98&gt;0,J98&lt;K98),D98-J98,"n.a.")))</x:f>
        <x:v>6993.11</x:v>
      </x:c>
      <x:c r="P98" s="19" t="n">
        <x:f>IF(AND(B98="Butterfly",J98&gt;0,J98&lt;K98),L98/J98,"n.a.")</x:f>
        <x:v>28.027576197387337</x:v>
      </x:c>
      <x:c r="Q98" s="11" t="n">
        <x:f>J98*'Model inputs'!$B$8</x:f>
        <x:v>689.0000000000043</x:v>
      </x:c>
      <x:c r="R98" s="1" t="str">
        <x:v>Indicative only</x:v>
      </x:c>
      <x:c r="S98" s="1" t="n">
        <x:v>233</x:v>
      </x:c>
      <x:c r="T98" s="1" t="n">
        <x:v>252</x:v>
      </x:c>
    </x:row>
    <x:row r="99" ht="21" customHeight="1">
      <x:c r="A99" s="12" t="n">
        <x:v>46280</x:v>
      </x:c>
      <x:c r="B99" s="1" t="str">
        <x:v>Butterfly</x:v>
      </x:c>
      <x:c r="C99" s="1" t="str">
        <x:v>put</x:v>
      </x:c>
      <x:c r="D99" s="11" t="n">
        <x:v>6600</x:v>
      </x:c>
      <x:c r="E99" s="11" t="n">
        <x:v>6800</x:v>
      </x:c>
      <x:c r="F99" s="11" t="n">
        <x:v>7000</x:v>
      </x:c>
      <x:c r="G99" s="11" t="n">
        <x:f>'Option source'!B732</x:f>
        <x:v>220.68</x:v>
      </x:c>
      <x:c r="H99" s="11" t="n">
        <x:f>'Option source'!B751</x:f>
        <x:v>311.72</x:v>
      </x:c>
      <x:c r="I99" s="11" t="n">
        <x:f>'Option source'!B770</x:f>
        <x:v>418.29</x:v>
      </x:c>
      <x:c r="J99" s="11" t="n">
        <x:f>G99-2*H99+IF(B99="Butterfly",I99,0)</x:f>
        <x:v>15.529999999999973</x:v>
      </x:c>
      <x:c r="K99" s="11" t="n">
        <x:f>ABS(E99-D99)</x:f>
        <x:v>200</x:v>
      </x:c>
      <x:c r="L99" s="11" t="n">
        <x:f>K99-J99</x:f>
        <x:v>184.47000000000003</x:v>
      </x:c>
      <x:c r="M99" s="11" t="n">
        <x:f>IF(B99="Butterfly",MAX(J99,0),IF(C99="call","Unlimited",MAX(2*E99-D99+J99,J99,0)))</x:f>
        <x:v>15.529999999999973</x:v>
      </x:c>
      <x:c r="N99" s="11" t="n">
        <x:f>IF(B99="Butterfly",IF(AND(J99&gt;0,J99&lt;K99),D99+J99,"n.a."),IF(C99="call",IF(AND(J99&gt;0,J99&lt;K99),D99+J99,"n.a."),IF(AND(K99&gt;J99,2*E99-D99+J99&gt;=0),2*E99-D99+J99,"n.a.")))</x:f>
        <x:v>6615.53</x:v>
      </x:c>
      <x:c r="O99" s="11" t="n">
        <x:f>IF(B99="Butterfly",IF(AND(J99&gt;0,J99&lt;K99),F99-J99,"n.a."),IF(C99="call",IF(K99&gt;J99,2*E99-D99-J99,"n.a."),IF(AND(J99&gt;0,J99&lt;K99),D99-J99,"n.a.")))</x:f>
        <x:v>6984.47</x:v>
      </x:c>
      <x:c r="P99" s="19" t="n">
        <x:f>IF(AND(B99="Butterfly",J99&gt;0,J99&lt;K99),L99/J99,"n.a.")</x:f>
        <x:v>11.878300064391523</x:v>
      </x:c>
      <x:c r="Q99" s="11" t="n">
        <x:f>J99*'Model inputs'!$B$8</x:f>
        <x:v>1552.9999999999973</x:v>
      </x:c>
      <x:c r="R99" s="1" t="str">
        <x:v>Indicative only</x:v>
      </x:c>
      <x:c r="S99" s="1" t="n">
        <x:v>727</x:v>
      </x:c>
      <x:c r="T99" s="1" t="n">
        <x:v>746</x:v>
      </x:c>
    </x:row>
    <x:row r="100" ht="21" customHeight="1">
      <x:c r="A100" s="12" t="n">
        <x:v>46280</x:v>
      </x:c>
      <x:c r="B100" s="1" t="str">
        <x:v>Butterfly</x:v>
      </x:c>
      <x:c r="C100" s="1" t="str">
        <x:v>call</x:v>
      </x:c>
      <x:c r="D100" s="11" t="n">
        <x:v>6400</x:v>
      </x:c>
      <x:c r="E100" s="11" t="n">
        <x:v>6600</x:v>
      </x:c>
      <x:c r="F100" s="11" t="n">
        <x:v>6800</x:v>
      </x:c>
      <x:c r="G100" s="11" t="n">
        <x:f>'Option source'!B219</x:f>
        <x:v>600.2</x:v>
      </x:c>
      <x:c r="H100" s="11" t="n">
        <x:f>'Option source'!B238</x:f>
        <x:v>490</x:v>
      </x:c>
      <x:c r="I100" s="11" t="n">
        <x:f>'Option source'!B257</x:f>
        <x:v>380.09</x:v>
      </x:c>
      <x:c r="J100" s="11" t="n">
        <x:f>G100-2*H100+IF(B100="Butterfly",I100,0)</x:f>
        <x:v>0.29000000000002046</x:v>
      </x:c>
      <x:c r="K100" s="11" t="n">
        <x:f>ABS(E100-D100)</x:f>
        <x:v>200</x:v>
      </x:c>
      <x:c r="L100" s="11" t="n">
        <x:f>K100-J100</x:f>
        <x:v>199.70999999999998</x:v>
      </x:c>
      <x:c r="M100" s="11" t="n">
        <x:f>IF(B100="Butterfly",MAX(J100,0),IF(C100="call","Unlimited",MAX(2*E100-D100+J100,J100,0)))</x:f>
        <x:v>0.29000000000002046</x:v>
      </x:c>
      <x:c r="N100" s="11" t="n">
        <x:f>IF(B100="Butterfly",IF(AND(J100&gt;0,J100&lt;K100),D100+J100,"n.a."),IF(C100="call",IF(AND(J100&gt;0,J100&lt;K100),D100+J100,"n.a."),IF(AND(K100&gt;J100,2*E100-D100+J100&gt;=0),2*E100-D100+J100,"n.a.")))</x:f>
        <x:v>6400.29</x:v>
      </x:c>
      <x:c r="O100" s="11" t="n">
        <x:f>IF(B100="Butterfly",IF(AND(J100&gt;0,J100&lt;K100),F100-J100,"n.a."),IF(C100="call",IF(K100&gt;J100,2*E100-D100-J100,"n.a."),IF(AND(J100&gt;0,J100&lt;K100),D100-J100,"n.a.")))</x:f>
        <x:v>6799.71</x:v>
      </x:c>
      <x:c r="P100" s="19" t="n">
        <x:f>IF(AND(B100="Butterfly",J100&gt;0,J100&lt;K100),L100/J100,"n.a.")</x:f>
        <x:v>688.6551724137445</x:v>
      </x:c>
      <x:c r="Q100" s="11" t="n">
        <x:f>J100*'Model inputs'!$B$8</x:f>
        <x:v>29.000000000002046</x:v>
      </x:c>
      <x:c r="R100" s="1" t="str">
        <x:v>Indicative only</x:v>
      </x:c>
      <x:c r="S100" s="1" t="n">
        <x:v>214</x:v>
      </x:c>
      <x:c r="T100" s="1" t="n">
        <x:v>233</x:v>
      </x:c>
    </x:row>
    <x:row r="101" ht="21" customHeight="1">
      <x:c r="A101" s="12" t="n">
        <x:v>46280</x:v>
      </x:c>
      <x:c r="B101" s="1" t="str">
        <x:v>Butterfly</x:v>
      </x:c>
      <x:c r="C101" s="1" t="str">
        <x:v>put</x:v>
      </x:c>
      <x:c r="D101" s="11" t="n">
        <x:v>6400</x:v>
      </x:c>
      <x:c r="E101" s="11" t="n">
        <x:v>6600</x:v>
      </x:c>
      <x:c r="F101" s="11" t="n">
        <x:v>6800</x:v>
      </x:c>
      <x:c r="G101" s="11" t="n">
        <x:f>'Option source'!B713</x:f>
        <x:v>151.43</x:v>
      </x:c>
      <x:c r="H101" s="11" t="n">
        <x:f>'Option source'!B732</x:f>
        <x:v>220.68</x:v>
      </x:c>
      <x:c r="I101" s="11" t="n">
        <x:f>'Option source'!B751</x:f>
        <x:v>311.72</x:v>
      </x:c>
      <x:c r="J101" s="11" t="n">
        <x:f>G101-2*H101+IF(B101="Butterfly",I101,0)</x:f>
        <x:v>21.79000000000002</x:v>
      </x:c>
      <x:c r="K101" s="11" t="n">
        <x:f>ABS(E101-D101)</x:f>
        <x:v>200</x:v>
      </x:c>
      <x:c r="L101" s="11" t="n">
        <x:f>K101-J101</x:f>
        <x:v>178.20999999999998</x:v>
      </x:c>
      <x:c r="M101" s="11" t="n">
        <x:f>IF(B101="Butterfly",MAX(J101,0),IF(C101="call","Unlimited",MAX(2*E101-D101+J101,J101,0)))</x:f>
        <x:v>21.79000000000002</x:v>
      </x:c>
      <x:c r="N101" s="11" t="n">
        <x:f>IF(B101="Butterfly",IF(AND(J101&gt;0,J101&lt;K101),D101+J101,"n.a."),IF(C101="call",IF(AND(J101&gt;0,J101&lt;K101),D101+J101,"n.a."),IF(AND(K101&gt;J101,2*E101-D101+J101&gt;=0),2*E101-D101+J101,"n.a.")))</x:f>
        <x:v>6421.79</x:v>
      </x:c>
      <x:c r="O101" s="11" t="n">
        <x:f>IF(B101="Butterfly",IF(AND(J101&gt;0,J101&lt;K101),F101-J101,"n.a."),IF(C101="call",IF(K101&gt;J101,2*E101-D101-J101,"n.a."),IF(AND(J101&gt;0,J101&lt;K101),D101-J101,"n.a.")))</x:f>
        <x:v>6778.21</x:v>
      </x:c>
      <x:c r="P101" s="19" t="n">
        <x:f>IF(AND(B101="Butterfly",J101&gt;0,J101&lt;K101),L101/J101,"n.a.")</x:f>
        <x:v>8.178522257916466</x:v>
      </x:c>
      <x:c r="Q101" s="11" t="n">
        <x:f>J101*'Model inputs'!$B$8</x:f>
        <x:v>2179.000000000002</x:v>
      </x:c>
      <x:c r="R101" s="1" t="str">
        <x:v>Indicative only</x:v>
      </x:c>
      <x:c r="S101" s="1" t="n">
        <x:v>708</x:v>
      </x:c>
      <x:c r="T101" s="1" t="n">
        <x:v>727</x:v>
      </x:c>
    </x:row>
    <x:row r="102" ht="21" customHeight="1">
      <x:c r="A102" s="12" t="n">
        <x:v>46280</x:v>
      </x:c>
      <x:c r="B102" s="1" t="str">
        <x:v>Butterfly</x:v>
      </x:c>
      <x:c r="C102" s="1" t="str">
        <x:v>call</x:v>
      </x:c>
      <x:c r="D102" s="11" t="n">
        <x:v>6800</x:v>
      </x:c>
      <x:c r="E102" s="11" t="n">
        <x:v>7000</x:v>
      </x:c>
      <x:c r="F102" s="11" t="n">
        <x:v>7200</x:v>
      </x:c>
      <x:c r="G102" s="11" t="n">
        <x:f>'Option source'!B257</x:f>
        <x:v>380.09</x:v>
      </x:c>
      <x:c r="H102" s="11" t="n">
        <x:f>'Option source'!B276</x:f>
        <x:v>277.07</x:v>
      </x:c>
      <x:c r="I102" s="11" t="n">
        <x:f>'Option source'!B295</x:f>
        <x:v>205.53</x:v>
      </x:c>
      <x:c r="J102" s="11" t="n">
        <x:f>G102-2*H102+IF(B102="Butterfly",I102,0)</x:f>
        <x:v>31.47999999999999</x:v>
      </x:c>
      <x:c r="K102" s="11" t="n">
        <x:f>ABS(E102-D102)</x:f>
        <x:v>200</x:v>
      </x:c>
      <x:c r="L102" s="11" t="n">
        <x:f>K102-J102</x:f>
        <x:v>168.52</x:v>
      </x:c>
      <x:c r="M102" s="11" t="n">
        <x:f>IF(B102="Butterfly",MAX(J102,0),IF(C102="call","Unlimited",MAX(2*E102-D102+J102,J102,0)))</x:f>
        <x:v>31.47999999999999</x:v>
      </x:c>
      <x:c r="N102" s="11" t="n">
        <x:f>IF(B102="Butterfly",IF(AND(J102&gt;0,J102&lt;K102),D102+J102,"n.a."),IF(C102="call",IF(AND(J102&gt;0,J102&lt;K102),D102+J102,"n.a."),IF(AND(K102&gt;J102,2*E102-D102+J102&gt;=0),2*E102-D102+J102,"n.a.")))</x:f>
        <x:v>6831.48</x:v>
      </x:c>
      <x:c r="O102" s="11" t="n">
        <x:f>IF(B102="Butterfly",IF(AND(J102&gt;0,J102&lt;K102),F102-J102,"n.a."),IF(C102="call",IF(K102&gt;J102,2*E102-D102-J102,"n.a."),IF(AND(J102&gt;0,J102&lt;K102),D102-J102,"n.a.")))</x:f>
        <x:v>7168.52</x:v>
      </x:c>
      <x:c r="P102" s="19" t="n">
        <x:f>IF(AND(B102="Butterfly",J102&gt;0,J102&lt;K102),L102/J102,"n.a.")</x:f>
        <x:v>5.353240152477766</x:v>
      </x:c>
      <x:c r="Q102" s="11" t="n">
        <x:f>J102*'Model inputs'!$B$8</x:f>
        <x:v>3147.999999999999</x:v>
      </x:c>
      <x:c r="R102" s="1" t="str">
        <x:v>Indicative only</x:v>
      </x:c>
      <x:c r="S102" s="1" t="n">
        <x:v>252</x:v>
      </x:c>
      <x:c r="T102" s="1" t="n">
        <x:v>271</x:v>
      </x:c>
    </x:row>
    <x:row r="103" ht="21" customHeight="1">
      <x:c r="A103" s="12" t="n">
        <x:v>46280</x:v>
      </x:c>
      <x:c r="B103" s="1" t="str">
        <x:v>Butterfly</x:v>
      </x:c>
      <x:c r="C103" s="1" t="str">
        <x:v>put</x:v>
      </x:c>
      <x:c r="D103" s="11" t="n">
        <x:v>6800</x:v>
      </x:c>
      <x:c r="E103" s="11" t="n">
        <x:v>7000</x:v>
      </x:c>
      <x:c r="F103" s="11" t="n">
        <x:v>7200</x:v>
      </x:c>
      <x:c r="G103" s="11" t="n">
        <x:f>'Option source'!B751</x:f>
        <x:v>311.72</x:v>
      </x:c>
      <x:c r="H103" s="11" t="n">
        <x:f>'Option source'!B770</x:f>
        <x:v>418.29</x:v>
      </x:c>
      <x:c r="I103" s="11" t="n">
        <x:f>'Option source'!B789</x:f>
        <x:v>542</x:v>
      </x:c>
      <x:c r="J103" s="11" t="n">
        <x:f>G103-2*H103+IF(B103="Butterfly",I103,0)</x:f>
        <x:v>17.139999999999986</x:v>
      </x:c>
      <x:c r="K103" s="11" t="n">
        <x:f>ABS(E103-D103)</x:f>
        <x:v>200</x:v>
      </x:c>
      <x:c r="L103" s="11" t="n">
        <x:f>K103-J103</x:f>
        <x:v>182.86</x:v>
      </x:c>
      <x:c r="M103" s="11" t="n">
        <x:f>IF(B103="Butterfly",MAX(J103,0),IF(C103="call","Unlimited",MAX(2*E103-D103+J103,J103,0)))</x:f>
        <x:v>17.139999999999986</x:v>
      </x:c>
      <x:c r="N103" s="11" t="n">
        <x:f>IF(B103="Butterfly",IF(AND(J103&gt;0,J103&lt;K103),D103+J103,"n.a."),IF(C103="call",IF(AND(J103&gt;0,J103&lt;K103),D103+J103,"n.a."),IF(AND(K103&gt;J103,2*E103-D103+J103&gt;=0),2*E103-D103+J103,"n.a.")))</x:f>
        <x:v>6817.14</x:v>
      </x:c>
      <x:c r="O103" s="11" t="n">
        <x:f>IF(B103="Butterfly",IF(AND(J103&gt;0,J103&lt;K103),F103-J103,"n.a."),IF(C103="call",IF(K103&gt;J103,2*E103-D103-J103,"n.a."),IF(AND(J103&gt;0,J103&lt;K103),D103-J103,"n.a.")))</x:f>
        <x:v>7182.86</x:v>
      </x:c>
      <x:c r="P103" s="19" t="n">
        <x:f>IF(AND(B103="Butterfly",J103&gt;0,J103&lt;K103),L103/J103,"n.a.")</x:f>
        <x:v>10.668611435239216</x:v>
      </x:c>
      <x:c r="Q103" s="11" t="n">
        <x:f>J103*'Model inputs'!$B$8</x:f>
        <x:v>1713.9999999999986</x:v>
      </x:c>
      <x:c r="R103" s="1" t="str">
        <x:v>Indicative only</x:v>
      </x:c>
      <x:c r="S103" s="1" t="n">
        <x:v>746</x:v>
      </x:c>
      <x:c r="T103" s="1" t="n">
        <x:v>765</x:v>
      </x:c>
    </x:row>
    <x:row r="104" ht="21" customHeight="1">
      <x:c r="A104" s="12" t="n">
        <x:v>46280</x:v>
      </x:c>
      <x:c r="B104" s="1" t="str">
        <x:v>Butterfly</x:v>
      </x:c>
      <x:c r="C104" s="1" t="str">
        <x:v>call</x:v>
      </x:c>
      <x:c r="D104" s="11" t="n">
        <x:v>6200</x:v>
      </x:c>
      <x:c r="E104" s="11" t="n">
        <x:v>6400</x:v>
      </x:c>
      <x:c r="F104" s="11" t="n">
        <x:v>6600</x:v>
      </x:c>
      <x:c r="G104" s="11" t="n">
        <x:f>'Option source'!B200</x:f>
        <x:v>757.6</x:v>
      </x:c>
      <x:c r="H104" s="11" t="n">
        <x:f>'Option source'!B219</x:f>
        <x:v>600.2</x:v>
      </x:c>
      <x:c r="I104" s="11" t="n">
        <x:f>'Option source'!B238</x:f>
        <x:v>490</x:v>
      </x:c>
      <x:c r="J104" s="11" t="n">
        <x:f>G104-2*H104+IF(B104="Butterfly",I104,0)</x:f>
        <x:v>47.19999999999993</x:v>
      </x:c>
      <x:c r="K104" s="11" t="n">
        <x:f>ABS(E104-D104)</x:f>
        <x:v>200</x:v>
      </x:c>
      <x:c r="L104" s="11" t="n">
        <x:f>K104-J104</x:f>
        <x:v>152.80000000000007</x:v>
      </x:c>
      <x:c r="M104" s="11" t="n">
        <x:f>IF(B104="Butterfly",MAX(J104,0),IF(C104="call","Unlimited",MAX(2*E104-D104+J104,J104,0)))</x:f>
        <x:v>47.19999999999993</x:v>
      </x:c>
      <x:c r="N104" s="11" t="n">
        <x:f>IF(B104="Butterfly",IF(AND(J104&gt;0,J104&lt;K104),D104+J104,"n.a."),IF(C104="call",IF(AND(J104&gt;0,J104&lt;K104),D104+J104,"n.a."),IF(AND(K104&gt;J104,2*E104-D104+J104&gt;=0),2*E104-D104+J104,"n.a.")))</x:f>
        <x:v>6247.2</x:v>
      </x:c>
      <x:c r="O104" s="11" t="n">
        <x:f>IF(B104="Butterfly",IF(AND(J104&gt;0,J104&lt;K104),F104-J104,"n.a."),IF(C104="call",IF(K104&gt;J104,2*E104-D104-J104,"n.a."),IF(AND(J104&gt;0,J104&lt;K104),D104-J104,"n.a.")))</x:f>
        <x:v>6552.8</x:v>
      </x:c>
      <x:c r="P104" s="19" t="n">
        <x:f>IF(AND(B104="Butterfly",J104&gt;0,J104&lt;K104),L104/J104,"n.a.")</x:f>
        <x:v>3.2372881355932264</x:v>
      </x:c>
      <x:c r="Q104" s="11" t="n">
        <x:f>J104*'Model inputs'!$B$8</x:f>
        <x:v>4719.999999999993</x:v>
      </x:c>
      <x:c r="R104" s="1" t="str">
        <x:v>Indicative only</x:v>
      </x:c>
      <x:c r="S104" s="1" t="n">
        <x:v>195</x:v>
      </x:c>
      <x:c r="T104" s="1" t="n">
        <x:v>214</x:v>
      </x:c>
    </x:row>
    <x:row r="105" ht="21" customHeight="1">
      <x:c r="A105" s="12" t="n">
        <x:v>46280</x:v>
      </x:c>
      <x:c r="B105" s="1" t="str">
        <x:v>Butterfly</x:v>
      </x:c>
      <x:c r="C105" s="1" t="str">
        <x:v>put</x:v>
      </x:c>
      <x:c r="D105" s="11" t="n">
        <x:v>6200</x:v>
      </x:c>
      <x:c r="E105" s="11" t="n">
        <x:v>6400</x:v>
      </x:c>
      <x:c r="F105" s="11" t="n">
        <x:v>6600</x:v>
      </x:c>
      <x:c r="G105" s="11" t="n">
        <x:f>'Option source'!B694</x:f>
        <x:v>97.24</x:v>
      </x:c>
      <x:c r="H105" s="11" t="n">
        <x:f>'Option source'!B713</x:f>
        <x:v>151.43</x:v>
      </x:c>
      <x:c r="I105" s="11" t="n">
        <x:f>'Option source'!B732</x:f>
        <x:v>220.68</x:v>
      </x:c>
      <x:c r="J105" s="11" t="n">
        <x:f>G105-2*H105+IF(B105="Butterfly",I105,0)</x:f>
        <x:v>15.060000000000002</x:v>
      </x:c>
      <x:c r="K105" s="11" t="n">
        <x:f>ABS(E105-D105)</x:f>
        <x:v>200</x:v>
      </x:c>
      <x:c r="L105" s="11" t="n">
        <x:f>K105-J105</x:f>
        <x:v>184.94</x:v>
      </x:c>
      <x:c r="M105" s="11" t="n">
        <x:f>IF(B105="Butterfly",MAX(J105,0),IF(C105="call","Unlimited",MAX(2*E105-D105+J105,J105,0)))</x:f>
        <x:v>15.060000000000002</x:v>
      </x:c>
      <x:c r="N105" s="11" t="n">
        <x:f>IF(B105="Butterfly",IF(AND(J105&gt;0,J105&lt;K105),D105+J105,"n.a."),IF(C105="call",IF(AND(J105&gt;0,J105&lt;K105),D105+J105,"n.a."),IF(AND(K105&gt;J105,2*E105-D105+J105&gt;=0),2*E105-D105+J105,"n.a.")))</x:f>
        <x:v>6215.06</x:v>
      </x:c>
      <x:c r="O105" s="11" t="n">
        <x:f>IF(B105="Butterfly",IF(AND(J105&gt;0,J105&lt;K105),F105-J105,"n.a."),IF(C105="call",IF(K105&gt;J105,2*E105-D105-J105,"n.a."),IF(AND(J105&gt;0,J105&lt;K105),D105-J105,"n.a.")))</x:f>
        <x:v>6584.94</x:v>
      </x:c>
      <x:c r="P105" s="19" t="n">
        <x:f>IF(AND(B105="Butterfly",J105&gt;0,J105&lt;K105),L105/J105,"n.a.")</x:f>
        <x:v>12.280212483399733</x:v>
      </x:c>
      <x:c r="Q105" s="11" t="n">
        <x:f>J105*'Model inputs'!$B$8</x:f>
        <x:v>1506.0000000000002</x:v>
      </x:c>
      <x:c r="R105" s="1" t="str">
        <x:v>Indicative only</x:v>
      </x:c>
      <x:c r="S105" s="1" t="n">
        <x:v>689</x:v>
      </x:c>
      <x:c r="T105" s="1" t="n">
        <x:v>708</x:v>
      </x:c>
    </x:row>
    <x:row r="106" ht="21" customHeight="1">
      <x:c r="A106" s="12" t="n">
        <x:v>46280</x:v>
      </x:c>
      <x:c r="B106" s="1" t="str">
        <x:v>Butterfly</x:v>
      </x:c>
      <x:c r="C106" s="1" t="str">
        <x:v>call</x:v>
      </x:c>
      <x:c r="D106" s="11" t="n">
        <x:v>7000</x:v>
      </x:c>
      <x:c r="E106" s="11" t="n">
        <x:v>7200</x:v>
      </x:c>
      <x:c r="F106" s="11" t="n">
        <x:v>7400</x:v>
      </x:c>
      <x:c r="G106" s="11" t="n">
        <x:f>'Option source'!B276</x:f>
        <x:v>277.07</x:v>
      </x:c>
      <x:c r="H106" s="11" t="n">
        <x:f>'Option source'!B295</x:f>
        <x:v>205.53</x:v>
      </x:c>
      <x:c r="I106" s="11" t="n">
        <x:f>'Option source'!B314</x:f>
        <x:v>148.96</x:v>
      </x:c>
      <x:c r="J106" s="11" t="n">
        <x:f>G106-2*H106+IF(B106="Butterfly",I106,0)</x:f>
        <x:v>14.969999999999999</x:v>
      </x:c>
      <x:c r="K106" s="11" t="n">
        <x:f>ABS(E106-D106)</x:f>
        <x:v>200</x:v>
      </x:c>
      <x:c r="L106" s="11" t="n">
        <x:f>K106-J106</x:f>
        <x:v>185.03</x:v>
      </x:c>
      <x:c r="M106" s="11" t="n">
        <x:f>IF(B106="Butterfly",MAX(J106,0),IF(C106="call","Unlimited",MAX(2*E106-D106+J106,J106,0)))</x:f>
        <x:v>14.969999999999999</x:v>
      </x:c>
      <x:c r="N106" s="11" t="n">
        <x:f>IF(B106="Butterfly",IF(AND(J106&gt;0,J106&lt;K106),D106+J106,"n.a."),IF(C106="call",IF(AND(J106&gt;0,J106&lt;K106),D106+J106,"n.a."),IF(AND(K106&gt;J106,2*E106-D106+J106&gt;=0),2*E106-D106+J106,"n.a.")))</x:f>
        <x:v>7014.97</x:v>
      </x:c>
      <x:c r="O106" s="11" t="n">
        <x:f>IF(B106="Butterfly",IF(AND(J106&gt;0,J106&lt;K106),F106-J106,"n.a."),IF(C106="call",IF(K106&gt;J106,2*E106-D106-J106,"n.a."),IF(AND(J106&gt;0,J106&lt;K106),D106-J106,"n.a.")))</x:f>
        <x:v>7385.03</x:v>
      </x:c>
      <x:c r="P106" s="19" t="n">
        <x:f>IF(AND(B106="Butterfly",J106&gt;0,J106&lt;K106),L106/J106,"n.a.")</x:f>
        <x:v>12.360053440213761</x:v>
      </x:c>
      <x:c r="Q106" s="11" t="n">
        <x:f>J106*'Model inputs'!$B$8</x:f>
        <x:v>1497</x:v>
      </x:c>
      <x:c r="R106" s="1" t="str">
        <x:v>Indicative only</x:v>
      </x:c>
      <x:c r="S106" s="1" t="n">
        <x:v>271</x:v>
      </x:c>
      <x:c r="T106" s="1" t="n">
        <x:v>290</x:v>
      </x:c>
    </x:row>
    <x:row r="107" ht="21" customHeight="1">
      <x:c r="A107" s="12" t="n">
        <x:v>46280</x:v>
      </x:c>
      <x:c r="B107" s="1" t="str">
        <x:v>Butterfly</x:v>
      </x:c>
      <x:c r="C107" s="1" t="str">
        <x:v>call</x:v>
      </x:c>
      <x:c r="D107" s="11" t="n">
        <x:v>6000</x:v>
      </x:c>
      <x:c r="E107" s="11" t="n">
        <x:v>6200</x:v>
      </x:c>
      <x:c r="F107" s="11" t="n">
        <x:v>6400</x:v>
      </x:c>
      <x:c r="G107" s="11" t="n">
        <x:f>'Option source'!B181</x:f>
        <x:v>930</x:v>
      </x:c>
      <x:c r="H107" s="11" t="n">
        <x:f>'Option source'!B200</x:f>
        <x:v>757.6</x:v>
      </x:c>
      <x:c r="I107" s="11" t="n">
        <x:f>'Option source'!B219</x:f>
        <x:v>600.2</x:v>
      </x:c>
      <x:c r="J107" s="11" t="n">
        <x:f>G107-2*H107+IF(B107="Butterfly",I107,0)</x:f>
        <x:v>15</x:v>
      </x:c>
      <x:c r="K107" s="11" t="n">
        <x:f>ABS(E107-D107)</x:f>
        <x:v>200</x:v>
      </x:c>
      <x:c r="L107" s="11" t="n">
        <x:f>K107-J107</x:f>
        <x:v>185</x:v>
      </x:c>
      <x:c r="M107" s="11" t="n">
        <x:f>IF(B107="Butterfly",MAX(J107,0),IF(C107="call","Unlimited",MAX(2*E107-D107+J107,J107,0)))</x:f>
        <x:v>15</x:v>
      </x:c>
      <x:c r="N107" s="11" t="n">
        <x:f>IF(B107="Butterfly",IF(AND(J107&gt;0,J107&lt;K107),D107+J107,"n.a."),IF(C107="call",IF(AND(J107&gt;0,J107&lt;K107),D107+J107,"n.a."),IF(AND(K107&gt;J107,2*E107-D107+J107&gt;=0),2*E107-D107+J107,"n.a.")))</x:f>
        <x:v>6015</x:v>
      </x:c>
      <x:c r="O107" s="11" t="n">
        <x:f>IF(B107="Butterfly",IF(AND(J107&gt;0,J107&lt;K107),F107-J107,"n.a."),IF(C107="call",IF(K107&gt;J107,2*E107-D107-J107,"n.a."),IF(AND(J107&gt;0,J107&lt;K107),D107-J107,"n.a.")))</x:f>
        <x:v>6385</x:v>
      </x:c>
      <x:c r="P107" s="19" t="n">
        <x:f>IF(AND(B107="Butterfly",J107&gt;0,J107&lt;K107),L107/J107,"n.a.")</x:f>
        <x:v>12.333333333333334</x:v>
      </x:c>
      <x:c r="Q107" s="11" t="n">
        <x:f>J107*'Model inputs'!$B$8</x:f>
        <x:v>1500</x:v>
      </x:c>
      <x:c r="R107" s="1" t="str">
        <x:v>Indicative only</x:v>
      </x:c>
      <x:c r="S107" s="1" t="n">
        <x:v>176</x:v>
      </x:c>
      <x:c r="T107" s="1" t="n">
        <x:v>195</x:v>
      </x:c>
    </x:row>
    <x:row r="108" ht="21" customHeight="1">
      <x:c r="A108" s="12" t="n">
        <x:v>46280</x:v>
      </x:c>
      <x:c r="B108" s="1" t="str">
        <x:v>Butterfly</x:v>
      </x:c>
      <x:c r="C108" s="1" t="str">
        <x:v>put</x:v>
      </x:c>
      <x:c r="D108" s="11" t="n">
        <x:v>6000</x:v>
      </x:c>
      <x:c r="E108" s="11" t="n">
        <x:v>6200</x:v>
      </x:c>
      <x:c r="F108" s="11" t="n">
        <x:v>6400</x:v>
      </x:c>
      <x:c r="G108" s="11" t="n">
        <x:f>'Option source'!B675</x:f>
        <x:v>59.49</x:v>
      </x:c>
      <x:c r="H108" s="11" t="n">
        <x:f>'Option source'!B694</x:f>
        <x:v>97.24</x:v>
      </x:c>
      <x:c r="I108" s="11" t="n">
        <x:f>'Option source'!B713</x:f>
        <x:v>151.43</x:v>
      </x:c>
      <x:c r="J108" s="11" t="n">
        <x:f>G108-2*H108+IF(B108="Butterfly",I108,0)</x:f>
        <x:v>16.440000000000026</x:v>
      </x:c>
      <x:c r="K108" s="11" t="n">
        <x:f>ABS(E108-D108)</x:f>
        <x:v>200</x:v>
      </x:c>
      <x:c r="L108" s="11" t="n">
        <x:f>K108-J108</x:f>
        <x:v>183.55999999999997</x:v>
      </x:c>
      <x:c r="M108" s="11" t="n">
        <x:f>IF(B108="Butterfly",MAX(J108,0),IF(C108="call","Unlimited",MAX(2*E108-D108+J108,J108,0)))</x:f>
        <x:v>16.440000000000026</x:v>
      </x:c>
      <x:c r="N108" s="11" t="n">
        <x:f>IF(B108="Butterfly",IF(AND(J108&gt;0,J108&lt;K108),D108+J108,"n.a."),IF(C108="call",IF(AND(J108&gt;0,J108&lt;K108),D108+J108,"n.a."),IF(AND(K108&gt;J108,2*E108-D108+J108&gt;=0),2*E108-D108+J108,"n.a.")))</x:f>
        <x:v>6016.44</x:v>
      </x:c>
      <x:c r="O108" s="11" t="n">
        <x:f>IF(B108="Butterfly",IF(AND(J108&gt;0,J108&lt;K108),F108-J108,"n.a."),IF(C108="call",IF(K108&gt;J108,2*E108-D108-J108,"n.a."),IF(AND(J108&gt;0,J108&lt;K108),D108-J108,"n.a.")))</x:f>
        <x:v>6383.56</x:v>
      </x:c>
      <x:c r="P108" s="19" t="n">
        <x:f>IF(AND(B108="Butterfly",J108&gt;0,J108&lt;K108),L108/J108,"n.a.")</x:f>
        <x:v>11.165450121654482</x:v>
      </x:c>
      <x:c r="Q108" s="11" t="n">
        <x:f>J108*'Model inputs'!$B$8</x:f>
        <x:v>1644.0000000000027</x:v>
      </x:c>
      <x:c r="R108" s="1" t="str">
        <x:v>Indicative only</x:v>
      </x:c>
      <x:c r="S108" s="1" t="n">
        <x:v>670</x:v>
      </x:c>
      <x:c r="T108" s="1" t="n">
        <x:v>689</x:v>
      </x:c>
    </x:row>
    <x:row r="109" ht="21" customHeight="1">
      <x:c r="A109" s="12" t="n">
        <x:v>46280</x:v>
      </x:c>
      <x:c r="B109" s="1" t="str">
        <x:v>Butterfly</x:v>
      </x:c>
      <x:c r="C109" s="1" t="str">
        <x:v>call</x:v>
      </x:c>
      <x:c r="D109" s="11" t="n">
        <x:v>7200</x:v>
      </x:c>
      <x:c r="E109" s="11" t="n">
        <x:v>7400</x:v>
      </x:c>
      <x:c r="F109" s="11" t="n">
        <x:v>7600</x:v>
      </x:c>
      <x:c r="G109" s="11" t="n">
        <x:f>'Option source'!B295</x:f>
        <x:v>205.53</x:v>
      </x:c>
      <x:c r="H109" s="11" t="n">
        <x:f>'Option source'!B314</x:f>
        <x:v>148.96</x:v>
      </x:c>
      <x:c r="I109" s="11" t="n">
        <x:f>'Option source'!B333</x:f>
        <x:v>106.1</x:v>
      </x:c>
      <x:c r="J109" s="11" t="n">
        <x:f>G109-2*H109+IF(B109="Butterfly",I109,0)</x:f>
        <x:v>13.70999999999998</x:v>
      </x:c>
      <x:c r="K109" s="11" t="n">
        <x:f>ABS(E109-D109)</x:f>
        <x:v>200</x:v>
      </x:c>
      <x:c r="L109" s="11" t="n">
        <x:f>K109-J109</x:f>
        <x:v>186.29000000000002</x:v>
      </x:c>
      <x:c r="M109" s="11" t="n">
        <x:f>IF(B109="Butterfly",MAX(J109,0),IF(C109="call","Unlimited",MAX(2*E109-D109+J109,J109,0)))</x:f>
        <x:v>13.70999999999998</x:v>
      </x:c>
      <x:c r="N109" s="11" t="n">
        <x:f>IF(B109="Butterfly",IF(AND(J109&gt;0,J109&lt;K109),D109+J109,"n.a."),IF(C109="call",IF(AND(J109&gt;0,J109&lt;K109),D109+J109,"n.a."),IF(AND(K109&gt;J109,2*E109-D109+J109&gt;=0),2*E109-D109+J109,"n.a.")))</x:f>
        <x:v>7213.71</x:v>
      </x:c>
      <x:c r="O109" s="11" t="n">
        <x:f>IF(B109="Butterfly",IF(AND(J109&gt;0,J109&lt;K109),F109-J109,"n.a."),IF(C109="call",IF(K109&gt;J109,2*E109-D109-J109,"n.a."),IF(AND(J109&gt;0,J109&lt;K109),D109-J109,"n.a.")))</x:f>
        <x:v>7586.29</x:v>
      </x:c>
      <x:c r="P109" s="19" t="n">
        <x:f>IF(AND(B109="Butterfly",J109&gt;0,J109&lt;K109),L109/J109,"n.a.")</x:f>
        <x:v>13.587892049598855</x:v>
      </x:c>
      <x:c r="Q109" s="11" t="n">
        <x:f>J109*'Model inputs'!$B$8</x:f>
        <x:v>1370.999999999998</x:v>
      </x:c>
      <x:c r="R109" s="1" t="str">
        <x:v>Indicative only</x:v>
      </x:c>
      <x:c r="S109" s="1" t="n">
        <x:v>290</x:v>
      </x:c>
      <x:c r="T109" s="1" t="n">
        <x:v>309</x:v>
      </x:c>
    </x:row>
    <x:row r="110" ht="21" customHeight="1">
      <x:c r="A110" s="12" t="n">
        <x:v>46280</x:v>
      </x:c>
      <x:c r="B110" s="1" t="str">
        <x:v>Butterfly</x:v>
      </x:c>
      <x:c r="C110" s="1" t="str">
        <x:v>put</x:v>
      </x:c>
      <x:c r="D110" s="11" t="n">
        <x:v>5800</x:v>
      </x:c>
      <x:c r="E110" s="11" t="n">
        <x:v>6000</x:v>
      </x:c>
      <x:c r="F110" s="11" t="n">
        <x:v>6200</x:v>
      </x:c>
      <x:c r="G110" s="11" t="n">
        <x:f>'Option source'!B656</x:f>
        <x:v>32.86</x:v>
      </x:c>
      <x:c r="H110" s="11" t="n">
        <x:f>'Option source'!B675</x:f>
        <x:v>59.49</x:v>
      </x:c>
      <x:c r="I110" s="11" t="n">
        <x:f>'Option source'!B694</x:f>
        <x:v>97.24</x:v>
      </x:c>
      <x:c r="J110" s="11" t="n">
        <x:f>G110-2*H110+IF(B110="Butterfly",I110,0)</x:f>
        <x:v>11.11999999999999</x:v>
      </x:c>
      <x:c r="K110" s="11" t="n">
        <x:f>ABS(E110-D110)</x:f>
        <x:v>200</x:v>
      </x:c>
      <x:c r="L110" s="11" t="n">
        <x:f>K110-J110</x:f>
        <x:v>188.88</x:v>
      </x:c>
      <x:c r="M110" s="11" t="n">
        <x:f>IF(B110="Butterfly",MAX(J110,0),IF(C110="call","Unlimited",MAX(2*E110-D110+J110,J110,0)))</x:f>
        <x:v>11.11999999999999</x:v>
      </x:c>
      <x:c r="N110" s="11" t="n">
        <x:f>IF(B110="Butterfly",IF(AND(J110&gt;0,J110&lt;K110),D110+J110,"n.a."),IF(C110="call",IF(AND(J110&gt;0,J110&lt;K110),D110+J110,"n.a."),IF(AND(K110&gt;J110,2*E110-D110+J110&gt;=0),2*E110-D110+J110,"n.a.")))</x:f>
        <x:v>5811.12</x:v>
      </x:c>
      <x:c r="O110" s="11" t="n">
        <x:f>IF(B110="Butterfly",IF(AND(J110&gt;0,J110&lt;K110),F110-J110,"n.a."),IF(C110="call",IF(K110&gt;J110,2*E110-D110-J110,"n.a."),IF(AND(J110&gt;0,J110&lt;K110),D110-J110,"n.a.")))</x:f>
        <x:v>6188.88</x:v>
      </x:c>
      <x:c r="P110" s="19" t="n">
        <x:f>IF(AND(B110="Butterfly",J110&gt;0,J110&lt;K110),L110/J110,"n.a.")</x:f>
        <x:v>16.985611510791383</x:v>
      </x:c>
      <x:c r="Q110" s="11" t="n">
        <x:f>J110*'Model inputs'!$B$8</x:f>
        <x:v>1111.999999999999</x:v>
      </x:c>
      <x:c r="R110" s="1" t="str">
        <x:v>Indicative only</x:v>
      </x:c>
      <x:c r="S110" s="1" t="n">
        <x:v>651</x:v>
      </x:c>
      <x:c r="T110" s="1" t="n">
        <x:v>670</x:v>
      </x:c>
    </x:row>
    <x:row r="111" ht="21" customHeight="1">
      <x:c r="A111" s="12" t="n">
        <x:v>46280</x:v>
      </x:c>
      <x:c r="B111" s="1" t="str">
        <x:v>Butterfly</x:v>
      </x:c>
      <x:c r="C111" s="1" t="str">
        <x:v>call</x:v>
      </x:c>
      <x:c r="D111" s="11" t="n">
        <x:v>7400</x:v>
      </x:c>
      <x:c r="E111" s="11" t="n">
        <x:v>7600</x:v>
      </x:c>
      <x:c r="F111" s="11" t="n">
        <x:v>7800</x:v>
      </x:c>
      <x:c r="G111" s="11" t="n">
        <x:f>'Option source'!B314</x:f>
        <x:v>148.96</x:v>
      </x:c>
      <x:c r="H111" s="11" t="n">
        <x:f>'Option source'!B333</x:f>
        <x:v>106.1</x:v>
      </x:c>
      <x:c r="I111" s="11" t="n">
        <x:f>'Option source'!B352</x:f>
        <x:v>74.96</x:v>
      </x:c>
      <x:c r="J111" s="11" t="n">
        <x:f>G111-2*H111+IF(B111="Butterfly",I111,0)</x:f>
        <x:v>11.720000000000013</x:v>
      </x:c>
      <x:c r="K111" s="11" t="n">
        <x:f>ABS(E111-D111)</x:f>
        <x:v>200</x:v>
      </x:c>
      <x:c r="L111" s="11" t="n">
        <x:f>K111-J111</x:f>
        <x:v>188.27999999999997</x:v>
      </x:c>
      <x:c r="M111" s="11" t="n">
        <x:f>IF(B111="Butterfly",MAX(J111,0),IF(C111="call","Unlimited",MAX(2*E111-D111+J111,J111,0)))</x:f>
        <x:v>11.720000000000013</x:v>
      </x:c>
      <x:c r="N111" s="11" t="n">
        <x:f>IF(B111="Butterfly",IF(AND(J111&gt;0,J111&lt;K111),D111+J111,"n.a."),IF(C111="call",IF(AND(J111&gt;0,J111&lt;K111),D111+J111,"n.a."),IF(AND(K111&gt;J111,2*E111-D111+J111&gt;=0),2*E111-D111+J111,"n.a.")))</x:f>
        <x:v>7411.72</x:v>
      </x:c>
      <x:c r="O111" s="11" t="n">
        <x:f>IF(B111="Butterfly",IF(AND(J111&gt;0,J111&lt;K111),F111-J111,"n.a."),IF(C111="call",IF(K111&gt;J111,2*E111-D111-J111,"n.a."),IF(AND(J111&gt;0,J111&lt;K111),D111-J111,"n.a.")))</x:f>
        <x:v>7788.28</x:v>
      </x:c>
      <x:c r="P111" s="19" t="n">
        <x:f>IF(AND(B111="Butterfly",J111&gt;0,J111&lt;K111),L111/J111,"n.a.")</x:f>
        <x:v>16.06484641638223</x:v>
      </x:c>
      <x:c r="Q111" s="11" t="n">
        <x:f>J111*'Model inputs'!$B$8</x:f>
        <x:v>1172.0000000000014</x:v>
      </x:c>
      <x:c r="R111" s="1" t="str">
        <x:v>Indicative only</x:v>
      </x:c>
      <x:c r="S111" s="1" t="n">
        <x:v>309</x:v>
      </x:c>
      <x:c r="T111" s="1" t="n">
        <x:v>328</x:v>
      </x:c>
    </x:row>
    <x:row r="112" ht="21" customHeight="1">
      <x:c r="A112" s="12" t="n">
        <x:v>46280</x:v>
      </x:c>
      <x:c r="B112" s="1" t="str">
        <x:v>Butterfly</x:v>
      </x:c>
      <x:c r="C112" s="1" t="str">
        <x:v>put</x:v>
      </x:c>
      <x:c r="D112" s="11" t="n">
        <x:v>5600</x:v>
      </x:c>
      <x:c r="E112" s="11" t="n">
        <x:v>5800</x:v>
      </x:c>
      <x:c r="F112" s="11" t="n">
        <x:v>6000</x:v>
      </x:c>
      <x:c r="G112" s="11" t="n">
        <x:f>'Option source'!B637</x:f>
        <x:v>17.76</x:v>
      </x:c>
      <x:c r="H112" s="11" t="n">
        <x:f>'Option source'!B656</x:f>
        <x:v>32.86</x:v>
      </x:c>
      <x:c r="I112" s="11" t="n">
        <x:f>'Option source'!B675</x:f>
        <x:v>59.49</x:v>
      </x:c>
      <x:c r="J112" s="11" t="n">
        <x:f>G112-2*H112+IF(B112="Butterfly",I112,0)</x:f>
        <x:v>11.530000000000008</x:v>
      </x:c>
      <x:c r="K112" s="11" t="n">
        <x:f>ABS(E112-D112)</x:f>
        <x:v>200</x:v>
      </x:c>
      <x:c r="L112" s="11" t="n">
        <x:f>K112-J112</x:f>
        <x:v>188.47</x:v>
      </x:c>
      <x:c r="M112" s="11" t="n">
        <x:f>IF(B112="Butterfly",MAX(J112,0),IF(C112="call","Unlimited",MAX(2*E112-D112+J112,J112,0)))</x:f>
        <x:v>11.530000000000008</x:v>
      </x:c>
      <x:c r="N112" s="11" t="n">
        <x:f>IF(B112="Butterfly",IF(AND(J112&gt;0,J112&lt;K112),D112+J112,"n.a."),IF(C112="call",IF(AND(J112&gt;0,J112&lt;K112),D112+J112,"n.a."),IF(AND(K112&gt;J112,2*E112-D112+J112&gt;=0),2*E112-D112+J112,"n.a.")))</x:f>
        <x:v>5611.53</x:v>
      </x:c>
      <x:c r="O112" s="11" t="n">
        <x:f>IF(B112="Butterfly",IF(AND(J112&gt;0,J112&lt;K112),F112-J112,"n.a."),IF(C112="call",IF(K112&gt;J112,2*E112-D112-J112,"n.a."),IF(AND(J112&gt;0,J112&lt;K112),D112-J112,"n.a.")))</x:f>
        <x:v>5988.47</x:v>
      </x:c>
      <x:c r="P112" s="19" t="n">
        <x:f>IF(AND(B112="Butterfly",J112&gt;0,J112&lt;K112),L112/J112,"n.a.")</x:f>
        <x:v>16.346053772766684</x:v>
      </x:c>
      <x:c r="Q112" s="11" t="n">
        <x:f>J112*'Model inputs'!$B$8</x:f>
        <x:v>1153.000000000001</x:v>
      </x:c>
      <x:c r="R112" s="1" t="str">
        <x:v>Indicative only</x:v>
      </x:c>
      <x:c r="S112" s="1" t="n">
        <x:v>632</x:v>
      </x:c>
      <x:c r="T112" s="1" t="n">
        <x:v>651</x:v>
      </x:c>
    </x:row>
    <x:row r="113" ht="21" customHeight="1">
      <x:c r="A113" s="12" t="n">
        <x:v>46280</x:v>
      </x:c>
      <x:c r="B113" s="1" t="str">
        <x:v>Butterfly</x:v>
      </x:c>
      <x:c r="C113" s="1" t="str">
        <x:v>call</x:v>
      </x:c>
      <x:c r="D113" s="11" t="n">
        <x:v>7600</x:v>
      </x:c>
      <x:c r="E113" s="11" t="n">
        <x:v>7800</x:v>
      </x:c>
      <x:c r="F113" s="11" t="n">
        <x:v>8000</x:v>
      </x:c>
      <x:c r="G113" s="11" t="n">
        <x:f>'Option source'!B333</x:f>
        <x:v>106.1</x:v>
      </x:c>
      <x:c r="H113" s="11" t="n">
        <x:f>'Option source'!B352</x:f>
        <x:v>74.96</x:v>
      </x:c>
      <x:c r="I113" s="11" t="n">
        <x:f>'Option source'!B371</x:f>
        <x:v>53.36</x:v>
      </x:c>
      <x:c r="J113" s="11" t="n">
        <x:f>G113-2*H113+IF(B113="Butterfly",I113,0)</x:f>
        <x:v>9.540000000000006</x:v>
      </x:c>
      <x:c r="K113" s="11" t="n">
        <x:f>ABS(E113-D113)</x:f>
        <x:v>200</x:v>
      </x:c>
      <x:c r="L113" s="11" t="n">
        <x:f>K113-J113</x:f>
        <x:v>190.45999999999998</x:v>
      </x:c>
      <x:c r="M113" s="11" t="n">
        <x:f>IF(B113="Butterfly",MAX(J113,0),IF(C113="call","Unlimited",MAX(2*E113-D113+J113,J113,0)))</x:f>
        <x:v>9.540000000000006</x:v>
      </x:c>
      <x:c r="N113" s="11" t="n">
        <x:f>IF(B113="Butterfly",IF(AND(J113&gt;0,J113&lt;K113),D113+J113,"n.a."),IF(C113="call",IF(AND(J113&gt;0,J113&lt;K113),D113+J113,"n.a."),IF(AND(K113&gt;J113,2*E113-D113+J113&gt;=0),2*E113-D113+J113,"n.a.")))</x:f>
        <x:v>7609.54</x:v>
      </x:c>
      <x:c r="O113" s="11" t="n">
        <x:f>IF(B113="Butterfly",IF(AND(J113&gt;0,J113&lt;K113),F113-J113,"n.a."),IF(C113="call",IF(K113&gt;J113,2*E113-D113-J113,"n.a."),IF(AND(J113&gt;0,J113&lt;K113),D113-J113,"n.a.")))</x:f>
        <x:v>7990.46</x:v>
      </x:c>
      <x:c r="P113" s="19" t="n">
        <x:f>IF(AND(B113="Butterfly",J113&gt;0,J113&lt;K113),L113/J113,"n.a.")</x:f>
        <x:v>19.96436058700208</x:v>
      </x:c>
      <x:c r="Q113" s="11" t="n">
        <x:f>J113*'Model inputs'!$B$8</x:f>
        <x:v>954.0000000000007</x:v>
      </x:c>
      <x:c r="R113" s="1" t="str">
        <x:v>Indicative only</x:v>
      </x:c>
      <x:c r="S113" s="1" t="n">
        <x:v>328</x:v>
      </x:c>
      <x:c r="T113" s="1" t="n">
        <x:v>347</x:v>
      </x:c>
    </x:row>
    <x:row r="114" ht="21" customHeight="1">
      <x:c r="A114" s="12" t="n">
        <x:v>46280</x:v>
      </x:c>
      <x:c r="B114" s="1" t="str">
        <x:v>Butterfly</x:v>
      </x:c>
      <x:c r="C114" s="1" t="str">
        <x:v>put</x:v>
      </x:c>
      <x:c r="D114" s="11" t="n">
        <x:v>5400</x:v>
      </x:c>
      <x:c r="E114" s="11" t="n">
        <x:v>5600</x:v>
      </x:c>
      <x:c r="F114" s="11" t="n">
        <x:v>5800</x:v>
      </x:c>
      <x:c r="G114" s="11" t="n">
        <x:f>'Option source'!B618</x:f>
        <x:v>9.9</x:v>
      </x:c>
      <x:c r="H114" s="11" t="n">
        <x:f>'Option source'!B637</x:f>
        <x:v>17.76</x:v>
      </x:c>
      <x:c r="I114" s="11" t="n">
        <x:f>'Option source'!B656</x:f>
        <x:v>32.86</x:v>
      </x:c>
      <x:c r="J114" s="11" t="n">
        <x:f>G114-2*H114+IF(B114="Butterfly",I114,0)</x:f>
        <x:v>7.239999999999995</x:v>
      </x:c>
      <x:c r="K114" s="11" t="n">
        <x:f>ABS(E114-D114)</x:f>
        <x:v>200</x:v>
      </x:c>
      <x:c r="L114" s="11" t="n">
        <x:f>K114-J114</x:f>
        <x:v>192.76</x:v>
      </x:c>
      <x:c r="M114" s="11" t="n">
        <x:f>IF(B114="Butterfly",MAX(J114,0),IF(C114="call","Unlimited",MAX(2*E114-D114+J114,J114,0)))</x:f>
        <x:v>7.239999999999995</x:v>
      </x:c>
      <x:c r="N114" s="11" t="n">
        <x:f>IF(B114="Butterfly",IF(AND(J114&gt;0,J114&lt;K114),D114+J114,"n.a."),IF(C114="call",IF(AND(J114&gt;0,J114&lt;K114),D114+J114,"n.a."),IF(AND(K114&gt;J114,2*E114-D114+J114&gt;=0),2*E114-D114+J114,"n.a.")))</x:f>
        <x:v>5407.24</x:v>
      </x:c>
      <x:c r="O114" s="11" t="n">
        <x:f>IF(B114="Butterfly",IF(AND(J114&gt;0,J114&lt;K114),F114-J114,"n.a."),IF(C114="call",IF(K114&gt;J114,2*E114-D114-J114,"n.a."),IF(AND(J114&gt;0,J114&lt;K114),D114-J114,"n.a.")))</x:f>
        <x:v>5792.76</x:v>
      </x:c>
      <x:c r="P114" s="19" t="n">
        <x:f>IF(AND(B114="Butterfly",J114&gt;0,J114&lt;K114),L114/J114,"n.a.")</x:f>
        <x:v>26.62430939226521</x:v>
      </x:c>
      <x:c r="Q114" s="11" t="n">
        <x:f>J114*'Model inputs'!$B$8</x:f>
        <x:v>723.9999999999995</x:v>
      </x:c>
      <x:c r="R114" s="1" t="str">
        <x:v>Indicative only</x:v>
      </x:c>
      <x:c r="S114" s="1" t="n">
        <x:v>613</x:v>
      </x:c>
      <x:c r="T114" s="1" t="n">
        <x:v>632</x:v>
      </x:c>
    </x:row>
    <x:row r="115" ht="21" customHeight="1">
      <x:c r="A115" s="12" t="n">
        <x:v>46280</x:v>
      </x:c>
      <x:c r="B115" s="1" t="str">
        <x:v>Butterfly</x:v>
      </x:c>
      <x:c r="C115" s="1" t="str">
        <x:v>put</x:v>
      </x:c>
      <x:c r="D115" s="11" t="n">
        <x:v>5200</x:v>
      </x:c>
      <x:c r="E115" s="11" t="n">
        <x:v>5400</x:v>
      </x:c>
      <x:c r="F115" s="11" t="n">
        <x:v>5600</x:v>
      </x:c>
      <x:c r="G115" s="11" t="n">
        <x:f>'Option source'!B599</x:f>
        <x:v>5.46</x:v>
      </x:c>
      <x:c r="H115" s="11" t="n">
        <x:f>'Option source'!B618</x:f>
        <x:v>9.9</x:v>
      </x:c>
      <x:c r="I115" s="11" t="n">
        <x:f>'Option source'!B637</x:f>
        <x:v>17.76</x:v>
      </x:c>
      <x:c r="J115" s="11" t="n">
        <x:f>G115-2*H115+IF(B115="Butterfly",I115,0)</x:f>
        <x:v>3.4200000000000017</x:v>
      </x:c>
      <x:c r="K115" s="11" t="n">
        <x:f>ABS(E115-D115)</x:f>
        <x:v>200</x:v>
      </x:c>
      <x:c r="L115" s="11" t="n">
        <x:f>K115-J115</x:f>
        <x:v>196.57999999999998</x:v>
      </x:c>
      <x:c r="M115" s="11" t="n">
        <x:f>IF(B115="Butterfly",MAX(J115,0),IF(C115="call","Unlimited",MAX(2*E115-D115+J115,J115,0)))</x:f>
        <x:v>3.4200000000000017</x:v>
      </x:c>
      <x:c r="N115" s="11" t="n">
        <x:f>IF(B115="Butterfly",IF(AND(J115&gt;0,J115&lt;K115),D115+J115,"n.a."),IF(C115="call",IF(AND(J115&gt;0,J115&lt;K115),D115+J115,"n.a."),IF(AND(K115&gt;J115,2*E115-D115+J115&gt;=0),2*E115-D115+J115,"n.a.")))</x:f>
        <x:v>5203.42</x:v>
      </x:c>
      <x:c r="O115" s="11" t="n">
        <x:f>IF(B115="Butterfly",IF(AND(J115&gt;0,J115&lt;K115),F115-J115,"n.a."),IF(C115="call",IF(K115&gt;J115,2*E115-D115-J115,"n.a."),IF(AND(J115&gt;0,J115&lt;K115),D115-J115,"n.a.")))</x:f>
        <x:v>5596.58</x:v>
      </x:c>
      <x:c r="P115" s="19" t="n">
        <x:f>IF(AND(B115="Butterfly",J115&gt;0,J115&lt;K115),L115/J115,"n.a.")</x:f>
        <x:v>57.479532163742654</x:v>
      </x:c>
      <x:c r="Q115" s="11" t="n">
        <x:f>J115*'Model inputs'!$B$8</x:f>
        <x:v>342.00000000000017</x:v>
      </x:c>
      <x:c r="R115" s="1" t="str">
        <x:v>Indicative only</x:v>
      </x:c>
      <x:c r="S115" s="1" t="n">
        <x:v>594</x:v>
      </x:c>
      <x:c r="T115" s="1" t="n">
        <x:v>613</x:v>
      </x:c>
    </x:row>
    <x:row r="116" ht="21" customHeight="1">
      <x:c r="A116" s="12" t="n">
        <x:v>46280</x:v>
      </x:c>
      <x:c r="B116" s="1" t="str">
        <x:v>Butterfly</x:v>
      </x:c>
      <x:c r="C116" s="1" t="str">
        <x:v>put</x:v>
      </x:c>
      <x:c r="D116" s="11" t="n">
        <x:v>5000</x:v>
      </x:c>
      <x:c r="E116" s="11" t="n">
        <x:v>5200</x:v>
      </x:c>
      <x:c r="F116" s="11" t="n">
        <x:v>5400</x:v>
      </x:c>
      <x:c r="G116" s="11" t="n">
        <x:f>'Option source'!B580</x:f>
        <x:v>3.46</x:v>
      </x:c>
      <x:c r="H116" s="11" t="n">
        <x:f>'Option source'!B599</x:f>
        <x:v>5.46</x:v>
      </x:c>
      <x:c r="I116" s="11" t="n">
        <x:f>'Option source'!B618</x:f>
        <x:v>9.9</x:v>
      </x:c>
      <x:c r="J116" s="11" t="n">
        <x:f>G116-2*H116+IF(B116="Butterfly",I116,0)</x:f>
        <x:v>2.4400000000000004</x:v>
      </x:c>
      <x:c r="K116" s="11" t="n">
        <x:f>ABS(E116-D116)</x:f>
        <x:v>200</x:v>
      </x:c>
      <x:c r="L116" s="11" t="n">
        <x:f>K116-J116</x:f>
        <x:v>197.56</x:v>
      </x:c>
      <x:c r="M116" s="11" t="n">
        <x:f>IF(B116="Butterfly",MAX(J116,0),IF(C116="call","Unlimited",MAX(2*E116-D116+J116,J116,0)))</x:f>
        <x:v>2.4400000000000004</x:v>
      </x:c>
      <x:c r="N116" s="11" t="n">
        <x:f>IF(B116="Butterfly",IF(AND(J116&gt;0,J116&lt;K116),D116+J116,"n.a."),IF(C116="call",IF(AND(J116&gt;0,J116&lt;K116),D116+J116,"n.a."),IF(AND(K116&gt;J116,2*E116-D116+J116&gt;=0),2*E116-D116+J116,"n.a.")))</x:f>
        <x:v>5002.44</x:v>
      </x:c>
      <x:c r="O116" s="11" t="n">
        <x:f>IF(B116="Butterfly",IF(AND(J116&gt;0,J116&lt;K116),F116-J116,"n.a."),IF(C116="call",IF(K116&gt;J116,2*E116-D116-J116,"n.a."),IF(AND(J116&gt;0,J116&lt;K116),D116-J116,"n.a.")))</x:f>
        <x:v>5397.56</x:v>
      </x:c>
      <x:c r="P116" s="19" t="n">
        <x:f>IF(AND(B116="Butterfly",J116&gt;0,J116&lt;K116),L116/J116,"n.a.")</x:f>
        <x:v>80.96721311475409</x:v>
      </x:c>
      <x:c r="Q116" s="11" t="n">
        <x:f>J116*'Model inputs'!$B$8</x:f>
        <x:v>244.00000000000003</x:v>
      </x:c>
      <x:c r="R116" s="1" t="str">
        <x:v>Indicative only</x:v>
      </x:c>
      <x:c r="S116" s="1" t="n">
        <x:v>575</x:v>
      </x:c>
      <x:c r="T116" s="1" t="n">
        <x:v>594</x:v>
      </x:c>
    </x:row>
    <x:row r="117" ht="21" customHeight="1">
      <x:c r="A117" s="12" t="n">
        <x:v>46280</x:v>
      </x:c>
      <x:c r="B117" s="1" t="str">
        <x:v>Butterfly</x:v>
      </x:c>
      <x:c r="C117" s="1" t="str">
        <x:v>call</x:v>
      </x:c>
      <x:c r="D117" s="11" t="n">
        <x:v>8000</x:v>
      </x:c>
      <x:c r="E117" s="11" t="n">
        <x:v>8300</x:v>
      </x:c>
      <x:c r="F117" s="11" t="n">
        <x:v>8600</x:v>
      </x:c>
      <x:c r="G117" s="11" t="n">
        <x:f>'Option source'!B371</x:f>
        <x:v>53.36</x:v>
      </x:c>
      <x:c r="H117" s="11" t="n">
        <x:f>'Option source'!B390</x:f>
        <x:v>31.45</x:v>
      </x:c>
      <x:c r="I117" s="11" t="n">
        <x:f>'Option source'!B409</x:f>
        <x:v>19.15</x:v>
      </x:c>
      <x:c r="J117" s="11" t="n">
        <x:f>G117-2*H117+IF(B117="Butterfly",I117,0)</x:f>
        <x:v>9.61</x:v>
      </x:c>
      <x:c r="K117" s="11" t="n">
        <x:f>ABS(E117-D117)</x:f>
        <x:v>300</x:v>
      </x:c>
      <x:c r="L117" s="11" t="n">
        <x:f>K117-J117</x:f>
        <x:v>290.39</x:v>
      </x:c>
      <x:c r="M117" s="11" t="n">
        <x:f>IF(B117="Butterfly",MAX(J117,0),IF(C117="call","Unlimited",MAX(2*E117-D117+J117,J117,0)))</x:f>
        <x:v>9.61</x:v>
      </x:c>
      <x:c r="N117" s="11" t="n">
        <x:f>IF(B117="Butterfly",IF(AND(J117&gt;0,J117&lt;K117),D117+J117,"n.a."),IF(C117="call",IF(AND(J117&gt;0,J117&lt;K117),D117+J117,"n.a."),IF(AND(K117&gt;J117,2*E117-D117+J117&gt;=0),2*E117-D117+J117,"n.a.")))</x:f>
        <x:v>8009.61</x:v>
      </x:c>
      <x:c r="O117" s="11" t="n">
        <x:f>IF(B117="Butterfly",IF(AND(J117&gt;0,J117&lt;K117),F117-J117,"n.a."),IF(C117="call",IF(K117&gt;J117,2*E117-D117-J117,"n.a."),IF(AND(J117&gt;0,J117&lt;K117),D117-J117,"n.a.")))</x:f>
        <x:v>8590.39</x:v>
      </x:c>
      <x:c r="P117" s="19" t="n">
        <x:f>IF(AND(B117="Butterfly",J117&gt;0,J117&lt;K117),L117/J117,"n.a.")</x:f>
        <x:v>30.21748178980229</x:v>
      </x:c>
      <x:c r="Q117" s="11" t="n">
        <x:f>J117*'Model inputs'!$B$8</x:f>
        <x:v>961</x:v>
      </x:c>
      <x:c r="R117" s="1" t="str">
        <x:v>Indicative only</x:v>
      </x:c>
      <x:c r="S117" s="1" t="n">
        <x:v>366</x:v>
      </x:c>
      <x:c r="T117" s="1" t="n">
        <x:v>385</x:v>
      </x:c>
    </x:row>
    <x:row r="118" ht="21" customHeight="1">
      <x:c r="A118" s="12" t="n">
        <x:v>46280</x:v>
      </x:c>
      <x:c r="B118" s="1" t="str">
        <x:v>Butterfly</x:v>
      </x:c>
      <x:c r="C118" s="1" t="str">
        <x:v>put</x:v>
      </x:c>
      <x:c r="D118" s="11" t="n">
        <x:v>4800</x:v>
      </x:c>
      <x:c r="E118" s="11" t="n">
        <x:v>5000</x:v>
      </x:c>
      <x:c r="F118" s="11" t="n">
        <x:v>5200</x:v>
      </x:c>
      <x:c r="G118" s="11" t="n">
        <x:f>'Option source'!B561</x:f>
        <x:v>2.64</x:v>
      </x:c>
      <x:c r="H118" s="11" t="n">
        <x:f>'Option source'!B580</x:f>
        <x:v>3.46</x:v>
      </x:c>
      <x:c r="I118" s="11" t="n">
        <x:f>'Option source'!B599</x:f>
        <x:v>5.46</x:v>
      </x:c>
      <x:c r="J118" s="11" t="n">
        <x:f>G118-2*H118+IF(B118="Butterfly",I118,0)</x:f>
        <x:v>1.1800000000000006</x:v>
      </x:c>
      <x:c r="K118" s="11" t="n">
        <x:f>ABS(E118-D118)</x:f>
        <x:v>200</x:v>
      </x:c>
      <x:c r="L118" s="11" t="n">
        <x:f>K118-J118</x:f>
        <x:v>198.82</x:v>
      </x:c>
      <x:c r="M118" s="11" t="n">
        <x:f>IF(B118="Butterfly",MAX(J118,0),IF(C118="call","Unlimited",MAX(2*E118-D118+J118,J118,0)))</x:f>
        <x:v>1.1800000000000006</x:v>
      </x:c>
      <x:c r="N118" s="11" t="n">
        <x:f>IF(B118="Butterfly",IF(AND(J118&gt;0,J118&lt;K118),D118+J118,"n.a."),IF(C118="call",IF(AND(J118&gt;0,J118&lt;K118),D118+J118,"n.a."),IF(AND(K118&gt;J118,2*E118-D118+J118&gt;=0),2*E118-D118+J118,"n.a.")))</x:f>
        <x:v>4801.18</x:v>
      </x:c>
      <x:c r="O118" s="11" t="n">
        <x:f>IF(B118="Butterfly",IF(AND(J118&gt;0,J118&lt;K118),F118-J118,"n.a."),IF(C118="call",IF(K118&gt;J118,2*E118-D118-J118,"n.a."),IF(AND(J118&gt;0,J118&lt;K118),D118-J118,"n.a.")))</x:f>
        <x:v>5198.82</x:v>
      </x:c>
      <x:c r="P118" s="19" t="n">
        <x:f>IF(AND(B118="Butterfly",J118&gt;0,J118&lt;K118),L118/J118,"n.a.")</x:f>
        <x:v>168.49152542372872</x:v>
      </x:c>
      <x:c r="Q118" s="11" t="n">
        <x:f>J118*'Model inputs'!$B$8</x:f>
        <x:v>118.00000000000006</x:v>
      </x:c>
      <x:c r="R118" s="1" t="str">
        <x:v>Indicative only</x:v>
      </x:c>
      <x:c r="S118" s="1" t="n">
        <x:v>556</x:v>
      </x:c>
      <x:c r="T118" s="1" t="n">
        <x:v>575</x:v>
      </x:c>
    </x:row>
    <x:row r="119" ht="21" customHeight="1">
      <x:c r="A119" s="12" t="n">
        <x:v>46280</x:v>
      </x:c>
      <x:c r="B119" s="1" t="str">
        <x:v>Butterfly</x:v>
      </x:c>
      <x:c r="C119" s="1" t="str">
        <x:v>call</x:v>
      </x:c>
      <x:c r="D119" s="11" t="n">
        <x:v>8300</x:v>
      </x:c>
      <x:c r="E119" s="11" t="n">
        <x:v>8600</x:v>
      </x:c>
      <x:c r="F119" s="11" t="n">
        <x:v>8900</x:v>
      </x:c>
      <x:c r="G119" s="11" t="n">
        <x:f>'Option source'!B390</x:f>
        <x:v>31.45</x:v>
      </x:c>
      <x:c r="H119" s="11" t="n">
        <x:f>'Option source'!B409</x:f>
        <x:v>19.15</x:v>
      </x:c>
      <x:c r="I119" s="11" t="n">
        <x:f>'Option source'!B428</x:f>
        <x:v>9.81</x:v>
      </x:c>
      <x:c r="J119" s="11" t="n">
        <x:f>G119-2*H119+IF(B119="Butterfly",I119,0)</x:f>
        <x:v>2.9600000000000026</x:v>
      </x:c>
      <x:c r="K119" s="11" t="n">
        <x:f>ABS(E119-D119)</x:f>
        <x:v>300</x:v>
      </x:c>
      <x:c r="L119" s="11" t="n">
        <x:f>K119-J119</x:f>
        <x:v>297.04</x:v>
      </x:c>
      <x:c r="M119" s="11" t="n">
        <x:f>IF(B119="Butterfly",MAX(J119,0),IF(C119="call","Unlimited",MAX(2*E119-D119+J119,J119,0)))</x:f>
        <x:v>2.9600000000000026</x:v>
      </x:c>
      <x:c r="N119" s="11" t="n">
        <x:f>IF(B119="Butterfly",IF(AND(J119&gt;0,J119&lt;K119),D119+J119,"n.a."),IF(C119="call",IF(AND(J119&gt;0,J119&lt;K119),D119+J119,"n.a."),IF(AND(K119&gt;J119,2*E119-D119+J119&gt;=0),2*E119-D119+J119,"n.a.")))</x:f>
        <x:v>8302.96</x:v>
      </x:c>
      <x:c r="O119" s="11" t="n">
        <x:f>IF(B119="Butterfly",IF(AND(J119&gt;0,J119&lt;K119),F119-J119,"n.a."),IF(C119="call",IF(K119&gt;J119,2*E119-D119-J119,"n.a."),IF(AND(J119&gt;0,J119&lt;K119),D119-J119,"n.a.")))</x:f>
        <x:v>8897.04</x:v>
      </x:c>
      <x:c r="P119" s="19" t="n">
        <x:f>IF(AND(B119="Butterfly",J119&gt;0,J119&lt;K119),L119/J119,"n.a.")</x:f>
        <x:v>100.35135135135127</x:v>
      </x:c>
      <x:c r="Q119" s="11" t="n">
        <x:f>J119*'Model inputs'!$B$8</x:f>
        <x:v>296.0000000000003</x:v>
      </x:c>
      <x:c r="R119" s="1" t="str">
        <x:v>Indicative only</x:v>
      </x:c>
      <x:c r="S119" s="1" t="n">
        <x:v>385</x:v>
      </x:c>
      <x:c r="T119" s="1" t="n">
        <x:v>404</x:v>
      </x:c>
    </x:row>
    <x:row r="120" ht="21" customHeight="1">
      <x:c r="A120" s="12" t="n">
        <x:v>46280</x:v>
      </x:c>
      <x:c r="B120" s="1" t="str">
        <x:v>Butterfly</x:v>
      </x:c>
      <x:c r="C120" s="1" t="str">
        <x:v>call</x:v>
      </x:c>
      <x:c r="D120" s="11" t="n">
        <x:v>8600</x:v>
      </x:c>
      <x:c r="E120" s="11" t="n">
        <x:v>8900</x:v>
      </x:c>
      <x:c r="F120" s="11" t="n">
        <x:v>9200</x:v>
      </x:c>
      <x:c r="G120" s="11" t="n">
        <x:f>'Option source'!B409</x:f>
        <x:v>19.15</x:v>
      </x:c>
      <x:c r="H120" s="11" t="n">
        <x:f>'Option source'!B428</x:f>
        <x:v>9.81</x:v>
      </x:c>
      <x:c r="I120" s="11" t="n">
        <x:f>'Option source'!B447</x:f>
        <x:v>5.93</x:v>
      </x:c>
      <x:c r="J120" s="11" t="n">
        <x:f>G120-2*H120+IF(B120="Butterfly",I120,0)</x:f>
        <x:v>5.459999999999997</x:v>
      </x:c>
      <x:c r="K120" s="11" t="n">
        <x:f>ABS(E120-D120)</x:f>
        <x:v>300</x:v>
      </x:c>
      <x:c r="L120" s="11" t="n">
        <x:f>K120-J120</x:f>
        <x:v>294.54</x:v>
      </x:c>
      <x:c r="M120" s="11" t="n">
        <x:f>IF(B120="Butterfly",MAX(J120,0),IF(C120="call","Unlimited",MAX(2*E120-D120+J120,J120,0)))</x:f>
        <x:v>5.459999999999997</x:v>
      </x:c>
      <x:c r="N120" s="11" t="n">
        <x:f>IF(B120="Butterfly",IF(AND(J120&gt;0,J120&lt;K120),D120+J120,"n.a."),IF(C120="call",IF(AND(J120&gt;0,J120&lt;K120),D120+J120,"n.a."),IF(AND(K120&gt;J120,2*E120-D120+J120&gt;=0),2*E120-D120+J120,"n.a.")))</x:f>
        <x:v>8605.46</x:v>
      </x:c>
      <x:c r="O120" s="11" t="n">
        <x:f>IF(B120="Butterfly",IF(AND(J120&gt;0,J120&lt;K120),F120-J120,"n.a."),IF(C120="call",IF(K120&gt;J120,2*E120-D120-J120,"n.a."),IF(AND(J120&gt;0,J120&lt;K120),D120-J120,"n.a.")))</x:f>
        <x:v>9194.54</x:v>
      </x:c>
      <x:c r="P120" s="19" t="n">
        <x:f>IF(AND(B120="Butterfly",J120&gt;0,J120&lt;K120),L120/J120,"n.a.")</x:f>
        <x:v>53.94505494505498</x:v>
      </x:c>
      <x:c r="Q120" s="11" t="n">
        <x:f>J120*'Model inputs'!$B$8</x:f>
        <x:v>545.9999999999998</x:v>
      </x:c>
      <x:c r="R120" s="1" t="str">
        <x:v>Indicative only</x:v>
      </x:c>
      <x:c r="S120" s="1" t="n">
        <x:v>404</x:v>
      </x:c>
      <x:c r="T120" s="1" t="n">
        <x:v>423</x:v>
      </x:c>
    </x:row>
    <x:row r="121" ht="21" customHeight="1">
      <x:c r="A121" s="12" t="n">
        <x:v>46280</x:v>
      </x:c>
      <x:c r="B121" s="1" t="str">
        <x:v>Butterfly</x:v>
      </x:c>
      <x:c r="C121" s="1" t="str">
        <x:v>call</x:v>
      </x:c>
      <x:c r="D121" s="11" t="n">
        <x:v>8900</x:v>
      </x:c>
      <x:c r="E121" s="11" t="n">
        <x:v>9200</x:v>
      </x:c>
      <x:c r="F121" s="11" t="n">
        <x:v>9500</x:v>
      </x:c>
      <x:c r="G121" s="11" t="n">
        <x:f>'Option source'!B428</x:f>
        <x:v>9.81</x:v>
      </x:c>
      <x:c r="H121" s="11" t="n">
        <x:f>'Option source'!B447</x:f>
        <x:v>5.93</x:v>
      </x:c>
      <x:c r="I121" s="11" t="n">
        <x:f>'Option source'!B466</x:f>
        <x:v>3.7</x:v>
      </x:c>
      <x:c r="J121" s="11" t="n">
        <x:f>G121-2*H121+IF(B121="Butterfly",I121,0)</x:f>
        <x:v>1.6500000000000012</x:v>
      </x:c>
      <x:c r="K121" s="11" t="n">
        <x:f>ABS(E121-D121)</x:f>
        <x:v>300</x:v>
      </x:c>
      <x:c r="L121" s="11" t="n">
        <x:f>K121-J121</x:f>
        <x:v>298.35</x:v>
      </x:c>
      <x:c r="M121" s="11" t="n">
        <x:f>IF(B121="Butterfly",MAX(J121,0),IF(C121="call","Unlimited",MAX(2*E121-D121+J121,J121,0)))</x:f>
        <x:v>1.6500000000000012</x:v>
      </x:c>
      <x:c r="N121" s="11" t="n">
        <x:f>IF(B121="Butterfly",IF(AND(J121&gt;0,J121&lt;K121),D121+J121,"n.a."),IF(C121="call",IF(AND(J121&gt;0,J121&lt;K121),D121+J121,"n.a."),IF(AND(K121&gt;J121,2*E121-D121+J121&gt;=0),2*E121-D121+J121,"n.a.")))</x:f>
        <x:v>8901.65</x:v>
      </x:c>
      <x:c r="O121" s="11" t="n">
        <x:f>IF(B121="Butterfly",IF(AND(J121&gt;0,J121&lt;K121),F121-J121,"n.a."),IF(C121="call",IF(K121&gt;J121,2*E121-D121-J121,"n.a."),IF(AND(J121&gt;0,J121&lt;K121),D121-J121,"n.a.")))</x:f>
        <x:v>9498.35</x:v>
      </x:c>
      <x:c r="P121" s="19" t="n">
        <x:f>IF(AND(B121="Butterfly",J121&gt;0,J121&lt;K121),L121/J121,"n.a.")</x:f>
        <x:v>180.8181818181817</x:v>
      </x:c>
      <x:c r="Q121" s="11" t="n">
        <x:f>J121*'Model inputs'!$B$8</x:f>
        <x:v>165.0000000000001</x:v>
      </x:c>
      <x:c r="R121" s="1" t="str">
        <x:v>Indicative only</x:v>
      </x:c>
      <x:c r="S121" s="1" t="n">
        <x:v>423</x:v>
      </x:c>
      <x:c r="T121" s="1" t="n">
        <x:v>442</x:v>
      </x:c>
    </x:row>
    <x:row r="122" ht="21" customHeight="1">
      <x:c r="A122" s="12" t="n">
        <x:v>46280</x:v>
      </x:c>
      <x:c r="B122" s="1" t="str">
        <x:v>Butterfly</x:v>
      </x:c>
      <x:c r="C122" s="1" t="str">
        <x:v>put</x:v>
      </x:c>
      <x:c r="D122" s="11" t="n">
        <x:v>7000</x:v>
      </x:c>
      <x:c r="E122" s="11" t="n">
        <x:v>7200</x:v>
      </x:c>
      <x:c r="F122" s="11" t="n">
        <x:v>7400</x:v>
      </x:c>
      <x:c r="G122" s="11" t="n">
        <x:f>'Option source'!B770</x:f>
        <x:v>418.29</x:v>
      </x:c>
      <x:c r="H122" s="11" t="n">
        <x:f>'Option source'!B789</x:f>
        <x:v>542</x:v>
      </x:c>
      <x:c r="I122" s="11" t="n">
        <x:f>'Option source'!B808</x:f>
        <x:v>663.54</x:v>
      </x:c>
      <x:c r="J122" s="11" t="n">
        <x:f>G122-2*H122+IF(B122="Butterfly",I122,0)</x:f>
        <x:v>-2.1700000000000728</x:v>
      </x:c>
      <x:c r="K122" s="11" t="n">
        <x:f>ABS(E122-D122)</x:f>
        <x:v>200</x:v>
      </x:c>
      <x:c r="L122" s="11" t="n">
        <x:f>K122-J122</x:f>
        <x:v>202.17000000000007</x:v>
      </x:c>
      <x:c r="M122" s="11" t="n">
        <x:f>IF(B122="Butterfly",MAX(J122,0),IF(C122="call","Unlimited",MAX(2*E122-D122+J122,J122,0)))</x:f>
        <x:v>0</x:v>
      </x:c>
      <x:c r="N122" s="11" t="str">
        <x:f>IF(B122="Butterfly",IF(AND(J122&gt;0,J122&lt;K122),D122+J122,"n.a."),IF(C122="call",IF(AND(J122&gt;0,J122&lt;K122),D122+J122,"n.a."),IF(AND(K122&gt;J122,2*E122-D122+J122&gt;=0),2*E122-D122+J122,"n.a.")))</x:f>
        <x:v>n.a.</x:v>
      </x:c>
      <x:c r="O122" s="11" t="str">
        <x:f>IF(B122="Butterfly",IF(AND(J122&gt;0,J122&lt;K122),F122-J122,"n.a."),IF(C122="call",IF(K122&gt;J122,2*E122-D122-J122,"n.a."),IF(AND(J122&gt;0,J122&lt;K122),D122-J122,"n.a.")))</x:f>
        <x:v>n.a.</x:v>
      </x:c>
      <x:c r="P122" s="19" t="str">
        <x:f>IF(AND(B122="Butterfly",J122&gt;0,J122&lt;K122),L122/J122,"n.a.")</x:f>
        <x:v>n.a.</x:v>
      </x:c>
      <x:c r="Q122" s="11" t="n">
        <x:f>J122*'Model inputs'!$B$8</x:f>
        <x:v>-217.00000000000728</x:v>
      </x:c>
      <x:c r="R122" s="1" t="str">
        <x:v>Outside standard debit bounds</x:v>
      </x:c>
      <x:c r="S122" s="1" t="n">
        <x:v>765</x:v>
      </x:c>
      <x:c r="T122" s="1" t="n">
        <x:v>784</x:v>
      </x:c>
    </x:row>
    <x:row r="123" ht="21" customHeight="1">
      <x:c r="A123" s="12" t="n">
        <x:v>46280</x:v>
      </x:c>
      <x:c r="B123" s="1" t="str">
        <x:v>Butterfly</x:v>
      </x:c>
      <x:c r="C123" s="1" t="str">
        <x:v>put</x:v>
      </x:c>
      <x:c r="D123" s="11" t="n">
        <x:v>7200</x:v>
      </x:c>
      <x:c r="E123" s="11" t="n">
        <x:v>7400</x:v>
      </x:c>
      <x:c r="F123" s="11" t="n">
        <x:v>7600</x:v>
      </x:c>
      <x:c r="G123" s="11" t="n">
        <x:f>'Option source'!B789</x:f>
        <x:v>542</x:v>
      </x:c>
      <x:c r="H123" s="11" t="n">
        <x:f>'Option source'!B808</x:f>
        <x:v>663.54</x:v>
      </x:c>
      <x:c r="I123" s="11" t="n">
        <x:f>'Option source'!B827</x:f>
        <x:v>860.85</x:v>
      </x:c>
      <x:c r="J123" s="11" t="n">
        <x:f>G123-2*H123+IF(B123="Butterfly",I123,0)</x:f>
        <x:v>75.7700000000001</x:v>
      </x:c>
      <x:c r="K123" s="11" t="n">
        <x:f>ABS(E123-D123)</x:f>
        <x:v>200</x:v>
      </x:c>
      <x:c r="L123" s="11" t="n">
        <x:f>K123-J123</x:f>
        <x:v>124.2299999999999</x:v>
      </x:c>
      <x:c r="M123" s="11" t="n">
        <x:f>IF(B123="Butterfly",MAX(J123,0),IF(C123="call","Unlimited",MAX(2*E123-D123+J123,J123,0)))</x:f>
        <x:v>75.7700000000001</x:v>
      </x:c>
      <x:c r="N123" s="11" t="n">
        <x:f>IF(B123="Butterfly",IF(AND(J123&gt;0,J123&lt;K123),D123+J123,"n.a."),IF(C123="call",IF(AND(J123&gt;0,J123&lt;K123),D123+J123,"n.a."),IF(AND(K123&gt;J123,2*E123-D123+J123&gt;=0),2*E123-D123+J123,"n.a.")))</x:f>
        <x:v>7275.77</x:v>
      </x:c>
      <x:c r="O123" s="11" t="n">
        <x:f>IF(B123="Butterfly",IF(AND(J123&gt;0,J123&lt;K123),F123-J123,"n.a."),IF(C123="call",IF(K123&gt;J123,2*E123-D123-J123,"n.a."),IF(AND(J123&gt;0,J123&lt;K123),D123-J123,"n.a.")))</x:f>
        <x:v>7524.23</x:v>
      </x:c>
      <x:c r="P123" s="19" t="n">
        <x:f>IF(AND(B123="Butterfly",J123&gt;0,J123&lt;K123),L123/J123,"n.a.")</x:f>
        <x:v>1.6395671109937937</x:v>
      </x:c>
      <x:c r="Q123" s="11" t="n">
        <x:f>J123*'Model inputs'!$B$8</x:f>
        <x:v>7577.000000000009</x:v>
      </x:c>
      <x:c r="R123" s="1" t="str">
        <x:v>Flagged leg data</x:v>
      </x:c>
      <x:c r="S123" s="1" t="n">
        <x:v>784</x:v>
      </x:c>
      <x:c r="T123" s="1" t="n">
        <x:v>803</x:v>
      </x:c>
    </x:row>
    <x:row r="124" ht="21" customHeight="1">
      <x:c r="A124" s="12" t="n">
        <x:v>46280</x:v>
      </x:c>
      <x:c r="B124" s="1" t="str">
        <x:v>Butterfly</x:v>
      </x:c>
      <x:c r="C124" s="1" t="str">
        <x:v>call</x:v>
      </x:c>
      <x:c r="D124" s="11" t="n">
        <x:v>5800</x:v>
      </x:c>
      <x:c r="E124" s="11" t="n">
        <x:v>6000</x:v>
      </x:c>
      <x:c r="F124" s="11" t="n">
        <x:v>6200</x:v>
      </x:c>
      <x:c r="G124" s="11" t="n">
        <x:f>'Option source'!B162</x:f>
        <x:v>1198.65</x:v>
      </x:c>
      <x:c r="H124" s="11" t="n">
        <x:f>'Option source'!B181</x:f>
        <x:v>930</x:v>
      </x:c>
      <x:c r="I124" s="11" t="n">
        <x:f>'Option source'!B200</x:f>
        <x:v>757.6</x:v>
      </x:c>
      <x:c r="J124" s="11" t="n">
        <x:f>G124-2*H124+IF(B124="Butterfly",I124,0)</x:f>
        <x:v>96.25000000000011</x:v>
      </x:c>
      <x:c r="K124" s="11" t="n">
        <x:f>ABS(E124-D124)</x:f>
        <x:v>200</x:v>
      </x:c>
      <x:c r="L124" s="11" t="n">
        <x:f>K124-J124</x:f>
        <x:v>103.74999999999989</x:v>
      </x:c>
      <x:c r="M124" s="11" t="n">
        <x:f>IF(B124="Butterfly",MAX(J124,0),IF(C124="call","Unlimited",MAX(2*E124-D124+J124,J124,0)))</x:f>
        <x:v>96.25000000000011</x:v>
      </x:c>
      <x:c r="N124" s="11" t="n">
        <x:f>IF(B124="Butterfly",IF(AND(J124&gt;0,J124&lt;K124),D124+J124,"n.a."),IF(C124="call",IF(AND(J124&gt;0,J124&lt;K124),D124+J124,"n.a."),IF(AND(K124&gt;J124,2*E124-D124+J124&gt;=0),2*E124-D124+J124,"n.a.")))</x:f>
        <x:v>5896.25</x:v>
      </x:c>
      <x:c r="O124" s="11" t="n">
        <x:f>IF(B124="Butterfly",IF(AND(J124&gt;0,J124&lt;K124),F124-J124,"n.a."),IF(C124="call",IF(K124&gt;J124,2*E124-D124-J124,"n.a."),IF(AND(J124&gt;0,J124&lt;K124),D124-J124,"n.a.")))</x:f>
        <x:v>6103.75</x:v>
      </x:c>
      <x:c r="P124" s="19" t="n">
        <x:f>IF(AND(B124="Butterfly",J124&gt;0,J124&lt;K124),L124/J124,"n.a.")</x:f>
        <x:v>1.0779220779220755</x:v>
      </x:c>
      <x:c r="Q124" s="11" t="n">
        <x:f>J124*'Model inputs'!$B$8</x:f>
        <x:v>9625.000000000011</x:v>
      </x:c>
      <x:c r="R124" s="1" t="str">
        <x:v>Flagged leg data</x:v>
      </x:c>
      <x:c r="S124" s="1" t="n">
        <x:v>157</x:v>
      </x:c>
      <x:c r="T124" s="1" t="n">
        <x:v>176</x:v>
      </x:c>
    </x:row>
    <x:row r="125" ht="21" customHeight="1">
      <x:c r="A125" s="12" t="n">
        <x:v>46280</x:v>
      </x:c>
      <x:c r="B125" s="1" t="str">
        <x:v>Butterfly</x:v>
      </x:c>
      <x:c r="C125" s="1" t="str">
        <x:v>put</x:v>
      </x:c>
      <x:c r="D125" s="11" t="n">
        <x:v>7400</x:v>
      </x:c>
      <x:c r="E125" s="11" t="n">
        <x:v>7600</x:v>
      </x:c>
      <x:c r="F125" s="11" t="n">
        <x:v>7800</x:v>
      </x:c>
      <x:c r="G125" s="11" t="n">
        <x:f>'Option source'!B808</x:f>
        <x:v>663.54</x:v>
      </x:c>
      <x:c r="H125" s="11" t="n">
        <x:f>'Option source'!B827</x:f>
        <x:v>860.85</x:v>
      </x:c>
      <x:c r="I125" s="11" t="n">
        <x:f>'Option source'!B846</x:f>
        <x:v>1064.72</x:v>
      </x:c>
      <x:c r="J125" s="11" t="n">
        <x:f>G125-2*H125+IF(B125="Butterfly",I125,0)</x:f>
        <x:v>6.559999999999945</x:v>
      </x:c>
      <x:c r="K125" s="11" t="n">
        <x:f>ABS(E125-D125)</x:f>
        <x:v>200</x:v>
      </x:c>
      <x:c r="L125" s="11" t="n">
        <x:f>K125-J125</x:f>
        <x:v>193.44000000000005</x:v>
      </x:c>
      <x:c r="M125" s="11" t="n">
        <x:f>IF(B125="Butterfly",MAX(J125,0),IF(C125="call","Unlimited",MAX(2*E125-D125+J125,J125,0)))</x:f>
        <x:v>6.559999999999945</x:v>
      </x:c>
      <x:c r="N125" s="11" t="n">
        <x:f>IF(B125="Butterfly",IF(AND(J125&gt;0,J125&lt;K125),D125+J125,"n.a."),IF(C125="call",IF(AND(J125&gt;0,J125&lt;K125),D125+J125,"n.a."),IF(AND(K125&gt;J125,2*E125-D125+J125&gt;=0),2*E125-D125+J125,"n.a.")))</x:f>
        <x:v>7406.5599999999995</x:v>
      </x:c>
      <x:c r="O125" s="11" t="n">
        <x:f>IF(B125="Butterfly",IF(AND(J125&gt;0,J125&lt;K125),F125-J125,"n.a."),IF(C125="call",IF(K125&gt;J125,2*E125-D125-J125,"n.a."),IF(AND(J125&gt;0,J125&lt;K125),D125-J125,"n.a.")))</x:f>
        <x:v>7793.4400000000005</x:v>
      </x:c>
      <x:c r="P125" s="19" t="n">
        <x:f>IF(AND(B125="Butterfly",J125&gt;0,J125&lt;K125),L125/J125,"n.a.")</x:f>
        <x:v>29.487804878049033</x:v>
      </x:c>
      <x:c r="Q125" s="11" t="n">
        <x:f>J125*'Model inputs'!$B$8</x:f>
        <x:v>655.9999999999945</x:v>
      </x:c>
      <x:c r="R125" s="1" t="str">
        <x:v>Flagged leg data</x:v>
      </x:c>
      <x:c r="S125" s="1" t="n">
        <x:v>803</x:v>
      </x:c>
      <x:c r="T125" s="1" t="n">
        <x:v>822</x:v>
      </x:c>
    </x:row>
    <x:row r="126" ht="21" customHeight="1">
      <x:c r="A126" s="12" t="n">
        <x:v>46280</x:v>
      </x:c>
      <x:c r="B126" s="1" t="str">
        <x:v>Butterfly</x:v>
      </x:c>
      <x:c r="C126" s="1" t="str">
        <x:v>call</x:v>
      </x:c>
      <x:c r="D126" s="11" t="n">
        <x:v>5600</x:v>
      </x:c>
      <x:c r="E126" s="11" t="n">
        <x:v>5800</x:v>
      </x:c>
      <x:c r="F126" s="11" t="n">
        <x:v>6000</x:v>
      </x:c>
      <x:c r="G126" s="11" t="n">
        <x:f>'Option source'!B152</x:f>
        <x:v>1455</x:v>
      </x:c>
      <x:c r="H126" s="11" t="n">
        <x:f>'Option source'!B162</x:f>
        <x:v>1198.65</x:v>
      </x:c>
      <x:c r="I126" s="11" t="n">
        <x:f>'Option source'!B181</x:f>
        <x:v>930</x:v>
      </x:c>
      <x:c r="J126" s="11" t="n">
        <x:f>G126-2*H126+IF(B126="Butterfly",I126,0)</x:f>
        <x:v>-12.300000000000182</x:v>
      </x:c>
      <x:c r="K126" s="11" t="n">
        <x:f>ABS(E126-D126)</x:f>
        <x:v>200</x:v>
      </x:c>
      <x:c r="L126" s="11" t="n">
        <x:f>K126-J126</x:f>
        <x:v>212.30000000000018</x:v>
      </x:c>
      <x:c r="M126" s="11" t="n">
        <x:f>IF(B126="Butterfly",MAX(J126,0),IF(C126="call","Unlimited",MAX(2*E126-D126+J126,J126,0)))</x:f>
        <x:v>0</x:v>
      </x:c>
      <x:c r="N126" s="11" t="str">
        <x:f>IF(B126="Butterfly",IF(AND(J126&gt;0,J126&lt;K126),D126+J126,"n.a."),IF(C126="call",IF(AND(J126&gt;0,J126&lt;K126),D126+J126,"n.a."),IF(AND(K126&gt;J126,2*E126-D126+J126&gt;=0),2*E126-D126+J126,"n.a.")))</x:f>
        <x:v>n.a.</x:v>
      </x:c>
      <x:c r="O126" s="11" t="str">
        <x:f>IF(B126="Butterfly",IF(AND(J126&gt;0,J126&lt;K126),F126-J126,"n.a."),IF(C126="call",IF(K126&gt;J126,2*E126-D126-J126,"n.a."),IF(AND(J126&gt;0,J126&lt;K126),D126-J126,"n.a.")))</x:f>
        <x:v>n.a.</x:v>
      </x:c>
      <x:c r="P126" s="19" t="str">
        <x:f>IF(AND(B126="Butterfly",J126&gt;0,J126&lt;K126),L126/J126,"n.a.")</x:f>
        <x:v>n.a.</x:v>
      </x:c>
      <x:c r="Q126" s="11" t="n">
        <x:f>J126*'Model inputs'!$B$8</x:f>
        <x:v>-1230.0000000000182</x:v>
      </x:c>
      <x:c r="R126" s="1" t="str">
        <x:v>Outside standard debit bounds</x:v>
      </x:c>
      <x:c r="S126" s="1" t="n">
        <x:v>147</x:v>
      </x:c>
      <x:c r="T126" s="1" t="n">
        <x:v>157</x:v>
      </x:c>
    </x:row>
    <x:row r="127" ht="21" customHeight="1">
      <x:c r="A127" s="12" t="n">
        <x:v>46280</x:v>
      </x:c>
      <x:c r="B127" s="1" t="str">
        <x:v>Butterfly</x:v>
      </x:c>
      <x:c r="C127" s="1" t="str">
        <x:v>put</x:v>
      </x:c>
      <x:c r="D127" s="11" t="n">
        <x:v>7600</x:v>
      </x:c>
      <x:c r="E127" s="11" t="n">
        <x:v>7800</x:v>
      </x:c>
      <x:c r="F127" s="11" t="n">
        <x:v>8000</x:v>
      </x:c>
      <x:c r="G127" s="11" t="n">
        <x:f>'Option source'!B827</x:f>
        <x:v>860.85</x:v>
      </x:c>
      <x:c r="H127" s="11" t="n">
        <x:f>'Option source'!B846</x:f>
        <x:v>1064.72</x:v>
      </x:c>
      <x:c r="I127" s="11" t="n">
        <x:f>'Option source'!B865</x:f>
        <x:v>1230</x:v>
      </x:c>
      <x:c r="J127" s="11" t="n">
        <x:f>G127-2*H127+IF(B127="Butterfly",I127,0)</x:f>
        <x:v>-38.590000000000146</x:v>
      </x:c>
      <x:c r="K127" s="11" t="n">
        <x:f>ABS(E127-D127)</x:f>
        <x:v>200</x:v>
      </x:c>
      <x:c r="L127" s="11" t="n">
        <x:f>K127-J127</x:f>
        <x:v>238.59000000000015</x:v>
      </x:c>
      <x:c r="M127" s="11" t="n">
        <x:f>IF(B127="Butterfly",MAX(J127,0),IF(C127="call","Unlimited",MAX(2*E127-D127+J127,J127,0)))</x:f>
        <x:v>0</x:v>
      </x:c>
      <x:c r="N127" s="11" t="str">
        <x:f>IF(B127="Butterfly",IF(AND(J127&gt;0,J127&lt;K127),D127+J127,"n.a."),IF(C127="call",IF(AND(J127&gt;0,J127&lt;K127),D127+J127,"n.a."),IF(AND(K127&gt;J127,2*E127-D127+J127&gt;=0),2*E127-D127+J127,"n.a.")))</x:f>
        <x:v>n.a.</x:v>
      </x:c>
      <x:c r="O127" s="11" t="str">
        <x:f>IF(B127="Butterfly",IF(AND(J127&gt;0,J127&lt;K127),F127-J127,"n.a."),IF(C127="call",IF(K127&gt;J127,2*E127-D127-J127,"n.a."),IF(AND(J127&gt;0,J127&lt;K127),D127-J127,"n.a.")))</x:f>
        <x:v>n.a.</x:v>
      </x:c>
      <x:c r="P127" s="19" t="str">
        <x:f>IF(AND(B127="Butterfly",J127&gt;0,J127&lt;K127),L127/J127,"n.a.")</x:f>
        <x:v>n.a.</x:v>
      </x:c>
      <x:c r="Q127" s="11" t="n">
        <x:f>J127*'Model inputs'!$B$8</x:f>
        <x:v>-3859.0000000000146</x:v>
      </x:c>
      <x:c r="R127" s="1" t="str">
        <x:v>Outside standard debit bounds</x:v>
      </x:c>
      <x:c r="S127" s="1" t="n">
        <x:v>822</x:v>
      </x:c>
      <x:c r="T127" s="1" t="n">
        <x:v>841</x:v>
      </x:c>
    </x:row>
    <x:row r="128" ht="21" customHeight="1">
      <x:c r="A128" s="12" t="n">
        <x:v>46280</x:v>
      </x:c>
      <x:c r="B128" s="1" t="str">
        <x:v>Butterfly</x:v>
      </x:c>
      <x:c r="C128" s="1" t="str">
        <x:v>call</x:v>
      </x:c>
      <x:c r="D128" s="11" t="n">
        <x:v>5400</x:v>
      </x:c>
      <x:c r="E128" s="11" t="n">
        <x:v>5600</x:v>
      </x:c>
      <x:c r="F128" s="11" t="n">
        <x:v>5800</x:v>
      </x:c>
      <x:c r="G128" s="11" t="n">
        <x:f>'Option source'!B134</x:f>
        <x:v>1470</x:v>
      </x:c>
      <x:c r="H128" s="11" t="n">
        <x:f>'Option source'!B152</x:f>
        <x:v>1455</x:v>
      </x:c>
      <x:c r="I128" s="11" t="n">
        <x:f>'Option source'!B162</x:f>
        <x:v>1198.65</x:v>
      </x:c>
      <x:c r="J128" s="11" t="n">
        <x:f>G128-2*H128+IF(B128="Butterfly",I128,0)</x:f>
        <x:v>-241.3499999999999</x:v>
      </x:c>
      <x:c r="K128" s="11" t="n">
        <x:f>ABS(E128-D128)</x:f>
        <x:v>200</x:v>
      </x:c>
      <x:c r="L128" s="11" t="n">
        <x:f>K128-J128</x:f>
        <x:v>441.3499999999999</x:v>
      </x:c>
      <x:c r="M128" s="11" t="n">
        <x:f>IF(B128="Butterfly",MAX(J128,0),IF(C128="call","Unlimited",MAX(2*E128-D128+J128,J128,0)))</x:f>
        <x:v>0</x:v>
      </x:c>
      <x:c r="N128" s="11" t="str">
        <x:f>IF(B128="Butterfly",IF(AND(J128&gt;0,J128&lt;K128),D128+J128,"n.a."),IF(C128="call",IF(AND(J128&gt;0,J128&lt;K128),D128+J128,"n.a."),IF(AND(K128&gt;J128,2*E128-D128+J128&gt;=0),2*E128-D128+J128,"n.a.")))</x:f>
        <x:v>n.a.</x:v>
      </x:c>
      <x:c r="O128" s="11" t="str">
        <x:f>IF(B128="Butterfly",IF(AND(J128&gt;0,J128&lt;K128),F128-J128,"n.a."),IF(C128="call",IF(K128&gt;J128,2*E128-D128-J128,"n.a."),IF(AND(J128&gt;0,J128&lt;K128),D128-J128,"n.a.")))</x:f>
        <x:v>n.a.</x:v>
      </x:c>
      <x:c r="P128" s="19" t="str">
        <x:f>IF(AND(B128="Butterfly",J128&gt;0,J128&lt;K128),L128/J128,"n.a.")</x:f>
        <x:v>n.a.</x:v>
      </x:c>
      <x:c r="Q128" s="11" t="n">
        <x:f>J128*'Model inputs'!$B$8</x:f>
        <x:v>-24134.999999999993</x:v>
      </x:c>
      <x:c r="R128" s="1" t="str">
        <x:v>Outside standard debit bounds</x:v>
      </x:c>
      <x:c r="S128" s="1" t="n">
        <x:v>129</x:v>
      </x:c>
      <x:c r="T128" s="1" t="n">
        <x:v>147</x:v>
      </x:c>
    </x:row>
    <x:row r="129" ht="21" customHeight="1">
      <x:c r="A129" s="12" t="n">
        <x:v>46280</x:v>
      </x:c>
      <x:c r="B129" s="1" t="str">
        <x:v>Butterfly</x:v>
      </x:c>
      <x:c r="C129" s="1" t="str">
        <x:v>call</x:v>
      </x:c>
      <x:c r="D129" s="11" t="n">
        <x:v>5200</x:v>
      </x:c>
      <x:c r="E129" s="11" t="n">
        <x:v>5400</x:v>
      </x:c>
      <x:c r="F129" s="11" t="n">
        <x:v>5600</x:v>
      </x:c>
      <x:c r="G129" s="11" t="n">
        <x:f>'Option source'!B115</x:f>
        <x:v>1678.07</x:v>
      </x:c>
      <x:c r="H129" s="11" t="n">
        <x:f>'Option source'!B134</x:f>
        <x:v>1470</x:v>
      </x:c>
      <x:c r="I129" s="11" t="n">
        <x:f>'Option source'!B152</x:f>
        <x:v>1455</x:v>
      </x:c>
      <x:c r="J129" s="11" t="n">
        <x:f>G129-2*H129+IF(B129="Butterfly",I129,0)</x:f>
        <x:v>193.06999999999994</x:v>
      </x:c>
      <x:c r="K129" s="11" t="n">
        <x:f>ABS(E129-D129)</x:f>
        <x:v>200</x:v>
      </x:c>
      <x:c r="L129" s="11" t="n">
        <x:f>K129-J129</x:f>
        <x:v>6.930000000000064</x:v>
      </x:c>
      <x:c r="M129" s="11" t="n">
        <x:f>IF(B129="Butterfly",MAX(J129,0),IF(C129="call","Unlimited",MAX(2*E129-D129+J129,J129,0)))</x:f>
        <x:v>193.06999999999994</x:v>
      </x:c>
      <x:c r="N129" s="11" t="n">
        <x:f>IF(B129="Butterfly",IF(AND(J129&gt;0,J129&lt;K129),D129+J129,"n.a."),IF(C129="call",IF(AND(J129&gt;0,J129&lt;K129),D129+J129,"n.a."),IF(AND(K129&gt;J129,2*E129-D129+J129&gt;=0),2*E129-D129+J129,"n.a.")))</x:f>
        <x:v>5393.07</x:v>
      </x:c>
      <x:c r="O129" s="11" t="n">
        <x:f>IF(B129="Butterfly",IF(AND(J129&gt;0,J129&lt;K129),F129-J129,"n.a."),IF(C129="call",IF(K129&gt;J129,2*E129-D129-J129,"n.a."),IF(AND(J129&gt;0,J129&lt;K129),D129-J129,"n.a.")))</x:f>
        <x:v>5406.93</x:v>
      </x:c>
      <x:c r="P129" s="19" t="n">
        <x:f>IF(AND(B129="Butterfly",J129&gt;0,J129&lt;K129),L129/J129,"n.a.")</x:f>
        <x:v>0.03589371730460489</x:v>
      </x:c>
      <x:c r="Q129" s="11" t="n">
        <x:f>J129*'Model inputs'!$B$8</x:f>
        <x:v>19306.999999999993</x:v>
      </x:c>
      <x:c r="R129" s="1" t="str">
        <x:v>Flagged leg data</x:v>
      </x:c>
      <x:c r="S129" s="1" t="n">
        <x:v>110</x:v>
      </x:c>
      <x:c r="T129" s="1" t="n">
        <x:v>129</x:v>
      </x:c>
    </x:row>
    <x:row r="130" ht="21" customHeight="1">
      <x:c r="A130" s="12" t="n">
        <x:v>46280</x:v>
      </x:c>
      <x:c r="B130" s="1" t="str">
        <x:v>Butterfly</x:v>
      </x:c>
      <x:c r="C130" s="1" t="str">
        <x:v>call</x:v>
      </x:c>
      <x:c r="D130" s="11" t="n">
        <x:v>5000</x:v>
      </x:c>
      <x:c r="E130" s="11" t="n">
        <x:v>5200</x:v>
      </x:c>
      <x:c r="F130" s="11" t="n">
        <x:v>5400</x:v>
      </x:c>
      <x:c r="G130" s="11" t="n">
        <x:f>'Option source'!B96</x:f>
        <x:v>1851</x:v>
      </x:c>
      <x:c r="H130" s="11" t="n">
        <x:f>'Option source'!B115</x:f>
        <x:v>1678.07</x:v>
      </x:c>
      <x:c r="I130" s="11" t="n">
        <x:f>'Option source'!B134</x:f>
        <x:v>1470</x:v>
      </x:c>
      <x:c r="J130" s="11" t="n">
        <x:f>G130-2*H130+IF(B130="Butterfly",I130,0)</x:f>
        <x:v>-35.13999999999987</x:v>
      </x:c>
      <x:c r="K130" s="11" t="n">
        <x:f>ABS(E130-D130)</x:f>
        <x:v>200</x:v>
      </x:c>
      <x:c r="L130" s="11" t="n">
        <x:f>K130-J130</x:f>
        <x:v>235.13999999999987</x:v>
      </x:c>
      <x:c r="M130" s="11" t="n">
        <x:f>IF(B130="Butterfly",MAX(J130,0),IF(C130="call","Unlimited",MAX(2*E130-D130+J130,J130,0)))</x:f>
        <x:v>0</x:v>
      </x:c>
      <x:c r="N130" s="11" t="str">
        <x:f>IF(B130="Butterfly",IF(AND(J130&gt;0,J130&lt;K130),D130+J130,"n.a."),IF(C130="call",IF(AND(J130&gt;0,J130&lt;K130),D130+J130,"n.a."),IF(AND(K130&gt;J130,2*E130-D130+J130&gt;=0),2*E130-D130+J130,"n.a.")))</x:f>
        <x:v>n.a.</x:v>
      </x:c>
      <x:c r="O130" s="11" t="str">
        <x:f>IF(B130="Butterfly",IF(AND(J130&gt;0,J130&lt;K130),F130-J130,"n.a."),IF(C130="call",IF(K130&gt;J130,2*E130-D130-J130,"n.a."),IF(AND(J130&gt;0,J130&lt;K130),D130-J130,"n.a.")))</x:f>
        <x:v>n.a.</x:v>
      </x:c>
      <x:c r="P130" s="19" t="str">
        <x:f>IF(AND(B130="Butterfly",J130&gt;0,J130&lt;K130),L130/J130,"n.a.")</x:f>
        <x:v>n.a.</x:v>
      </x:c>
      <x:c r="Q130" s="11" t="n">
        <x:f>J130*'Model inputs'!$B$8</x:f>
        <x:v>-3513.9999999999873</x:v>
      </x:c>
      <x:c r="R130" s="1" t="str">
        <x:v>Outside standard debit bounds</x:v>
      </x:c>
      <x:c r="S130" s="1" t="n">
        <x:v>91</x:v>
      </x:c>
      <x:c r="T130" s="1" t="n">
        <x:v>110</x:v>
      </x:c>
    </x:row>
    <x:row r="131" ht="21" customHeight="1">
      <x:c r="A131" s="12" t="n">
        <x:v>46280</x:v>
      </x:c>
      <x:c r="B131" s="1" t="str">
        <x:v>Butterfly</x:v>
      </x:c>
      <x:c r="C131" s="1" t="str">
        <x:v>put</x:v>
      </x:c>
      <x:c r="D131" s="11" t="n">
        <x:v>8000</x:v>
      </x:c>
      <x:c r="E131" s="11" t="n">
        <x:v>8300</x:v>
      </x:c>
      <x:c r="F131" s="11" t="n">
        <x:v>8600</x:v>
      </x:c>
      <x:c r="G131" s="11" t="n">
        <x:f>'Option source'!B865</x:f>
        <x:v>1230</x:v>
      </x:c>
      <x:c r="H131" s="11" t="n">
        <x:f>'Option source'!B884</x:f>
        <x:v>1520</x:v>
      </x:c>
      <x:c r="I131" s="11" t="n">
        <x:f>'Option source'!B903</x:f>
        <x:v>1648.65</x:v>
      </x:c>
      <x:c r="J131" s="11" t="n">
        <x:f>G131-2*H131+IF(B131="Butterfly",I131,0)</x:f>
        <x:v>-161.3499999999999</x:v>
      </x:c>
      <x:c r="K131" s="11" t="n">
        <x:f>ABS(E131-D131)</x:f>
        <x:v>300</x:v>
      </x:c>
      <x:c r="L131" s="11" t="n">
        <x:f>K131-J131</x:f>
        <x:v>461.3499999999999</x:v>
      </x:c>
      <x:c r="M131" s="11" t="n">
        <x:f>IF(B131="Butterfly",MAX(J131,0),IF(C131="call","Unlimited",MAX(2*E131-D131+J131,J131,0)))</x:f>
        <x:v>0</x:v>
      </x:c>
      <x:c r="N131" s="11" t="str">
        <x:f>IF(B131="Butterfly",IF(AND(J131&gt;0,J131&lt;K131),D131+J131,"n.a."),IF(C131="call",IF(AND(J131&gt;0,J131&lt;K131),D131+J131,"n.a."),IF(AND(K131&gt;J131,2*E131-D131+J131&gt;=0),2*E131-D131+J131,"n.a.")))</x:f>
        <x:v>n.a.</x:v>
      </x:c>
      <x:c r="O131" s="11" t="str">
        <x:f>IF(B131="Butterfly",IF(AND(J131&gt;0,J131&lt;K131),F131-J131,"n.a."),IF(C131="call",IF(K131&gt;J131,2*E131-D131-J131,"n.a."),IF(AND(J131&gt;0,J131&lt;K131),D131-J131,"n.a.")))</x:f>
        <x:v>n.a.</x:v>
      </x:c>
      <x:c r="P131" s="19" t="str">
        <x:f>IF(AND(B131="Butterfly",J131&gt;0,J131&lt;K131),L131/J131,"n.a.")</x:f>
        <x:v>n.a.</x:v>
      </x:c>
      <x:c r="Q131" s="11" t="n">
        <x:f>J131*'Model inputs'!$B$8</x:f>
        <x:v>-16134.99999999999</x:v>
      </x:c>
      <x:c r="R131" s="1" t="str">
        <x:v>Outside standard debit bounds</x:v>
      </x:c>
      <x:c r="S131" s="1" t="n">
        <x:v>860</x:v>
      </x:c>
      <x:c r="T131" s="1" t="n">
        <x:v>879</x:v>
      </x:c>
    </x:row>
    <x:row r="132" ht="21" customHeight="1">
      <x:c r="A132" s="12" t="n">
        <x:v>46280</x:v>
      </x:c>
      <x:c r="B132" s="1" t="str">
        <x:v>Butterfly</x:v>
      </x:c>
      <x:c r="C132" s="1" t="str">
        <x:v>call</x:v>
      </x:c>
      <x:c r="D132" s="11" t="n">
        <x:v>4800</x:v>
      </x:c>
      <x:c r="E132" s="11" t="n">
        <x:v>5000</x:v>
      </x:c>
      <x:c r="F132" s="11" t="n">
        <x:v>5200</x:v>
      </x:c>
      <x:c r="G132" s="11" t="n">
        <x:f>'Option source'!B79</x:f>
        <x:v>2084.21</x:v>
      </x:c>
      <x:c r="H132" s="11" t="n">
        <x:f>'Option source'!B96</x:f>
        <x:v>1851</x:v>
      </x:c>
      <x:c r="I132" s="11" t="n">
        <x:f>'Option source'!B115</x:f>
        <x:v>1678.07</x:v>
      </x:c>
      <x:c r="J132" s="11" t="n">
        <x:f>G132-2*H132+IF(B132="Butterfly",I132,0)</x:f>
        <x:v>60.27999999999997</x:v>
      </x:c>
      <x:c r="K132" s="11" t="n">
        <x:f>ABS(E132-D132)</x:f>
        <x:v>200</x:v>
      </x:c>
      <x:c r="L132" s="11" t="n">
        <x:f>K132-J132</x:f>
        <x:v>139.72000000000003</x:v>
      </x:c>
      <x:c r="M132" s="11" t="n">
        <x:f>IF(B132="Butterfly",MAX(J132,0),IF(C132="call","Unlimited",MAX(2*E132-D132+J132,J132,0)))</x:f>
        <x:v>60.27999999999997</x:v>
      </x:c>
      <x:c r="N132" s="11" t="n">
        <x:f>IF(B132="Butterfly",IF(AND(J132&gt;0,J132&lt;K132),D132+J132,"n.a."),IF(C132="call",IF(AND(J132&gt;0,J132&lt;K132),D132+J132,"n.a."),IF(AND(K132&gt;J132,2*E132-D132+J132&gt;=0),2*E132-D132+J132,"n.a.")))</x:f>
        <x:v>4860.28</x:v>
      </x:c>
      <x:c r="O132" s="11" t="n">
        <x:f>IF(B132="Butterfly",IF(AND(J132&gt;0,J132&lt;K132),F132-J132,"n.a."),IF(C132="call",IF(K132&gt;J132,2*E132-D132-J132,"n.a."),IF(AND(J132&gt;0,J132&lt;K132),D132-J132,"n.a.")))</x:f>
        <x:v>5139.72</x:v>
      </x:c>
      <x:c r="P132" s="19" t="n">
        <x:f>IF(AND(B132="Butterfly",J132&gt;0,J132&lt;K132),L132/J132,"n.a.")</x:f>
        <x:v>2.3178500331785017</x:v>
      </x:c>
      <x:c r="Q132" s="11" t="n">
        <x:f>J132*'Model inputs'!$B$8</x:f>
        <x:v>6027.999999999997</x:v>
      </x:c>
      <x:c r="R132" s="1" t="str">
        <x:v>Flagged leg data</x:v>
      </x:c>
      <x:c r="S132" s="1" t="n">
        <x:v>74</x:v>
      </x:c>
      <x:c r="T132" s="1" t="n">
        <x:v>91</x:v>
      </x:c>
    </x:row>
    <x:row r="133" ht="21" customHeight="1">
      <x:c r="A133" s="12" t="n">
        <x:v>46280</x:v>
      </x:c>
      <x:c r="B133" s="1" t="str">
        <x:v>Butterfly</x:v>
      </x:c>
      <x:c r="C133" s="1" t="str">
        <x:v>put</x:v>
      </x:c>
      <x:c r="D133" s="11" t="n">
        <x:v>8300</x:v>
      </x:c>
      <x:c r="E133" s="11" t="n">
        <x:v>8600</x:v>
      </x:c>
      <x:c r="F133" s="11" t="n">
        <x:v>8900</x:v>
      </x:c>
      <x:c r="G133" s="11" t="n">
        <x:f>'Option source'!B884</x:f>
        <x:v>1520</x:v>
      </x:c>
      <x:c r="H133" s="11" t="n">
        <x:f>'Option source'!B903</x:f>
        <x:v>1648.65</x:v>
      </x:c>
      <x:c r="I133" s="11" t="n">
        <x:f>'Option source'!B918</x:f>
        <x:v>2022.5</x:v>
      </x:c>
      <x:c r="J133" s="11" t="n">
        <x:f>G133-2*H133+IF(B133="Butterfly",I133,0)</x:f>
        <x:v>245.19999999999982</x:v>
      </x:c>
      <x:c r="K133" s="11" t="n">
        <x:f>ABS(E133-D133)</x:f>
        <x:v>300</x:v>
      </x:c>
      <x:c r="L133" s="11" t="n">
        <x:f>K133-J133</x:f>
        <x:v>54.80000000000018</x:v>
      </x:c>
      <x:c r="M133" s="11" t="n">
        <x:f>IF(B133="Butterfly",MAX(J133,0),IF(C133="call","Unlimited",MAX(2*E133-D133+J133,J133,0)))</x:f>
        <x:v>245.19999999999982</x:v>
      </x:c>
      <x:c r="N133" s="11" t="n">
        <x:f>IF(B133="Butterfly",IF(AND(J133&gt;0,J133&lt;K133),D133+J133,"n.a."),IF(C133="call",IF(AND(J133&gt;0,J133&lt;K133),D133+J133,"n.a."),IF(AND(K133&gt;J133,2*E133-D133+J133&gt;=0),2*E133-D133+J133,"n.a.")))</x:f>
        <x:v>8545.2</x:v>
      </x:c>
      <x:c r="O133" s="11" t="n">
        <x:f>IF(B133="Butterfly",IF(AND(J133&gt;0,J133&lt;K133),F133-J133,"n.a."),IF(C133="call",IF(K133&gt;J133,2*E133-D133-J133,"n.a."),IF(AND(J133&gt;0,J133&lt;K133),D133-J133,"n.a.")))</x:f>
        <x:v>8654.8</x:v>
      </x:c>
      <x:c r="P133" s="19" t="n">
        <x:f>IF(AND(B133="Butterfly",J133&gt;0,J133&lt;K133),L133/J133,"n.a.")</x:f>
        <x:v>0.2234910277324642</x:v>
      </x:c>
      <x:c r="Q133" s="11" t="n">
        <x:f>J133*'Model inputs'!$B$8</x:f>
        <x:v>24519.99999999998</x:v>
      </x:c>
      <x:c r="R133" s="1" t="str">
        <x:v>Flagged leg data</x:v>
      </x:c>
      <x:c r="S133" s="1" t="n">
        <x:v>879</x:v>
      </x:c>
      <x:c r="T133" s="1" t="n">
        <x:v>898</x:v>
      </x:c>
    </x:row>
    <x:row r="134" ht="21" customHeight="1">
      <x:c r="A134" s="12" t="n">
        <x:v>46280</x:v>
      </x:c>
      <x:c r="B134" s="1" t="str">
        <x:v>Butterfly</x:v>
      </x:c>
      <x:c r="C134" s="1" t="str">
        <x:v>call</x:v>
      </x:c>
      <x:c r="D134" s="11" t="n">
        <x:v>4600</x:v>
      </x:c>
      <x:c r="E134" s="11" t="n">
        <x:v>4800</x:v>
      </x:c>
      <x:c r="F134" s="11" t="n">
        <x:v>5000</x:v>
      </x:c>
      <x:c r="G134" s="11" t="n">
        <x:f>'Option source'!B62</x:f>
        <x:v>2280.1</x:v>
      </x:c>
      <x:c r="H134" s="11" t="n">
        <x:f>'Option source'!B79</x:f>
        <x:v>2084.21</x:v>
      </x:c>
      <x:c r="I134" s="11" t="n">
        <x:f>'Option source'!B96</x:f>
        <x:v>1851</x:v>
      </x:c>
      <x:c r="J134" s="11" t="n">
        <x:f>G134-2*H134+IF(B134="Butterfly",I134,0)</x:f>
        <x:v>-37.320000000000164</x:v>
      </x:c>
      <x:c r="K134" s="11" t="n">
        <x:f>ABS(E134-D134)</x:f>
        <x:v>200</x:v>
      </x:c>
      <x:c r="L134" s="11" t="n">
        <x:f>K134-J134</x:f>
        <x:v>237.32000000000016</x:v>
      </x:c>
      <x:c r="M134" s="11" t="n">
        <x:f>IF(B134="Butterfly",MAX(J134,0),IF(C134="call","Unlimited",MAX(2*E134-D134+J134,J134,0)))</x:f>
        <x:v>0</x:v>
      </x:c>
      <x:c r="N134" s="11" t="str">
        <x:f>IF(B134="Butterfly",IF(AND(J134&gt;0,J134&lt;K134),D134+J134,"n.a."),IF(C134="call",IF(AND(J134&gt;0,J134&lt;K134),D134+J134,"n.a."),IF(AND(K134&gt;J134,2*E134-D134+J134&gt;=0),2*E134-D134+J134,"n.a.")))</x:f>
        <x:v>n.a.</x:v>
      </x:c>
      <x:c r="O134" s="11" t="str">
        <x:f>IF(B134="Butterfly",IF(AND(J134&gt;0,J134&lt;K134),F134-J134,"n.a."),IF(C134="call",IF(K134&gt;J134,2*E134-D134-J134,"n.a."),IF(AND(J134&gt;0,J134&lt;K134),D134-J134,"n.a.")))</x:f>
        <x:v>n.a.</x:v>
      </x:c>
      <x:c r="P134" s="19" t="str">
        <x:f>IF(AND(B134="Butterfly",J134&gt;0,J134&lt;K134),L134/J134,"n.a.")</x:f>
        <x:v>n.a.</x:v>
      </x:c>
      <x:c r="Q134" s="11" t="n">
        <x:f>J134*'Model inputs'!$B$8</x:f>
        <x:v>-3732.0000000000164</x:v>
      </x:c>
      <x:c r="R134" s="1" t="str">
        <x:v>Outside standard debit bounds</x:v>
      </x:c>
      <x:c r="S134" s="1" t="n">
        <x:v>57</x:v>
      </x:c>
      <x:c r="T134" s="1" t="n">
        <x:v>74</x:v>
      </x:c>
    </x:row>
    <x:row r="135" ht="21" customHeight="1">
      <x:c r="A135" s="12" t="n">
        <x:v>46280</x:v>
      </x:c>
      <x:c r="B135" s="1" t="str">
        <x:v>Butterfly</x:v>
      </x:c>
      <x:c r="C135" s="1" t="str">
        <x:v>put</x:v>
      </x:c>
      <x:c r="D135" s="11" t="n">
        <x:v>4600</x:v>
      </x:c>
      <x:c r="E135" s="11" t="n">
        <x:v>4800</x:v>
      </x:c>
      <x:c r="F135" s="11" t="n">
        <x:v>5000</x:v>
      </x:c>
      <x:c r="G135" s="11" t="n">
        <x:f>'Option source'!B542</x:f>
        <x:v>1.8</x:v>
      </x:c>
      <x:c r="H135" s="11" t="n">
        <x:f>'Option source'!B561</x:f>
        <x:v>2.64</x:v>
      </x:c>
      <x:c r="I135" s="11" t="n">
        <x:f>'Option source'!B580</x:f>
        <x:v>3.46</x:v>
      </x:c>
      <x:c r="J135" s="11" t="n">
        <x:f>G135-2*H135+IF(B135="Butterfly",I135,0)</x:f>
        <x:v>-0.020000000000000462</x:v>
      </x:c>
      <x:c r="K135" s="11" t="n">
        <x:f>ABS(E135-D135)</x:f>
        <x:v>200</x:v>
      </x:c>
      <x:c r="L135" s="11" t="n">
        <x:f>K135-J135</x:f>
        <x:v>200.02</x:v>
      </x:c>
      <x:c r="M135" s="11" t="n">
        <x:f>IF(B135="Butterfly",MAX(J135,0),IF(C135="call","Unlimited",MAX(2*E135-D135+J135,J135,0)))</x:f>
        <x:v>0</x:v>
      </x:c>
      <x:c r="N135" s="11" t="str">
        <x:f>IF(B135="Butterfly",IF(AND(J135&gt;0,J135&lt;K135),D135+J135,"n.a."),IF(C135="call",IF(AND(J135&gt;0,J135&lt;K135),D135+J135,"n.a."),IF(AND(K135&gt;J135,2*E135-D135+J135&gt;=0),2*E135-D135+J135,"n.a.")))</x:f>
        <x:v>n.a.</x:v>
      </x:c>
      <x:c r="O135" s="11" t="str">
        <x:f>IF(B135="Butterfly",IF(AND(J135&gt;0,J135&lt;K135),F135-J135,"n.a."),IF(C135="call",IF(K135&gt;J135,2*E135-D135-J135,"n.a."),IF(AND(J135&gt;0,J135&lt;K135),D135-J135,"n.a.")))</x:f>
        <x:v>n.a.</x:v>
      </x:c>
      <x:c r="P135" s="19" t="str">
        <x:f>IF(AND(B135="Butterfly",J135&gt;0,J135&lt;K135),L135/J135,"n.a.")</x:f>
        <x:v>n.a.</x:v>
      </x:c>
      <x:c r="Q135" s="11" t="n">
        <x:f>J135*'Model inputs'!$B$8</x:f>
        <x:v>-2.000000000000046</x:v>
      </x:c>
      <x:c r="R135" s="1" t="str">
        <x:v>Outside standard debit bounds</x:v>
      </x:c>
      <x:c r="S135" s="1" t="n">
        <x:v>537</x:v>
      </x:c>
      <x:c r="T135" s="1" t="n">
        <x:v>556</x:v>
      </x:c>
    </x:row>
    <x:row r="136" ht="21" customHeight="1">
      <x:c r="A136" s="12" t="n">
        <x:v>46280</x:v>
      </x:c>
      <x:c r="B136" s="1" t="str">
        <x:v>Butterfly</x:v>
      </x:c>
      <x:c r="C136" s="1" t="str">
        <x:v>call</x:v>
      </x:c>
      <x:c r="D136" s="11" t="n">
        <x:v>4400</x:v>
      </x:c>
      <x:c r="E136" s="11" t="n">
        <x:v>4600</x:v>
      </x:c>
      <x:c r="F136" s="11" t="n">
        <x:v>4800</x:v>
      </x:c>
      <x:c r="G136" s="11" t="n">
        <x:f>'Option source'!B43</x:f>
        <x:v>2422</x:v>
      </x:c>
      <x:c r="H136" s="11" t="n">
        <x:f>'Option source'!B62</x:f>
        <x:v>2280.1</x:v>
      </x:c>
      <x:c r="I136" s="11" t="n">
        <x:f>'Option source'!B79</x:f>
        <x:v>2084.21</x:v>
      </x:c>
      <x:c r="J136" s="11" t="n">
        <x:f>G136-2*H136+IF(B136="Butterfly",I136,0)</x:f>
        <x:v>-53.98999999999978</x:v>
      </x:c>
      <x:c r="K136" s="11" t="n">
        <x:f>ABS(E136-D136)</x:f>
        <x:v>200</x:v>
      </x:c>
      <x:c r="L136" s="11" t="n">
        <x:f>K136-J136</x:f>
        <x:v>253.98999999999978</x:v>
      </x:c>
      <x:c r="M136" s="11" t="n">
        <x:f>IF(B136="Butterfly",MAX(J136,0),IF(C136="call","Unlimited",MAX(2*E136-D136+J136,J136,0)))</x:f>
        <x:v>0</x:v>
      </x:c>
      <x:c r="N136" s="11" t="str">
        <x:f>IF(B136="Butterfly",IF(AND(J136&gt;0,J136&lt;K136),D136+J136,"n.a."),IF(C136="call",IF(AND(J136&gt;0,J136&lt;K136),D136+J136,"n.a."),IF(AND(K136&gt;J136,2*E136-D136+J136&gt;=0),2*E136-D136+J136,"n.a.")))</x:f>
        <x:v>n.a.</x:v>
      </x:c>
      <x:c r="O136" s="11" t="str">
        <x:f>IF(B136="Butterfly",IF(AND(J136&gt;0,J136&lt;K136),F136-J136,"n.a."),IF(C136="call",IF(K136&gt;J136,2*E136-D136-J136,"n.a."),IF(AND(J136&gt;0,J136&lt;K136),D136-J136,"n.a.")))</x:f>
        <x:v>n.a.</x:v>
      </x:c>
      <x:c r="P136" s="19" t="str">
        <x:f>IF(AND(B136="Butterfly",J136&gt;0,J136&lt;K136),L136/J136,"n.a.")</x:f>
        <x:v>n.a.</x:v>
      </x:c>
      <x:c r="Q136" s="11" t="n">
        <x:f>J136*'Model inputs'!$B$8</x:f>
        <x:v>-5398.999999999978</x:v>
      </x:c>
      <x:c r="R136" s="1" t="str">
        <x:v>Outside standard debit bounds</x:v>
      </x:c>
      <x:c r="S136" s="1" t="n">
        <x:v>38</x:v>
      </x:c>
      <x:c r="T136" s="1" t="n">
        <x:v>57</x:v>
      </x:c>
    </x:row>
    <x:row r="137" ht="21" customHeight="1">
      <x:c r="A137" s="12" t="n">
        <x:v>46280</x:v>
      </x:c>
      <x:c r="B137" s="1" t="str">
        <x:v>Butterfly</x:v>
      </x:c>
      <x:c r="C137" s="1" t="str">
        <x:v>put</x:v>
      </x:c>
      <x:c r="D137" s="11" t="n">
        <x:v>4400</x:v>
      </x:c>
      <x:c r="E137" s="11" t="n">
        <x:v>4600</x:v>
      </x:c>
      <x:c r="F137" s="11" t="n">
        <x:v>4800</x:v>
      </x:c>
      <x:c r="G137" s="11" t="n">
        <x:f>'Option source'!B523</x:f>
        <x:v>1.71</x:v>
      </x:c>
      <x:c r="H137" s="11" t="n">
        <x:f>'Option source'!B542</x:f>
        <x:v>1.8</x:v>
      </x:c>
      <x:c r="I137" s="11" t="n">
        <x:f>'Option source'!B561</x:f>
        <x:v>2.64</x:v>
      </x:c>
      <x:c r="J137" s="11" t="n">
        <x:f>G137-2*H137+IF(B137="Butterfly",I137,0)</x:f>
        <x:v>0.75</x:v>
      </x:c>
      <x:c r="K137" s="11" t="n">
        <x:f>ABS(E137-D137)</x:f>
        <x:v>200</x:v>
      </x:c>
      <x:c r="L137" s="11" t="n">
        <x:f>K137-J137</x:f>
        <x:v>199.25</x:v>
      </x:c>
      <x:c r="M137" s="11" t="n">
        <x:f>IF(B137="Butterfly",MAX(J137,0),IF(C137="call","Unlimited",MAX(2*E137-D137+J137,J137,0)))</x:f>
        <x:v>0.75</x:v>
      </x:c>
      <x:c r="N137" s="11" t="n">
        <x:f>IF(B137="Butterfly",IF(AND(J137&gt;0,J137&lt;K137),D137+J137,"n.a."),IF(C137="call",IF(AND(J137&gt;0,J137&lt;K137),D137+J137,"n.a."),IF(AND(K137&gt;J137,2*E137-D137+J137&gt;=0),2*E137-D137+J137,"n.a.")))</x:f>
        <x:v>4400.75</x:v>
      </x:c>
      <x:c r="O137" s="11" t="n">
        <x:f>IF(B137="Butterfly",IF(AND(J137&gt;0,J137&lt;K137),F137-J137,"n.a."),IF(C137="call",IF(K137&gt;J137,2*E137-D137-J137,"n.a."),IF(AND(J137&gt;0,J137&lt;K137),D137-J137,"n.a.")))</x:f>
        <x:v>4799.25</x:v>
      </x:c>
      <x:c r="P137" s="19" t="n">
        <x:f>IF(AND(B137="Butterfly",J137&gt;0,J137&lt;K137),L137/J137,"n.a.")</x:f>
        <x:v>265.6666666666667</x:v>
      </x:c>
      <x:c r="Q137" s="11" t="n">
        <x:f>J137*'Model inputs'!$B$8</x:f>
        <x:v>75</x:v>
      </x:c>
      <x:c r="R137" s="1" t="str">
        <x:v>Flagged leg data</x:v>
      </x:c>
      <x:c r="S137" s="1" t="n">
        <x:v>518</x:v>
      </x:c>
      <x:c r="T137" s="1" t="n">
        <x:v>537</x:v>
      </x:c>
    </x:row>
    <x:row r="138" ht="21" customHeight="1">
      <x:c r="A138" s="12" t="n">
        <x:v>46280</x:v>
      </x:c>
      <x:c r="B138" s="1" t="str">
        <x:v>Butterfly</x:v>
      </x:c>
      <x:c r="C138" s="1" t="str">
        <x:v>put</x:v>
      </x:c>
      <x:c r="D138" s="11" t="n">
        <x:v>8600</x:v>
      </x:c>
      <x:c r="E138" s="11" t="n">
        <x:v>8900</x:v>
      </x:c>
      <x:c r="F138" s="11" t="n">
        <x:v>9200</x:v>
      </x:c>
      <x:c r="G138" s="11" t="n">
        <x:f>'Option source'!B903</x:f>
        <x:v>1648.65</x:v>
      </x:c>
      <x:c r="H138" s="11" t="n">
        <x:f>'Option source'!B918</x:f>
        <x:v>2022.5</x:v>
      </x:c>
      <x:c r="I138" s="11" t="n">
        <x:f>'Option source'!B925</x:f>
        <x:v>2041.57</x:v>
      </x:c>
      <x:c r="J138" s="11" t="n">
        <x:f>G138-2*H138+IF(B138="Butterfly",I138,0)</x:f>
        <x:v>-354.78</x:v>
      </x:c>
      <x:c r="K138" s="11" t="n">
        <x:f>ABS(E138-D138)</x:f>
        <x:v>300</x:v>
      </x:c>
      <x:c r="L138" s="11" t="n">
        <x:f>K138-J138</x:f>
        <x:v>654.78</x:v>
      </x:c>
      <x:c r="M138" s="11" t="n">
        <x:f>IF(B138="Butterfly",MAX(J138,0),IF(C138="call","Unlimited",MAX(2*E138-D138+J138,J138,0)))</x:f>
        <x:v>0</x:v>
      </x:c>
      <x:c r="N138" s="11" t="str">
        <x:f>IF(B138="Butterfly",IF(AND(J138&gt;0,J138&lt;K138),D138+J138,"n.a."),IF(C138="call",IF(AND(J138&gt;0,J138&lt;K138),D138+J138,"n.a."),IF(AND(K138&gt;J138,2*E138-D138+J138&gt;=0),2*E138-D138+J138,"n.a.")))</x:f>
        <x:v>n.a.</x:v>
      </x:c>
      <x:c r="O138" s="11" t="str">
        <x:f>IF(B138="Butterfly",IF(AND(J138&gt;0,J138&lt;K138),F138-J138,"n.a."),IF(C138="call",IF(K138&gt;J138,2*E138-D138-J138,"n.a."),IF(AND(J138&gt;0,J138&lt;K138),D138-J138,"n.a.")))</x:f>
        <x:v>n.a.</x:v>
      </x:c>
      <x:c r="P138" s="19" t="str">
        <x:f>IF(AND(B138="Butterfly",J138&gt;0,J138&lt;K138),L138/J138,"n.a.")</x:f>
        <x:v>n.a.</x:v>
      </x:c>
      <x:c r="Q138" s="11" t="n">
        <x:f>J138*'Model inputs'!$B$8</x:f>
        <x:v>-35478</x:v>
      </x:c>
      <x:c r="R138" s="1" t="str">
        <x:v>Outside standard debit bounds</x:v>
      </x:c>
      <x:c r="S138" s="1" t="n">
        <x:v>898</x:v>
      </x:c>
      <x:c r="T138" s="1" t="n">
        <x:v>913</x:v>
      </x:c>
    </x:row>
    <x:row r="139" ht="21" customHeight="1">
      <x:c r="A139" s="12" t="n">
        <x:v>46280</x:v>
      </x:c>
      <x:c r="B139" s="1" t="str">
        <x:v>Butterfly</x:v>
      </x:c>
      <x:c r="C139" s="1" t="str">
        <x:v>call</x:v>
      </x:c>
      <x:c r="D139" s="11" t="n">
        <x:v>4200</x:v>
      </x:c>
      <x:c r="E139" s="11" t="n">
        <x:v>4400</x:v>
      </x:c>
      <x:c r="F139" s="11" t="n">
        <x:v>4600</x:v>
      </x:c>
      <x:c r="G139" s="11" t="n">
        <x:f>'Option source'!B24</x:f>
        <x:v>2597.16</x:v>
      </x:c>
      <x:c r="H139" s="11" t="n">
        <x:f>'Option source'!B43</x:f>
        <x:v>2422</x:v>
      </x:c>
      <x:c r="I139" s="11" t="n">
        <x:f>'Option source'!B62</x:f>
        <x:v>2280.1</x:v>
      </x:c>
      <x:c r="J139" s="11" t="n">
        <x:f>G139-2*H139+IF(B139="Butterfly",I139,0)</x:f>
        <x:v>33.25999999999976</x:v>
      </x:c>
      <x:c r="K139" s="11" t="n">
        <x:f>ABS(E139-D139)</x:f>
        <x:v>200</x:v>
      </x:c>
      <x:c r="L139" s="11" t="n">
        <x:f>K139-J139</x:f>
        <x:v>166.74000000000024</x:v>
      </x:c>
      <x:c r="M139" s="11" t="n">
        <x:f>IF(B139="Butterfly",MAX(J139,0),IF(C139="call","Unlimited",MAX(2*E139-D139+J139,J139,0)))</x:f>
        <x:v>33.25999999999976</x:v>
      </x:c>
      <x:c r="N139" s="11" t="n">
        <x:f>IF(B139="Butterfly",IF(AND(J139&gt;0,J139&lt;K139),D139+J139,"n.a."),IF(C139="call",IF(AND(J139&gt;0,J139&lt;K139),D139+J139,"n.a."),IF(AND(K139&gt;J139,2*E139-D139+J139&gt;=0),2*E139-D139+J139,"n.a.")))</x:f>
        <x:v>4233.26</x:v>
      </x:c>
      <x:c r="O139" s="11" t="n">
        <x:f>IF(B139="Butterfly",IF(AND(J139&gt;0,J139&lt;K139),F139-J139,"n.a."),IF(C139="call",IF(K139&gt;J139,2*E139-D139-J139,"n.a."),IF(AND(J139&gt;0,J139&lt;K139),D139-J139,"n.a.")))</x:f>
        <x:v>4566.74</x:v>
      </x:c>
      <x:c r="P139" s="19" t="n">
        <x:f>IF(AND(B139="Butterfly",J139&gt;0,J139&lt;K139),L139/J139,"n.a.")</x:f>
        <x:v>5.013229104028906</x:v>
      </x:c>
      <x:c r="Q139" s="11" t="n">
        <x:f>J139*'Model inputs'!$B$8</x:f>
        <x:v>3325.9999999999764</x:v>
      </x:c>
      <x:c r="R139" s="1" t="str">
        <x:v>Flagged leg data</x:v>
      </x:c>
      <x:c r="S139" s="1" t="n">
        <x:v>19</x:v>
      </x:c>
      <x:c r="T139" s="1" t="n">
        <x:v>38</x:v>
      </x:c>
    </x:row>
    <x:row r="140" ht="21" customHeight="1">
      <x:c r="A140" s="12" t="n">
        <x:v>46280</x:v>
      </x:c>
      <x:c r="B140" s="1" t="str">
        <x:v>Butterfly</x:v>
      </x:c>
      <x:c r="C140" s="1" t="str">
        <x:v>put</x:v>
      </x:c>
      <x:c r="D140" s="11" t="n">
        <x:v>4200</x:v>
      </x:c>
      <x:c r="E140" s="11" t="n">
        <x:v>4400</x:v>
      </x:c>
      <x:c r="F140" s="11" t="n">
        <x:v>4600</x:v>
      </x:c>
      <x:c r="G140" s="11" t="n">
        <x:f>'Option source'!B504</x:f>
        <x:v>1.19</x:v>
      </x:c>
      <x:c r="H140" s="11" t="n">
        <x:f>'Option source'!B523</x:f>
        <x:v>1.71</x:v>
      </x:c>
      <x:c r="I140" s="11" t="n">
        <x:f>'Option source'!B542</x:f>
        <x:v>1.8</x:v>
      </x:c>
      <x:c r="J140" s="11" t="n">
        <x:f>G140-2*H140+IF(B140="Butterfly",I140,0)</x:f>
        <x:v>-0.42999999999999994</x:v>
      </x:c>
      <x:c r="K140" s="11" t="n">
        <x:f>ABS(E140-D140)</x:f>
        <x:v>200</x:v>
      </x:c>
      <x:c r="L140" s="11" t="n">
        <x:f>K140-J140</x:f>
        <x:v>200.43</x:v>
      </x:c>
      <x:c r="M140" s="11" t="n">
        <x:f>IF(B140="Butterfly",MAX(J140,0),IF(C140="call","Unlimited",MAX(2*E140-D140+J140,J140,0)))</x:f>
        <x:v>0</x:v>
      </x:c>
      <x:c r="N140" s="11" t="str">
        <x:f>IF(B140="Butterfly",IF(AND(J140&gt;0,J140&lt;K140),D140+J140,"n.a."),IF(C140="call",IF(AND(J140&gt;0,J140&lt;K140),D140+J140,"n.a."),IF(AND(K140&gt;J140,2*E140-D140+J140&gt;=0),2*E140-D140+J140,"n.a.")))</x:f>
        <x:v>n.a.</x:v>
      </x:c>
      <x:c r="O140" s="11" t="str">
        <x:f>IF(B140="Butterfly",IF(AND(J140&gt;0,J140&lt;K140),F140-J140,"n.a."),IF(C140="call",IF(K140&gt;J140,2*E140-D140-J140,"n.a."),IF(AND(J140&gt;0,J140&lt;K140),D140-J140,"n.a.")))</x:f>
        <x:v>n.a.</x:v>
      </x:c>
      <x:c r="P140" s="19" t="str">
        <x:f>IF(AND(B140="Butterfly",J140&gt;0,J140&lt;K140),L140/J140,"n.a.")</x:f>
        <x:v>n.a.</x:v>
      </x:c>
      <x:c r="Q140" s="11" t="n">
        <x:f>J140*'Model inputs'!$B$8</x:f>
        <x:v>-42.99999999999999</x:v>
      </x:c>
      <x:c r="R140" s="1" t="str">
        <x:v>Outside standard debit bounds</x:v>
      </x:c>
      <x:c r="S140" s="1" t="n">
        <x:v>499</x:v>
      </x:c>
      <x:c r="T140" s="1" t="n">
        <x:v>518</x:v>
      </x:c>
    </x:row>
    <x:row r="141" ht="21" customHeight="1">
      <x:c r="A141" s="12" t="n">
        <x:v>46280</x:v>
      </x:c>
      <x:c r="B141" s="1" t="str">
        <x:v>1x2 ratio</x:v>
      </x:c>
      <x:c r="C141" s="1" t="str">
        <x:v>call</x:v>
      </x:c>
      <x:c r="D141" s="11" t="n">
        <x:v>6600</x:v>
      </x:c>
      <x:c r="E141" s="11" t="n">
        <x:v>6800</x:v>
      </x:c>
      <x:c r="F141" s="11"/>
      <x:c r="G141" s="11" t="n">
        <x:f>'Option source'!B238</x:f>
        <x:v>490</x:v>
      </x:c>
      <x:c r="H141" s="11" t="n">
        <x:f>'Option source'!B257</x:f>
        <x:v>380.09</x:v>
      </x:c>
      <x:c r="I141" s="11"/>
      <x:c r="J141" s="11" t="n">
        <x:f>G141-2*H141+IF(B141="Butterfly",I141,0)</x:f>
        <x:v>-270.17999999999995</x:v>
      </x:c>
      <x:c r="K141" s="11" t="n">
        <x:f>ABS(E141-D141)</x:f>
        <x:v>200</x:v>
      </x:c>
      <x:c r="L141" s="11" t="n">
        <x:f>K141-J141</x:f>
        <x:v>470.17999999999995</x:v>
      </x:c>
      <x:c r="M141" s="11" t="str">
        <x:f>IF(B141="Butterfly",MAX(J141,0),IF(C141="call","Unlimited",MAX(2*E141-D141+J141,J141,0)))</x:f>
        <x:v>Unlimited</x:v>
      </x:c>
      <x:c r="N141" s="11" t="str">
        <x:f>IF(B141="Butterfly",IF(AND(J141&gt;0,J141&lt;K141),D141+J141,"n.a."),IF(C141="call",IF(AND(J141&gt;0,J141&lt;K141),D141+J141,"n.a."),IF(AND(K141&gt;J141,2*E141-D141+J141&gt;=0),2*E141-D141+J141,"n.a.")))</x:f>
        <x:v>n.a.</x:v>
      </x:c>
      <x:c r="O141" s="11" t="n">
        <x:f>IF(B141="Butterfly",IF(AND(J141&gt;0,J141&lt;K141),F141-J141,"n.a."),IF(C141="call",IF(K141&gt;J141,2*E141-D141-J141,"n.a."),IF(AND(J141&gt;0,J141&lt;K141),D141-J141,"n.a.")))</x:f>
        <x:v>7270.18</x:v>
      </x:c>
      <x:c r="P141" s="19" t="str">
        <x:f>IF(AND(B141="Butterfly",J141&gt;0,J141&lt;K141),L141/J141,"n.a.")</x:f>
        <x:v>n.a.</x:v>
      </x:c>
      <x:c r="Q141" s="11" t="n">
        <x:f>J141*'Model inputs'!$B$8</x:f>
        <x:v>-27017.999999999996</x:v>
      </x:c>
      <x:c r="R141" s="1" t="str">
        <x:v>Indicative only</x:v>
      </x:c>
      <x:c r="S141" s="1" t="n">
        <x:v>233</x:v>
      </x:c>
      <x:c r="T141" s="1" t="n">
        <x:v>252</x:v>
      </x:c>
    </x:row>
    <x:row r="142" ht="21" customHeight="1">
      <x:c r="A142" s="12" t="n">
        <x:v>46280</x:v>
      </x:c>
      <x:c r="B142" s="1" t="str">
        <x:v>1x2 ratio</x:v>
      </x:c>
      <x:c r="C142" s="1" t="str">
        <x:v>put</x:v>
      </x:c>
      <x:c r="D142" s="11" t="n">
        <x:v>7000</x:v>
      </x:c>
      <x:c r="E142" s="11" t="n">
        <x:v>6800</x:v>
      </x:c>
      <x:c r="F142" s="11"/>
      <x:c r="G142" s="11" t="n">
        <x:f>'Option source'!B770</x:f>
        <x:v>418.29</x:v>
      </x:c>
      <x:c r="H142" s="11" t="n">
        <x:f>'Option source'!B751</x:f>
        <x:v>311.72</x:v>
      </x:c>
      <x:c r="I142" s="11"/>
      <x:c r="J142" s="11" t="n">
        <x:f>G142-2*H142+IF(B142="Butterfly",I142,0)</x:f>
        <x:v>-205.15000000000003</x:v>
      </x:c>
      <x:c r="K142" s="11" t="n">
        <x:f>ABS(E142-D142)</x:f>
        <x:v>200</x:v>
      </x:c>
      <x:c r="L142" s="11" t="n">
        <x:f>K142-J142</x:f>
        <x:v>405.15000000000003</x:v>
      </x:c>
      <x:c r="M142" s="11" t="n">
        <x:f>IF(B142="Butterfly",MAX(J142,0),IF(C142="call","Unlimited",MAX(2*E142-D142+J142,J142,0)))</x:f>
        <x:v>6394.85</x:v>
      </x:c>
      <x:c r="N142" s="11" t="n">
        <x:f>IF(B142="Butterfly",IF(AND(J142&gt;0,J142&lt;K142),D142+J142,"n.a."),IF(C142="call",IF(AND(J142&gt;0,J142&lt;K142),D142+J142,"n.a."),IF(AND(K142&gt;J142,2*E142-D142+J142&gt;=0),2*E142-D142+J142,"n.a.")))</x:f>
        <x:v>6394.85</x:v>
      </x:c>
      <x:c r="O142" s="11" t="str">
        <x:f>IF(B142="Butterfly",IF(AND(J142&gt;0,J142&lt;K142),F142-J142,"n.a."),IF(C142="call",IF(K142&gt;J142,2*E142-D142-J142,"n.a."),IF(AND(J142&gt;0,J142&lt;K142),D142-J142,"n.a.")))</x:f>
        <x:v>n.a.</x:v>
      </x:c>
      <x:c r="P142" s="19" t="str">
        <x:f>IF(AND(B142="Butterfly",J142&gt;0,J142&lt;K142),L142/J142,"n.a.")</x:f>
        <x:v>n.a.</x:v>
      </x:c>
      <x:c r="Q142" s="11" t="n">
        <x:f>J142*'Model inputs'!$B$8</x:f>
        <x:v>-20515.000000000004</x:v>
      </x:c>
      <x:c r="R142" s="1" t="str">
        <x:v>Indicative only</x:v>
      </x:c>
      <x:c r="S142" s="1" t="n">
        <x:v>765</x:v>
      </x:c>
      <x:c r="T142" s="1" t="n">
        <x:v>746</x:v>
      </x:c>
    </x:row>
    <x:row r="143" ht="21" customHeight="1">
      <x:c r="A143" s="12" t="n">
        <x:v>46280</x:v>
      </x:c>
      <x:c r="B143" s="1" t="str">
        <x:v>1x2 ratio</x:v>
      </x:c>
      <x:c r="C143" s="1" t="str">
        <x:v>call</x:v>
      </x:c>
      <x:c r="D143" s="11" t="n">
        <x:v>6400</x:v>
      </x:c>
      <x:c r="E143" s="11" t="n">
        <x:v>6600</x:v>
      </x:c>
      <x:c r="F143" s="11"/>
      <x:c r="G143" s="11" t="n">
        <x:f>'Option source'!B219</x:f>
        <x:v>600.2</x:v>
      </x:c>
      <x:c r="H143" s="11" t="n">
        <x:f>'Option source'!B238</x:f>
        <x:v>490</x:v>
      </x:c>
      <x:c r="I143" s="11"/>
      <x:c r="J143" s="11" t="n">
        <x:f>G143-2*H143+IF(B143="Butterfly",I143,0)</x:f>
        <x:v>-379.79999999999995</x:v>
      </x:c>
      <x:c r="K143" s="11" t="n">
        <x:f>ABS(E143-D143)</x:f>
        <x:v>200</x:v>
      </x:c>
      <x:c r="L143" s="11" t="n">
        <x:f>K143-J143</x:f>
        <x:v>579.8</x:v>
      </x:c>
      <x:c r="M143" s="11" t="str">
        <x:f>IF(B143="Butterfly",MAX(J143,0),IF(C143="call","Unlimited",MAX(2*E143-D143+J143,J143,0)))</x:f>
        <x:v>Unlimited</x:v>
      </x:c>
      <x:c r="N143" s="11" t="str">
        <x:f>IF(B143="Butterfly",IF(AND(J143&gt;0,J143&lt;K143),D143+J143,"n.a."),IF(C143="call",IF(AND(J143&gt;0,J143&lt;K143),D143+J143,"n.a."),IF(AND(K143&gt;J143,2*E143-D143+J143&gt;=0),2*E143-D143+J143,"n.a.")))</x:f>
        <x:v>n.a.</x:v>
      </x:c>
      <x:c r="O143" s="11" t="n">
        <x:f>IF(B143="Butterfly",IF(AND(J143&gt;0,J143&lt;K143),F143-J143,"n.a."),IF(C143="call",IF(K143&gt;J143,2*E143-D143-J143,"n.a."),IF(AND(J143&gt;0,J143&lt;K143),D143-J143,"n.a.")))</x:f>
        <x:v>7179.8</x:v>
      </x:c>
      <x:c r="P143" s="19" t="str">
        <x:f>IF(AND(B143="Butterfly",J143&gt;0,J143&lt;K143),L143/J143,"n.a.")</x:f>
        <x:v>n.a.</x:v>
      </x:c>
      <x:c r="Q143" s="11" t="n">
        <x:f>J143*'Model inputs'!$B$8</x:f>
        <x:v>-37979.99999999999</x:v>
      </x:c>
      <x:c r="R143" s="1" t="str">
        <x:v>Indicative only</x:v>
      </x:c>
      <x:c r="S143" s="1" t="n">
        <x:v>214</x:v>
      </x:c>
      <x:c r="T143" s="1" t="n">
        <x:v>233</x:v>
      </x:c>
    </x:row>
    <x:row r="144" ht="21" customHeight="1">
      <x:c r="A144" s="12" t="n">
        <x:v>46280</x:v>
      </x:c>
      <x:c r="B144" s="1" t="str">
        <x:v>1x2 ratio</x:v>
      </x:c>
      <x:c r="C144" s="1" t="str">
        <x:v>put</x:v>
      </x:c>
      <x:c r="D144" s="11" t="n">
        <x:v>6800</x:v>
      </x:c>
      <x:c r="E144" s="11" t="n">
        <x:v>6600</x:v>
      </x:c>
      <x:c r="F144" s="11"/>
      <x:c r="G144" s="11" t="n">
        <x:f>'Option source'!B751</x:f>
        <x:v>311.72</x:v>
      </x:c>
      <x:c r="H144" s="11" t="n">
        <x:f>'Option source'!B732</x:f>
        <x:v>220.68</x:v>
      </x:c>
      <x:c r="I144" s="11"/>
      <x:c r="J144" s="11" t="n">
        <x:f>G144-2*H144+IF(B144="Butterfly",I144,0)</x:f>
        <x:v>-129.64</x:v>
      </x:c>
      <x:c r="K144" s="11" t="n">
        <x:f>ABS(E144-D144)</x:f>
        <x:v>200</x:v>
      </x:c>
      <x:c r="L144" s="11" t="n">
        <x:f>K144-J144</x:f>
        <x:v>329.64</x:v>
      </x:c>
      <x:c r="M144" s="11" t="n">
        <x:f>IF(B144="Butterfly",MAX(J144,0),IF(C144="call","Unlimited",MAX(2*E144-D144+J144,J144,0)))</x:f>
        <x:v>6270.36</x:v>
      </x:c>
      <x:c r="N144" s="11" t="n">
        <x:f>IF(B144="Butterfly",IF(AND(J144&gt;0,J144&lt;K144),D144+J144,"n.a."),IF(C144="call",IF(AND(J144&gt;0,J144&lt;K144),D144+J144,"n.a."),IF(AND(K144&gt;J144,2*E144-D144+J144&gt;=0),2*E144-D144+J144,"n.a.")))</x:f>
        <x:v>6270.36</x:v>
      </x:c>
      <x:c r="O144" s="11" t="str">
        <x:f>IF(B144="Butterfly",IF(AND(J144&gt;0,J144&lt;K144),F144-J144,"n.a."),IF(C144="call",IF(K144&gt;J144,2*E144-D144-J144,"n.a."),IF(AND(J144&gt;0,J144&lt;K144),D144-J144,"n.a.")))</x:f>
        <x:v>n.a.</x:v>
      </x:c>
      <x:c r="P144" s="19" t="str">
        <x:f>IF(AND(B144="Butterfly",J144&gt;0,J144&lt;K144),L144/J144,"n.a.")</x:f>
        <x:v>n.a.</x:v>
      </x:c>
      <x:c r="Q144" s="11" t="n">
        <x:f>J144*'Model inputs'!$B$8</x:f>
        <x:v>-12963.999999999998</x:v>
      </x:c>
      <x:c r="R144" s="1" t="str">
        <x:v>Indicative only</x:v>
      </x:c>
      <x:c r="S144" s="1" t="n">
        <x:v>746</x:v>
      </x:c>
      <x:c r="T144" s="1" t="n">
        <x:v>727</x:v>
      </x:c>
    </x:row>
    <x:row r="145" ht="21" customHeight="1">
      <x:c r="A145" s="12" t="n">
        <x:v>46280</x:v>
      </x:c>
      <x:c r="B145" s="1" t="str">
        <x:v>1x2 ratio</x:v>
      </x:c>
      <x:c r="C145" s="1" t="str">
        <x:v>call</x:v>
      </x:c>
      <x:c r="D145" s="11" t="n">
        <x:v>6800</x:v>
      </x:c>
      <x:c r="E145" s="11" t="n">
        <x:v>7000</x:v>
      </x:c>
      <x:c r="F145" s="11"/>
      <x:c r="G145" s="11" t="n">
        <x:f>'Option source'!B257</x:f>
        <x:v>380.09</x:v>
      </x:c>
      <x:c r="H145" s="11" t="n">
        <x:f>'Option source'!B276</x:f>
        <x:v>277.07</x:v>
      </x:c>
      <x:c r="I145" s="11"/>
      <x:c r="J145" s="11" t="n">
        <x:f>G145-2*H145+IF(B145="Butterfly",I145,0)</x:f>
        <x:v>-174.05</x:v>
      </x:c>
      <x:c r="K145" s="11" t="n">
        <x:f>ABS(E145-D145)</x:f>
        <x:v>200</x:v>
      </x:c>
      <x:c r="L145" s="11" t="n">
        <x:f>K145-J145</x:f>
        <x:v>374.05</x:v>
      </x:c>
      <x:c r="M145" s="11" t="str">
        <x:f>IF(B145="Butterfly",MAX(J145,0),IF(C145="call","Unlimited",MAX(2*E145-D145+J145,J145,0)))</x:f>
        <x:v>Unlimited</x:v>
      </x:c>
      <x:c r="N145" s="11" t="str">
        <x:f>IF(B145="Butterfly",IF(AND(J145&gt;0,J145&lt;K145),D145+J145,"n.a."),IF(C145="call",IF(AND(J145&gt;0,J145&lt;K145),D145+J145,"n.a."),IF(AND(K145&gt;J145,2*E145-D145+J145&gt;=0),2*E145-D145+J145,"n.a.")))</x:f>
        <x:v>n.a.</x:v>
      </x:c>
      <x:c r="O145" s="11" t="n">
        <x:f>IF(B145="Butterfly",IF(AND(J145&gt;0,J145&lt;K145),F145-J145,"n.a."),IF(C145="call",IF(K145&gt;J145,2*E145-D145-J145,"n.a."),IF(AND(J145&gt;0,J145&lt;K145),D145-J145,"n.a.")))</x:f>
        <x:v>7374.05</x:v>
      </x:c>
      <x:c r="P145" s="19" t="str">
        <x:f>IF(AND(B145="Butterfly",J145&gt;0,J145&lt;K145),L145/J145,"n.a.")</x:f>
        <x:v>n.a.</x:v>
      </x:c>
      <x:c r="Q145" s="11" t="n">
        <x:f>J145*'Model inputs'!$B$8</x:f>
        <x:v>-17405</x:v>
      </x:c>
      <x:c r="R145" s="1" t="str">
        <x:v>Indicative only</x:v>
      </x:c>
      <x:c r="S145" s="1" t="n">
        <x:v>252</x:v>
      </x:c>
      <x:c r="T145" s="1" t="n">
        <x:v>271</x:v>
      </x:c>
    </x:row>
    <x:row r="146" ht="21" customHeight="1">
      <x:c r="A146" s="12" t="n">
        <x:v>46280</x:v>
      </x:c>
      <x:c r="B146" s="1" t="str">
        <x:v>1x2 ratio</x:v>
      </x:c>
      <x:c r="C146" s="1" t="str">
        <x:v>put</x:v>
      </x:c>
      <x:c r="D146" s="11" t="n">
        <x:v>7200</x:v>
      </x:c>
      <x:c r="E146" s="11" t="n">
        <x:v>7000</x:v>
      </x:c>
      <x:c r="F146" s="11"/>
      <x:c r="G146" s="11" t="n">
        <x:f>'Option source'!B789</x:f>
        <x:v>542</x:v>
      </x:c>
      <x:c r="H146" s="11" t="n">
        <x:f>'Option source'!B770</x:f>
        <x:v>418.29</x:v>
      </x:c>
      <x:c r="I146" s="11"/>
      <x:c r="J146" s="11" t="n">
        <x:f>G146-2*H146+IF(B146="Butterfly",I146,0)</x:f>
        <x:v>-294.58000000000004</x:v>
      </x:c>
      <x:c r="K146" s="11" t="n">
        <x:f>ABS(E146-D146)</x:f>
        <x:v>200</x:v>
      </x:c>
      <x:c r="L146" s="11" t="n">
        <x:f>K146-J146</x:f>
        <x:v>494.58000000000004</x:v>
      </x:c>
      <x:c r="M146" s="11" t="n">
        <x:f>IF(B146="Butterfly",MAX(J146,0),IF(C146="call","Unlimited",MAX(2*E146-D146+J146,J146,0)))</x:f>
        <x:v>6505.42</x:v>
      </x:c>
      <x:c r="N146" s="11" t="n">
        <x:f>IF(B146="Butterfly",IF(AND(J146&gt;0,J146&lt;K146),D146+J146,"n.a."),IF(C146="call",IF(AND(J146&gt;0,J146&lt;K146),D146+J146,"n.a."),IF(AND(K146&gt;J146,2*E146-D146+J146&gt;=0),2*E146-D146+J146,"n.a.")))</x:f>
        <x:v>6505.42</x:v>
      </x:c>
      <x:c r="O146" s="11" t="str">
        <x:f>IF(B146="Butterfly",IF(AND(J146&gt;0,J146&lt;K146),F146-J146,"n.a."),IF(C146="call",IF(K146&gt;J146,2*E146-D146-J146,"n.a."),IF(AND(J146&gt;0,J146&lt;K146),D146-J146,"n.a.")))</x:f>
        <x:v>n.a.</x:v>
      </x:c>
      <x:c r="P146" s="19" t="str">
        <x:f>IF(AND(B146="Butterfly",J146&gt;0,J146&lt;K146),L146/J146,"n.a.")</x:f>
        <x:v>n.a.</x:v>
      </x:c>
      <x:c r="Q146" s="11" t="n">
        <x:f>J146*'Model inputs'!$B$8</x:f>
        <x:v>-29458.000000000004</x:v>
      </x:c>
      <x:c r="R146" s="1" t="str">
        <x:v>Indicative only</x:v>
      </x:c>
      <x:c r="S146" s="1" t="n">
        <x:v>784</x:v>
      </x:c>
      <x:c r="T146" s="1" t="n">
        <x:v>765</x:v>
      </x:c>
    </x:row>
    <x:row r="147" ht="21" customHeight="1">
      <x:c r="A147" s="12" t="n">
        <x:v>46280</x:v>
      </x:c>
      <x:c r="B147" s="1" t="str">
        <x:v>1x2 ratio</x:v>
      </x:c>
      <x:c r="C147" s="1" t="str">
        <x:v>call</x:v>
      </x:c>
      <x:c r="D147" s="11" t="n">
        <x:v>6200</x:v>
      </x:c>
      <x:c r="E147" s="11" t="n">
        <x:v>6400</x:v>
      </x:c>
      <x:c r="F147" s="11"/>
      <x:c r="G147" s="11" t="n">
        <x:f>'Option source'!B200</x:f>
        <x:v>757.6</x:v>
      </x:c>
      <x:c r="H147" s="11" t="n">
        <x:f>'Option source'!B219</x:f>
        <x:v>600.2</x:v>
      </x:c>
      <x:c r="I147" s="11"/>
      <x:c r="J147" s="11" t="n">
        <x:f>G147-2*H147+IF(B147="Butterfly",I147,0)</x:f>
        <x:v>-442.80000000000007</x:v>
      </x:c>
      <x:c r="K147" s="11" t="n">
        <x:f>ABS(E147-D147)</x:f>
        <x:v>200</x:v>
      </x:c>
      <x:c r="L147" s="11" t="n">
        <x:f>K147-J147</x:f>
        <x:v>642.8000000000001</x:v>
      </x:c>
      <x:c r="M147" s="11" t="str">
        <x:f>IF(B147="Butterfly",MAX(J147,0),IF(C147="call","Unlimited",MAX(2*E147-D147+J147,J147,0)))</x:f>
        <x:v>Unlimited</x:v>
      </x:c>
      <x:c r="N147" s="11" t="str">
        <x:f>IF(B147="Butterfly",IF(AND(J147&gt;0,J147&lt;K147),D147+J147,"n.a."),IF(C147="call",IF(AND(J147&gt;0,J147&lt;K147),D147+J147,"n.a."),IF(AND(K147&gt;J147,2*E147-D147+J147&gt;=0),2*E147-D147+J147,"n.a.")))</x:f>
        <x:v>n.a.</x:v>
      </x:c>
      <x:c r="O147" s="11" t="n">
        <x:f>IF(B147="Butterfly",IF(AND(J147&gt;0,J147&lt;K147),F147-J147,"n.a."),IF(C147="call",IF(K147&gt;J147,2*E147-D147-J147,"n.a."),IF(AND(J147&gt;0,J147&lt;K147),D147-J147,"n.a.")))</x:f>
        <x:v>7042.8</x:v>
      </x:c>
      <x:c r="P147" s="19" t="str">
        <x:f>IF(AND(B147="Butterfly",J147&gt;0,J147&lt;K147),L147/J147,"n.a.")</x:f>
        <x:v>n.a.</x:v>
      </x:c>
      <x:c r="Q147" s="11" t="n">
        <x:f>J147*'Model inputs'!$B$8</x:f>
        <x:v>-44280.00000000001</x:v>
      </x:c>
      <x:c r="R147" s="1" t="str">
        <x:v>Indicative only</x:v>
      </x:c>
      <x:c r="S147" s="1" t="n">
        <x:v>195</x:v>
      </x:c>
      <x:c r="T147" s="1" t="n">
        <x:v>214</x:v>
      </x:c>
    </x:row>
    <x:row r="148" ht="21" customHeight="1">
      <x:c r="A148" s="12" t="n">
        <x:v>46280</x:v>
      </x:c>
      <x:c r="B148" s="1" t="str">
        <x:v>1x2 ratio</x:v>
      </x:c>
      <x:c r="C148" s="1" t="str">
        <x:v>put</x:v>
      </x:c>
      <x:c r="D148" s="11" t="n">
        <x:v>6600</x:v>
      </x:c>
      <x:c r="E148" s="11" t="n">
        <x:v>6400</x:v>
      </x:c>
      <x:c r="F148" s="11"/>
      <x:c r="G148" s="11" t="n">
        <x:f>'Option source'!B732</x:f>
        <x:v>220.68</x:v>
      </x:c>
      <x:c r="H148" s="11" t="n">
        <x:f>'Option source'!B713</x:f>
        <x:v>151.43</x:v>
      </x:c>
      <x:c r="I148" s="11"/>
      <x:c r="J148" s="11" t="n">
        <x:f>G148-2*H148+IF(B148="Butterfly",I148,0)</x:f>
        <x:v>-82.18</x:v>
      </x:c>
      <x:c r="K148" s="11" t="n">
        <x:f>ABS(E148-D148)</x:f>
        <x:v>200</x:v>
      </x:c>
      <x:c r="L148" s="11" t="n">
        <x:f>K148-J148</x:f>
        <x:v>282.18</x:v>
      </x:c>
      <x:c r="M148" s="11" t="n">
        <x:f>IF(B148="Butterfly",MAX(J148,0),IF(C148="call","Unlimited",MAX(2*E148-D148+J148,J148,0)))</x:f>
        <x:v>6117.82</x:v>
      </x:c>
      <x:c r="N148" s="11" t="n">
        <x:f>IF(B148="Butterfly",IF(AND(J148&gt;0,J148&lt;K148),D148+J148,"n.a."),IF(C148="call",IF(AND(J148&gt;0,J148&lt;K148),D148+J148,"n.a."),IF(AND(K148&gt;J148,2*E148-D148+J148&gt;=0),2*E148-D148+J148,"n.a.")))</x:f>
        <x:v>6117.82</x:v>
      </x:c>
      <x:c r="O148" s="11" t="str">
        <x:f>IF(B148="Butterfly",IF(AND(J148&gt;0,J148&lt;K148),F148-J148,"n.a."),IF(C148="call",IF(K148&gt;J148,2*E148-D148-J148,"n.a."),IF(AND(J148&gt;0,J148&lt;K148),D148-J148,"n.a.")))</x:f>
        <x:v>n.a.</x:v>
      </x:c>
      <x:c r="P148" s="19" t="str">
        <x:f>IF(AND(B148="Butterfly",J148&gt;0,J148&lt;K148),L148/J148,"n.a.")</x:f>
        <x:v>n.a.</x:v>
      </x:c>
      <x:c r="Q148" s="11" t="n">
        <x:f>J148*'Model inputs'!$B$8</x:f>
        <x:v>-8218</x:v>
      </x:c>
      <x:c r="R148" s="1" t="str">
        <x:v>Indicative only</x:v>
      </x:c>
      <x:c r="S148" s="1" t="n">
        <x:v>727</x:v>
      </x:c>
      <x:c r="T148" s="1" t="n">
        <x:v>708</x:v>
      </x:c>
    </x:row>
    <x:row r="149" ht="21" customHeight="1">
      <x:c r="A149" s="12" t="n">
        <x:v>46280</x:v>
      </x:c>
      <x:c r="B149" s="1" t="str">
        <x:v>1x2 ratio</x:v>
      </x:c>
      <x:c r="C149" s="1" t="str">
        <x:v>call</x:v>
      </x:c>
      <x:c r="D149" s="11" t="n">
        <x:v>7000</x:v>
      </x:c>
      <x:c r="E149" s="11" t="n">
        <x:v>7200</x:v>
      </x:c>
      <x:c r="F149" s="11"/>
      <x:c r="G149" s="11" t="n">
        <x:f>'Option source'!B276</x:f>
        <x:v>277.07</x:v>
      </x:c>
      <x:c r="H149" s="11" t="n">
        <x:f>'Option source'!B295</x:f>
        <x:v>205.53</x:v>
      </x:c>
      <x:c r="I149" s="11"/>
      <x:c r="J149" s="11" t="n">
        <x:f>G149-2*H149+IF(B149="Butterfly",I149,0)</x:f>
        <x:v>-133.99</x:v>
      </x:c>
      <x:c r="K149" s="11" t="n">
        <x:f>ABS(E149-D149)</x:f>
        <x:v>200</x:v>
      </x:c>
      <x:c r="L149" s="11" t="n">
        <x:f>K149-J149</x:f>
        <x:v>333.99</x:v>
      </x:c>
      <x:c r="M149" s="11" t="str">
        <x:f>IF(B149="Butterfly",MAX(J149,0),IF(C149="call","Unlimited",MAX(2*E149-D149+J149,J149,0)))</x:f>
        <x:v>Unlimited</x:v>
      </x:c>
      <x:c r="N149" s="11" t="str">
        <x:f>IF(B149="Butterfly",IF(AND(J149&gt;0,J149&lt;K149),D149+J149,"n.a."),IF(C149="call",IF(AND(J149&gt;0,J149&lt;K149),D149+J149,"n.a."),IF(AND(K149&gt;J149,2*E149-D149+J149&gt;=0),2*E149-D149+J149,"n.a.")))</x:f>
        <x:v>n.a.</x:v>
      </x:c>
      <x:c r="O149" s="11" t="n">
        <x:f>IF(B149="Butterfly",IF(AND(J149&gt;0,J149&lt;K149),F149-J149,"n.a."),IF(C149="call",IF(K149&gt;J149,2*E149-D149-J149,"n.a."),IF(AND(J149&gt;0,J149&lt;K149),D149-J149,"n.a.")))</x:f>
        <x:v>7533.99</x:v>
      </x:c>
      <x:c r="P149" s="19" t="str">
        <x:f>IF(AND(B149="Butterfly",J149&gt;0,J149&lt;K149),L149/J149,"n.a.")</x:f>
        <x:v>n.a.</x:v>
      </x:c>
      <x:c r="Q149" s="11" t="n">
        <x:f>J149*'Model inputs'!$B$8</x:f>
        <x:v>-13399</x:v>
      </x:c>
      <x:c r="R149" s="1" t="str">
        <x:v>Indicative only</x:v>
      </x:c>
      <x:c r="S149" s="1" t="n">
        <x:v>271</x:v>
      </x:c>
      <x:c r="T149" s="1" t="n">
        <x:v>290</x:v>
      </x:c>
    </x:row>
    <x:row r="150" ht="21" customHeight="1">
      <x:c r="A150" s="12" t="n">
        <x:v>46280</x:v>
      </x:c>
      <x:c r="B150" s="1" t="str">
        <x:v>1x2 ratio</x:v>
      </x:c>
      <x:c r="C150" s="1" t="str">
        <x:v>call</x:v>
      </x:c>
      <x:c r="D150" s="11" t="n">
        <x:v>6000</x:v>
      </x:c>
      <x:c r="E150" s="11" t="n">
        <x:v>6200</x:v>
      </x:c>
      <x:c r="F150" s="11"/>
      <x:c r="G150" s="11" t="n">
        <x:f>'Option source'!B181</x:f>
        <x:v>930</x:v>
      </x:c>
      <x:c r="H150" s="11" t="n">
        <x:f>'Option source'!B200</x:f>
        <x:v>757.6</x:v>
      </x:c>
      <x:c r="I150" s="11"/>
      <x:c r="J150" s="11" t="n">
        <x:f>G150-2*H150+IF(B150="Butterfly",I150,0)</x:f>
        <x:v>-585.2</x:v>
      </x:c>
      <x:c r="K150" s="11" t="n">
        <x:f>ABS(E150-D150)</x:f>
        <x:v>200</x:v>
      </x:c>
      <x:c r="L150" s="11" t="n">
        <x:f>K150-J150</x:f>
        <x:v>785.2</x:v>
      </x:c>
      <x:c r="M150" s="11" t="str">
        <x:f>IF(B150="Butterfly",MAX(J150,0),IF(C150="call","Unlimited",MAX(2*E150-D150+J150,J150,0)))</x:f>
        <x:v>Unlimited</x:v>
      </x:c>
      <x:c r="N150" s="11" t="str">
        <x:f>IF(B150="Butterfly",IF(AND(J150&gt;0,J150&lt;K150),D150+J150,"n.a."),IF(C150="call",IF(AND(J150&gt;0,J150&lt;K150),D150+J150,"n.a."),IF(AND(K150&gt;J150,2*E150-D150+J150&gt;=0),2*E150-D150+J150,"n.a.")))</x:f>
        <x:v>n.a.</x:v>
      </x:c>
      <x:c r="O150" s="11" t="n">
        <x:f>IF(B150="Butterfly",IF(AND(J150&gt;0,J150&lt;K150),F150-J150,"n.a."),IF(C150="call",IF(K150&gt;J150,2*E150-D150-J150,"n.a."),IF(AND(J150&gt;0,J150&lt;K150),D150-J150,"n.a.")))</x:f>
        <x:v>6985.2</x:v>
      </x:c>
      <x:c r="P150" s="19" t="str">
        <x:f>IF(AND(B150="Butterfly",J150&gt;0,J150&lt;K150),L150/J150,"n.a.")</x:f>
        <x:v>n.a.</x:v>
      </x:c>
      <x:c r="Q150" s="11" t="n">
        <x:f>J150*'Model inputs'!$B$8</x:f>
        <x:v>-58520.00000000001</x:v>
      </x:c>
      <x:c r="R150" s="1" t="str">
        <x:v>Indicative only</x:v>
      </x:c>
      <x:c r="S150" s="1" t="n">
        <x:v>176</x:v>
      </x:c>
      <x:c r="T150" s="1" t="n">
        <x:v>195</x:v>
      </x:c>
    </x:row>
    <x:row r="151" ht="21" customHeight="1">
      <x:c r="A151" s="12" t="n">
        <x:v>46280</x:v>
      </x:c>
      <x:c r="B151" s="1" t="str">
        <x:v>1x2 ratio</x:v>
      </x:c>
      <x:c r="C151" s="1" t="str">
        <x:v>put</x:v>
      </x:c>
      <x:c r="D151" s="11" t="n">
        <x:v>6400</x:v>
      </x:c>
      <x:c r="E151" s="11" t="n">
        <x:v>6200</x:v>
      </x:c>
      <x:c r="F151" s="11"/>
      <x:c r="G151" s="11" t="n">
        <x:f>'Option source'!B713</x:f>
        <x:v>151.43</x:v>
      </x:c>
      <x:c r="H151" s="11" t="n">
        <x:f>'Option source'!B694</x:f>
        <x:v>97.24</x:v>
      </x:c>
      <x:c r="I151" s="11"/>
      <x:c r="J151" s="11" t="n">
        <x:f>G151-2*H151+IF(B151="Butterfly",I151,0)</x:f>
        <x:v>-43.04999999999998</x:v>
      </x:c>
      <x:c r="K151" s="11" t="n">
        <x:f>ABS(E151-D151)</x:f>
        <x:v>200</x:v>
      </x:c>
      <x:c r="L151" s="11" t="n">
        <x:f>K151-J151</x:f>
        <x:v>243.04999999999998</x:v>
      </x:c>
      <x:c r="M151" s="11" t="n">
        <x:f>IF(B151="Butterfly",MAX(J151,0),IF(C151="call","Unlimited",MAX(2*E151-D151+J151,J151,0)))</x:f>
        <x:v>5956.95</x:v>
      </x:c>
      <x:c r="N151" s="11" t="n">
        <x:f>IF(B151="Butterfly",IF(AND(J151&gt;0,J151&lt;K151),D151+J151,"n.a."),IF(C151="call",IF(AND(J151&gt;0,J151&lt;K151),D151+J151,"n.a."),IF(AND(K151&gt;J151,2*E151-D151+J151&gt;=0),2*E151-D151+J151,"n.a.")))</x:f>
        <x:v>5956.95</x:v>
      </x:c>
      <x:c r="O151" s="11" t="str">
        <x:f>IF(B151="Butterfly",IF(AND(J151&gt;0,J151&lt;K151),F151-J151,"n.a."),IF(C151="call",IF(K151&gt;J151,2*E151-D151-J151,"n.a."),IF(AND(J151&gt;0,J151&lt;K151),D151-J151,"n.a.")))</x:f>
        <x:v>n.a.</x:v>
      </x:c>
      <x:c r="P151" s="19" t="str">
        <x:f>IF(AND(B151="Butterfly",J151&gt;0,J151&lt;K151),L151/J151,"n.a.")</x:f>
        <x:v>n.a.</x:v>
      </x:c>
      <x:c r="Q151" s="11" t="n">
        <x:f>J151*'Model inputs'!$B$8</x:f>
        <x:v>-4304.999999999998</x:v>
      </x:c>
      <x:c r="R151" s="1" t="str">
        <x:v>Indicative only</x:v>
      </x:c>
      <x:c r="S151" s="1" t="n">
        <x:v>708</x:v>
      </x:c>
      <x:c r="T151" s="1" t="n">
        <x:v>689</x:v>
      </x:c>
    </x:row>
    <x:row r="152" ht="21" customHeight="1">
      <x:c r="A152" s="12" t="n">
        <x:v>46280</x:v>
      </x:c>
      <x:c r="B152" s="1" t="str">
        <x:v>1x2 ratio</x:v>
      </x:c>
      <x:c r="C152" s="1" t="str">
        <x:v>call</x:v>
      </x:c>
      <x:c r="D152" s="11" t="n">
        <x:v>7200</x:v>
      </x:c>
      <x:c r="E152" s="11" t="n">
        <x:v>7400</x:v>
      </x:c>
      <x:c r="F152" s="11"/>
      <x:c r="G152" s="11" t="n">
        <x:f>'Option source'!B295</x:f>
        <x:v>205.53</x:v>
      </x:c>
      <x:c r="H152" s="11" t="n">
        <x:f>'Option source'!B314</x:f>
        <x:v>148.96</x:v>
      </x:c>
      <x:c r="I152" s="11"/>
      <x:c r="J152" s="11" t="n">
        <x:f>G152-2*H152+IF(B152="Butterfly",I152,0)</x:f>
        <x:v>-92.39000000000001</x:v>
      </x:c>
      <x:c r="K152" s="11" t="n">
        <x:f>ABS(E152-D152)</x:f>
        <x:v>200</x:v>
      </x:c>
      <x:c r="L152" s="11" t="n">
        <x:f>K152-J152</x:f>
        <x:v>292.39</x:v>
      </x:c>
      <x:c r="M152" s="11" t="str">
        <x:f>IF(B152="Butterfly",MAX(J152,0),IF(C152="call","Unlimited",MAX(2*E152-D152+J152,J152,0)))</x:f>
        <x:v>Unlimited</x:v>
      </x:c>
      <x:c r="N152" s="11" t="str">
        <x:f>IF(B152="Butterfly",IF(AND(J152&gt;0,J152&lt;K152),D152+J152,"n.a."),IF(C152="call",IF(AND(J152&gt;0,J152&lt;K152),D152+J152,"n.a."),IF(AND(K152&gt;J152,2*E152-D152+J152&gt;=0),2*E152-D152+J152,"n.a.")))</x:f>
        <x:v>n.a.</x:v>
      </x:c>
      <x:c r="O152" s="11" t="n">
        <x:f>IF(B152="Butterfly",IF(AND(J152&gt;0,J152&lt;K152),F152-J152,"n.a."),IF(C152="call",IF(K152&gt;J152,2*E152-D152-J152,"n.a."),IF(AND(J152&gt;0,J152&lt;K152),D152-J152,"n.a.")))</x:f>
        <x:v>7692.39</x:v>
      </x:c>
      <x:c r="P152" s="19" t="str">
        <x:f>IF(AND(B152="Butterfly",J152&gt;0,J152&lt;K152),L152/J152,"n.a.")</x:f>
        <x:v>n.a.</x:v>
      </x:c>
      <x:c r="Q152" s="11" t="n">
        <x:f>J152*'Model inputs'!$B$8</x:f>
        <x:v>-9239.000000000002</x:v>
      </x:c>
      <x:c r="R152" s="1" t="str">
        <x:v>Indicative only</x:v>
      </x:c>
      <x:c r="S152" s="1" t="n">
        <x:v>290</x:v>
      </x:c>
      <x:c r="T152" s="1" t="n">
        <x:v>309</x:v>
      </x:c>
    </x:row>
    <x:row r="153" ht="21" customHeight="1">
      <x:c r="A153" s="12" t="n">
        <x:v>46280</x:v>
      </x:c>
      <x:c r="B153" s="1" t="str">
        <x:v>1x2 ratio</x:v>
      </x:c>
      <x:c r="C153" s="1" t="str">
        <x:v>put</x:v>
      </x:c>
      <x:c r="D153" s="11" t="n">
        <x:v>6200</x:v>
      </x:c>
      <x:c r="E153" s="11" t="n">
        <x:v>6000</x:v>
      </x:c>
      <x:c r="F153" s="11"/>
      <x:c r="G153" s="11" t="n">
        <x:f>'Option source'!B694</x:f>
        <x:v>97.24</x:v>
      </x:c>
      <x:c r="H153" s="11" t="n">
        <x:f>'Option source'!B675</x:f>
        <x:v>59.49</x:v>
      </x:c>
      <x:c r="I153" s="11"/>
      <x:c r="J153" s="11" t="n">
        <x:f>G153-2*H153+IF(B153="Butterfly",I153,0)</x:f>
        <x:v>-21.74000000000001</x:v>
      </x:c>
      <x:c r="K153" s="11" t="n">
        <x:f>ABS(E153-D153)</x:f>
        <x:v>200</x:v>
      </x:c>
      <x:c r="L153" s="11" t="n">
        <x:f>K153-J153</x:f>
        <x:v>221.74</x:v>
      </x:c>
      <x:c r="M153" s="11" t="n">
        <x:f>IF(B153="Butterfly",MAX(J153,0),IF(C153="call","Unlimited",MAX(2*E153-D153+J153,J153,0)))</x:f>
        <x:v>5778.26</x:v>
      </x:c>
      <x:c r="N153" s="11" t="n">
        <x:f>IF(B153="Butterfly",IF(AND(J153&gt;0,J153&lt;K153),D153+J153,"n.a."),IF(C153="call",IF(AND(J153&gt;0,J153&lt;K153),D153+J153,"n.a."),IF(AND(K153&gt;J153,2*E153-D153+J153&gt;=0),2*E153-D153+J153,"n.a.")))</x:f>
        <x:v>5778.26</x:v>
      </x:c>
      <x:c r="O153" s="11" t="str">
        <x:f>IF(B153="Butterfly",IF(AND(J153&gt;0,J153&lt;K153),F153-J153,"n.a."),IF(C153="call",IF(K153&gt;J153,2*E153-D153-J153,"n.a."),IF(AND(J153&gt;0,J153&lt;K153),D153-J153,"n.a.")))</x:f>
        <x:v>n.a.</x:v>
      </x:c>
      <x:c r="P153" s="19" t="str">
        <x:f>IF(AND(B153="Butterfly",J153&gt;0,J153&lt;K153),L153/J153,"n.a.")</x:f>
        <x:v>n.a.</x:v>
      </x:c>
      <x:c r="Q153" s="11" t="n">
        <x:f>J153*'Model inputs'!$B$8</x:f>
        <x:v>-2174.000000000001</x:v>
      </x:c>
      <x:c r="R153" s="1" t="str">
        <x:v>Indicative only</x:v>
      </x:c>
      <x:c r="S153" s="1" t="n">
        <x:v>689</x:v>
      </x:c>
      <x:c r="T153" s="1" t="n">
        <x:v>670</x:v>
      </x:c>
    </x:row>
    <x:row r="154" ht="21" customHeight="1">
      <x:c r="A154" s="12" t="n">
        <x:v>46280</x:v>
      </x:c>
      <x:c r="B154" s="1" t="str">
        <x:v>1x2 ratio</x:v>
      </x:c>
      <x:c r="C154" s="1" t="str">
        <x:v>call</x:v>
      </x:c>
      <x:c r="D154" s="11" t="n">
        <x:v>7400</x:v>
      </x:c>
      <x:c r="E154" s="11" t="n">
        <x:v>7600</x:v>
      </x:c>
      <x:c r="F154" s="11"/>
      <x:c r="G154" s="11" t="n">
        <x:f>'Option source'!B314</x:f>
        <x:v>148.96</x:v>
      </x:c>
      <x:c r="H154" s="11" t="n">
        <x:f>'Option source'!B333</x:f>
        <x:v>106.1</x:v>
      </x:c>
      <x:c r="I154" s="11"/>
      <x:c r="J154" s="11" t="n">
        <x:f>G154-2*H154+IF(B154="Butterfly",I154,0)</x:f>
        <x:v>-63.23999999999998</x:v>
      </x:c>
      <x:c r="K154" s="11" t="n">
        <x:f>ABS(E154-D154)</x:f>
        <x:v>200</x:v>
      </x:c>
      <x:c r="L154" s="11" t="n">
        <x:f>K154-J154</x:f>
        <x:v>263.24</x:v>
      </x:c>
      <x:c r="M154" s="11" t="str">
        <x:f>IF(B154="Butterfly",MAX(J154,0),IF(C154="call","Unlimited",MAX(2*E154-D154+J154,J154,0)))</x:f>
        <x:v>Unlimited</x:v>
      </x:c>
      <x:c r="N154" s="11" t="str">
        <x:f>IF(B154="Butterfly",IF(AND(J154&gt;0,J154&lt;K154),D154+J154,"n.a."),IF(C154="call",IF(AND(J154&gt;0,J154&lt;K154),D154+J154,"n.a."),IF(AND(K154&gt;J154,2*E154-D154+J154&gt;=0),2*E154-D154+J154,"n.a.")))</x:f>
        <x:v>n.a.</x:v>
      </x:c>
      <x:c r="O154" s="11" t="n">
        <x:f>IF(B154="Butterfly",IF(AND(J154&gt;0,J154&lt;K154),F154-J154,"n.a."),IF(C154="call",IF(K154&gt;J154,2*E154-D154-J154,"n.a."),IF(AND(J154&gt;0,J154&lt;K154),D154-J154,"n.a.")))</x:f>
        <x:v>7863.24</x:v>
      </x:c>
      <x:c r="P154" s="19" t="str">
        <x:f>IF(AND(B154="Butterfly",J154&gt;0,J154&lt;K154),L154/J154,"n.a.")</x:f>
        <x:v>n.a.</x:v>
      </x:c>
      <x:c r="Q154" s="11" t="n">
        <x:f>J154*'Model inputs'!$B$8</x:f>
        <x:v>-6323.999999999998</x:v>
      </x:c>
      <x:c r="R154" s="1" t="str">
        <x:v>Indicative only</x:v>
      </x:c>
      <x:c r="S154" s="1" t="n">
        <x:v>309</x:v>
      </x:c>
      <x:c r="T154" s="1" t="n">
        <x:v>328</x:v>
      </x:c>
    </x:row>
    <x:row r="155" ht="21" customHeight="1">
      <x:c r="A155" s="12" t="n">
        <x:v>46280</x:v>
      </x:c>
      <x:c r="B155" s="1" t="str">
        <x:v>1x2 ratio</x:v>
      </x:c>
      <x:c r="C155" s="1" t="str">
        <x:v>put</x:v>
      </x:c>
      <x:c r="D155" s="11" t="n">
        <x:v>6000</x:v>
      </x:c>
      <x:c r="E155" s="11" t="n">
        <x:v>5800</x:v>
      </x:c>
      <x:c r="F155" s="11"/>
      <x:c r="G155" s="11" t="n">
        <x:f>'Option source'!B675</x:f>
        <x:v>59.49</x:v>
      </x:c>
      <x:c r="H155" s="11" t="n">
        <x:f>'Option source'!B656</x:f>
        <x:v>32.86</x:v>
      </x:c>
      <x:c r="I155" s="11"/>
      <x:c r="J155" s="11" t="n">
        <x:f>G155-2*H155+IF(B155="Butterfly",I155,0)</x:f>
        <x:v>-6.229999999999997</x:v>
      </x:c>
      <x:c r="K155" s="11" t="n">
        <x:f>ABS(E155-D155)</x:f>
        <x:v>200</x:v>
      </x:c>
      <x:c r="L155" s="11" t="n">
        <x:f>K155-J155</x:f>
        <x:v>206.23</x:v>
      </x:c>
      <x:c r="M155" s="11" t="n">
        <x:f>IF(B155="Butterfly",MAX(J155,0),IF(C155="call","Unlimited",MAX(2*E155-D155+J155,J155,0)))</x:f>
        <x:v>5593.77</x:v>
      </x:c>
      <x:c r="N155" s="11" t="n">
        <x:f>IF(B155="Butterfly",IF(AND(J155&gt;0,J155&lt;K155),D155+J155,"n.a."),IF(C155="call",IF(AND(J155&gt;0,J155&lt;K155),D155+J155,"n.a."),IF(AND(K155&gt;J155,2*E155-D155+J155&gt;=0),2*E155-D155+J155,"n.a.")))</x:f>
        <x:v>5593.77</x:v>
      </x:c>
      <x:c r="O155" s="11" t="str">
        <x:f>IF(B155="Butterfly",IF(AND(J155&gt;0,J155&lt;K155),F155-J155,"n.a."),IF(C155="call",IF(K155&gt;J155,2*E155-D155-J155,"n.a."),IF(AND(J155&gt;0,J155&lt;K155),D155-J155,"n.a.")))</x:f>
        <x:v>n.a.</x:v>
      </x:c>
      <x:c r="P155" s="19" t="str">
        <x:f>IF(AND(B155="Butterfly",J155&gt;0,J155&lt;K155),L155/J155,"n.a.")</x:f>
        <x:v>n.a.</x:v>
      </x:c>
      <x:c r="Q155" s="11" t="n">
        <x:f>J155*'Model inputs'!$B$8</x:f>
        <x:v>-622.9999999999997</x:v>
      </x:c>
      <x:c r="R155" s="1" t="str">
        <x:v>Indicative only</x:v>
      </x:c>
      <x:c r="S155" s="1" t="n">
        <x:v>670</x:v>
      </x:c>
      <x:c r="T155" s="1" t="n">
        <x:v>651</x:v>
      </x:c>
    </x:row>
    <x:row r="156" ht="21" customHeight="1">
      <x:c r="A156" s="12" t="n">
        <x:v>46280</x:v>
      </x:c>
      <x:c r="B156" s="1" t="str">
        <x:v>1x2 ratio</x:v>
      </x:c>
      <x:c r="C156" s="1" t="str">
        <x:v>call</x:v>
      </x:c>
      <x:c r="D156" s="11" t="n">
        <x:v>7600</x:v>
      </x:c>
      <x:c r="E156" s="11" t="n">
        <x:v>7800</x:v>
      </x:c>
      <x:c r="F156" s="11"/>
      <x:c r="G156" s="11" t="n">
        <x:f>'Option source'!B333</x:f>
        <x:v>106.1</x:v>
      </x:c>
      <x:c r="H156" s="11" t="n">
        <x:f>'Option source'!B352</x:f>
        <x:v>74.96</x:v>
      </x:c>
      <x:c r="I156" s="11"/>
      <x:c r="J156" s="11" t="n">
        <x:f>G156-2*H156+IF(B156="Butterfly",I156,0)</x:f>
        <x:v>-43.81999999999999</x:v>
      </x:c>
      <x:c r="K156" s="11" t="n">
        <x:f>ABS(E156-D156)</x:f>
        <x:v>200</x:v>
      </x:c>
      <x:c r="L156" s="11" t="n">
        <x:f>K156-J156</x:f>
        <x:v>243.82</x:v>
      </x:c>
      <x:c r="M156" s="11" t="str">
        <x:f>IF(B156="Butterfly",MAX(J156,0),IF(C156="call","Unlimited",MAX(2*E156-D156+J156,J156,0)))</x:f>
        <x:v>Unlimited</x:v>
      </x:c>
      <x:c r="N156" s="11" t="str">
        <x:f>IF(B156="Butterfly",IF(AND(J156&gt;0,J156&lt;K156),D156+J156,"n.a."),IF(C156="call",IF(AND(J156&gt;0,J156&lt;K156),D156+J156,"n.a."),IF(AND(K156&gt;J156,2*E156-D156+J156&gt;=0),2*E156-D156+J156,"n.a.")))</x:f>
        <x:v>n.a.</x:v>
      </x:c>
      <x:c r="O156" s="11" t="n">
        <x:f>IF(B156="Butterfly",IF(AND(J156&gt;0,J156&lt;K156),F156-J156,"n.a."),IF(C156="call",IF(K156&gt;J156,2*E156-D156-J156,"n.a."),IF(AND(J156&gt;0,J156&lt;K156),D156-J156,"n.a.")))</x:f>
        <x:v>8043.82</x:v>
      </x:c>
      <x:c r="P156" s="19" t="str">
        <x:f>IF(AND(B156="Butterfly",J156&gt;0,J156&lt;K156),L156/J156,"n.a.")</x:f>
        <x:v>n.a.</x:v>
      </x:c>
      <x:c r="Q156" s="11" t="n">
        <x:f>J156*'Model inputs'!$B$8</x:f>
        <x:v>-4381.999999999999</x:v>
      </x:c>
      <x:c r="R156" s="1" t="str">
        <x:v>Indicative only</x:v>
      </x:c>
      <x:c r="S156" s="1" t="n">
        <x:v>328</x:v>
      </x:c>
      <x:c r="T156" s="1" t="n">
        <x:v>347</x:v>
      </x:c>
    </x:row>
    <x:row r="157" ht="21" customHeight="1">
      <x:c r="A157" s="12" t="n">
        <x:v>46280</x:v>
      </x:c>
      <x:c r="B157" s="1" t="str">
        <x:v>1x2 ratio</x:v>
      </x:c>
      <x:c r="C157" s="1" t="str">
        <x:v>put</x:v>
      </x:c>
      <x:c r="D157" s="11" t="n">
        <x:v>5800</x:v>
      </x:c>
      <x:c r="E157" s="11" t="n">
        <x:v>5600</x:v>
      </x:c>
      <x:c r="F157" s="11"/>
      <x:c r="G157" s="11" t="n">
        <x:f>'Option source'!B656</x:f>
        <x:v>32.86</x:v>
      </x:c>
      <x:c r="H157" s="11" t="n">
        <x:f>'Option source'!B637</x:f>
        <x:v>17.76</x:v>
      </x:c>
      <x:c r="I157" s="11"/>
      <x:c r="J157" s="11" t="n">
        <x:f>G157-2*H157+IF(B157="Butterfly",I157,0)</x:f>
        <x:v>-2.6600000000000037</x:v>
      </x:c>
      <x:c r="K157" s="11" t="n">
        <x:f>ABS(E157-D157)</x:f>
        <x:v>200</x:v>
      </x:c>
      <x:c r="L157" s="11" t="n">
        <x:f>K157-J157</x:f>
        <x:v>202.66</x:v>
      </x:c>
      <x:c r="M157" s="11" t="n">
        <x:f>IF(B157="Butterfly",MAX(J157,0),IF(C157="call","Unlimited",MAX(2*E157-D157+J157,J157,0)))</x:f>
        <x:v>5397.34</x:v>
      </x:c>
      <x:c r="N157" s="11" t="n">
        <x:f>IF(B157="Butterfly",IF(AND(J157&gt;0,J157&lt;K157),D157+J157,"n.a."),IF(C157="call",IF(AND(J157&gt;0,J157&lt;K157),D157+J157,"n.a."),IF(AND(K157&gt;J157,2*E157-D157+J157&gt;=0),2*E157-D157+J157,"n.a.")))</x:f>
        <x:v>5397.34</x:v>
      </x:c>
      <x:c r="O157" s="11" t="str">
        <x:f>IF(B157="Butterfly",IF(AND(J157&gt;0,J157&lt;K157),F157-J157,"n.a."),IF(C157="call",IF(K157&gt;J157,2*E157-D157-J157,"n.a."),IF(AND(J157&gt;0,J157&lt;K157),D157-J157,"n.a.")))</x:f>
        <x:v>n.a.</x:v>
      </x:c>
      <x:c r="P157" s="19" t="str">
        <x:f>IF(AND(B157="Butterfly",J157&gt;0,J157&lt;K157),L157/J157,"n.a.")</x:f>
        <x:v>n.a.</x:v>
      </x:c>
      <x:c r="Q157" s="11" t="n">
        <x:f>J157*'Model inputs'!$B$8</x:f>
        <x:v>-266.00000000000034</x:v>
      </x:c>
      <x:c r="R157" s="1" t="str">
        <x:v>Indicative only</x:v>
      </x:c>
      <x:c r="S157" s="1" t="n">
        <x:v>651</x:v>
      </x:c>
      <x:c r="T157" s="1" t="n">
        <x:v>632</x:v>
      </x:c>
    </x:row>
    <x:row r="158" ht="21" customHeight="1">
      <x:c r="A158" s="12" t="n">
        <x:v>46280</x:v>
      </x:c>
      <x:c r="B158" s="1" t="str">
        <x:v>1x2 ratio</x:v>
      </x:c>
      <x:c r="C158" s="1" t="str">
        <x:v>call</x:v>
      </x:c>
      <x:c r="D158" s="11" t="n">
        <x:v>7800</x:v>
      </x:c>
      <x:c r="E158" s="11" t="n">
        <x:v>8000</x:v>
      </x:c>
      <x:c r="F158" s="11"/>
      <x:c r="G158" s="11" t="n">
        <x:f>'Option source'!B352</x:f>
        <x:v>74.96</x:v>
      </x:c>
      <x:c r="H158" s="11" t="n">
        <x:f>'Option source'!B371</x:f>
        <x:v>53.36</x:v>
      </x:c>
      <x:c r="I158" s="11"/>
      <x:c r="J158" s="11" t="n">
        <x:f>G158-2*H158+IF(B158="Butterfly",I158,0)</x:f>
        <x:v>-31.760000000000005</x:v>
      </x:c>
      <x:c r="K158" s="11" t="n">
        <x:f>ABS(E158-D158)</x:f>
        <x:v>200</x:v>
      </x:c>
      <x:c r="L158" s="11" t="n">
        <x:f>K158-J158</x:f>
        <x:v>231.76</x:v>
      </x:c>
      <x:c r="M158" s="11" t="str">
        <x:f>IF(B158="Butterfly",MAX(J158,0),IF(C158="call","Unlimited",MAX(2*E158-D158+J158,J158,0)))</x:f>
        <x:v>Unlimited</x:v>
      </x:c>
      <x:c r="N158" s="11" t="str">
        <x:f>IF(B158="Butterfly",IF(AND(J158&gt;0,J158&lt;K158),D158+J158,"n.a."),IF(C158="call",IF(AND(J158&gt;0,J158&lt;K158),D158+J158,"n.a."),IF(AND(K158&gt;J158,2*E158-D158+J158&gt;=0),2*E158-D158+J158,"n.a.")))</x:f>
        <x:v>n.a.</x:v>
      </x:c>
      <x:c r="O158" s="11" t="n">
        <x:f>IF(B158="Butterfly",IF(AND(J158&gt;0,J158&lt;K158),F158-J158,"n.a."),IF(C158="call",IF(K158&gt;J158,2*E158-D158-J158,"n.a."),IF(AND(J158&gt;0,J158&lt;K158),D158-J158,"n.a.")))</x:f>
        <x:v>8231.76</x:v>
      </x:c>
      <x:c r="P158" s="19" t="str">
        <x:f>IF(AND(B158="Butterfly",J158&gt;0,J158&lt;K158),L158/J158,"n.a.")</x:f>
        <x:v>n.a.</x:v>
      </x:c>
      <x:c r="Q158" s="11" t="n">
        <x:f>J158*'Model inputs'!$B$8</x:f>
        <x:v>-3176.0000000000005</x:v>
      </x:c>
      <x:c r="R158" s="1" t="str">
        <x:v>Indicative only</x:v>
      </x:c>
      <x:c r="S158" s="1" t="n">
        <x:v>347</x:v>
      </x:c>
      <x:c r="T158" s="1" t="n">
        <x:v>366</x:v>
      </x:c>
    </x:row>
    <x:row r="159" ht="21" customHeight="1">
      <x:c r="A159" s="12" t="n">
        <x:v>46280</x:v>
      </x:c>
      <x:c r="B159" s="1" t="str">
        <x:v>1x2 ratio</x:v>
      </x:c>
      <x:c r="C159" s="1" t="str">
        <x:v>call</x:v>
      </x:c>
      <x:c r="D159" s="11" t="n">
        <x:v>5200</x:v>
      </x:c>
      <x:c r="E159" s="11" t="n">
        <x:v>5400</x:v>
      </x:c>
      <x:c r="F159" s="11"/>
      <x:c r="G159" s="11" t="n">
        <x:f>'Option source'!B115</x:f>
        <x:v>1678.07</x:v>
      </x:c>
      <x:c r="H159" s="11" t="n">
        <x:f>'Option source'!B134</x:f>
        <x:v>1470</x:v>
      </x:c>
      <x:c r="I159" s="11"/>
      <x:c r="J159" s="11" t="n">
        <x:f>G159-2*H159+IF(B159="Butterfly",I159,0)</x:f>
        <x:v>-1261.93</x:v>
      </x:c>
      <x:c r="K159" s="11" t="n">
        <x:f>ABS(E159-D159)</x:f>
        <x:v>200</x:v>
      </x:c>
      <x:c r="L159" s="11" t="n">
        <x:f>K159-J159</x:f>
        <x:v>1461.93</x:v>
      </x:c>
      <x:c r="M159" s="11" t="str">
        <x:f>IF(B159="Butterfly",MAX(J159,0),IF(C159="call","Unlimited",MAX(2*E159-D159+J159,J159,0)))</x:f>
        <x:v>Unlimited</x:v>
      </x:c>
      <x:c r="N159" s="11" t="str">
        <x:f>IF(B159="Butterfly",IF(AND(J159&gt;0,J159&lt;K159),D159+J159,"n.a."),IF(C159="call",IF(AND(J159&gt;0,J159&lt;K159),D159+J159,"n.a."),IF(AND(K159&gt;J159,2*E159-D159+J159&gt;=0),2*E159-D159+J159,"n.a.")))</x:f>
        <x:v>n.a.</x:v>
      </x:c>
      <x:c r="O159" s="11" t="n">
        <x:f>IF(B159="Butterfly",IF(AND(J159&gt;0,J159&lt;K159),F159-J159,"n.a."),IF(C159="call",IF(K159&gt;J159,2*E159-D159-J159,"n.a."),IF(AND(J159&gt;0,J159&lt;K159),D159-J159,"n.a.")))</x:f>
        <x:v>6861.93</x:v>
      </x:c>
      <x:c r="P159" s="19" t="str">
        <x:f>IF(AND(B159="Butterfly",J159&gt;0,J159&lt;K159),L159/J159,"n.a.")</x:f>
        <x:v>n.a.</x:v>
      </x:c>
      <x:c r="Q159" s="11" t="n">
        <x:f>J159*'Model inputs'!$B$8</x:f>
        <x:v>-126193</x:v>
      </x:c>
      <x:c r="R159" s="1" t="str">
        <x:v>Indicative only</x:v>
      </x:c>
      <x:c r="S159" s="1" t="n">
        <x:v>110</x:v>
      </x:c>
      <x:c r="T159" s="1" t="n">
        <x:v>129</x:v>
      </x:c>
    </x:row>
    <x:row r="160" ht="21" customHeight="1">
      <x:c r="A160" s="12" t="n">
        <x:v>46280</x:v>
      </x:c>
      <x:c r="B160" s="1" t="str">
        <x:v>1x2 ratio</x:v>
      </x:c>
      <x:c r="C160" s="1" t="str">
        <x:v>put</x:v>
      </x:c>
      <x:c r="D160" s="11" t="n">
        <x:v>5600</x:v>
      </x:c>
      <x:c r="E160" s="11" t="n">
        <x:v>5400</x:v>
      </x:c>
      <x:c r="F160" s="11"/>
      <x:c r="G160" s="11" t="n">
        <x:f>'Option source'!B637</x:f>
        <x:v>17.76</x:v>
      </x:c>
      <x:c r="H160" s="11" t="n">
        <x:f>'Option source'!B618</x:f>
        <x:v>9.9</x:v>
      </x:c>
      <x:c r="I160" s="11"/>
      <x:c r="J160" s="11" t="n">
        <x:f>G160-2*H160+IF(B160="Butterfly",I160,0)</x:f>
        <x:v>-2.039999999999999</x:v>
      </x:c>
      <x:c r="K160" s="11" t="n">
        <x:f>ABS(E160-D160)</x:f>
        <x:v>200</x:v>
      </x:c>
      <x:c r="L160" s="11" t="n">
        <x:f>K160-J160</x:f>
        <x:v>202.04</x:v>
      </x:c>
      <x:c r="M160" s="11" t="n">
        <x:f>IF(B160="Butterfly",MAX(J160,0),IF(C160="call","Unlimited",MAX(2*E160-D160+J160,J160,0)))</x:f>
        <x:v>5197.96</x:v>
      </x:c>
      <x:c r="N160" s="11" t="n">
        <x:f>IF(B160="Butterfly",IF(AND(J160&gt;0,J160&lt;K160),D160+J160,"n.a."),IF(C160="call",IF(AND(J160&gt;0,J160&lt;K160),D160+J160,"n.a."),IF(AND(K160&gt;J160,2*E160-D160+J160&gt;=0),2*E160-D160+J160,"n.a.")))</x:f>
        <x:v>5197.96</x:v>
      </x:c>
      <x:c r="O160" s="11" t="str">
        <x:f>IF(B160="Butterfly",IF(AND(J160&gt;0,J160&lt;K160),F160-J160,"n.a."),IF(C160="call",IF(K160&gt;J160,2*E160-D160-J160,"n.a."),IF(AND(J160&gt;0,J160&lt;K160),D160-J160,"n.a.")))</x:f>
        <x:v>n.a.</x:v>
      </x:c>
      <x:c r="P160" s="19" t="str">
        <x:f>IF(AND(B160="Butterfly",J160&gt;0,J160&lt;K160),L160/J160,"n.a.")</x:f>
        <x:v>n.a.</x:v>
      </x:c>
      <x:c r="Q160" s="11" t="n">
        <x:f>J160*'Model inputs'!$B$8</x:f>
        <x:v>-203.99999999999991</x:v>
      </x:c>
      <x:c r="R160" s="1" t="str">
        <x:v>Indicative only</x:v>
      </x:c>
      <x:c r="S160" s="1" t="n">
        <x:v>632</x:v>
      </x:c>
      <x:c r="T160" s="1" t="n">
        <x:v>613</x:v>
      </x:c>
    </x:row>
    <x:row r="161" ht="21" customHeight="1">
      <x:c r="A161" s="12" t="n">
        <x:v>46280</x:v>
      </x:c>
      <x:c r="B161" s="1" t="str">
        <x:v>1x2 ratio</x:v>
      </x:c>
      <x:c r="C161" s="1" t="str">
        <x:v>put</x:v>
      </x:c>
      <x:c r="D161" s="11" t="n">
        <x:v>5400</x:v>
      </x:c>
      <x:c r="E161" s="11" t="n">
        <x:v>5200</x:v>
      </x:c>
      <x:c r="F161" s="11"/>
      <x:c r="G161" s="11" t="n">
        <x:f>'Option source'!B618</x:f>
        <x:v>9.9</x:v>
      </x:c>
      <x:c r="H161" s="11" t="n">
        <x:f>'Option source'!B599</x:f>
        <x:v>5.46</x:v>
      </x:c>
      <x:c r="I161" s="11"/>
      <x:c r="J161" s="11" t="n">
        <x:f>G161-2*H161+IF(B161="Butterfly",I161,0)</x:f>
        <x:v>-1.0199999999999996</x:v>
      </x:c>
      <x:c r="K161" s="11" t="n">
        <x:f>ABS(E161-D161)</x:f>
        <x:v>200</x:v>
      </x:c>
      <x:c r="L161" s="11" t="n">
        <x:f>K161-J161</x:f>
        <x:v>201.02</x:v>
      </x:c>
      <x:c r="M161" s="11" t="n">
        <x:f>IF(B161="Butterfly",MAX(J161,0),IF(C161="call","Unlimited",MAX(2*E161-D161+J161,J161,0)))</x:f>
        <x:v>4998.98</x:v>
      </x:c>
      <x:c r="N161" s="11" t="n">
        <x:f>IF(B161="Butterfly",IF(AND(J161&gt;0,J161&lt;K161),D161+J161,"n.a."),IF(C161="call",IF(AND(J161&gt;0,J161&lt;K161),D161+J161,"n.a."),IF(AND(K161&gt;J161,2*E161-D161+J161&gt;=0),2*E161-D161+J161,"n.a.")))</x:f>
        <x:v>4998.98</x:v>
      </x:c>
      <x:c r="O161" s="11" t="str">
        <x:f>IF(B161="Butterfly",IF(AND(J161&gt;0,J161&lt;K161),F161-J161,"n.a."),IF(C161="call",IF(K161&gt;J161,2*E161-D161-J161,"n.a."),IF(AND(J161&gt;0,J161&lt;K161),D161-J161,"n.a.")))</x:f>
        <x:v>n.a.</x:v>
      </x:c>
      <x:c r="P161" s="19" t="str">
        <x:f>IF(AND(B161="Butterfly",J161&gt;0,J161&lt;K161),L161/J161,"n.a.")</x:f>
        <x:v>n.a.</x:v>
      </x:c>
      <x:c r="Q161" s="11" t="n">
        <x:f>J161*'Model inputs'!$B$8</x:f>
        <x:v>-101.99999999999996</x:v>
      </x:c>
      <x:c r="R161" s="1" t="str">
        <x:v>Indicative only</x:v>
      </x:c>
      <x:c r="S161" s="1" t="n">
        <x:v>613</x:v>
      </x:c>
      <x:c r="T161" s="1" t="n">
        <x:v>594</x:v>
      </x:c>
    </x:row>
    <x:row r="162" ht="21" customHeight="1">
      <x:c r="A162" s="12" t="n">
        <x:v>46280</x:v>
      </x:c>
      <x:c r="B162" s="1" t="str">
        <x:v>1x2 ratio</x:v>
      </x:c>
      <x:c r="C162" s="1" t="str">
        <x:v>call</x:v>
      </x:c>
      <x:c r="D162" s="11" t="n">
        <x:v>8000</x:v>
      </x:c>
      <x:c r="E162" s="11" t="n">
        <x:v>8300</x:v>
      </x:c>
      <x:c r="F162" s="11"/>
      <x:c r="G162" s="11" t="n">
        <x:f>'Option source'!B371</x:f>
        <x:v>53.36</x:v>
      </x:c>
      <x:c r="H162" s="11" t="n">
        <x:f>'Option source'!B390</x:f>
        <x:v>31.45</x:v>
      </x:c>
      <x:c r="I162" s="11"/>
      <x:c r="J162" s="11" t="n">
        <x:f>G162-2*H162+IF(B162="Butterfly",I162,0)</x:f>
        <x:v>-9.54</x:v>
      </x:c>
      <x:c r="K162" s="11" t="n">
        <x:f>ABS(E162-D162)</x:f>
        <x:v>300</x:v>
      </x:c>
      <x:c r="L162" s="11" t="n">
        <x:f>K162-J162</x:f>
        <x:v>309.54</x:v>
      </x:c>
      <x:c r="M162" s="11" t="str">
        <x:f>IF(B162="Butterfly",MAX(J162,0),IF(C162="call","Unlimited",MAX(2*E162-D162+J162,J162,0)))</x:f>
        <x:v>Unlimited</x:v>
      </x:c>
      <x:c r="N162" s="11" t="str">
        <x:f>IF(B162="Butterfly",IF(AND(J162&gt;0,J162&lt;K162),D162+J162,"n.a."),IF(C162="call",IF(AND(J162&gt;0,J162&lt;K162),D162+J162,"n.a."),IF(AND(K162&gt;J162,2*E162-D162+J162&gt;=0),2*E162-D162+J162,"n.a.")))</x:f>
        <x:v>n.a.</x:v>
      </x:c>
      <x:c r="O162" s="11" t="n">
        <x:f>IF(B162="Butterfly",IF(AND(J162&gt;0,J162&lt;K162),F162-J162,"n.a."),IF(C162="call",IF(K162&gt;J162,2*E162-D162-J162,"n.a."),IF(AND(J162&gt;0,J162&lt;K162),D162-J162,"n.a.")))</x:f>
        <x:v>8609.54</x:v>
      </x:c>
      <x:c r="P162" s="19" t="str">
        <x:f>IF(AND(B162="Butterfly",J162&gt;0,J162&lt;K162),L162/J162,"n.a.")</x:f>
        <x:v>n.a.</x:v>
      </x:c>
      <x:c r="Q162" s="11" t="n">
        <x:f>J162*'Model inputs'!$B$8</x:f>
        <x:v>-953.9999999999999</x:v>
      </x:c>
      <x:c r="R162" s="1" t="str">
        <x:v>Indicative only</x:v>
      </x:c>
      <x:c r="S162" s="1" t="n">
        <x:v>366</x:v>
      </x:c>
      <x:c r="T162" s="1" t="n">
        <x:v>385</x:v>
      </x:c>
    </x:row>
    <x:row r="163" ht="21" customHeight="1">
      <x:c r="A163" s="12" t="n">
        <x:v>46280</x:v>
      </x:c>
      <x:c r="B163" s="1" t="str">
        <x:v>1x2 ratio</x:v>
      </x:c>
      <x:c r="C163" s="1" t="str">
        <x:v>put</x:v>
      </x:c>
      <x:c r="D163" s="11" t="n">
        <x:v>5200</x:v>
      </x:c>
      <x:c r="E163" s="11" t="n">
        <x:v>5000</x:v>
      </x:c>
      <x:c r="F163" s="11"/>
      <x:c r="G163" s="11" t="n">
        <x:f>'Option source'!B599</x:f>
        <x:v>5.46</x:v>
      </x:c>
      <x:c r="H163" s="11" t="n">
        <x:f>'Option source'!B580</x:f>
        <x:v>3.46</x:v>
      </x:c>
      <x:c r="I163" s="11"/>
      <x:c r="J163" s="11" t="n">
        <x:f>G163-2*H163+IF(B163="Butterfly",I163,0)</x:f>
        <x:v>-1.46</x:v>
      </x:c>
      <x:c r="K163" s="11" t="n">
        <x:f>ABS(E163-D163)</x:f>
        <x:v>200</x:v>
      </x:c>
      <x:c r="L163" s="11" t="n">
        <x:f>K163-J163</x:f>
        <x:v>201.46</x:v>
      </x:c>
      <x:c r="M163" s="11" t="n">
        <x:f>IF(B163="Butterfly",MAX(J163,0),IF(C163="call","Unlimited",MAX(2*E163-D163+J163,J163,0)))</x:f>
        <x:v>4798.54</x:v>
      </x:c>
      <x:c r="N163" s="11" t="n">
        <x:f>IF(B163="Butterfly",IF(AND(J163&gt;0,J163&lt;K163),D163+J163,"n.a."),IF(C163="call",IF(AND(J163&gt;0,J163&lt;K163),D163+J163,"n.a."),IF(AND(K163&gt;J163,2*E163-D163+J163&gt;=0),2*E163-D163+J163,"n.a.")))</x:f>
        <x:v>4798.54</x:v>
      </x:c>
      <x:c r="O163" s="11" t="str">
        <x:f>IF(B163="Butterfly",IF(AND(J163&gt;0,J163&lt;K163),F163-J163,"n.a."),IF(C163="call",IF(K163&gt;J163,2*E163-D163-J163,"n.a."),IF(AND(J163&gt;0,J163&lt;K163),D163-J163,"n.a.")))</x:f>
        <x:v>n.a.</x:v>
      </x:c>
      <x:c r="P163" s="19" t="str">
        <x:f>IF(AND(B163="Butterfly",J163&gt;0,J163&lt;K163),L163/J163,"n.a.")</x:f>
        <x:v>n.a.</x:v>
      </x:c>
      <x:c r="Q163" s="11" t="n">
        <x:f>J163*'Model inputs'!$B$8</x:f>
        <x:v>-146</x:v>
      </x:c>
      <x:c r="R163" s="1" t="str">
        <x:v>Indicative only</x:v>
      </x:c>
      <x:c r="S163" s="1" t="n">
        <x:v>594</x:v>
      </x:c>
      <x:c r="T163" s="1" t="n">
        <x:v>575</x:v>
      </x:c>
    </x:row>
    <x:row r="164" ht="21" customHeight="1">
      <x:c r="A164" s="12" t="n">
        <x:v>46280</x:v>
      </x:c>
      <x:c r="B164" s="1" t="str">
        <x:v>1x2 ratio</x:v>
      </x:c>
      <x:c r="C164" s="1" t="str">
        <x:v>call</x:v>
      </x:c>
      <x:c r="D164" s="11" t="n">
        <x:v>8300</x:v>
      </x:c>
      <x:c r="E164" s="11" t="n">
        <x:v>8600</x:v>
      </x:c>
      <x:c r="F164" s="11"/>
      <x:c r="G164" s="11" t="n">
        <x:f>'Option source'!B390</x:f>
        <x:v>31.45</x:v>
      </x:c>
      <x:c r="H164" s="11" t="n">
        <x:f>'Option source'!B409</x:f>
        <x:v>19.15</x:v>
      </x:c>
      <x:c r="I164" s="11"/>
      <x:c r="J164" s="11" t="n">
        <x:f>G164-2*H164+IF(B164="Butterfly",I164,0)</x:f>
        <x:v>-6.849999999999998</x:v>
      </x:c>
      <x:c r="K164" s="11" t="n">
        <x:f>ABS(E164-D164)</x:f>
        <x:v>300</x:v>
      </x:c>
      <x:c r="L164" s="11" t="n">
        <x:f>K164-J164</x:f>
        <x:v>306.85</x:v>
      </x:c>
      <x:c r="M164" s="11" t="str">
        <x:f>IF(B164="Butterfly",MAX(J164,0),IF(C164="call","Unlimited",MAX(2*E164-D164+J164,J164,0)))</x:f>
        <x:v>Unlimited</x:v>
      </x:c>
      <x:c r="N164" s="11" t="str">
        <x:f>IF(B164="Butterfly",IF(AND(J164&gt;0,J164&lt;K164),D164+J164,"n.a."),IF(C164="call",IF(AND(J164&gt;0,J164&lt;K164),D164+J164,"n.a."),IF(AND(K164&gt;J164,2*E164-D164+J164&gt;=0),2*E164-D164+J164,"n.a.")))</x:f>
        <x:v>n.a.</x:v>
      </x:c>
      <x:c r="O164" s="11" t="n">
        <x:f>IF(B164="Butterfly",IF(AND(J164&gt;0,J164&lt;K164),F164-J164,"n.a."),IF(C164="call",IF(K164&gt;J164,2*E164-D164-J164,"n.a."),IF(AND(J164&gt;0,J164&lt;K164),D164-J164,"n.a.")))</x:f>
        <x:v>8906.85</x:v>
      </x:c>
      <x:c r="P164" s="19" t="str">
        <x:f>IF(AND(B164="Butterfly",J164&gt;0,J164&lt;K164),L164/J164,"n.a.")</x:f>
        <x:v>n.a.</x:v>
      </x:c>
      <x:c r="Q164" s="11" t="n">
        <x:f>J164*'Model inputs'!$B$8</x:f>
        <x:v>-684.9999999999998</x:v>
      </x:c>
      <x:c r="R164" s="1" t="str">
        <x:v>Indicative only</x:v>
      </x:c>
      <x:c r="S164" s="1" t="n">
        <x:v>385</x:v>
      </x:c>
      <x:c r="T164" s="1" t="n">
        <x:v>404</x:v>
      </x:c>
    </x:row>
    <x:row r="165" ht="21" customHeight="1">
      <x:c r="A165" s="12" t="n">
        <x:v>46280</x:v>
      </x:c>
      <x:c r="B165" s="1" t="str">
        <x:v>1x2 ratio</x:v>
      </x:c>
      <x:c r="C165" s="1" t="str">
        <x:v>put</x:v>
      </x:c>
      <x:c r="D165" s="11" t="n">
        <x:v>5000</x:v>
      </x:c>
      <x:c r="E165" s="11" t="n">
        <x:v>4800</x:v>
      </x:c>
      <x:c r="F165" s="11"/>
      <x:c r="G165" s="11" t="n">
        <x:f>'Option source'!B580</x:f>
        <x:v>3.46</x:v>
      </x:c>
      <x:c r="H165" s="11" t="n">
        <x:f>'Option source'!B561</x:f>
        <x:v>2.64</x:v>
      </x:c>
      <x:c r="I165" s="11"/>
      <x:c r="J165" s="11" t="n">
        <x:f>G165-2*H165+IF(B165="Butterfly",I165,0)</x:f>
        <x:v>-1.8200000000000003</x:v>
      </x:c>
      <x:c r="K165" s="11" t="n">
        <x:f>ABS(E165-D165)</x:f>
        <x:v>200</x:v>
      </x:c>
      <x:c r="L165" s="11" t="n">
        <x:f>K165-J165</x:f>
        <x:v>201.82</x:v>
      </x:c>
      <x:c r="M165" s="11" t="n">
        <x:f>IF(B165="Butterfly",MAX(J165,0),IF(C165="call","Unlimited",MAX(2*E165-D165+J165,J165,0)))</x:f>
        <x:v>4598.18</x:v>
      </x:c>
      <x:c r="N165" s="11" t="n">
        <x:f>IF(B165="Butterfly",IF(AND(J165&gt;0,J165&lt;K165),D165+J165,"n.a."),IF(C165="call",IF(AND(J165&gt;0,J165&lt;K165),D165+J165,"n.a."),IF(AND(K165&gt;J165,2*E165-D165+J165&gt;=0),2*E165-D165+J165,"n.a.")))</x:f>
        <x:v>4598.18</x:v>
      </x:c>
      <x:c r="O165" s="11" t="str">
        <x:f>IF(B165="Butterfly",IF(AND(J165&gt;0,J165&lt;K165),F165-J165,"n.a."),IF(C165="call",IF(K165&gt;J165,2*E165-D165-J165,"n.a."),IF(AND(J165&gt;0,J165&lt;K165),D165-J165,"n.a.")))</x:f>
        <x:v>n.a.</x:v>
      </x:c>
      <x:c r="P165" s="19" t="str">
        <x:f>IF(AND(B165="Butterfly",J165&gt;0,J165&lt;K165),L165/J165,"n.a.")</x:f>
        <x:v>n.a.</x:v>
      </x:c>
      <x:c r="Q165" s="11" t="n">
        <x:f>J165*'Model inputs'!$B$8</x:f>
        <x:v>-182.00000000000003</x:v>
      </x:c>
      <x:c r="R165" s="1" t="str">
        <x:v>Indicative only</x:v>
      </x:c>
      <x:c r="S165" s="1" t="n">
        <x:v>575</x:v>
      </x:c>
      <x:c r="T165" s="1" t="n">
        <x:v>556</x:v>
      </x:c>
    </x:row>
    <x:row r="166" ht="21" customHeight="1">
      <x:c r="A166" s="12" t="n">
        <x:v>46280</x:v>
      </x:c>
      <x:c r="B166" s="1" t="str">
        <x:v>1x2 ratio</x:v>
      </x:c>
      <x:c r="C166" s="1" t="str">
        <x:v>put</x:v>
      </x:c>
      <x:c r="D166" s="11" t="n">
        <x:v>4800</x:v>
      </x:c>
      <x:c r="E166" s="11" t="n">
        <x:v>4600</x:v>
      </x:c>
      <x:c r="F166" s="11"/>
      <x:c r="G166" s="11" t="n">
        <x:f>'Option source'!B561</x:f>
        <x:v>2.64</x:v>
      </x:c>
      <x:c r="H166" s="11" t="n">
        <x:f>'Option source'!B542</x:f>
        <x:v>1.8</x:v>
      </x:c>
      <x:c r="I166" s="11"/>
      <x:c r="J166" s="11" t="n">
        <x:f>G166-2*H166+IF(B166="Butterfly",I166,0)</x:f>
        <x:v>-0.96</x:v>
      </x:c>
      <x:c r="K166" s="11" t="n">
        <x:f>ABS(E166-D166)</x:f>
        <x:v>200</x:v>
      </x:c>
      <x:c r="L166" s="11" t="n">
        <x:f>K166-J166</x:f>
        <x:v>200.96</x:v>
      </x:c>
      <x:c r="M166" s="11" t="n">
        <x:f>IF(B166="Butterfly",MAX(J166,0),IF(C166="call","Unlimited",MAX(2*E166-D166+J166,J166,0)))</x:f>
        <x:v>4399.04</x:v>
      </x:c>
      <x:c r="N166" s="11" t="n">
        <x:f>IF(B166="Butterfly",IF(AND(J166&gt;0,J166&lt;K166),D166+J166,"n.a."),IF(C166="call",IF(AND(J166&gt;0,J166&lt;K166),D166+J166,"n.a."),IF(AND(K166&gt;J166,2*E166-D166+J166&gt;=0),2*E166-D166+J166,"n.a.")))</x:f>
        <x:v>4399.04</x:v>
      </x:c>
      <x:c r="O166" s="11" t="str">
        <x:f>IF(B166="Butterfly",IF(AND(J166&gt;0,J166&lt;K166),F166-J166,"n.a."),IF(C166="call",IF(K166&gt;J166,2*E166-D166-J166,"n.a."),IF(AND(J166&gt;0,J166&lt;K166),D166-J166,"n.a.")))</x:f>
        <x:v>n.a.</x:v>
      </x:c>
      <x:c r="P166" s="19" t="str">
        <x:f>IF(AND(B166="Butterfly",J166&gt;0,J166&lt;K166),L166/J166,"n.a.")</x:f>
        <x:v>n.a.</x:v>
      </x:c>
      <x:c r="Q166" s="11" t="n">
        <x:f>J166*'Model inputs'!$B$8</x:f>
        <x:v>-96</x:v>
      </x:c>
      <x:c r="R166" s="1" t="str">
        <x:v>Indicative only</x:v>
      </x:c>
      <x:c r="S166" s="1" t="n">
        <x:v>556</x:v>
      </x:c>
      <x:c r="T166" s="1" t="n">
        <x:v>537</x:v>
      </x:c>
    </x:row>
    <x:row r="167" ht="21" customHeight="1">
      <x:c r="A167" s="12" t="n">
        <x:v>46280</x:v>
      </x:c>
      <x:c r="B167" s="1" t="str">
        <x:v>1x2 ratio</x:v>
      </x:c>
      <x:c r="C167" s="1" t="str">
        <x:v>call</x:v>
      </x:c>
      <x:c r="D167" s="11" t="n">
        <x:v>8600</x:v>
      </x:c>
      <x:c r="E167" s="11" t="n">
        <x:v>8900</x:v>
      </x:c>
      <x:c r="F167" s="11"/>
      <x:c r="G167" s="11" t="n">
        <x:f>'Option source'!B409</x:f>
        <x:v>19.15</x:v>
      </x:c>
      <x:c r="H167" s="11" t="n">
        <x:f>'Option source'!B428</x:f>
        <x:v>9.81</x:v>
      </x:c>
      <x:c r="I167" s="11"/>
      <x:c r="J167" s="11" t="n">
        <x:f>G167-2*H167+IF(B167="Butterfly",I167,0)</x:f>
        <x:v>-0.4700000000000024</x:v>
      </x:c>
      <x:c r="K167" s="11" t="n">
        <x:f>ABS(E167-D167)</x:f>
        <x:v>300</x:v>
      </x:c>
      <x:c r="L167" s="11" t="n">
        <x:f>K167-J167</x:f>
        <x:v>300.47</x:v>
      </x:c>
      <x:c r="M167" s="11" t="str">
        <x:f>IF(B167="Butterfly",MAX(J167,0),IF(C167="call","Unlimited",MAX(2*E167-D167+J167,J167,0)))</x:f>
        <x:v>Unlimited</x:v>
      </x:c>
      <x:c r="N167" s="11" t="str">
        <x:f>IF(B167="Butterfly",IF(AND(J167&gt;0,J167&lt;K167),D167+J167,"n.a."),IF(C167="call",IF(AND(J167&gt;0,J167&lt;K167),D167+J167,"n.a."),IF(AND(K167&gt;J167,2*E167-D167+J167&gt;=0),2*E167-D167+J167,"n.a.")))</x:f>
        <x:v>n.a.</x:v>
      </x:c>
      <x:c r="O167" s="11" t="n">
        <x:f>IF(B167="Butterfly",IF(AND(J167&gt;0,J167&lt;K167),F167-J167,"n.a."),IF(C167="call",IF(K167&gt;J167,2*E167-D167-J167,"n.a."),IF(AND(J167&gt;0,J167&lt;K167),D167-J167,"n.a.")))</x:f>
        <x:v>9200.47</x:v>
      </x:c>
      <x:c r="P167" s="19" t="str">
        <x:f>IF(AND(B167="Butterfly",J167&gt;0,J167&lt;K167),L167/J167,"n.a.")</x:f>
        <x:v>n.a.</x:v>
      </x:c>
      <x:c r="Q167" s="11" t="n">
        <x:f>J167*'Model inputs'!$B$8</x:f>
        <x:v>-47.00000000000024</x:v>
      </x:c>
      <x:c r="R167" s="1" t="str">
        <x:v>Indicative only</x:v>
      </x:c>
      <x:c r="S167" s="1" t="n">
        <x:v>404</x:v>
      </x:c>
      <x:c r="T167" s="1" t="n">
        <x:v>423</x:v>
      </x:c>
    </x:row>
    <x:row r="168" ht="21" customHeight="1">
      <x:c r="A168" s="12" t="n">
        <x:v>46280</x:v>
      </x:c>
      <x:c r="B168" s="1" t="str">
        <x:v>1x2 ratio</x:v>
      </x:c>
      <x:c r="C168" s="1" t="str">
        <x:v>call</x:v>
      </x:c>
      <x:c r="D168" s="11" t="n">
        <x:v>8900</x:v>
      </x:c>
      <x:c r="E168" s="11" t="n">
        <x:v>9200</x:v>
      </x:c>
      <x:c r="F168" s="11"/>
      <x:c r="G168" s="11" t="n">
        <x:f>'Option source'!B428</x:f>
        <x:v>9.81</x:v>
      </x:c>
      <x:c r="H168" s="11" t="n">
        <x:f>'Option source'!B447</x:f>
        <x:v>5.93</x:v>
      </x:c>
      <x:c r="I168" s="11"/>
      <x:c r="J168" s="11" t="n">
        <x:f>G168-2*H168+IF(B168="Butterfly",I168,0)</x:f>
        <x:v>-2.049999999999999</x:v>
      </x:c>
      <x:c r="K168" s="11" t="n">
        <x:f>ABS(E168-D168)</x:f>
        <x:v>300</x:v>
      </x:c>
      <x:c r="L168" s="11" t="n">
        <x:f>K168-J168</x:f>
        <x:v>302.05</x:v>
      </x:c>
      <x:c r="M168" s="11" t="str">
        <x:f>IF(B168="Butterfly",MAX(J168,0),IF(C168="call","Unlimited",MAX(2*E168-D168+J168,J168,0)))</x:f>
        <x:v>Unlimited</x:v>
      </x:c>
      <x:c r="N168" s="11" t="str">
        <x:f>IF(B168="Butterfly",IF(AND(J168&gt;0,J168&lt;K168),D168+J168,"n.a."),IF(C168="call",IF(AND(J168&gt;0,J168&lt;K168),D168+J168,"n.a."),IF(AND(K168&gt;J168,2*E168-D168+J168&gt;=0),2*E168-D168+J168,"n.a.")))</x:f>
        <x:v>n.a.</x:v>
      </x:c>
      <x:c r="O168" s="11" t="n">
        <x:f>IF(B168="Butterfly",IF(AND(J168&gt;0,J168&lt;K168),F168-J168,"n.a."),IF(C168="call",IF(K168&gt;J168,2*E168-D168-J168,"n.a."),IF(AND(J168&gt;0,J168&lt;K168),D168-J168,"n.a.")))</x:f>
        <x:v>9502.05</x:v>
      </x:c>
      <x:c r="P168" s="19" t="str">
        <x:f>IF(AND(B168="Butterfly",J168&gt;0,J168&lt;K168),L168/J168,"n.a.")</x:f>
        <x:v>n.a.</x:v>
      </x:c>
      <x:c r="Q168" s="11" t="n">
        <x:f>J168*'Model inputs'!$B$8</x:f>
        <x:v>-204.9999999999999</x:v>
      </x:c>
      <x:c r="R168" s="1" t="str">
        <x:v>Indicative only</x:v>
      </x:c>
      <x:c r="S168" s="1" t="n">
        <x:v>423</x:v>
      </x:c>
      <x:c r="T168" s="1" t="n">
        <x:v>442</x:v>
      </x:c>
    </x:row>
    <x:row r="169" ht="21" customHeight="1">
      <x:c r="A169" s="12" t="n">
        <x:v>46280</x:v>
      </x:c>
      <x:c r="B169" s="1" t="str">
        <x:v>1x2 ratio</x:v>
      </x:c>
      <x:c r="C169" s="1" t="str">
        <x:v>call</x:v>
      </x:c>
      <x:c r="D169" s="11" t="n">
        <x:v>9200</x:v>
      </x:c>
      <x:c r="E169" s="11" t="n">
        <x:v>9500</x:v>
      </x:c>
      <x:c r="F169" s="11"/>
      <x:c r="G169" s="11" t="n">
        <x:f>'Option source'!B447</x:f>
        <x:v>5.93</x:v>
      </x:c>
      <x:c r="H169" s="11" t="n">
        <x:f>'Option source'!B466</x:f>
        <x:v>3.7</x:v>
      </x:c>
      <x:c r="I169" s="11"/>
      <x:c r="J169" s="11" t="n">
        <x:f>G169-2*H169+IF(B169="Butterfly",I169,0)</x:f>
        <x:v>-1.4700000000000006</x:v>
      </x:c>
      <x:c r="K169" s="11" t="n">
        <x:f>ABS(E169-D169)</x:f>
        <x:v>300</x:v>
      </x:c>
      <x:c r="L169" s="11" t="n">
        <x:f>K169-J169</x:f>
        <x:v>301.47</x:v>
      </x:c>
      <x:c r="M169" s="11" t="str">
        <x:f>IF(B169="Butterfly",MAX(J169,0),IF(C169="call","Unlimited",MAX(2*E169-D169+J169,J169,0)))</x:f>
        <x:v>Unlimited</x:v>
      </x:c>
      <x:c r="N169" s="11" t="str">
        <x:f>IF(B169="Butterfly",IF(AND(J169&gt;0,J169&lt;K169),D169+J169,"n.a."),IF(C169="call",IF(AND(J169&gt;0,J169&lt;K169),D169+J169,"n.a."),IF(AND(K169&gt;J169,2*E169-D169+J169&gt;=0),2*E169-D169+J169,"n.a.")))</x:f>
        <x:v>n.a.</x:v>
      </x:c>
      <x:c r="O169" s="11" t="n">
        <x:f>IF(B169="Butterfly",IF(AND(J169&gt;0,J169&lt;K169),F169-J169,"n.a."),IF(C169="call",IF(K169&gt;J169,2*E169-D169-J169,"n.a."),IF(AND(J169&gt;0,J169&lt;K169),D169-J169,"n.a.")))</x:f>
        <x:v>9801.47</x:v>
      </x:c>
      <x:c r="P169" s="19" t="str">
        <x:f>IF(AND(B169="Butterfly",J169&gt;0,J169&lt;K169),L169/J169,"n.a.")</x:f>
        <x:v>n.a.</x:v>
      </x:c>
      <x:c r="Q169" s="11" t="n">
        <x:f>J169*'Model inputs'!$B$8</x:f>
        <x:v>-147.00000000000006</x:v>
      </x:c>
      <x:c r="R169" s="1" t="str">
        <x:v>Indicative only</x:v>
      </x:c>
      <x:c r="S169" s="1" t="n">
        <x:v>442</x:v>
      </x:c>
      <x:c r="T169" s="1" t="n">
        <x:v>461</x:v>
      </x:c>
    </x:row>
    <x:row r="170" ht="21" customHeight="1">
      <x:c r="A170" s="12" t="n">
        <x:v>46280</x:v>
      </x:c>
      <x:c r="B170" s="1" t="str">
        <x:v>1x2 ratio</x:v>
      </x:c>
      <x:c r="C170" s="1" t="str">
        <x:v>call</x:v>
      </x:c>
      <x:c r="D170" s="11" t="n">
        <x:v>9500</x:v>
      </x:c>
      <x:c r="E170" s="11" t="n">
        <x:v>9900</x:v>
      </x:c>
      <x:c r="F170" s="11"/>
      <x:c r="G170" s="11" t="n">
        <x:f>'Option source'!B466</x:f>
        <x:v>3.7</x:v>
      </x:c>
      <x:c r="H170" s="11" t="n">
        <x:f>'Option source'!B485</x:f>
        <x:v>2.44</x:v>
      </x:c>
      <x:c r="I170" s="11"/>
      <x:c r="J170" s="11" t="n">
        <x:f>G170-2*H170+IF(B170="Butterfly",I170,0)</x:f>
        <x:v>-1.1799999999999997</x:v>
      </x:c>
      <x:c r="K170" s="11" t="n">
        <x:f>ABS(E170-D170)</x:f>
        <x:v>400</x:v>
      </x:c>
      <x:c r="L170" s="11" t="n">
        <x:f>K170-J170</x:f>
        <x:v>401.18</x:v>
      </x:c>
      <x:c r="M170" s="11" t="str">
        <x:f>IF(B170="Butterfly",MAX(J170,0),IF(C170="call","Unlimited",MAX(2*E170-D170+J170,J170,0)))</x:f>
        <x:v>Unlimited</x:v>
      </x:c>
      <x:c r="N170" s="11" t="str">
        <x:f>IF(B170="Butterfly",IF(AND(J170&gt;0,J170&lt;K170),D170+J170,"n.a."),IF(C170="call",IF(AND(J170&gt;0,J170&lt;K170),D170+J170,"n.a."),IF(AND(K170&gt;J170,2*E170-D170+J170&gt;=0),2*E170-D170+J170,"n.a.")))</x:f>
        <x:v>n.a.</x:v>
      </x:c>
      <x:c r="O170" s="11" t="n">
        <x:f>IF(B170="Butterfly",IF(AND(J170&gt;0,J170&lt;K170),F170-J170,"n.a."),IF(C170="call",IF(K170&gt;J170,2*E170-D170-J170,"n.a."),IF(AND(J170&gt;0,J170&lt;K170),D170-J170,"n.a.")))</x:f>
        <x:v>10301.18</x:v>
      </x:c>
      <x:c r="P170" s="19" t="str">
        <x:f>IF(AND(B170="Butterfly",J170&gt;0,J170&lt;K170),L170/J170,"n.a.")</x:f>
        <x:v>n.a.</x:v>
      </x:c>
      <x:c r="Q170" s="11" t="n">
        <x:f>J170*'Model inputs'!$B$8</x:f>
        <x:v>-117.99999999999997</x:v>
      </x:c>
      <x:c r="R170" s="1" t="str">
        <x:v>Indicative only</x:v>
      </x:c>
      <x:c r="S170" s="1" t="n">
        <x:v>461</x:v>
      </x:c>
      <x:c r="T170" s="1" t="n">
        <x:v>480</x:v>
      </x:c>
    </x:row>
    <x:row r="171" ht="21" customHeight="1">
      <x:c r="A171" s="12" t="n">
        <x:v>46280</x:v>
      </x:c>
      <x:c r="B171" s="1" t="str">
        <x:v>1x2 ratio</x:v>
      </x:c>
      <x:c r="C171" s="1" t="str">
        <x:v>put</x:v>
      </x:c>
      <x:c r="D171" s="11" t="n">
        <x:v>7400</x:v>
      </x:c>
      <x:c r="E171" s="11" t="n">
        <x:v>7200</x:v>
      </x:c>
      <x:c r="F171" s="11"/>
      <x:c r="G171" s="11" t="n">
        <x:f>'Option source'!B808</x:f>
        <x:v>663.54</x:v>
      </x:c>
      <x:c r="H171" s="11" t="n">
        <x:f>'Option source'!B789</x:f>
        <x:v>542</x:v>
      </x:c>
      <x:c r="I171" s="11"/>
      <x:c r="J171" s="11" t="n">
        <x:f>G171-2*H171+IF(B171="Butterfly",I171,0)</x:f>
        <x:v>-420.46000000000004</x:v>
      </x:c>
      <x:c r="K171" s="11" t="n">
        <x:f>ABS(E171-D171)</x:f>
        <x:v>200</x:v>
      </x:c>
      <x:c r="L171" s="11" t="n">
        <x:f>K171-J171</x:f>
        <x:v>620.46</x:v>
      </x:c>
      <x:c r="M171" s="11" t="n">
        <x:f>IF(B171="Butterfly",MAX(J171,0),IF(C171="call","Unlimited",MAX(2*E171-D171+J171,J171,0)))</x:f>
        <x:v>6579.54</x:v>
      </x:c>
      <x:c r="N171" s="11" t="n">
        <x:f>IF(B171="Butterfly",IF(AND(J171&gt;0,J171&lt;K171),D171+J171,"n.a."),IF(C171="call",IF(AND(J171&gt;0,J171&lt;K171),D171+J171,"n.a."),IF(AND(K171&gt;J171,2*E171-D171+J171&gt;=0),2*E171-D171+J171,"n.a.")))</x:f>
        <x:v>6579.54</x:v>
      </x:c>
      <x:c r="O171" s="11" t="str">
        <x:f>IF(B171="Butterfly",IF(AND(J171&gt;0,J171&lt;K171),F171-J171,"n.a."),IF(C171="call",IF(K171&gt;J171,2*E171-D171-J171,"n.a."),IF(AND(J171&gt;0,J171&lt;K171),D171-J171,"n.a.")))</x:f>
        <x:v>n.a.</x:v>
      </x:c>
      <x:c r="P171" s="19" t="str">
        <x:f>IF(AND(B171="Butterfly",J171&gt;0,J171&lt;K171),L171/J171,"n.a.")</x:f>
        <x:v>n.a.</x:v>
      </x:c>
      <x:c r="Q171" s="11" t="n">
        <x:f>J171*'Model inputs'!$B$8</x:f>
        <x:v>-42046</x:v>
      </x:c>
      <x:c r="R171" s="1" t="str">
        <x:v>Flagged leg data</x:v>
      </x:c>
      <x:c r="S171" s="1" t="n">
        <x:v>803</x:v>
      </x:c>
      <x:c r="T171" s="1" t="n">
        <x:v>784</x:v>
      </x:c>
    </x:row>
    <x:row r="172" ht="21" customHeight="1">
      <x:c r="A172" s="12" t="n">
        <x:v>46280</x:v>
      </x:c>
      <x:c r="B172" s="1" t="str">
        <x:v>1x2 ratio</x:v>
      </x:c>
      <x:c r="C172" s="1" t="str">
        <x:v>put</x:v>
      </x:c>
      <x:c r="D172" s="11" t="n">
        <x:v>7600</x:v>
      </x:c>
      <x:c r="E172" s="11" t="n">
        <x:v>7400</x:v>
      </x:c>
      <x:c r="F172" s="11"/>
      <x:c r="G172" s="11" t="n">
        <x:f>'Option source'!B827</x:f>
        <x:v>860.85</x:v>
      </x:c>
      <x:c r="H172" s="11" t="n">
        <x:f>'Option source'!B808</x:f>
        <x:v>663.54</x:v>
      </x:c>
      <x:c r="I172" s="11"/>
      <x:c r="J172" s="11" t="n">
        <x:f>G172-2*H172+IF(B172="Butterfly",I172,0)</x:f>
        <x:v>-466.2299999999999</x:v>
      </x:c>
      <x:c r="K172" s="11" t="n">
        <x:f>ABS(E172-D172)</x:f>
        <x:v>200</x:v>
      </x:c>
      <x:c r="L172" s="11" t="n">
        <x:f>K172-J172</x:f>
        <x:v>666.2299999999999</x:v>
      </x:c>
      <x:c r="M172" s="11" t="n">
        <x:f>IF(B172="Butterfly",MAX(J172,0),IF(C172="call","Unlimited",MAX(2*E172-D172+J172,J172,0)))</x:f>
        <x:v>6733.77</x:v>
      </x:c>
      <x:c r="N172" s="11" t="n">
        <x:f>IF(B172="Butterfly",IF(AND(J172&gt;0,J172&lt;K172),D172+J172,"n.a."),IF(C172="call",IF(AND(J172&gt;0,J172&lt;K172),D172+J172,"n.a."),IF(AND(K172&gt;J172,2*E172-D172+J172&gt;=0),2*E172-D172+J172,"n.a.")))</x:f>
        <x:v>6733.77</x:v>
      </x:c>
      <x:c r="O172" s="11" t="str">
        <x:f>IF(B172="Butterfly",IF(AND(J172&gt;0,J172&lt;K172),F172-J172,"n.a."),IF(C172="call",IF(K172&gt;J172,2*E172-D172-J172,"n.a."),IF(AND(J172&gt;0,J172&lt;K172),D172-J172,"n.a.")))</x:f>
        <x:v>n.a.</x:v>
      </x:c>
      <x:c r="P172" s="19" t="str">
        <x:f>IF(AND(B172="Butterfly",J172&gt;0,J172&lt;K172),L172/J172,"n.a.")</x:f>
        <x:v>n.a.</x:v>
      </x:c>
      <x:c r="Q172" s="11" t="n">
        <x:f>J172*'Model inputs'!$B$8</x:f>
        <x:v>-46622.99999999999</x:v>
      </x:c>
      <x:c r="R172" s="1" t="str">
        <x:v>Flagged leg data</x:v>
      </x:c>
      <x:c r="S172" s="1" t="n">
        <x:v>822</x:v>
      </x:c>
      <x:c r="T172" s="1" t="n">
        <x:v>803</x:v>
      </x:c>
    </x:row>
    <x:row r="173" ht="21" customHeight="1">
      <x:c r="A173" s="12" t="n">
        <x:v>46280</x:v>
      </x:c>
      <x:c r="B173" s="1" t="str">
        <x:v>1x2 ratio</x:v>
      </x:c>
      <x:c r="C173" s="1" t="str">
        <x:v>call</x:v>
      </x:c>
      <x:c r="D173" s="11" t="n">
        <x:v>5800</x:v>
      </x:c>
      <x:c r="E173" s="11" t="n">
        <x:v>6000</x:v>
      </x:c>
      <x:c r="F173" s="11"/>
      <x:c r="G173" s="11" t="n">
        <x:f>'Option source'!B162</x:f>
        <x:v>1198.65</x:v>
      </x:c>
      <x:c r="H173" s="11" t="n">
        <x:f>'Option source'!B181</x:f>
        <x:v>930</x:v>
      </x:c>
      <x:c r="I173" s="11"/>
      <x:c r="J173" s="11" t="n">
        <x:f>G173-2*H173+IF(B173="Butterfly",I173,0)</x:f>
        <x:v>-661.3499999999999</x:v>
      </x:c>
      <x:c r="K173" s="11" t="n">
        <x:f>ABS(E173-D173)</x:f>
        <x:v>200</x:v>
      </x:c>
      <x:c r="L173" s="11" t="n">
        <x:f>K173-J173</x:f>
        <x:v>861.3499999999999</x:v>
      </x:c>
      <x:c r="M173" s="11" t="str">
        <x:f>IF(B173="Butterfly",MAX(J173,0),IF(C173="call","Unlimited",MAX(2*E173-D173+J173,J173,0)))</x:f>
        <x:v>Unlimited</x:v>
      </x:c>
      <x:c r="N173" s="11" t="str">
        <x:f>IF(B173="Butterfly",IF(AND(J173&gt;0,J173&lt;K173),D173+J173,"n.a."),IF(C173="call",IF(AND(J173&gt;0,J173&lt;K173),D173+J173,"n.a."),IF(AND(K173&gt;J173,2*E173-D173+J173&gt;=0),2*E173-D173+J173,"n.a.")))</x:f>
        <x:v>n.a.</x:v>
      </x:c>
      <x:c r="O173" s="11" t="n">
        <x:f>IF(B173="Butterfly",IF(AND(J173&gt;0,J173&lt;K173),F173-J173,"n.a."),IF(C173="call",IF(K173&gt;J173,2*E173-D173-J173,"n.a."),IF(AND(J173&gt;0,J173&lt;K173),D173-J173,"n.a.")))</x:f>
        <x:v>6861.35</x:v>
      </x:c>
      <x:c r="P173" s="19" t="str">
        <x:f>IF(AND(B173="Butterfly",J173&gt;0,J173&lt;K173),L173/J173,"n.a.")</x:f>
        <x:v>n.a.</x:v>
      </x:c>
      <x:c r="Q173" s="11" t="n">
        <x:f>J173*'Model inputs'!$B$8</x:f>
        <x:v>-66134.99999999999</x:v>
      </x:c>
      <x:c r="R173" s="1" t="str">
        <x:v>Flagged leg data</x:v>
      </x:c>
      <x:c r="S173" s="1" t="n">
        <x:v>157</x:v>
      </x:c>
      <x:c r="T173" s="1" t="n">
        <x:v>176</x:v>
      </x:c>
    </x:row>
    <x:row r="174" ht="21" customHeight="1">
      <x:c r="A174" s="12" t="n">
        <x:v>46280</x:v>
      </x:c>
      <x:c r="B174" s="1" t="str">
        <x:v>1x2 ratio</x:v>
      </x:c>
      <x:c r="C174" s="1" t="str">
        <x:v>put</x:v>
      </x:c>
      <x:c r="D174" s="11" t="n">
        <x:v>7800</x:v>
      </x:c>
      <x:c r="E174" s="11" t="n">
        <x:v>7600</x:v>
      </x:c>
      <x:c r="F174" s="11"/>
      <x:c r="G174" s="11" t="n">
        <x:f>'Option source'!B846</x:f>
        <x:v>1064.72</x:v>
      </x:c>
      <x:c r="H174" s="11" t="n">
        <x:f>'Option source'!B827</x:f>
        <x:v>860.85</x:v>
      </x:c>
      <x:c r="I174" s="11"/>
      <x:c r="J174" s="11" t="n">
        <x:f>G174-2*H174+IF(B174="Butterfly",I174,0)</x:f>
        <x:v>-656.98</x:v>
      </x:c>
      <x:c r="K174" s="11" t="n">
        <x:f>ABS(E174-D174)</x:f>
        <x:v>200</x:v>
      </x:c>
      <x:c r="L174" s="11" t="n">
        <x:f>K174-J174</x:f>
        <x:v>856.98</x:v>
      </x:c>
      <x:c r="M174" s="11" t="n">
        <x:f>IF(B174="Butterfly",MAX(J174,0),IF(C174="call","Unlimited",MAX(2*E174-D174+J174,J174,0)))</x:f>
        <x:v>6743.02</x:v>
      </x:c>
      <x:c r="N174" s="11" t="n">
        <x:f>IF(B174="Butterfly",IF(AND(J174&gt;0,J174&lt;K174),D174+J174,"n.a."),IF(C174="call",IF(AND(J174&gt;0,J174&lt;K174),D174+J174,"n.a."),IF(AND(K174&gt;J174,2*E174-D174+J174&gt;=0),2*E174-D174+J174,"n.a.")))</x:f>
        <x:v>6743.02</x:v>
      </x:c>
      <x:c r="O174" s="11" t="str">
        <x:f>IF(B174="Butterfly",IF(AND(J174&gt;0,J174&lt;K174),F174-J174,"n.a."),IF(C174="call",IF(K174&gt;J174,2*E174-D174-J174,"n.a."),IF(AND(J174&gt;0,J174&lt;K174),D174-J174,"n.a.")))</x:f>
        <x:v>n.a.</x:v>
      </x:c>
      <x:c r="P174" s="19" t="str">
        <x:f>IF(AND(B174="Butterfly",J174&gt;0,J174&lt;K174),L174/J174,"n.a.")</x:f>
        <x:v>n.a.</x:v>
      </x:c>
      <x:c r="Q174" s="11" t="n">
        <x:f>J174*'Model inputs'!$B$8</x:f>
        <x:v>-65698</x:v>
      </x:c>
      <x:c r="R174" s="1" t="str">
        <x:v>Flagged leg data</x:v>
      </x:c>
      <x:c r="S174" s="1" t="n">
        <x:v>841</x:v>
      </x:c>
      <x:c r="T174" s="1" t="n">
        <x:v>822</x:v>
      </x:c>
    </x:row>
    <x:row r="175" ht="21" customHeight="1">
      <x:c r="A175" s="12" t="n">
        <x:v>46280</x:v>
      </x:c>
      <x:c r="B175" s="1" t="str">
        <x:v>1x2 ratio</x:v>
      </x:c>
      <x:c r="C175" s="1" t="str">
        <x:v>call</x:v>
      </x:c>
      <x:c r="D175" s="11" t="n">
        <x:v>5600</x:v>
      </x:c>
      <x:c r="E175" s="11" t="n">
        <x:v>5800</x:v>
      </x:c>
      <x:c r="F175" s="11"/>
      <x:c r="G175" s="11" t="n">
        <x:f>'Option source'!B152</x:f>
        <x:v>1455</x:v>
      </x:c>
      <x:c r="H175" s="11" t="n">
        <x:f>'Option source'!B162</x:f>
        <x:v>1198.65</x:v>
      </x:c>
      <x:c r="I175" s="11"/>
      <x:c r="J175" s="11" t="n">
        <x:f>G175-2*H175+IF(B175="Butterfly",I175,0)</x:f>
        <x:v>-942.3000000000002</x:v>
      </x:c>
      <x:c r="K175" s="11" t="n">
        <x:f>ABS(E175-D175)</x:f>
        <x:v>200</x:v>
      </x:c>
      <x:c r="L175" s="11" t="n">
        <x:f>K175-J175</x:f>
        <x:v>1142.3000000000002</x:v>
      </x:c>
      <x:c r="M175" s="11" t="str">
        <x:f>IF(B175="Butterfly",MAX(J175,0),IF(C175="call","Unlimited",MAX(2*E175-D175+J175,J175,0)))</x:f>
        <x:v>Unlimited</x:v>
      </x:c>
      <x:c r="N175" s="11" t="str">
        <x:f>IF(B175="Butterfly",IF(AND(J175&gt;0,J175&lt;K175),D175+J175,"n.a."),IF(C175="call",IF(AND(J175&gt;0,J175&lt;K175),D175+J175,"n.a."),IF(AND(K175&gt;J175,2*E175-D175+J175&gt;=0),2*E175-D175+J175,"n.a.")))</x:f>
        <x:v>n.a.</x:v>
      </x:c>
      <x:c r="O175" s="11" t="n">
        <x:f>IF(B175="Butterfly",IF(AND(J175&gt;0,J175&lt;K175),F175-J175,"n.a."),IF(C175="call",IF(K175&gt;J175,2*E175-D175-J175,"n.a."),IF(AND(J175&gt;0,J175&lt;K175),D175-J175,"n.a.")))</x:f>
        <x:v>6942.3</x:v>
      </x:c>
      <x:c r="P175" s="19" t="str">
        <x:f>IF(AND(B175="Butterfly",J175&gt;0,J175&lt;K175),L175/J175,"n.a.")</x:f>
        <x:v>n.a.</x:v>
      </x:c>
      <x:c r="Q175" s="11" t="n">
        <x:f>J175*'Model inputs'!$B$8</x:f>
        <x:v>-94230.00000000001</x:v>
      </x:c>
      <x:c r="R175" s="1" t="str">
        <x:v>Flagged leg data</x:v>
      </x:c>
      <x:c r="S175" s="1" t="n">
        <x:v>147</x:v>
      </x:c>
      <x:c r="T175" s="1" t="n">
        <x:v>157</x:v>
      </x:c>
    </x:row>
    <x:row r="176" ht="21" customHeight="1">
      <x:c r="A176" s="12" t="n">
        <x:v>46280</x:v>
      </x:c>
      <x:c r="B176" s="1" t="str">
        <x:v>1x2 ratio</x:v>
      </x:c>
      <x:c r="C176" s="1" t="str">
        <x:v>put</x:v>
      </x:c>
      <x:c r="D176" s="11" t="n">
        <x:v>8000</x:v>
      </x:c>
      <x:c r="E176" s="11" t="n">
        <x:v>7800</x:v>
      </x:c>
      <x:c r="F176" s="11"/>
      <x:c r="G176" s="11" t="n">
        <x:f>'Option source'!B865</x:f>
        <x:v>1230</x:v>
      </x:c>
      <x:c r="H176" s="11" t="n">
        <x:f>'Option source'!B846</x:f>
        <x:v>1064.72</x:v>
      </x:c>
      <x:c r="I176" s="11"/>
      <x:c r="J176" s="11" t="n">
        <x:f>G176-2*H176+IF(B176="Butterfly",I176,0)</x:f>
        <x:v>-899.44</x:v>
      </x:c>
      <x:c r="K176" s="11" t="n">
        <x:f>ABS(E176-D176)</x:f>
        <x:v>200</x:v>
      </x:c>
      <x:c r="L176" s="11" t="n">
        <x:f>K176-J176</x:f>
        <x:v>1099.44</x:v>
      </x:c>
      <x:c r="M176" s="11" t="n">
        <x:f>IF(B176="Butterfly",MAX(J176,0),IF(C176="call","Unlimited",MAX(2*E176-D176+J176,J176,0)))</x:f>
        <x:v>6700.5599999999995</x:v>
      </x:c>
      <x:c r="N176" s="11" t="n">
        <x:f>IF(B176="Butterfly",IF(AND(J176&gt;0,J176&lt;K176),D176+J176,"n.a."),IF(C176="call",IF(AND(J176&gt;0,J176&lt;K176),D176+J176,"n.a."),IF(AND(K176&gt;J176,2*E176-D176+J176&gt;=0),2*E176-D176+J176,"n.a.")))</x:f>
        <x:v>6700.5599999999995</x:v>
      </x:c>
      <x:c r="O176" s="11" t="str">
        <x:f>IF(B176="Butterfly",IF(AND(J176&gt;0,J176&lt;K176),F176-J176,"n.a."),IF(C176="call",IF(K176&gt;J176,2*E176-D176-J176,"n.a."),IF(AND(J176&gt;0,J176&lt;K176),D176-J176,"n.a.")))</x:f>
        <x:v>n.a.</x:v>
      </x:c>
      <x:c r="P176" s="19" t="str">
        <x:f>IF(AND(B176="Butterfly",J176&gt;0,J176&lt;K176),L176/J176,"n.a.")</x:f>
        <x:v>n.a.</x:v>
      </x:c>
      <x:c r="Q176" s="11" t="n">
        <x:f>J176*'Model inputs'!$B$8</x:f>
        <x:v>-89944</x:v>
      </x:c>
      <x:c r="R176" s="1" t="str">
        <x:v>Flagged leg data</x:v>
      </x:c>
      <x:c r="S176" s="1" t="n">
        <x:v>860</x:v>
      </x:c>
      <x:c r="T176" s="1" t="n">
        <x:v>841</x:v>
      </x:c>
    </x:row>
    <x:row r="177" ht="21" customHeight="1">
      <x:c r="A177" s="12" t="n">
        <x:v>46280</x:v>
      </x:c>
      <x:c r="B177" s="1" t="str">
        <x:v>1x2 ratio</x:v>
      </x:c>
      <x:c r="C177" s="1" t="str">
        <x:v>call</x:v>
      </x:c>
      <x:c r="D177" s="11" t="n">
        <x:v>5400</x:v>
      </x:c>
      <x:c r="E177" s="11" t="n">
        <x:v>5600</x:v>
      </x:c>
      <x:c r="F177" s="11"/>
      <x:c r="G177" s="11" t="n">
        <x:f>'Option source'!B134</x:f>
        <x:v>1470</x:v>
      </x:c>
      <x:c r="H177" s="11" t="n">
        <x:f>'Option source'!B152</x:f>
        <x:v>1455</x:v>
      </x:c>
      <x:c r="I177" s="11"/>
      <x:c r="J177" s="11" t="n">
        <x:f>G177-2*H177+IF(B177="Butterfly",I177,0)</x:f>
        <x:v>-1440</x:v>
      </x:c>
      <x:c r="K177" s="11" t="n">
        <x:f>ABS(E177-D177)</x:f>
        <x:v>200</x:v>
      </x:c>
      <x:c r="L177" s="11" t="n">
        <x:f>K177-J177</x:f>
        <x:v>1640</x:v>
      </x:c>
      <x:c r="M177" s="11" t="str">
        <x:f>IF(B177="Butterfly",MAX(J177,0),IF(C177="call","Unlimited",MAX(2*E177-D177+J177,J177,0)))</x:f>
        <x:v>Unlimited</x:v>
      </x:c>
      <x:c r="N177" s="11" t="str">
        <x:f>IF(B177="Butterfly",IF(AND(J177&gt;0,J177&lt;K177),D177+J177,"n.a."),IF(C177="call",IF(AND(J177&gt;0,J177&lt;K177),D177+J177,"n.a."),IF(AND(K177&gt;J177,2*E177-D177+J177&gt;=0),2*E177-D177+J177,"n.a.")))</x:f>
        <x:v>n.a.</x:v>
      </x:c>
      <x:c r="O177" s="11" t="n">
        <x:f>IF(B177="Butterfly",IF(AND(J177&gt;0,J177&lt;K177),F177-J177,"n.a."),IF(C177="call",IF(K177&gt;J177,2*E177-D177-J177,"n.a."),IF(AND(J177&gt;0,J177&lt;K177),D177-J177,"n.a.")))</x:f>
        <x:v>7240</x:v>
      </x:c>
      <x:c r="P177" s="19" t="str">
        <x:f>IF(AND(B177="Butterfly",J177&gt;0,J177&lt;K177),L177/J177,"n.a.")</x:f>
        <x:v>n.a.</x:v>
      </x:c>
      <x:c r="Q177" s="11" t="n">
        <x:f>J177*'Model inputs'!$B$8</x:f>
        <x:v>-144000</x:v>
      </x:c>
      <x:c r="R177" s="1" t="str">
        <x:v>Flagged leg data</x:v>
      </x:c>
      <x:c r="S177" s="1" t="n">
        <x:v>129</x:v>
      </x:c>
      <x:c r="T177" s="1" t="n">
        <x:v>147</x:v>
      </x:c>
    </x:row>
    <x:row r="178" ht="21" customHeight="1">
      <x:c r="A178" s="12" t="n">
        <x:v>46280</x:v>
      </x:c>
      <x:c r="B178" s="1" t="str">
        <x:v>1x2 ratio</x:v>
      </x:c>
      <x:c r="C178" s="1" t="str">
        <x:v>put</x:v>
      </x:c>
      <x:c r="D178" s="11" t="n">
        <x:v>8300</x:v>
      </x:c>
      <x:c r="E178" s="11" t="n">
        <x:v>8000</x:v>
      </x:c>
      <x:c r="F178" s="11"/>
      <x:c r="G178" s="11" t="n">
        <x:f>'Option source'!B884</x:f>
        <x:v>1520</x:v>
      </x:c>
      <x:c r="H178" s="11" t="n">
        <x:f>'Option source'!B865</x:f>
        <x:v>1230</x:v>
      </x:c>
      <x:c r="I178" s="11"/>
      <x:c r="J178" s="11" t="n">
        <x:f>G178-2*H178+IF(B178="Butterfly",I178,0)</x:f>
        <x:v>-940</x:v>
      </x:c>
      <x:c r="K178" s="11" t="n">
        <x:f>ABS(E178-D178)</x:f>
        <x:v>300</x:v>
      </x:c>
      <x:c r="L178" s="11" t="n">
        <x:f>K178-J178</x:f>
        <x:v>1240</x:v>
      </x:c>
      <x:c r="M178" s="11" t="n">
        <x:f>IF(B178="Butterfly",MAX(J178,0),IF(C178="call","Unlimited",MAX(2*E178-D178+J178,J178,0)))</x:f>
        <x:v>6760</x:v>
      </x:c>
      <x:c r="N178" s="11" t="n">
        <x:f>IF(B178="Butterfly",IF(AND(J178&gt;0,J178&lt;K178),D178+J178,"n.a."),IF(C178="call",IF(AND(J178&gt;0,J178&lt;K178),D178+J178,"n.a."),IF(AND(K178&gt;J178,2*E178-D178+J178&gt;=0),2*E178-D178+J178,"n.a.")))</x:f>
        <x:v>6760</x:v>
      </x:c>
      <x:c r="O178" s="11" t="str">
        <x:f>IF(B178="Butterfly",IF(AND(J178&gt;0,J178&lt;K178),F178-J178,"n.a."),IF(C178="call",IF(K178&gt;J178,2*E178-D178-J178,"n.a."),IF(AND(J178&gt;0,J178&lt;K178),D178-J178,"n.a.")))</x:f>
        <x:v>n.a.</x:v>
      </x:c>
      <x:c r="P178" s="19" t="str">
        <x:f>IF(AND(B178="Butterfly",J178&gt;0,J178&lt;K178),L178/J178,"n.a.")</x:f>
        <x:v>n.a.</x:v>
      </x:c>
      <x:c r="Q178" s="11" t="n">
        <x:f>J178*'Model inputs'!$B$8</x:f>
        <x:v>-94000</x:v>
      </x:c>
      <x:c r="R178" s="1" t="str">
        <x:v>Flagged leg data</x:v>
      </x:c>
      <x:c r="S178" s="1" t="n">
        <x:v>879</x:v>
      </x:c>
      <x:c r="T178" s="1" t="n">
        <x:v>860</x:v>
      </x:c>
    </x:row>
    <x:row r="179" ht="21" customHeight="1">
      <x:c r="A179" s="12" t="n">
        <x:v>46280</x:v>
      </x:c>
      <x:c r="B179" s="1" t="str">
        <x:v>1x2 ratio</x:v>
      </x:c>
      <x:c r="C179" s="1" t="str">
        <x:v>call</x:v>
      </x:c>
      <x:c r="D179" s="11" t="n">
        <x:v>5000</x:v>
      </x:c>
      <x:c r="E179" s="11" t="n">
        <x:v>5200</x:v>
      </x:c>
      <x:c r="F179" s="11"/>
      <x:c r="G179" s="11" t="n">
        <x:f>'Option source'!B96</x:f>
        <x:v>1851</x:v>
      </x:c>
      <x:c r="H179" s="11" t="n">
        <x:f>'Option source'!B115</x:f>
        <x:v>1678.07</x:v>
      </x:c>
      <x:c r="I179" s="11"/>
      <x:c r="J179" s="11" t="n">
        <x:f>G179-2*H179+IF(B179="Butterfly",I179,0)</x:f>
        <x:v>-1505.1399999999999</x:v>
      </x:c>
      <x:c r="K179" s="11" t="n">
        <x:f>ABS(E179-D179)</x:f>
        <x:v>200</x:v>
      </x:c>
      <x:c r="L179" s="11" t="n">
        <x:f>K179-J179</x:f>
        <x:v>1705.1399999999999</x:v>
      </x:c>
      <x:c r="M179" s="11" t="str">
        <x:f>IF(B179="Butterfly",MAX(J179,0),IF(C179="call","Unlimited",MAX(2*E179-D179+J179,J179,0)))</x:f>
        <x:v>Unlimited</x:v>
      </x:c>
      <x:c r="N179" s="11" t="str">
        <x:f>IF(B179="Butterfly",IF(AND(J179&gt;0,J179&lt;K179),D179+J179,"n.a."),IF(C179="call",IF(AND(J179&gt;0,J179&lt;K179),D179+J179,"n.a."),IF(AND(K179&gt;J179,2*E179-D179+J179&gt;=0),2*E179-D179+J179,"n.a.")))</x:f>
        <x:v>n.a.</x:v>
      </x:c>
      <x:c r="O179" s="11" t="n">
        <x:f>IF(B179="Butterfly",IF(AND(J179&gt;0,J179&lt;K179),F179-J179,"n.a."),IF(C179="call",IF(K179&gt;J179,2*E179-D179-J179,"n.a."),IF(AND(J179&gt;0,J179&lt;K179),D179-J179,"n.a.")))</x:f>
        <x:v>6905.139999999999</x:v>
      </x:c>
      <x:c r="P179" s="19" t="str">
        <x:f>IF(AND(B179="Butterfly",J179&gt;0,J179&lt;K179),L179/J179,"n.a.")</x:f>
        <x:v>n.a.</x:v>
      </x:c>
      <x:c r="Q179" s="11" t="n">
        <x:f>J179*'Model inputs'!$B$8</x:f>
        <x:v>-150514</x:v>
      </x:c>
      <x:c r="R179" s="1" t="str">
        <x:v>Flagged leg data</x:v>
      </x:c>
      <x:c r="S179" s="1" t="n">
        <x:v>91</x:v>
      </x:c>
      <x:c r="T179" s="1" t="n">
        <x:v>110</x:v>
      </x:c>
    </x:row>
    <x:row r="180" ht="21" customHeight="1">
      <x:c r="A180" s="12" t="n">
        <x:v>46280</x:v>
      </x:c>
      <x:c r="B180" s="1" t="str">
        <x:v>1x2 ratio</x:v>
      </x:c>
      <x:c r="C180" s="1" t="str">
        <x:v>put</x:v>
      </x:c>
      <x:c r="D180" s="11" t="n">
        <x:v>8600</x:v>
      </x:c>
      <x:c r="E180" s="11" t="n">
        <x:v>8300</x:v>
      </x:c>
      <x:c r="F180" s="11"/>
      <x:c r="G180" s="11" t="n">
        <x:f>'Option source'!B903</x:f>
        <x:v>1648.65</x:v>
      </x:c>
      <x:c r="H180" s="11" t="n">
        <x:f>'Option source'!B884</x:f>
        <x:v>1520</x:v>
      </x:c>
      <x:c r="I180" s="11"/>
      <x:c r="J180" s="11" t="n">
        <x:f>G180-2*H180+IF(B180="Butterfly",I180,0)</x:f>
        <x:v>-1391.35</x:v>
      </x:c>
      <x:c r="K180" s="11" t="n">
        <x:f>ABS(E180-D180)</x:f>
        <x:v>300</x:v>
      </x:c>
      <x:c r="L180" s="11" t="n">
        <x:f>K180-J180</x:f>
        <x:v>1691.35</x:v>
      </x:c>
      <x:c r="M180" s="11" t="n">
        <x:f>IF(B180="Butterfly",MAX(J180,0),IF(C180="call","Unlimited",MAX(2*E180-D180+J180,J180,0)))</x:f>
        <x:v>6608.65</x:v>
      </x:c>
      <x:c r="N180" s="11" t="n">
        <x:f>IF(B180="Butterfly",IF(AND(J180&gt;0,J180&lt;K180),D180+J180,"n.a."),IF(C180="call",IF(AND(J180&gt;0,J180&lt;K180),D180+J180,"n.a."),IF(AND(K180&gt;J180,2*E180-D180+J180&gt;=0),2*E180-D180+J180,"n.a.")))</x:f>
        <x:v>6608.65</x:v>
      </x:c>
      <x:c r="O180" s="11" t="str">
        <x:f>IF(B180="Butterfly",IF(AND(J180&gt;0,J180&lt;K180),F180-J180,"n.a."),IF(C180="call",IF(K180&gt;J180,2*E180-D180-J180,"n.a."),IF(AND(J180&gt;0,J180&lt;K180),D180-J180,"n.a.")))</x:f>
        <x:v>n.a.</x:v>
      </x:c>
      <x:c r="P180" s="19" t="str">
        <x:f>IF(AND(B180="Butterfly",J180&gt;0,J180&lt;K180),L180/J180,"n.a.")</x:f>
        <x:v>n.a.</x:v>
      </x:c>
      <x:c r="Q180" s="11" t="n">
        <x:f>J180*'Model inputs'!$B$8</x:f>
        <x:v>-139135</x:v>
      </x:c>
      <x:c r="R180" s="1" t="str">
        <x:v>Flagged leg data</x:v>
      </x:c>
      <x:c r="S180" s="1" t="n">
        <x:v>898</x:v>
      </x:c>
      <x:c r="T180" s="1" t="n">
        <x:v>879</x:v>
      </x:c>
    </x:row>
    <x:row r="181" ht="21" customHeight="1">
      <x:c r="A181" s="12" t="n">
        <x:v>46280</x:v>
      </x:c>
      <x:c r="B181" s="1" t="str">
        <x:v>1x2 ratio</x:v>
      </x:c>
      <x:c r="C181" s="1" t="str">
        <x:v>call</x:v>
      </x:c>
      <x:c r="D181" s="11" t="n">
        <x:v>4800</x:v>
      </x:c>
      <x:c r="E181" s="11" t="n">
        <x:v>5000</x:v>
      </x:c>
      <x:c r="F181" s="11"/>
      <x:c r="G181" s="11" t="n">
        <x:f>'Option source'!B79</x:f>
        <x:v>2084.21</x:v>
      </x:c>
      <x:c r="H181" s="11" t="n">
        <x:f>'Option source'!B96</x:f>
        <x:v>1851</x:v>
      </x:c>
      <x:c r="I181" s="11"/>
      <x:c r="J181" s="11" t="n">
        <x:f>G181-2*H181+IF(B181="Butterfly",I181,0)</x:f>
        <x:v>-1617.79</x:v>
      </x:c>
      <x:c r="K181" s="11" t="n">
        <x:f>ABS(E181-D181)</x:f>
        <x:v>200</x:v>
      </x:c>
      <x:c r="L181" s="11" t="n">
        <x:f>K181-J181</x:f>
        <x:v>1817.79</x:v>
      </x:c>
      <x:c r="M181" s="11" t="str">
        <x:f>IF(B181="Butterfly",MAX(J181,0),IF(C181="call","Unlimited",MAX(2*E181-D181+J181,J181,0)))</x:f>
        <x:v>Unlimited</x:v>
      </x:c>
      <x:c r="N181" s="11" t="str">
        <x:f>IF(B181="Butterfly",IF(AND(J181&gt;0,J181&lt;K181),D181+J181,"n.a."),IF(C181="call",IF(AND(J181&gt;0,J181&lt;K181),D181+J181,"n.a."),IF(AND(K181&gt;J181,2*E181-D181+J181&gt;=0),2*E181-D181+J181,"n.a.")))</x:f>
        <x:v>n.a.</x:v>
      </x:c>
      <x:c r="O181" s="11" t="n">
        <x:f>IF(B181="Butterfly",IF(AND(J181&gt;0,J181&lt;K181),F181-J181,"n.a."),IF(C181="call",IF(K181&gt;J181,2*E181-D181-J181,"n.a."),IF(AND(J181&gt;0,J181&lt;K181),D181-J181,"n.a.")))</x:f>
        <x:v>6817.79</x:v>
      </x:c>
      <x:c r="P181" s="19" t="str">
        <x:f>IF(AND(B181="Butterfly",J181&gt;0,J181&lt;K181),L181/J181,"n.a.")</x:f>
        <x:v>n.a.</x:v>
      </x:c>
      <x:c r="Q181" s="11" t="n">
        <x:f>J181*'Model inputs'!$B$8</x:f>
        <x:v>-161779</x:v>
      </x:c>
      <x:c r="R181" s="1" t="str">
        <x:v>Flagged leg data</x:v>
      </x:c>
      <x:c r="S181" s="1" t="n">
        <x:v>74</x:v>
      </x:c>
      <x:c r="T181" s="1" t="n">
        <x:v>91</x:v>
      </x:c>
    </x:row>
    <x:row r="182" ht="21" customHeight="1">
      <x:c r="A182" s="12" t="n">
        <x:v>46280</x:v>
      </x:c>
      <x:c r="B182" s="1" t="str">
        <x:v>1x2 ratio</x:v>
      </x:c>
      <x:c r="C182" s="1" t="str">
        <x:v>put</x:v>
      </x:c>
      <x:c r="D182" s="11" t="n">
        <x:v>8900</x:v>
      </x:c>
      <x:c r="E182" s="11" t="n">
        <x:v>8600</x:v>
      </x:c>
      <x:c r="F182" s="11"/>
      <x:c r="G182" s="11" t="n">
        <x:f>'Option source'!B918</x:f>
        <x:v>2022.5</x:v>
      </x:c>
      <x:c r="H182" s="11" t="n">
        <x:f>'Option source'!B903</x:f>
        <x:v>1648.65</x:v>
      </x:c>
      <x:c r="I182" s="11"/>
      <x:c r="J182" s="11" t="n">
        <x:f>G182-2*H182+IF(B182="Butterfly",I182,0)</x:f>
        <x:v>-1274.8000000000002</x:v>
      </x:c>
      <x:c r="K182" s="11" t="n">
        <x:f>ABS(E182-D182)</x:f>
        <x:v>300</x:v>
      </x:c>
      <x:c r="L182" s="11" t="n">
        <x:f>K182-J182</x:f>
        <x:v>1574.8000000000002</x:v>
      </x:c>
      <x:c r="M182" s="11" t="n">
        <x:f>IF(B182="Butterfly",MAX(J182,0),IF(C182="call","Unlimited",MAX(2*E182-D182+J182,J182,0)))</x:f>
        <x:v>7025.2</x:v>
      </x:c>
      <x:c r="N182" s="11" t="n">
        <x:f>IF(B182="Butterfly",IF(AND(J182&gt;0,J182&lt;K182),D182+J182,"n.a."),IF(C182="call",IF(AND(J182&gt;0,J182&lt;K182),D182+J182,"n.a."),IF(AND(K182&gt;J182,2*E182-D182+J182&gt;=0),2*E182-D182+J182,"n.a.")))</x:f>
        <x:v>7025.2</x:v>
      </x:c>
      <x:c r="O182" s="11" t="str">
        <x:f>IF(B182="Butterfly",IF(AND(J182&gt;0,J182&lt;K182),F182-J182,"n.a."),IF(C182="call",IF(K182&gt;J182,2*E182-D182-J182,"n.a."),IF(AND(J182&gt;0,J182&lt;K182),D182-J182,"n.a.")))</x:f>
        <x:v>n.a.</x:v>
      </x:c>
      <x:c r="P182" s="19" t="str">
        <x:f>IF(AND(B182="Butterfly",J182&gt;0,J182&lt;K182),L182/J182,"n.a.")</x:f>
        <x:v>n.a.</x:v>
      </x:c>
      <x:c r="Q182" s="11" t="n">
        <x:f>J182*'Model inputs'!$B$8</x:f>
        <x:v>-127480.00000000001</x:v>
      </x:c>
      <x:c r="R182" s="1" t="str">
        <x:v>Flagged leg data</x:v>
      </x:c>
      <x:c r="S182" s="1" t="n">
        <x:v>913</x:v>
      </x:c>
      <x:c r="T182" s="1" t="n">
        <x:v>898</x:v>
      </x:c>
    </x:row>
    <x:row r="183" ht="21" customHeight="1">
      <x:c r="A183" s="12" t="n">
        <x:v>46280</x:v>
      </x:c>
      <x:c r="B183" s="1" t="str">
        <x:v>1x2 ratio</x:v>
      </x:c>
      <x:c r="C183" s="1" t="str">
        <x:v>call</x:v>
      </x:c>
      <x:c r="D183" s="11" t="n">
        <x:v>4600</x:v>
      </x:c>
      <x:c r="E183" s="11" t="n">
        <x:v>4800</x:v>
      </x:c>
      <x:c r="F183" s="11"/>
      <x:c r="G183" s="11" t="n">
        <x:f>'Option source'!B62</x:f>
        <x:v>2280.1</x:v>
      </x:c>
      <x:c r="H183" s="11" t="n">
        <x:f>'Option source'!B79</x:f>
        <x:v>2084.21</x:v>
      </x:c>
      <x:c r="I183" s="11"/>
      <x:c r="J183" s="11" t="n">
        <x:f>G183-2*H183+IF(B183="Butterfly",I183,0)</x:f>
        <x:v>-1888.3200000000002</x:v>
      </x:c>
      <x:c r="K183" s="11" t="n">
        <x:f>ABS(E183-D183)</x:f>
        <x:v>200</x:v>
      </x:c>
      <x:c r="L183" s="11" t="n">
        <x:f>K183-J183</x:f>
        <x:v>2088.32</x:v>
      </x:c>
      <x:c r="M183" s="11" t="str">
        <x:f>IF(B183="Butterfly",MAX(J183,0),IF(C183="call","Unlimited",MAX(2*E183-D183+J183,J183,0)))</x:f>
        <x:v>Unlimited</x:v>
      </x:c>
      <x:c r="N183" s="11" t="str">
        <x:f>IF(B183="Butterfly",IF(AND(J183&gt;0,J183&lt;K183),D183+J183,"n.a."),IF(C183="call",IF(AND(J183&gt;0,J183&lt;K183),D183+J183,"n.a."),IF(AND(K183&gt;J183,2*E183-D183+J183&gt;=0),2*E183-D183+J183,"n.a.")))</x:f>
        <x:v>n.a.</x:v>
      </x:c>
      <x:c r="O183" s="11" t="n">
        <x:f>IF(B183="Butterfly",IF(AND(J183&gt;0,J183&lt;K183),F183-J183,"n.a."),IF(C183="call",IF(K183&gt;J183,2*E183-D183-J183,"n.a."),IF(AND(J183&gt;0,J183&lt;K183),D183-J183,"n.a.")))</x:f>
        <x:v>6888.32</x:v>
      </x:c>
      <x:c r="P183" s="19" t="str">
        <x:f>IF(AND(B183="Butterfly",J183&gt;0,J183&lt;K183),L183/J183,"n.a.")</x:f>
        <x:v>n.a.</x:v>
      </x:c>
      <x:c r="Q183" s="11" t="n">
        <x:f>J183*'Model inputs'!$B$8</x:f>
        <x:v>-188832.00000000003</x:v>
      </x:c>
      <x:c r="R183" s="1" t="str">
        <x:v>Flagged leg data</x:v>
      </x:c>
      <x:c r="S183" s="1" t="n">
        <x:v>57</x:v>
      </x:c>
      <x:c r="T183" s="1" t="n">
        <x:v>74</x:v>
      </x:c>
    </x:row>
    <x:row r="184" ht="21" customHeight="1">
      <x:c r="A184" s="12" t="n">
        <x:v>46280</x:v>
      </x:c>
      <x:c r="B184" s="1" t="str">
        <x:v>1x2 ratio</x:v>
      </x:c>
      <x:c r="C184" s="1" t="str">
        <x:v>call</x:v>
      </x:c>
      <x:c r="D184" s="11" t="n">
        <x:v>4400</x:v>
      </x:c>
      <x:c r="E184" s="11" t="n">
        <x:v>4600</x:v>
      </x:c>
      <x:c r="F184" s="11"/>
      <x:c r="G184" s="11" t="n">
        <x:f>'Option source'!B43</x:f>
        <x:v>2422</x:v>
      </x:c>
      <x:c r="H184" s="11" t="n">
        <x:f>'Option source'!B62</x:f>
        <x:v>2280.1</x:v>
      </x:c>
      <x:c r="I184" s="11"/>
      <x:c r="J184" s="11" t="n">
        <x:f>G184-2*H184+IF(B184="Butterfly",I184,0)</x:f>
        <x:v>-2138.2</x:v>
      </x:c>
      <x:c r="K184" s="11" t="n">
        <x:f>ABS(E184-D184)</x:f>
        <x:v>200</x:v>
      </x:c>
      <x:c r="L184" s="11" t="n">
        <x:f>K184-J184</x:f>
        <x:v>2338.2</x:v>
      </x:c>
      <x:c r="M184" s="11" t="str">
        <x:f>IF(B184="Butterfly",MAX(J184,0),IF(C184="call","Unlimited",MAX(2*E184-D184+J184,J184,0)))</x:f>
        <x:v>Unlimited</x:v>
      </x:c>
      <x:c r="N184" s="11" t="str">
        <x:f>IF(B184="Butterfly",IF(AND(J184&gt;0,J184&lt;K184),D184+J184,"n.a."),IF(C184="call",IF(AND(J184&gt;0,J184&lt;K184),D184+J184,"n.a."),IF(AND(K184&gt;J184,2*E184-D184+J184&gt;=0),2*E184-D184+J184,"n.a.")))</x:f>
        <x:v>n.a.</x:v>
      </x:c>
      <x:c r="O184" s="11" t="n">
        <x:f>IF(B184="Butterfly",IF(AND(J184&gt;0,J184&lt;K184),F184-J184,"n.a."),IF(C184="call",IF(K184&gt;J184,2*E184-D184-J184,"n.a."),IF(AND(J184&gt;0,J184&lt;K184),D184-J184,"n.a.")))</x:f>
        <x:v>6938.2</x:v>
      </x:c>
      <x:c r="P184" s="19" t="str">
        <x:f>IF(AND(B184="Butterfly",J184&gt;0,J184&lt;K184),L184/J184,"n.a.")</x:f>
        <x:v>n.a.</x:v>
      </x:c>
      <x:c r="Q184" s="11" t="n">
        <x:f>J184*'Model inputs'!$B$8</x:f>
        <x:v>-213819.99999999997</x:v>
      </x:c>
      <x:c r="R184" s="1" t="str">
        <x:v>Flagged leg data</x:v>
      </x:c>
      <x:c r="S184" s="1" t="n">
        <x:v>38</x:v>
      </x:c>
      <x:c r="T184" s="1" t="n">
        <x:v>57</x:v>
      </x:c>
    </x:row>
    <x:row r="185" ht="21" customHeight="1">
      <x:c r="A185" s="12" t="n">
        <x:v>46280</x:v>
      </x:c>
      <x:c r="B185" s="1" t="str">
        <x:v>1x2 ratio</x:v>
      </x:c>
      <x:c r="C185" s="1" t="str">
        <x:v>put</x:v>
      </x:c>
      <x:c r="D185" s="11" t="n">
        <x:v>9200</x:v>
      </x:c>
      <x:c r="E185" s="11" t="n">
        <x:v>8900</x:v>
      </x:c>
      <x:c r="F185" s="11"/>
      <x:c r="G185" s="11" t="n">
        <x:f>'Option source'!B925</x:f>
        <x:v>2041.57</x:v>
      </x:c>
      <x:c r="H185" s="11" t="n">
        <x:f>'Option source'!B918</x:f>
        <x:v>2022.5</x:v>
      </x:c>
      <x:c r="I185" s="11"/>
      <x:c r="J185" s="11" t="n">
        <x:f>G185-2*H185+IF(B185="Butterfly",I185,0)</x:f>
        <x:v>-2003.43</x:v>
      </x:c>
      <x:c r="K185" s="11" t="n">
        <x:f>ABS(E185-D185)</x:f>
        <x:v>300</x:v>
      </x:c>
      <x:c r="L185" s="11" t="n">
        <x:f>K185-J185</x:f>
        <x:v>2303.4300000000003</x:v>
      </x:c>
      <x:c r="M185" s="11" t="n">
        <x:f>IF(B185="Butterfly",MAX(J185,0),IF(C185="call","Unlimited",MAX(2*E185-D185+J185,J185,0)))</x:f>
        <x:v>6596.57</x:v>
      </x:c>
      <x:c r="N185" s="11" t="n">
        <x:f>IF(B185="Butterfly",IF(AND(J185&gt;0,J185&lt;K185),D185+J185,"n.a."),IF(C185="call",IF(AND(J185&gt;0,J185&lt;K185),D185+J185,"n.a."),IF(AND(K185&gt;J185,2*E185-D185+J185&gt;=0),2*E185-D185+J185,"n.a.")))</x:f>
        <x:v>6596.57</x:v>
      </x:c>
      <x:c r="O185" s="11" t="str">
        <x:f>IF(B185="Butterfly",IF(AND(J185&gt;0,J185&lt;K185),F185-J185,"n.a."),IF(C185="call",IF(K185&gt;J185,2*E185-D185-J185,"n.a."),IF(AND(J185&gt;0,J185&lt;K185),D185-J185,"n.a.")))</x:f>
        <x:v>n.a.</x:v>
      </x:c>
      <x:c r="P185" s="19" t="str">
        <x:f>IF(AND(B185="Butterfly",J185&gt;0,J185&lt;K185),L185/J185,"n.a.")</x:f>
        <x:v>n.a.</x:v>
      </x:c>
      <x:c r="Q185" s="11" t="n">
        <x:f>J185*'Model inputs'!$B$8</x:f>
        <x:v>-200343</x:v>
      </x:c>
      <x:c r="R185" s="1" t="str">
        <x:v>Flagged leg data</x:v>
      </x:c>
      <x:c r="S185" s="1" t="n">
        <x:v>920</x:v>
      </x:c>
      <x:c r="T185" s="1" t="n">
        <x:v>913</x:v>
      </x:c>
    </x:row>
    <x:row r="186" ht="21" customHeight="1">
      <x:c r="A186" s="12" t="n">
        <x:v>46280</x:v>
      </x:c>
      <x:c r="B186" s="1" t="str">
        <x:v>1x2 ratio</x:v>
      </x:c>
      <x:c r="C186" s="1" t="str">
        <x:v>call</x:v>
      </x:c>
      <x:c r="D186" s="11" t="n">
        <x:v>4200</x:v>
      </x:c>
      <x:c r="E186" s="11" t="n">
        <x:v>4400</x:v>
      </x:c>
      <x:c r="F186" s="11"/>
      <x:c r="G186" s="11" t="n">
        <x:f>'Option source'!B24</x:f>
        <x:v>2597.16</x:v>
      </x:c>
      <x:c r="H186" s="11" t="n">
        <x:f>'Option source'!B43</x:f>
        <x:v>2422</x:v>
      </x:c>
      <x:c r="I186" s="11"/>
      <x:c r="J186" s="11" t="n">
        <x:f>G186-2*H186+IF(B186="Butterfly",I186,0)</x:f>
        <x:v>-2246.84</x:v>
      </x:c>
      <x:c r="K186" s="11" t="n">
        <x:f>ABS(E186-D186)</x:f>
        <x:v>200</x:v>
      </x:c>
      <x:c r="L186" s="11" t="n">
        <x:f>K186-J186</x:f>
        <x:v>2446.84</x:v>
      </x:c>
      <x:c r="M186" s="11" t="str">
        <x:f>IF(B186="Butterfly",MAX(J186,0),IF(C186="call","Unlimited",MAX(2*E186-D186+J186,J186,0)))</x:f>
        <x:v>Unlimited</x:v>
      </x:c>
      <x:c r="N186" s="11" t="str">
        <x:f>IF(B186="Butterfly",IF(AND(J186&gt;0,J186&lt;K186),D186+J186,"n.a."),IF(C186="call",IF(AND(J186&gt;0,J186&lt;K186),D186+J186,"n.a."),IF(AND(K186&gt;J186,2*E186-D186+J186&gt;=0),2*E186-D186+J186,"n.a.")))</x:f>
        <x:v>n.a.</x:v>
      </x:c>
      <x:c r="O186" s="11" t="n">
        <x:f>IF(B186="Butterfly",IF(AND(J186&gt;0,J186&lt;K186),F186-J186,"n.a."),IF(C186="call",IF(K186&gt;J186,2*E186-D186-J186,"n.a."),IF(AND(J186&gt;0,J186&lt;K186),D186-J186,"n.a.")))</x:f>
        <x:v>6846.84</x:v>
      </x:c>
      <x:c r="P186" s="19" t="str">
        <x:f>IF(AND(B186="Butterfly",J186&gt;0,J186&lt;K186),L186/J186,"n.a.")</x:f>
        <x:v>n.a.</x:v>
      </x:c>
      <x:c r="Q186" s="11" t="n">
        <x:f>J186*'Model inputs'!$B$8</x:f>
        <x:v>-224684</x:v>
      </x:c>
      <x:c r="R186" s="1" t="str">
        <x:v>Flagged leg data</x:v>
      </x:c>
      <x:c r="S186" s="1" t="n">
        <x:v>19</x:v>
      </x:c>
      <x:c r="T186" s="1" t="n">
        <x:v>38</x:v>
      </x:c>
    </x:row>
    <x:row r="187" ht="21" customHeight="1">
      <x:c r="A187" s="12" t="n">
        <x:v>46280</x:v>
      </x:c>
      <x:c r="B187" s="1" t="str">
        <x:v>1x2 ratio</x:v>
      </x:c>
      <x:c r="C187" s="1" t="str">
        <x:v>put</x:v>
      </x:c>
      <x:c r="D187" s="11" t="n">
        <x:v>4600</x:v>
      </x:c>
      <x:c r="E187" s="11" t="n">
        <x:v>4400</x:v>
      </x:c>
      <x:c r="F187" s="11"/>
      <x:c r="G187" s="11" t="n">
        <x:f>'Option source'!B542</x:f>
        <x:v>1.8</x:v>
      </x:c>
      <x:c r="H187" s="11" t="n">
        <x:f>'Option source'!B523</x:f>
        <x:v>1.71</x:v>
      </x:c>
      <x:c r="I187" s="11"/>
      <x:c r="J187" s="11" t="n">
        <x:f>G187-2*H187+IF(B187="Butterfly",I187,0)</x:f>
        <x:v>-1.6199999999999999</x:v>
      </x:c>
      <x:c r="K187" s="11" t="n">
        <x:f>ABS(E187-D187)</x:f>
        <x:v>200</x:v>
      </x:c>
      <x:c r="L187" s="11" t="n">
        <x:f>K187-J187</x:f>
        <x:v>201.62</x:v>
      </x:c>
      <x:c r="M187" s="11" t="n">
        <x:f>IF(B187="Butterfly",MAX(J187,0),IF(C187="call","Unlimited",MAX(2*E187-D187+J187,J187,0)))</x:f>
        <x:v>4198.38</x:v>
      </x:c>
      <x:c r="N187" s="11" t="n">
        <x:f>IF(B187="Butterfly",IF(AND(J187&gt;0,J187&lt;K187),D187+J187,"n.a."),IF(C187="call",IF(AND(J187&gt;0,J187&lt;K187),D187+J187,"n.a."),IF(AND(K187&gt;J187,2*E187-D187+J187&gt;=0),2*E187-D187+J187,"n.a.")))</x:f>
        <x:v>4198.38</x:v>
      </x:c>
      <x:c r="O187" s="11" t="str">
        <x:f>IF(B187="Butterfly",IF(AND(J187&gt;0,J187&lt;K187),F187-J187,"n.a."),IF(C187="call",IF(K187&gt;J187,2*E187-D187-J187,"n.a."),IF(AND(J187&gt;0,J187&lt;K187),D187-J187,"n.a.")))</x:f>
        <x:v>n.a.</x:v>
      </x:c>
      <x:c r="P187" s="19" t="str">
        <x:f>IF(AND(B187="Butterfly",J187&gt;0,J187&lt;K187),L187/J187,"n.a.")</x:f>
        <x:v>n.a.</x:v>
      </x:c>
      <x:c r="Q187" s="11" t="n">
        <x:f>J187*'Model inputs'!$B$8</x:f>
        <x:v>-162</x:v>
      </x:c>
      <x:c r="R187" s="1" t="str">
        <x:v>Flagged leg data</x:v>
      </x:c>
      <x:c r="S187" s="1" t="n">
        <x:v>537</x:v>
      </x:c>
      <x:c r="T187" s="1" t="n">
        <x:v>518</x:v>
      </x:c>
    </x:row>
    <x:row r="188" ht="21" customHeight="1">
      <x:c r="A188" s="12" t="n">
        <x:v>46280</x:v>
      </x:c>
      <x:c r="B188" s="1" t="str">
        <x:v>1x2 ratio</x:v>
      </x:c>
      <x:c r="C188" s="1" t="str">
        <x:v>put</x:v>
      </x:c>
      <x:c r="D188" s="11" t="n">
        <x:v>4400</x:v>
      </x:c>
      <x:c r="E188" s="11" t="n">
        <x:v>4200</x:v>
      </x:c>
      <x:c r="F188" s="11"/>
      <x:c r="G188" s="11" t="n">
        <x:f>'Option source'!B523</x:f>
        <x:v>1.71</x:v>
      </x:c>
      <x:c r="H188" s="11" t="n">
        <x:f>'Option source'!B504</x:f>
        <x:v>1.19</x:v>
      </x:c>
      <x:c r="I188" s="11"/>
      <x:c r="J188" s="11" t="n">
        <x:f>G188-2*H188+IF(B188="Butterfly",I188,0)</x:f>
        <x:v>-0.6699999999999999</x:v>
      </x:c>
      <x:c r="K188" s="11" t="n">
        <x:f>ABS(E188-D188)</x:f>
        <x:v>200</x:v>
      </x:c>
      <x:c r="L188" s="11" t="n">
        <x:f>K188-J188</x:f>
        <x:v>200.67</x:v>
      </x:c>
      <x:c r="M188" s="11" t="n">
        <x:f>IF(B188="Butterfly",MAX(J188,0),IF(C188="call","Unlimited",MAX(2*E188-D188+J188,J188,0)))</x:f>
        <x:v>3999.33</x:v>
      </x:c>
      <x:c r="N188" s="11" t="n">
        <x:f>IF(B188="Butterfly",IF(AND(J188&gt;0,J188&lt;K188),D188+J188,"n.a."),IF(C188="call",IF(AND(J188&gt;0,J188&lt;K188),D188+J188,"n.a."),IF(AND(K188&gt;J188,2*E188-D188+J188&gt;=0),2*E188-D188+J188,"n.a.")))</x:f>
        <x:v>3999.33</x:v>
      </x:c>
      <x:c r="O188" s="11" t="str">
        <x:f>IF(B188="Butterfly",IF(AND(J188&gt;0,J188&lt;K188),F188-J188,"n.a."),IF(C188="call",IF(K188&gt;J188,2*E188-D188-J188,"n.a."),IF(AND(J188&gt;0,J188&lt;K188),D188-J188,"n.a.")))</x:f>
        <x:v>n.a.</x:v>
      </x:c>
      <x:c r="P188" s="19" t="str">
        <x:f>IF(AND(B188="Butterfly",J188&gt;0,J188&lt;K188),L188/J188,"n.a.")</x:f>
        <x:v>n.a.</x:v>
      </x:c>
      <x:c r="Q188" s="11" t="n">
        <x:f>J188*'Model inputs'!$B$8</x:f>
        <x:v>-67</x:v>
      </x:c>
      <x:c r="R188" s="1" t="str">
        <x:v>Flagged leg data</x:v>
      </x:c>
      <x:c r="S188" s="1" t="n">
        <x:v>518</x:v>
      </x:c>
      <x:c r="T188" s="1" t="n">
        <x:v>499</x:v>
      </x:c>
    </x:row>
    <x:row r="189" ht="21" customHeight="1">
      <x:c r="A189" s="12" t="n">
        <x:v>46279</x:v>
      </x:c>
      <x:c r="B189" s="1" t="str">
        <x:v>Butterfly</x:v>
      </x:c>
      <x:c r="C189" s="1" t="str">
        <x:v>call</x:v>
      </x:c>
      <x:c r="D189" s="11" t="n">
        <x:v>6600</x:v>
      </x:c>
      <x:c r="E189" s="11" t="n">
        <x:v>6800</x:v>
      </x:c>
      <x:c r="F189" s="11" t="n">
        <x:v>7000</x:v>
      </x:c>
      <x:c r="G189" s="11" t="n">
        <x:f>'Option source'!B237</x:f>
        <x:v>574.6</x:v>
      </x:c>
      <x:c r="H189" s="11" t="n">
        <x:f>'Option source'!B256</x:f>
        <x:v>449.91</x:v>
      </x:c>
      <x:c r="I189" s="11" t="n">
        <x:f>'Option source'!B275</x:f>
        <x:v>351.33</x:v>
      </x:c>
      <x:c r="J189" s="11" t="n">
        <x:f>G189-2*H189+IF(B189="Butterfly",I189,0)</x:f>
        <x:v>26.109999999999957</x:v>
      </x:c>
      <x:c r="K189" s="11" t="n">
        <x:f>ABS(E189-D189)</x:f>
        <x:v>200</x:v>
      </x:c>
      <x:c r="L189" s="11" t="n">
        <x:f>K189-J189</x:f>
        <x:v>173.89000000000004</x:v>
      </x:c>
      <x:c r="M189" s="11" t="n">
        <x:f>IF(B189="Butterfly",MAX(J189,0),IF(C189="call","Unlimited",MAX(2*E189-D189+J189,J189,0)))</x:f>
        <x:v>26.109999999999957</x:v>
      </x:c>
      <x:c r="N189" s="11" t="n">
        <x:f>IF(B189="Butterfly",IF(AND(J189&gt;0,J189&lt;K189),D189+J189,"n.a."),IF(C189="call",IF(AND(J189&gt;0,J189&lt;K189),D189+J189,"n.a."),IF(AND(K189&gt;J189,2*E189-D189+J189&gt;=0),2*E189-D189+J189,"n.a.")))</x:f>
        <x:v>6626.11</x:v>
      </x:c>
      <x:c r="O189" s="11" t="n">
        <x:f>IF(B189="Butterfly",IF(AND(J189&gt;0,J189&lt;K189),F189-J189,"n.a."),IF(C189="call",IF(K189&gt;J189,2*E189-D189-J189,"n.a."),IF(AND(J189&gt;0,J189&lt;K189),D189-J189,"n.a.")))</x:f>
        <x:v>6973.89</x:v>
      </x:c>
      <x:c r="P189" s="19" t="n">
        <x:f>IF(AND(B189="Butterfly",J189&gt;0,J189&lt;K189),L189/J189,"n.a.")</x:f>
        <x:v>6.659900421294536</x:v>
      </x:c>
      <x:c r="Q189" s="11" t="n">
        <x:f>J189*'Model inputs'!$B$8</x:f>
        <x:v>2610.9999999999955</x:v>
      </x:c>
      <x:c r="R189" s="1" t="str">
        <x:v>Indicative only</x:v>
      </x:c>
      <x:c r="S189" s="1" t="n">
        <x:v>232</x:v>
      </x:c>
      <x:c r="T189" s="1" t="n">
        <x:v>251</x:v>
      </x:c>
    </x:row>
    <x:row r="190" ht="21" customHeight="1">
      <x:c r="A190" s="12" t="n">
        <x:v>46279</x:v>
      </x:c>
      <x:c r="B190" s="1" t="str">
        <x:v>Butterfly</x:v>
      </x:c>
      <x:c r="C190" s="1" t="str">
        <x:v>put</x:v>
      </x:c>
      <x:c r="D190" s="11" t="n">
        <x:v>6600</x:v>
      </x:c>
      <x:c r="E190" s="11" t="n">
        <x:v>6800</x:v>
      </x:c>
      <x:c r="F190" s="11" t="n">
        <x:v>7000</x:v>
      </x:c>
      <x:c r="G190" s="11" t="n">
        <x:f>'Option source'!B731</x:f>
        <x:v>192.29</x:v>
      </x:c>
      <x:c r="H190" s="11" t="n">
        <x:f>'Option source'!B750</x:f>
        <x:v>275.35</x:v>
      </x:c>
      <x:c r="I190" s="11" t="n">
        <x:f>'Option source'!B769</x:f>
        <x:v>374.39</x:v>
      </x:c>
      <x:c r="J190" s="11" t="n">
        <x:f>G190-2*H190+IF(B190="Butterfly",I190,0)</x:f>
        <x:v>15.979999999999905</x:v>
      </x:c>
      <x:c r="K190" s="11" t="n">
        <x:f>ABS(E190-D190)</x:f>
        <x:v>200</x:v>
      </x:c>
      <x:c r="L190" s="11" t="n">
        <x:f>K190-J190</x:f>
        <x:v>184.0200000000001</x:v>
      </x:c>
      <x:c r="M190" s="11" t="n">
        <x:f>IF(B190="Butterfly",MAX(J190,0),IF(C190="call","Unlimited",MAX(2*E190-D190+J190,J190,0)))</x:f>
        <x:v>15.979999999999905</x:v>
      </x:c>
      <x:c r="N190" s="11" t="n">
        <x:f>IF(B190="Butterfly",IF(AND(J190&gt;0,J190&lt;K190),D190+J190,"n.a."),IF(C190="call",IF(AND(J190&gt;0,J190&lt;K190),D190+J190,"n.a."),IF(AND(K190&gt;J190,2*E190-D190+J190&gt;=0),2*E190-D190+J190,"n.a.")))</x:f>
        <x:v>6615.98</x:v>
      </x:c>
      <x:c r="O190" s="11" t="n">
        <x:f>IF(B190="Butterfly",IF(AND(J190&gt;0,J190&lt;K190),F190-J190,"n.a."),IF(C190="call",IF(K190&gt;J190,2*E190-D190-J190,"n.a."),IF(AND(J190&gt;0,J190&lt;K190),D190-J190,"n.a.")))</x:f>
        <x:v>6984.02</x:v>
      </x:c>
      <x:c r="P190" s="19" t="n">
        <x:f>IF(AND(B190="Butterfly",J190&gt;0,J190&lt;K190),L190/J190,"n.a.")</x:f>
        <x:v>11.515644555694694</x:v>
      </x:c>
      <x:c r="Q190" s="11" t="n">
        <x:f>J190*'Model inputs'!$B$8</x:f>
        <x:v>1597.9999999999905</x:v>
      </x:c>
      <x:c r="R190" s="1" t="str">
        <x:v>Indicative only</x:v>
      </x:c>
      <x:c r="S190" s="1" t="n">
        <x:v>726</x:v>
      </x:c>
      <x:c r="T190" s="1" t="n">
        <x:v>745</x:v>
      </x:c>
    </x:row>
    <x:row r="191" ht="21" customHeight="1">
      <x:c r="A191" s="12" t="n">
        <x:v>46279</x:v>
      </x:c>
      <x:c r="B191" s="1" t="str">
        <x:v>Butterfly</x:v>
      </x:c>
      <x:c r="C191" s="1" t="str">
        <x:v>call</x:v>
      </x:c>
      <x:c r="D191" s="11" t="n">
        <x:v>6800</x:v>
      </x:c>
      <x:c r="E191" s="11" t="n">
        <x:v>7000</x:v>
      </x:c>
      <x:c r="F191" s="11" t="n">
        <x:v>7200</x:v>
      </x:c>
      <x:c r="G191" s="11" t="n">
        <x:f>'Option source'!B256</x:f>
        <x:v>449.91</x:v>
      </x:c>
      <x:c r="H191" s="11" t="n">
        <x:f>'Option source'!B275</x:f>
        <x:v>351.33</x:v>
      </x:c>
      <x:c r="I191" s="11" t="n">
        <x:f>'Option source'!B294</x:f>
        <x:v>261.93</x:v>
      </x:c>
      <x:c r="J191" s="11" t="n">
        <x:f>G191-2*H191+IF(B191="Butterfly",I191,0)</x:f>
        <x:v>9.180000000000064</x:v>
      </x:c>
      <x:c r="K191" s="11" t="n">
        <x:f>ABS(E191-D191)</x:f>
        <x:v>200</x:v>
      </x:c>
      <x:c r="L191" s="11" t="n">
        <x:f>K191-J191</x:f>
        <x:v>190.81999999999994</x:v>
      </x:c>
      <x:c r="M191" s="11" t="n">
        <x:f>IF(B191="Butterfly",MAX(J191,0),IF(C191="call","Unlimited",MAX(2*E191-D191+J191,J191,0)))</x:f>
        <x:v>9.180000000000064</x:v>
      </x:c>
      <x:c r="N191" s="11" t="n">
        <x:f>IF(B191="Butterfly",IF(AND(J191&gt;0,J191&lt;K191),D191+J191,"n.a."),IF(C191="call",IF(AND(J191&gt;0,J191&lt;K191),D191+J191,"n.a."),IF(AND(K191&gt;J191,2*E191-D191+J191&gt;=0),2*E191-D191+J191,"n.a.")))</x:f>
        <x:v>6809.18</x:v>
      </x:c>
      <x:c r="O191" s="11" t="n">
        <x:f>IF(B191="Butterfly",IF(AND(J191&gt;0,J191&lt;K191),F191-J191,"n.a."),IF(C191="call",IF(K191&gt;J191,2*E191-D191-J191,"n.a."),IF(AND(J191&gt;0,J191&lt;K191),D191-J191,"n.a.")))</x:f>
        <x:v>7190.82</x:v>
      </x:c>
      <x:c r="P191" s="19" t="n">
        <x:f>IF(AND(B191="Butterfly",J191&gt;0,J191&lt;K191),L191/J191,"n.a.")</x:f>
        <x:v>20.78649237472752</x:v>
      </x:c>
      <x:c r="Q191" s="11" t="n">
        <x:f>J191*'Model inputs'!$B$8</x:f>
        <x:v>918.0000000000064</x:v>
      </x:c>
      <x:c r="R191" s="1" t="str">
        <x:v>Indicative only</x:v>
      </x:c>
      <x:c r="S191" s="1" t="n">
        <x:v>251</x:v>
      </x:c>
      <x:c r="T191" s="1" t="n">
        <x:v>270</x:v>
      </x:c>
    </x:row>
    <x:row r="192" ht="21" customHeight="1">
      <x:c r="A192" s="12" t="n">
        <x:v>46279</x:v>
      </x:c>
      <x:c r="B192" s="1" t="str">
        <x:v>Butterfly</x:v>
      </x:c>
      <x:c r="C192" s="1" t="str">
        <x:v>put</x:v>
      </x:c>
      <x:c r="D192" s="11" t="n">
        <x:v>6800</x:v>
      </x:c>
      <x:c r="E192" s="11" t="n">
        <x:v>7000</x:v>
      </x:c>
      <x:c r="F192" s="11" t="n">
        <x:v>7200</x:v>
      </x:c>
      <x:c r="G192" s="11" t="n">
        <x:f>'Option source'!B750</x:f>
        <x:v>275.35</x:v>
      </x:c>
      <x:c r="H192" s="11" t="n">
        <x:f>'Option source'!B769</x:f>
        <x:v>374.39</x:v>
      </x:c>
      <x:c r="I192" s="11" t="n">
        <x:f>'Option source'!B788</x:f>
        <x:v>494.18</x:v>
      </x:c>
      <x:c r="J192" s="11" t="n">
        <x:f>G192-2*H192+IF(B192="Butterfly",I192,0)</x:f>
        <x:v>20.750000000000057</x:v>
      </x:c>
      <x:c r="K192" s="11" t="n">
        <x:f>ABS(E192-D192)</x:f>
        <x:v>200</x:v>
      </x:c>
      <x:c r="L192" s="11" t="n">
        <x:f>K192-J192</x:f>
        <x:v>179.24999999999994</x:v>
      </x:c>
      <x:c r="M192" s="11" t="n">
        <x:f>IF(B192="Butterfly",MAX(J192,0),IF(C192="call","Unlimited",MAX(2*E192-D192+J192,J192,0)))</x:f>
        <x:v>20.750000000000057</x:v>
      </x:c>
      <x:c r="N192" s="11" t="n">
        <x:f>IF(B192="Butterfly",IF(AND(J192&gt;0,J192&lt;K192),D192+J192,"n.a."),IF(C192="call",IF(AND(J192&gt;0,J192&lt;K192),D192+J192,"n.a."),IF(AND(K192&gt;J192,2*E192-D192+J192&gt;=0),2*E192-D192+J192,"n.a.")))</x:f>
        <x:v>6820.75</x:v>
      </x:c>
      <x:c r="O192" s="11" t="n">
        <x:f>IF(B192="Butterfly",IF(AND(J192&gt;0,J192&lt;K192),F192-J192,"n.a."),IF(C192="call",IF(K192&gt;J192,2*E192-D192-J192,"n.a."),IF(AND(J192&gt;0,J192&lt;K192),D192-J192,"n.a.")))</x:f>
        <x:v>7179.25</x:v>
      </x:c>
      <x:c r="P192" s="19" t="n">
        <x:f>IF(AND(B192="Butterfly",J192&gt;0,J192&lt;K192),L192/J192,"n.a.")</x:f>
        <x:v>8.638554216867444</x:v>
      </x:c>
      <x:c r="Q192" s="11" t="n">
        <x:f>J192*'Model inputs'!$B$8</x:f>
        <x:v>2075.0000000000055</x:v>
      </x:c>
      <x:c r="R192" s="1" t="str">
        <x:v>Indicative only</x:v>
      </x:c>
      <x:c r="S192" s="1" t="n">
        <x:v>745</x:v>
      </x:c>
      <x:c r="T192" s="1" t="n">
        <x:v>764</x:v>
      </x:c>
    </x:row>
    <x:row r="193" ht="21" customHeight="1">
      <x:c r="A193" s="12" t="n">
        <x:v>46279</x:v>
      </x:c>
      <x:c r="B193" s="1" t="str">
        <x:v>Butterfly</x:v>
      </x:c>
      <x:c r="C193" s="1" t="str">
        <x:v>put</x:v>
      </x:c>
      <x:c r="D193" s="11" t="n">
        <x:v>6400</x:v>
      </x:c>
      <x:c r="E193" s="11" t="n">
        <x:v>6600</x:v>
      </x:c>
      <x:c r="F193" s="11" t="n">
        <x:v>6800</x:v>
      </x:c>
      <x:c r="G193" s="11" t="n">
        <x:f>'Option source'!B712</x:f>
        <x:v>130.18</x:v>
      </x:c>
      <x:c r="H193" s="11" t="n">
        <x:f>'Option source'!B731</x:f>
        <x:v>192.29</x:v>
      </x:c>
      <x:c r="I193" s="11" t="n">
        <x:f>'Option source'!B750</x:f>
        <x:v>275.35</x:v>
      </x:c>
      <x:c r="J193" s="11" t="n">
        <x:f>G193-2*H193+IF(B193="Butterfly",I193,0)</x:f>
        <x:v>20.950000000000045</x:v>
      </x:c>
      <x:c r="K193" s="11" t="n">
        <x:f>ABS(E193-D193)</x:f>
        <x:v>200</x:v>
      </x:c>
      <x:c r="L193" s="11" t="n">
        <x:f>K193-J193</x:f>
        <x:v>179.04999999999995</x:v>
      </x:c>
      <x:c r="M193" s="11" t="n">
        <x:f>IF(B193="Butterfly",MAX(J193,0),IF(C193="call","Unlimited",MAX(2*E193-D193+J193,J193,0)))</x:f>
        <x:v>20.950000000000045</x:v>
      </x:c>
      <x:c r="N193" s="11" t="n">
        <x:f>IF(B193="Butterfly",IF(AND(J193&gt;0,J193&lt;K193),D193+J193,"n.a."),IF(C193="call",IF(AND(J193&gt;0,J193&lt;K193),D193+J193,"n.a."),IF(AND(K193&gt;J193,2*E193-D193+J193&gt;=0),2*E193-D193+J193,"n.a.")))</x:f>
        <x:v>6420.95</x:v>
      </x:c>
      <x:c r="O193" s="11" t="n">
        <x:f>IF(B193="Butterfly",IF(AND(J193&gt;0,J193&lt;K193),F193-J193,"n.a."),IF(C193="call",IF(K193&gt;J193,2*E193-D193-J193,"n.a."),IF(AND(J193&gt;0,J193&lt;K193),D193-J193,"n.a.")))</x:f>
        <x:v>6779.05</x:v>
      </x:c>
      <x:c r="P193" s="19" t="n">
        <x:f>IF(AND(B193="Butterfly",J193&gt;0,J193&lt;K193),L193/J193,"n.a.")</x:f>
        <x:v>8.54653937947492</x:v>
      </x:c>
      <x:c r="Q193" s="11" t="n">
        <x:f>J193*'Model inputs'!$B$8</x:f>
        <x:v>2095.0000000000045</x:v>
      </x:c>
      <x:c r="R193" s="1" t="str">
        <x:v>Indicative only</x:v>
      </x:c>
      <x:c r="S193" s="1" t="n">
        <x:v>707</x:v>
      </x:c>
      <x:c r="T193" s="1" t="n">
        <x:v>726</x:v>
      </x:c>
    </x:row>
    <x:row r="194" ht="21" customHeight="1">
      <x:c r="A194" s="12" t="n">
        <x:v>46279</x:v>
      </x:c>
      <x:c r="B194" s="1" t="str">
        <x:v>Butterfly</x:v>
      </x:c>
      <x:c r="C194" s="1" t="str">
        <x:v>call</x:v>
      </x:c>
      <x:c r="D194" s="11" t="n">
        <x:v>7000</x:v>
      </x:c>
      <x:c r="E194" s="11" t="n">
        <x:v>7200</x:v>
      </x:c>
      <x:c r="F194" s="11" t="n">
        <x:v>7400</x:v>
      </x:c>
      <x:c r="G194" s="11" t="n">
        <x:f>'Option source'!B275</x:f>
        <x:v>351.33</x:v>
      </x:c>
      <x:c r="H194" s="11" t="n">
        <x:f>'Option source'!B294</x:f>
        <x:v>261.93</x:v>
      </x:c>
      <x:c r="I194" s="11" t="n">
        <x:f>'Option source'!B313</x:f>
        <x:v>198.36</x:v>
      </x:c>
      <x:c r="J194" s="11" t="n">
        <x:f>G194-2*H194+IF(B194="Butterfly",I194,0)</x:f>
        <x:v>25.829999999999984</x:v>
      </x:c>
      <x:c r="K194" s="11" t="n">
        <x:f>ABS(E194-D194)</x:f>
        <x:v>200</x:v>
      </x:c>
      <x:c r="L194" s="11" t="n">
        <x:f>K194-J194</x:f>
        <x:v>174.17000000000002</x:v>
      </x:c>
      <x:c r="M194" s="11" t="n">
        <x:f>IF(B194="Butterfly",MAX(J194,0),IF(C194="call","Unlimited",MAX(2*E194-D194+J194,J194,0)))</x:f>
        <x:v>25.829999999999984</x:v>
      </x:c>
      <x:c r="N194" s="11" t="n">
        <x:f>IF(B194="Butterfly",IF(AND(J194&gt;0,J194&lt;K194),D194+J194,"n.a."),IF(C194="call",IF(AND(J194&gt;0,J194&lt;K194),D194+J194,"n.a."),IF(AND(K194&gt;J194,2*E194-D194+J194&gt;=0),2*E194-D194+J194,"n.a.")))</x:f>
        <x:v>7025.83</x:v>
      </x:c>
      <x:c r="O194" s="11" t="n">
        <x:f>IF(B194="Butterfly",IF(AND(J194&gt;0,J194&lt;K194),F194-J194,"n.a."),IF(C194="call",IF(K194&gt;J194,2*E194-D194-J194,"n.a."),IF(AND(J194&gt;0,J194&lt;K194),D194-J194,"n.a.")))</x:f>
        <x:v>7374.17</x:v>
      </x:c>
      <x:c r="P194" s="19" t="n">
        <x:f>IF(AND(B194="Butterfly",J194&gt;0,J194&lt;K194),L194/J194,"n.a.")</x:f>
        <x:v>6.74293457220287</x:v>
      </x:c>
      <x:c r="Q194" s="11" t="n">
        <x:f>J194*'Model inputs'!$B$8</x:f>
        <x:v>2582.999999999998</x:v>
      </x:c>
      <x:c r="R194" s="1" t="str">
        <x:v>Indicative only</x:v>
      </x:c>
      <x:c r="S194" s="1" t="n">
        <x:v>270</x:v>
      </x:c>
      <x:c r="T194" s="1" t="n">
        <x:v>289</x:v>
      </x:c>
    </x:row>
    <x:row r="195" ht="21" customHeight="1">
      <x:c r="A195" s="12" t="n">
        <x:v>46279</x:v>
      </x:c>
      <x:c r="B195" s="1" t="str">
        <x:v>Butterfly</x:v>
      </x:c>
      <x:c r="C195" s="1" t="str">
        <x:v>put</x:v>
      </x:c>
      <x:c r="D195" s="11" t="n">
        <x:v>7000</x:v>
      </x:c>
      <x:c r="E195" s="11" t="n">
        <x:v>7200</x:v>
      </x:c>
      <x:c r="F195" s="11" t="n">
        <x:v>7400</x:v>
      </x:c>
      <x:c r="G195" s="11" t="n">
        <x:f>'Option source'!B769</x:f>
        <x:v>374.39</x:v>
      </x:c>
      <x:c r="H195" s="11" t="n">
        <x:f>'Option source'!B788</x:f>
        <x:v>494.18</x:v>
      </x:c>
      <x:c r="I195" s="11" t="n">
        <x:f>'Option source'!B807</x:f>
        <x:v>619.04</x:v>
      </x:c>
      <x:c r="J195" s="11" t="n">
        <x:f>G195-2*H195+IF(B195="Butterfly",I195,0)</x:f>
        <x:v>5.069999999999936</x:v>
      </x:c>
      <x:c r="K195" s="11" t="n">
        <x:f>ABS(E195-D195)</x:f>
        <x:v>200</x:v>
      </x:c>
      <x:c r="L195" s="11" t="n">
        <x:f>K195-J195</x:f>
        <x:v>194.93000000000006</x:v>
      </x:c>
      <x:c r="M195" s="11" t="n">
        <x:f>IF(B195="Butterfly",MAX(J195,0),IF(C195="call","Unlimited",MAX(2*E195-D195+J195,J195,0)))</x:f>
        <x:v>5.069999999999936</x:v>
      </x:c>
      <x:c r="N195" s="11" t="n">
        <x:f>IF(B195="Butterfly",IF(AND(J195&gt;0,J195&lt;K195),D195+J195,"n.a."),IF(C195="call",IF(AND(J195&gt;0,J195&lt;K195),D195+J195,"n.a."),IF(AND(K195&gt;J195,2*E195-D195+J195&gt;=0),2*E195-D195+J195,"n.a.")))</x:f>
        <x:v>7005.07</x:v>
      </x:c>
      <x:c r="O195" s="11" t="n">
        <x:f>IF(B195="Butterfly",IF(AND(J195&gt;0,J195&lt;K195),F195-J195,"n.a."),IF(C195="call",IF(K195&gt;J195,2*E195-D195-J195,"n.a."),IF(AND(J195&gt;0,J195&lt;K195),D195-J195,"n.a.")))</x:f>
        <x:v>7394.93</x:v>
      </x:c>
      <x:c r="P195" s="19" t="n">
        <x:f>IF(AND(B195="Butterfly",J195&gt;0,J195&lt;K195),L195/J195,"n.a.")</x:f>
        <x:v>38.447731755424556</x:v>
      </x:c>
      <x:c r="Q195" s="11" t="n">
        <x:f>J195*'Model inputs'!$B$8</x:f>
        <x:v>506.99999999999363</x:v>
      </x:c>
      <x:c r="R195" s="1" t="str">
        <x:v>Indicative only</x:v>
      </x:c>
      <x:c r="S195" s="1" t="n">
        <x:v>764</x:v>
      </x:c>
      <x:c r="T195" s="1" t="n">
        <x:v>783</x:v>
      </x:c>
    </x:row>
    <x:row r="196" ht="21" customHeight="1">
      <x:c r="A196" s="12" t="n">
        <x:v>46279</x:v>
      </x:c>
      <x:c r="B196" s="1" t="str">
        <x:v>Butterfly</x:v>
      </x:c>
      <x:c r="C196" s="1" t="str">
        <x:v>call</x:v>
      </x:c>
      <x:c r="D196" s="11" t="n">
        <x:v>6200</x:v>
      </x:c>
      <x:c r="E196" s="11" t="n">
        <x:v>6400</x:v>
      </x:c>
      <x:c r="F196" s="11" t="n">
        <x:v>6600</x:v>
      </x:c>
      <x:c r="G196" s="11" t="n">
        <x:f>'Option source'!B199</x:f>
        <x:v>847.81</x:v>
      </x:c>
      <x:c r="H196" s="11" t="n">
        <x:f>'Option source'!B218</x:f>
        <x:v>675.11</x:v>
      </x:c>
      <x:c r="I196" s="11" t="n">
        <x:f>'Option source'!B237</x:f>
        <x:v>574.6</x:v>
      </x:c>
      <x:c r="J196" s="11" t="n">
        <x:f>G196-2*H196+IF(B196="Butterfly",I196,0)</x:f>
        <x:v>72.18999999999994</x:v>
      </x:c>
      <x:c r="K196" s="11" t="n">
        <x:f>ABS(E196-D196)</x:f>
        <x:v>200</x:v>
      </x:c>
      <x:c r="L196" s="11" t="n">
        <x:f>K196-J196</x:f>
        <x:v>127.81000000000006</x:v>
      </x:c>
      <x:c r="M196" s="11" t="n">
        <x:f>IF(B196="Butterfly",MAX(J196,0),IF(C196="call","Unlimited",MAX(2*E196-D196+J196,J196,0)))</x:f>
        <x:v>72.18999999999994</x:v>
      </x:c>
      <x:c r="N196" s="11" t="n">
        <x:f>IF(B196="Butterfly",IF(AND(J196&gt;0,J196&lt;K196),D196+J196,"n.a."),IF(C196="call",IF(AND(J196&gt;0,J196&lt;K196),D196+J196,"n.a."),IF(AND(K196&gt;J196,2*E196-D196+J196&gt;=0),2*E196-D196+J196,"n.a.")))</x:f>
        <x:v>6272.19</x:v>
      </x:c>
      <x:c r="O196" s="11" t="n">
        <x:f>IF(B196="Butterfly",IF(AND(J196&gt;0,J196&lt;K196),F196-J196,"n.a."),IF(C196="call",IF(K196&gt;J196,2*E196-D196-J196,"n.a."),IF(AND(J196&gt;0,J196&lt;K196),D196-J196,"n.a.")))</x:f>
        <x:v>6527.81</x:v>
      </x:c>
      <x:c r="P196" s="19" t="n">
        <x:f>IF(AND(B196="Butterfly",J196&gt;0,J196&lt;K196),L196/J196,"n.a.")</x:f>
        <x:v>1.770466823659789</x:v>
      </x:c>
      <x:c r="Q196" s="11" t="n">
        <x:f>J196*'Model inputs'!$B$8</x:f>
        <x:v>7218.9999999999945</x:v>
      </x:c>
      <x:c r="R196" s="1" t="str">
        <x:v>Indicative only</x:v>
      </x:c>
      <x:c r="S196" s="1" t="n">
        <x:v>194</x:v>
      </x:c>
      <x:c r="T196" s="1" t="n">
        <x:v>213</x:v>
      </x:c>
    </x:row>
    <x:row r="197" ht="21" customHeight="1">
      <x:c r="A197" s="12" t="n">
        <x:v>46279</x:v>
      </x:c>
      <x:c r="B197" s="1" t="str">
        <x:v>Butterfly</x:v>
      </x:c>
      <x:c r="C197" s="1" t="str">
        <x:v>put</x:v>
      </x:c>
      <x:c r="D197" s="11" t="n">
        <x:v>6200</x:v>
      </x:c>
      <x:c r="E197" s="11" t="n">
        <x:v>6400</x:v>
      </x:c>
      <x:c r="F197" s="11" t="n">
        <x:v>6600</x:v>
      </x:c>
      <x:c r="G197" s="11" t="n">
        <x:f>'Option source'!B693</x:f>
        <x:v>81.68</x:v>
      </x:c>
      <x:c r="H197" s="11" t="n">
        <x:f>'Option source'!B712</x:f>
        <x:v>130.18</x:v>
      </x:c>
      <x:c r="I197" s="11" t="n">
        <x:f>'Option source'!B731</x:f>
        <x:v>192.29</x:v>
      </x:c>
      <x:c r="J197" s="11" t="n">
        <x:f>G197-2*H197+IF(B197="Butterfly",I197,0)</x:f>
        <x:v>13.609999999999985</x:v>
      </x:c>
      <x:c r="K197" s="11" t="n">
        <x:f>ABS(E197-D197)</x:f>
        <x:v>200</x:v>
      </x:c>
      <x:c r="L197" s="11" t="n">
        <x:f>K197-J197</x:f>
        <x:v>186.39000000000001</x:v>
      </x:c>
      <x:c r="M197" s="11" t="n">
        <x:f>IF(B197="Butterfly",MAX(J197,0),IF(C197="call","Unlimited",MAX(2*E197-D197+J197,J197,0)))</x:f>
        <x:v>13.609999999999985</x:v>
      </x:c>
      <x:c r="N197" s="11" t="n">
        <x:f>IF(B197="Butterfly",IF(AND(J197&gt;0,J197&lt;K197),D197+J197,"n.a."),IF(C197="call",IF(AND(J197&gt;0,J197&lt;K197),D197+J197,"n.a."),IF(AND(K197&gt;J197,2*E197-D197+J197&gt;=0),2*E197-D197+J197,"n.a.")))</x:f>
        <x:v>6213.61</x:v>
      </x:c>
      <x:c r="O197" s="11" t="n">
        <x:f>IF(B197="Butterfly",IF(AND(J197&gt;0,J197&lt;K197),F197-J197,"n.a."),IF(C197="call",IF(K197&gt;J197,2*E197-D197-J197,"n.a."),IF(AND(J197&gt;0,J197&lt;K197),D197-J197,"n.a.")))</x:f>
        <x:v>6586.39</x:v>
      </x:c>
      <x:c r="P197" s="19" t="n">
        <x:f>IF(AND(B197="Butterfly",J197&gt;0,J197&lt;K197),L197/J197,"n.a.")</x:f>
        <x:v>13.695077149155049</x:v>
      </x:c>
      <x:c r="Q197" s="11" t="n">
        <x:f>J197*'Model inputs'!$B$8</x:f>
        <x:v>1360.9999999999986</x:v>
      </x:c>
      <x:c r="R197" s="1" t="str">
        <x:v>Indicative only</x:v>
      </x:c>
      <x:c r="S197" s="1" t="n">
        <x:v>688</x:v>
      </x:c>
      <x:c r="T197" s="1" t="n">
        <x:v>707</x:v>
      </x:c>
    </x:row>
    <x:row r="198" ht="21" customHeight="1">
      <x:c r="A198" s="12" t="n">
        <x:v>46279</x:v>
      </x:c>
      <x:c r="B198" s="1" t="str">
        <x:v>Butterfly</x:v>
      </x:c>
      <x:c r="C198" s="1" t="str">
        <x:v>call</x:v>
      </x:c>
      <x:c r="D198" s="11" t="n">
        <x:v>7200</x:v>
      </x:c>
      <x:c r="E198" s="11" t="n">
        <x:v>7400</x:v>
      </x:c>
      <x:c r="F198" s="11" t="n">
        <x:v>7600</x:v>
      </x:c>
      <x:c r="G198" s="11" t="n">
        <x:f>'Option source'!B294</x:f>
        <x:v>261.93</x:v>
      </x:c>
      <x:c r="H198" s="11" t="n">
        <x:f>'Option source'!B313</x:f>
        <x:v>198.36</x:v>
      </x:c>
      <x:c r="I198" s="11" t="n">
        <x:f>'Option source'!B332</x:f>
        <x:v>145.5</x:v>
      </x:c>
      <x:c r="J198" s="11" t="n">
        <x:f>G198-2*H198+IF(B198="Butterfly",I198,0)</x:f>
        <x:v>10.70999999999998</x:v>
      </x:c>
      <x:c r="K198" s="11" t="n">
        <x:f>ABS(E198-D198)</x:f>
        <x:v>200</x:v>
      </x:c>
      <x:c r="L198" s="11" t="n">
        <x:f>K198-J198</x:f>
        <x:v>189.29000000000002</x:v>
      </x:c>
      <x:c r="M198" s="11" t="n">
        <x:f>IF(B198="Butterfly",MAX(J198,0),IF(C198="call","Unlimited",MAX(2*E198-D198+J198,J198,0)))</x:f>
        <x:v>10.70999999999998</x:v>
      </x:c>
      <x:c r="N198" s="11" t="n">
        <x:f>IF(B198="Butterfly",IF(AND(J198&gt;0,J198&lt;K198),D198+J198,"n.a."),IF(C198="call",IF(AND(J198&gt;0,J198&lt;K198),D198+J198,"n.a."),IF(AND(K198&gt;J198,2*E198-D198+J198&gt;=0),2*E198-D198+J198,"n.a.")))</x:f>
        <x:v>7210.71</x:v>
      </x:c>
      <x:c r="O198" s="11" t="n">
        <x:f>IF(B198="Butterfly",IF(AND(J198&gt;0,J198&lt;K198),F198-J198,"n.a."),IF(C198="call",IF(K198&gt;J198,2*E198-D198-J198,"n.a."),IF(AND(J198&gt;0,J198&lt;K198),D198-J198,"n.a.")))</x:f>
        <x:v>7589.29</x:v>
      </x:c>
      <x:c r="P198" s="19" t="n">
        <x:f>IF(AND(B198="Butterfly",J198&gt;0,J198&lt;K198),L198/J198,"n.a.")</x:f>
        <x:v>17.67413632119518</x:v>
      </x:c>
      <x:c r="Q198" s="11" t="n">
        <x:f>J198*'Model inputs'!$B$8</x:f>
        <x:v>1070.999999999998</x:v>
      </x:c>
      <x:c r="R198" s="1" t="str">
        <x:v>Indicative only</x:v>
      </x:c>
      <x:c r="S198" s="1" t="n">
        <x:v>289</x:v>
      </x:c>
      <x:c r="T198" s="1" t="n">
        <x:v>308</x:v>
      </x:c>
    </x:row>
    <x:row r="199" ht="21" customHeight="1">
      <x:c r="A199" s="12" t="n">
        <x:v>46279</x:v>
      </x:c>
      <x:c r="B199" s="1" t="str">
        <x:v>Butterfly</x:v>
      </x:c>
      <x:c r="C199" s="1" t="str">
        <x:v>put</x:v>
      </x:c>
      <x:c r="D199" s="11" t="n">
        <x:v>7200</x:v>
      </x:c>
      <x:c r="E199" s="11" t="n">
        <x:v>7400</x:v>
      </x:c>
      <x:c r="F199" s="11" t="n">
        <x:v>7600</x:v>
      </x:c>
      <x:c r="G199" s="11" t="n">
        <x:f>'Option source'!B788</x:f>
        <x:v>494.18</x:v>
      </x:c>
      <x:c r="H199" s="11" t="n">
        <x:f>'Option source'!B807</x:f>
        <x:v>619.04</x:v>
      </x:c>
      <x:c r="I199" s="11" t="n">
        <x:f>'Option source'!B826</x:f>
        <x:v>775.5</x:v>
      </x:c>
      <x:c r="J199" s="11" t="n">
        <x:f>G199-2*H199+IF(B199="Butterfly",I199,0)</x:f>
        <x:v>31.600000000000136</x:v>
      </x:c>
      <x:c r="K199" s="11" t="n">
        <x:f>ABS(E199-D199)</x:f>
        <x:v>200</x:v>
      </x:c>
      <x:c r="L199" s="11" t="n">
        <x:f>K199-J199</x:f>
        <x:v>168.39999999999986</x:v>
      </x:c>
      <x:c r="M199" s="11" t="n">
        <x:f>IF(B199="Butterfly",MAX(J199,0),IF(C199="call","Unlimited",MAX(2*E199-D199+J199,J199,0)))</x:f>
        <x:v>31.600000000000136</x:v>
      </x:c>
      <x:c r="N199" s="11" t="n">
        <x:f>IF(B199="Butterfly",IF(AND(J199&gt;0,J199&lt;K199),D199+J199,"n.a."),IF(C199="call",IF(AND(J199&gt;0,J199&lt;K199),D199+J199,"n.a."),IF(AND(K199&gt;J199,2*E199-D199+J199&gt;=0),2*E199-D199+J199,"n.a.")))</x:f>
        <x:v>7231.6</x:v>
      </x:c>
      <x:c r="O199" s="11" t="n">
        <x:f>IF(B199="Butterfly",IF(AND(J199&gt;0,J199&lt;K199),F199-J199,"n.a."),IF(C199="call",IF(K199&gt;J199,2*E199-D199-J199,"n.a."),IF(AND(J199&gt;0,J199&lt;K199),D199-J199,"n.a.")))</x:f>
        <x:v>7568.4</x:v>
      </x:c>
      <x:c r="P199" s="19" t="n">
        <x:f>IF(AND(B199="Butterfly",J199&gt;0,J199&lt;K199),L199/J199,"n.a.")</x:f>
        <x:v>5.329113924050605</x:v>
      </x:c>
      <x:c r="Q199" s="11" t="n">
        <x:f>J199*'Model inputs'!$B$8</x:f>
        <x:v>3160.0000000000136</x:v>
      </x:c>
      <x:c r="R199" s="1" t="str">
        <x:v>Indicative only</x:v>
      </x:c>
      <x:c r="S199" s="1" t="n">
        <x:v>783</x:v>
      </x:c>
      <x:c r="T199" s="1" t="n">
        <x:v>802</x:v>
      </x:c>
    </x:row>
    <x:row r="200" ht="21" customHeight="1">
      <x:c r="A200" s="12" t="n">
        <x:v>46279</x:v>
      </x:c>
      <x:c r="B200" s="1" t="str">
        <x:v>Butterfly</x:v>
      </x:c>
      <x:c r="C200" s="1" t="str">
        <x:v>put</x:v>
      </x:c>
      <x:c r="D200" s="11" t="n">
        <x:v>6000</x:v>
      </x:c>
      <x:c r="E200" s="11" t="n">
        <x:v>6200</x:v>
      </x:c>
      <x:c r="F200" s="11" t="n">
        <x:v>6400</x:v>
      </x:c>
      <x:c r="G200" s="11" t="n">
        <x:f>'Option source'!B674</x:f>
        <x:v>48.24</x:v>
      </x:c>
      <x:c r="H200" s="11" t="n">
        <x:f>'Option source'!B693</x:f>
        <x:v>81.68</x:v>
      </x:c>
      <x:c r="I200" s="11" t="n">
        <x:f>'Option source'!B712</x:f>
        <x:v>130.18</x:v>
      </x:c>
      <x:c r="J200" s="11" t="n">
        <x:f>G200-2*H200+IF(B200="Butterfly",I200,0)</x:f>
        <x:v>15.060000000000002</x:v>
      </x:c>
      <x:c r="K200" s="11" t="n">
        <x:f>ABS(E200-D200)</x:f>
        <x:v>200</x:v>
      </x:c>
      <x:c r="L200" s="11" t="n">
        <x:f>K200-J200</x:f>
        <x:v>184.94</x:v>
      </x:c>
      <x:c r="M200" s="11" t="n">
        <x:f>IF(B200="Butterfly",MAX(J200,0),IF(C200="call","Unlimited",MAX(2*E200-D200+J200,J200,0)))</x:f>
        <x:v>15.060000000000002</x:v>
      </x:c>
      <x:c r="N200" s="11" t="n">
        <x:f>IF(B200="Butterfly",IF(AND(J200&gt;0,J200&lt;K200),D200+J200,"n.a."),IF(C200="call",IF(AND(J200&gt;0,J200&lt;K200),D200+J200,"n.a."),IF(AND(K200&gt;J200,2*E200-D200+J200&gt;=0),2*E200-D200+J200,"n.a.")))</x:f>
        <x:v>6015.06</x:v>
      </x:c>
      <x:c r="O200" s="11" t="n">
        <x:f>IF(B200="Butterfly",IF(AND(J200&gt;0,J200&lt;K200),F200-J200,"n.a."),IF(C200="call",IF(K200&gt;J200,2*E200-D200-J200,"n.a."),IF(AND(J200&gt;0,J200&lt;K200),D200-J200,"n.a.")))</x:f>
        <x:v>6384.94</x:v>
      </x:c>
      <x:c r="P200" s="19" t="n">
        <x:f>IF(AND(B200="Butterfly",J200&gt;0,J200&lt;K200),L200/J200,"n.a.")</x:f>
        <x:v>12.280212483399733</x:v>
      </x:c>
      <x:c r="Q200" s="11" t="n">
        <x:f>J200*'Model inputs'!$B$8</x:f>
        <x:v>1506.0000000000002</x:v>
      </x:c>
      <x:c r="R200" s="1" t="str">
        <x:v>Indicative only</x:v>
      </x:c>
      <x:c r="S200" s="1" t="n">
        <x:v>669</x:v>
      </x:c>
      <x:c r="T200" s="1" t="n">
        <x:v>688</x:v>
      </x:c>
    </x:row>
    <x:row r="201" ht="21" customHeight="1">
      <x:c r="A201" s="12" t="n">
        <x:v>46279</x:v>
      </x:c>
      <x:c r="B201" s="1" t="str">
        <x:v>Butterfly</x:v>
      </x:c>
      <x:c r="C201" s="1" t="str">
        <x:v>call</x:v>
      </x:c>
      <x:c r="D201" s="11" t="n">
        <x:v>7400</x:v>
      </x:c>
      <x:c r="E201" s="11" t="n">
        <x:v>7600</x:v>
      </x:c>
      <x:c r="F201" s="11" t="n">
        <x:v>7800</x:v>
      </x:c>
      <x:c r="G201" s="11" t="n">
        <x:f>'Option source'!B313</x:f>
        <x:v>198.36</x:v>
      </x:c>
      <x:c r="H201" s="11" t="n">
        <x:f>'Option source'!B332</x:f>
        <x:v>145.5</x:v>
      </x:c>
      <x:c r="I201" s="11" t="n">
        <x:f>'Option source'!B351</x:f>
        <x:v>104.78</x:v>
      </x:c>
      <x:c r="J201" s="11" t="n">
        <x:f>G201-2*H201+IF(B201="Butterfly",I201,0)</x:f>
        <x:v>12.140000000000015</x:v>
      </x:c>
      <x:c r="K201" s="11" t="n">
        <x:f>ABS(E201-D201)</x:f>
        <x:v>200</x:v>
      </x:c>
      <x:c r="L201" s="11" t="n">
        <x:f>K201-J201</x:f>
        <x:v>187.85999999999999</x:v>
      </x:c>
      <x:c r="M201" s="11" t="n">
        <x:f>IF(B201="Butterfly",MAX(J201,0),IF(C201="call","Unlimited",MAX(2*E201-D201+J201,J201,0)))</x:f>
        <x:v>12.140000000000015</x:v>
      </x:c>
      <x:c r="N201" s="11" t="n">
        <x:f>IF(B201="Butterfly",IF(AND(J201&gt;0,J201&lt;K201),D201+J201,"n.a."),IF(C201="call",IF(AND(J201&gt;0,J201&lt;K201),D201+J201,"n.a."),IF(AND(K201&gt;J201,2*E201-D201+J201&gt;=0),2*E201-D201+J201,"n.a.")))</x:f>
        <x:v>7412.14</x:v>
      </x:c>
      <x:c r="O201" s="11" t="n">
        <x:f>IF(B201="Butterfly",IF(AND(J201&gt;0,J201&lt;K201),F201-J201,"n.a."),IF(C201="call",IF(K201&gt;J201,2*E201-D201-J201,"n.a."),IF(AND(J201&gt;0,J201&lt;K201),D201-J201,"n.a.")))</x:f>
        <x:v>7787.86</x:v>
      </x:c>
      <x:c r="P201" s="19" t="n">
        <x:f>IF(AND(B201="Butterfly",J201&gt;0,J201&lt;K201),L201/J201,"n.a.")</x:f>
        <x:v>15.474464579901133</x:v>
      </x:c>
      <x:c r="Q201" s="11" t="n">
        <x:f>J201*'Model inputs'!$B$8</x:f>
        <x:v>1214.0000000000014</x:v>
      </x:c>
      <x:c r="R201" s="1" t="str">
        <x:v>Indicative only</x:v>
      </x:c>
      <x:c r="S201" s="1" t="n">
        <x:v>308</x:v>
      </x:c>
      <x:c r="T201" s="1" t="n">
        <x:v>327</x:v>
      </x:c>
    </x:row>
    <x:row r="202" ht="21" customHeight="1">
      <x:c r="A202" s="12" t="n">
        <x:v>46279</x:v>
      </x:c>
      <x:c r="B202" s="1" t="str">
        <x:v>Butterfly</x:v>
      </x:c>
      <x:c r="C202" s="1" t="str">
        <x:v>call</x:v>
      </x:c>
      <x:c r="D202" s="11" t="n">
        <x:v>5800</x:v>
      </x:c>
      <x:c r="E202" s="11" t="n">
        <x:v>6000</x:v>
      </x:c>
      <x:c r="F202" s="11" t="n">
        <x:v>6200</x:v>
      </x:c>
      <x:c r="G202" s="11" t="n">
        <x:f>'Option source'!B161</x:f>
        <x:v>1198.65</x:v>
      </x:c>
      <x:c r="H202" s="11" t="n">
        <x:f>'Option source'!B180</x:f>
        <x:v>1010</x:v>
      </x:c>
      <x:c r="I202" s="11" t="n">
        <x:f>'Option source'!B199</x:f>
        <x:v>847.81</x:v>
      </x:c>
      <x:c r="J202" s="11" t="n">
        <x:f>G202-2*H202+IF(B202="Butterfly",I202,0)</x:f>
        <x:v>26.460000000000036</x:v>
      </x:c>
      <x:c r="K202" s="11" t="n">
        <x:f>ABS(E202-D202)</x:f>
        <x:v>200</x:v>
      </x:c>
      <x:c r="L202" s="11" t="n">
        <x:f>K202-J202</x:f>
        <x:v>173.53999999999996</x:v>
      </x:c>
      <x:c r="M202" s="11" t="n">
        <x:f>IF(B202="Butterfly",MAX(J202,0),IF(C202="call","Unlimited",MAX(2*E202-D202+J202,J202,0)))</x:f>
        <x:v>26.460000000000036</x:v>
      </x:c>
      <x:c r="N202" s="11" t="n">
        <x:f>IF(B202="Butterfly",IF(AND(J202&gt;0,J202&lt;K202),D202+J202,"n.a."),IF(C202="call",IF(AND(J202&gt;0,J202&lt;K202),D202+J202,"n.a."),IF(AND(K202&gt;J202,2*E202-D202+J202&gt;=0),2*E202-D202+J202,"n.a.")))</x:f>
        <x:v>5826.46</x:v>
      </x:c>
      <x:c r="O202" s="11" t="n">
        <x:f>IF(B202="Butterfly",IF(AND(J202&gt;0,J202&lt;K202),F202-J202,"n.a."),IF(C202="call",IF(K202&gt;J202,2*E202-D202-J202,"n.a."),IF(AND(J202&gt;0,J202&lt;K202),D202-J202,"n.a.")))</x:f>
        <x:v>6173.54</x:v>
      </x:c>
      <x:c r="P202" s="19" t="n">
        <x:f>IF(AND(B202="Butterfly",J202&gt;0,J202&lt;K202),L202/J202,"n.a.")</x:f>
        <x:v>6.558578987150406</x:v>
      </x:c>
      <x:c r="Q202" s="11" t="n">
        <x:f>J202*'Model inputs'!$B$8</x:f>
        <x:v>2646.0000000000036</x:v>
      </x:c>
      <x:c r="R202" s="1" t="str">
        <x:v>Indicative only</x:v>
      </x:c>
      <x:c r="S202" s="1" t="n">
        <x:v>156</x:v>
      </x:c>
      <x:c r="T202" s="1" t="n">
        <x:v>175</x:v>
      </x:c>
    </x:row>
    <x:row r="203" ht="21" customHeight="1">
      <x:c r="A203" s="12" t="n">
        <x:v>46279</x:v>
      </x:c>
      <x:c r="B203" s="1" t="str">
        <x:v>Butterfly</x:v>
      </x:c>
      <x:c r="C203" s="1" t="str">
        <x:v>put</x:v>
      </x:c>
      <x:c r="D203" s="11" t="n">
        <x:v>5800</x:v>
      </x:c>
      <x:c r="E203" s="11" t="n">
        <x:v>6000</x:v>
      </x:c>
      <x:c r="F203" s="11" t="n">
        <x:v>6200</x:v>
      </x:c>
      <x:c r="G203" s="11" t="n">
        <x:f>'Option source'!B655</x:f>
        <x:v>28</x:v>
      </x:c>
      <x:c r="H203" s="11" t="n">
        <x:f>'Option source'!B674</x:f>
        <x:v>48.24</x:v>
      </x:c>
      <x:c r="I203" s="11" t="n">
        <x:f>'Option source'!B693</x:f>
        <x:v>81.68</x:v>
      </x:c>
      <x:c r="J203" s="11" t="n">
        <x:f>G203-2*H203+IF(B203="Butterfly",I203,0)</x:f>
        <x:v>13.200000000000003</x:v>
      </x:c>
      <x:c r="K203" s="11" t="n">
        <x:f>ABS(E203-D203)</x:f>
        <x:v>200</x:v>
      </x:c>
      <x:c r="L203" s="11" t="n">
        <x:f>K203-J203</x:f>
        <x:v>186.8</x:v>
      </x:c>
      <x:c r="M203" s="11" t="n">
        <x:f>IF(B203="Butterfly",MAX(J203,0),IF(C203="call","Unlimited",MAX(2*E203-D203+J203,J203,0)))</x:f>
        <x:v>13.200000000000003</x:v>
      </x:c>
      <x:c r="N203" s="11" t="n">
        <x:f>IF(B203="Butterfly",IF(AND(J203&gt;0,J203&lt;K203),D203+J203,"n.a."),IF(C203="call",IF(AND(J203&gt;0,J203&lt;K203),D203+J203,"n.a."),IF(AND(K203&gt;J203,2*E203-D203+J203&gt;=0),2*E203-D203+J203,"n.a.")))</x:f>
        <x:v>5813.2</x:v>
      </x:c>
      <x:c r="O203" s="11" t="n">
        <x:f>IF(B203="Butterfly",IF(AND(J203&gt;0,J203&lt;K203),F203-J203,"n.a."),IF(C203="call",IF(K203&gt;J203,2*E203-D203-J203,"n.a."),IF(AND(J203&gt;0,J203&lt;K203),D203-J203,"n.a.")))</x:f>
        <x:v>6186.8</x:v>
      </x:c>
      <x:c r="P203" s="19" t="n">
        <x:f>IF(AND(B203="Butterfly",J203&gt;0,J203&lt;K203),L203/J203,"n.a.")</x:f>
        <x:v>14.151515151515149</x:v>
      </x:c>
      <x:c r="Q203" s="11" t="n">
        <x:f>J203*'Model inputs'!$B$8</x:f>
        <x:v>1320.0000000000002</x:v>
      </x:c>
      <x:c r="R203" s="1" t="str">
        <x:v>Indicative only</x:v>
      </x:c>
      <x:c r="S203" s="1" t="n">
        <x:v>650</x:v>
      </x:c>
      <x:c r="T203" s="1" t="n">
        <x:v>669</x:v>
      </x:c>
    </x:row>
    <x:row r="204" ht="21" customHeight="1">
      <x:c r="A204" s="12" t="n">
        <x:v>46279</x:v>
      </x:c>
      <x:c r="B204" s="1" t="str">
        <x:v>Butterfly</x:v>
      </x:c>
      <x:c r="C204" s="1" t="str">
        <x:v>call</x:v>
      </x:c>
      <x:c r="D204" s="11" t="n">
        <x:v>7600</x:v>
      </x:c>
      <x:c r="E204" s="11" t="n">
        <x:v>7800</x:v>
      </x:c>
      <x:c r="F204" s="11" t="n">
        <x:v>8000</x:v>
      </x:c>
      <x:c r="G204" s="11" t="n">
        <x:f>'Option source'!B332</x:f>
        <x:v>145.5</x:v>
      </x:c>
      <x:c r="H204" s="11" t="n">
        <x:f>'Option source'!B351</x:f>
        <x:v>104.78</x:v>
      </x:c>
      <x:c r="I204" s="11" t="n">
        <x:f>'Option source'!B370</x:f>
        <x:v>76.83</x:v>
      </x:c>
      <x:c r="J204" s="11" t="n">
        <x:f>G204-2*H204+IF(B204="Butterfly",I204,0)</x:f>
        <x:v>12.769999999999996</x:v>
      </x:c>
      <x:c r="K204" s="11" t="n">
        <x:f>ABS(E204-D204)</x:f>
        <x:v>200</x:v>
      </x:c>
      <x:c r="L204" s="11" t="n">
        <x:f>K204-J204</x:f>
        <x:v>187.23000000000002</x:v>
      </x:c>
      <x:c r="M204" s="11" t="n">
        <x:f>IF(B204="Butterfly",MAX(J204,0),IF(C204="call","Unlimited",MAX(2*E204-D204+J204,J204,0)))</x:f>
        <x:v>12.769999999999996</x:v>
      </x:c>
      <x:c r="N204" s="11" t="n">
        <x:f>IF(B204="Butterfly",IF(AND(J204&gt;0,J204&lt;K204),D204+J204,"n.a."),IF(C204="call",IF(AND(J204&gt;0,J204&lt;K204),D204+J204,"n.a."),IF(AND(K204&gt;J204,2*E204-D204+J204&gt;=0),2*E204-D204+J204,"n.a.")))</x:f>
        <x:v>7612.77</x:v>
      </x:c>
      <x:c r="O204" s="11" t="n">
        <x:f>IF(B204="Butterfly",IF(AND(J204&gt;0,J204&lt;K204),F204-J204,"n.a."),IF(C204="call",IF(K204&gt;J204,2*E204-D204-J204,"n.a."),IF(AND(J204&gt;0,J204&lt;K204),D204-J204,"n.a.")))</x:f>
        <x:v>7987.23</x:v>
      </x:c>
      <x:c r="P204" s="19" t="n">
        <x:f>IF(AND(B204="Butterfly",J204&gt;0,J204&lt;K204),L204/J204,"n.a.")</x:f>
        <x:v>14.661707126076749</x:v>
      </x:c>
      <x:c r="Q204" s="11" t="n">
        <x:f>J204*'Model inputs'!$B$8</x:f>
        <x:v>1276.9999999999995</x:v>
      </x:c>
      <x:c r="R204" s="1" t="str">
        <x:v>Indicative only</x:v>
      </x:c>
      <x:c r="S204" s="1" t="n">
        <x:v>327</x:v>
      </x:c>
      <x:c r="T204" s="1" t="n">
        <x:v>346</x:v>
      </x:c>
    </x:row>
    <x:row r="205" ht="21" customHeight="1">
      <x:c r="A205" s="12" t="n">
        <x:v>46279</x:v>
      </x:c>
      <x:c r="B205" s="1" t="str">
        <x:v>Butterfly</x:v>
      </x:c>
      <x:c r="C205" s="1" t="str">
        <x:v>call</x:v>
      </x:c>
      <x:c r="D205" s="11" t="n">
        <x:v>5600</x:v>
      </x:c>
      <x:c r="E205" s="11" t="n">
        <x:v>5800</x:v>
      </x:c>
      <x:c r="F205" s="11" t="n">
        <x:v>6000</x:v>
      </x:c>
      <x:c r="G205" s="11" t="n">
        <x:f>'Option source'!B151</x:f>
        <x:v>1455</x:v>
      </x:c>
      <x:c r="H205" s="11" t="n">
        <x:f>'Option source'!B161</x:f>
        <x:v>1198.65</x:v>
      </x:c>
      <x:c r="I205" s="11" t="n">
        <x:f>'Option source'!B180</x:f>
        <x:v>1010</x:v>
      </x:c>
      <x:c r="J205" s="11" t="n">
        <x:f>G205-2*H205+IF(B205="Butterfly",I205,0)</x:f>
        <x:v>67.69999999999982</x:v>
      </x:c>
      <x:c r="K205" s="11" t="n">
        <x:f>ABS(E205-D205)</x:f>
        <x:v>200</x:v>
      </x:c>
      <x:c r="L205" s="11" t="n">
        <x:f>K205-J205</x:f>
        <x:v>132.30000000000018</x:v>
      </x:c>
      <x:c r="M205" s="11" t="n">
        <x:f>IF(B205="Butterfly",MAX(J205,0),IF(C205="call","Unlimited",MAX(2*E205-D205+J205,J205,0)))</x:f>
        <x:v>67.69999999999982</x:v>
      </x:c>
      <x:c r="N205" s="11" t="n">
        <x:f>IF(B205="Butterfly",IF(AND(J205&gt;0,J205&lt;K205),D205+J205,"n.a."),IF(C205="call",IF(AND(J205&gt;0,J205&lt;K205),D205+J205,"n.a."),IF(AND(K205&gt;J205,2*E205-D205+J205&gt;=0),2*E205-D205+J205,"n.a.")))</x:f>
        <x:v>5667.7</x:v>
      </x:c>
      <x:c r="O205" s="11" t="n">
        <x:f>IF(B205="Butterfly",IF(AND(J205&gt;0,J205&lt;K205),F205-J205,"n.a."),IF(C205="call",IF(K205&gt;J205,2*E205-D205-J205,"n.a."),IF(AND(J205&gt;0,J205&lt;K205),D205-J205,"n.a.")))</x:f>
        <x:v>5932.3</x:v>
      </x:c>
      <x:c r="P205" s="19" t="n">
        <x:f>IF(AND(B205="Butterfly",J205&gt;0,J205&lt;K205),L205/J205,"n.a.")</x:f>
        <x:v>1.9542097488921792</x:v>
      </x:c>
      <x:c r="Q205" s="11" t="n">
        <x:f>J205*'Model inputs'!$B$8</x:f>
        <x:v>6769.999999999982</x:v>
      </x:c>
      <x:c r="R205" s="1" t="str">
        <x:v>Indicative only</x:v>
      </x:c>
      <x:c r="S205" s="1" t="n">
        <x:v>146</x:v>
      </x:c>
      <x:c r="T205" s="1" t="n">
        <x:v>156</x:v>
      </x:c>
    </x:row>
    <x:row r="206" ht="21" customHeight="1">
      <x:c r="A206" s="12" t="n">
        <x:v>46279</x:v>
      </x:c>
      <x:c r="B206" s="1" t="str">
        <x:v>Butterfly</x:v>
      </x:c>
      <x:c r="C206" s="1" t="str">
        <x:v>put</x:v>
      </x:c>
      <x:c r="D206" s="11" t="n">
        <x:v>5600</x:v>
      </x:c>
      <x:c r="E206" s="11" t="n">
        <x:v>5800</x:v>
      </x:c>
      <x:c r="F206" s="11" t="n">
        <x:v>6000</x:v>
      </x:c>
      <x:c r="G206" s="11" t="n">
        <x:f>'Option source'!B636</x:f>
        <x:v>14.36</x:v>
      </x:c>
      <x:c r="H206" s="11" t="n">
        <x:f>'Option source'!B655</x:f>
        <x:v>28</x:v>
      </x:c>
      <x:c r="I206" s="11" t="n">
        <x:f>'Option source'!B674</x:f>
        <x:v>48.24</x:v>
      </x:c>
      <x:c r="J206" s="11" t="n">
        <x:f>G206-2*H206+IF(B206="Butterfly",I206,0)</x:f>
        <x:v>6.600000000000001</x:v>
      </x:c>
      <x:c r="K206" s="11" t="n">
        <x:f>ABS(E206-D206)</x:f>
        <x:v>200</x:v>
      </x:c>
      <x:c r="L206" s="11" t="n">
        <x:f>K206-J206</x:f>
        <x:v>193.4</x:v>
      </x:c>
      <x:c r="M206" s="11" t="n">
        <x:f>IF(B206="Butterfly",MAX(J206,0),IF(C206="call","Unlimited",MAX(2*E206-D206+J206,J206,0)))</x:f>
        <x:v>6.600000000000001</x:v>
      </x:c>
      <x:c r="N206" s="11" t="n">
        <x:f>IF(B206="Butterfly",IF(AND(J206&gt;0,J206&lt;K206),D206+J206,"n.a."),IF(C206="call",IF(AND(J206&gt;0,J206&lt;K206),D206+J206,"n.a."),IF(AND(K206&gt;J206,2*E206-D206+J206&gt;=0),2*E206-D206+J206,"n.a.")))</x:f>
        <x:v>5606.6</x:v>
      </x:c>
      <x:c r="O206" s="11" t="n">
        <x:f>IF(B206="Butterfly",IF(AND(J206&gt;0,J206&lt;K206),F206-J206,"n.a."),IF(C206="call",IF(K206&gt;J206,2*E206-D206-J206,"n.a."),IF(AND(J206&gt;0,J206&lt;K206),D206-J206,"n.a.")))</x:f>
        <x:v>5993.4</x:v>
      </x:c>
      <x:c r="P206" s="19" t="n">
        <x:f>IF(AND(B206="Butterfly",J206&gt;0,J206&lt;K206),L206/J206,"n.a.")</x:f>
        <x:v>29.303030303030297</x:v>
      </x:c>
      <x:c r="Q206" s="11" t="n">
        <x:f>J206*'Model inputs'!$B$8</x:f>
        <x:v>660.0000000000001</x:v>
      </x:c>
      <x:c r="R206" s="1" t="str">
        <x:v>Indicative only</x:v>
      </x:c>
      <x:c r="S206" s="1" t="n">
        <x:v>631</x:v>
      </x:c>
      <x:c r="T206" s="1" t="n">
        <x:v>650</x:v>
      </x:c>
    </x:row>
    <x:row r="207" ht="21" customHeight="1">
      <x:c r="A207" s="12" t="n">
        <x:v>46279</x:v>
      </x:c>
      <x:c r="B207" s="1" t="str">
        <x:v>Butterfly</x:v>
      </x:c>
      <x:c r="C207" s="1" t="str">
        <x:v>put</x:v>
      </x:c>
      <x:c r="D207" s="11" t="n">
        <x:v>5400</x:v>
      </x:c>
      <x:c r="E207" s="11" t="n">
        <x:v>5600</x:v>
      </x:c>
      <x:c r="F207" s="11" t="n">
        <x:v>5800</x:v>
      </x:c>
      <x:c r="G207" s="11" t="n">
        <x:f>'Option source'!B617</x:f>
        <x:v>7.66</x:v>
      </x:c>
      <x:c r="H207" s="11" t="n">
        <x:f>'Option source'!B636</x:f>
        <x:v>14.36</x:v>
      </x:c>
      <x:c r="I207" s="11" t="n">
        <x:f>'Option source'!B655</x:f>
        <x:v>28</x:v>
      </x:c>
      <x:c r="J207" s="11" t="n">
        <x:f>G207-2*H207+IF(B207="Butterfly",I207,0)</x:f>
        <x:v>6.940000000000001</x:v>
      </x:c>
      <x:c r="K207" s="11" t="n">
        <x:f>ABS(E207-D207)</x:f>
        <x:v>200</x:v>
      </x:c>
      <x:c r="L207" s="11" t="n">
        <x:f>K207-J207</x:f>
        <x:v>193.06</x:v>
      </x:c>
      <x:c r="M207" s="11" t="n">
        <x:f>IF(B207="Butterfly",MAX(J207,0),IF(C207="call","Unlimited",MAX(2*E207-D207+J207,J207,0)))</x:f>
        <x:v>6.940000000000001</x:v>
      </x:c>
      <x:c r="N207" s="11" t="n">
        <x:f>IF(B207="Butterfly",IF(AND(J207&gt;0,J207&lt;K207),D207+J207,"n.a."),IF(C207="call",IF(AND(J207&gt;0,J207&lt;K207),D207+J207,"n.a."),IF(AND(K207&gt;J207,2*E207-D207+J207&gt;=0),2*E207-D207+J207,"n.a.")))</x:f>
        <x:v>5406.94</x:v>
      </x:c>
      <x:c r="O207" s="11" t="n">
        <x:f>IF(B207="Butterfly",IF(AND(J207&gt;0,J207&lt;K207),F207-J207,"n.a."),IF(C207="call",IF(K207&gt;J207,2*E207-D207-J207,"n.a."),IF(AND(J207&gt;0,J207&lt;K207),D207-J207,"n.a.")))</x:f>
        <x:v>5793.06</x:v>
      </x:c>
      <x:c r="P207" s="19" t="n">
        <x:f>IF(AND(B207="Butterfly",J207&gt;0,J207&lt;K207),L207/J207,"n.a.")</x:f>
        <x:v>27.818443804034576</x:v>
      </x:c>
      <x:c r="Q207" s="11" t="n">
        <x:f>J207*'Model inputs'!$B$8</x:f>
        <x:v>694.0000000000001</x:v>
      </x:c>
      <x:c r="R207" s="1" t="str">
        <x:v>Indicative only</x:v>
      </x:c>
      <x:c r="S207" s="1" t="n">
        <x:v>612</x:v>
      </x:c>
      <x:c r="T207" s="1" t="n">
        <x:v>631</x:v>
      </x:c>
    </x:row>
    <x:row r="208" ht="21" customHeight="1">
      <x:c r="A208" s="12" t="n">
        <x:v>46279</x:v>
      </x:c>
      <x:c r="B208" s="1" t="str">
        <x:v>Butterfly</x:v>
      </x:c>
      <x:c r="C208" s="1" t="str">
        <x:v>put</x:v>
      </x:c>
      <x:c r="D208" s="11" t="n">
        <x:v>5200</x:v>
      </x:c>
      <x:c r="E208" s="11" t="n">
        <x:v>5400</x:v>
      </x:c>
      <x:c r="F208" s="11" t="n">
        <x:v>5600</x:v>
      </x:c>
      <x:c r="G208" s="11" t="n">
        <x:f>'Option source'!B598</x:f>
        <x:v>4.05</x:v>
      </x:c>
      <x:c r="H208" s="11" t="n">
        <x:f>'Option source'!B617</x:f>
        <x:v>7.66</x:v>
      </x:c>
      <x:c r="I208" s="11" t="n">
        <x:f>'Option source'!B636</x:f>
        <x:v>14.36</x:v>
      </x:c>
      <x:c r="J208" s="11" t="n">
        <x:f>G208-2*H208+IF(B208="Butterfly",I208,0)</x:f>
        <x:v>3.09</x:v>
      </x:c>
      <x:c r="K208" s="11" t="n">
        <x:f>ABS(E208-D208)</x:f>
        <x:v>200</x:v>
      </x:c>
      <x:c r="L208" s="11" t="n">
        <x:f>K208-J208</x:f>
        <x:v>196.91</x:v>
      </x:c>
      <x:c r="M208" s="11" t="n">
        <x:f>IF(B208="Butterfly",MAX(J208,0),IF(C208="call","Unlimited",MAX(2*E208-D208+J208,J208,0)))</x:f>
        <x:v>3.09</x:v>
      </x:c>
      <x:c r="N208" s="11" t="n">
        <x:f>IF(B208="Butterfly",IF(AND(J208&gt;0,J208&lt;K208),D208+J208,"n.a."),IF(C208="call",IF(AND(J208&gt;0,J208&lt;K208),D208+J208,"n.a."),IF(AND(K208&gt;J208,2*E208-D208+J208&gt;=0),2*E208-D208+J208,"n.a.")))</x:f>
        <x:v>5203.09</x:v>
      </x:c>
      <x:c r="O208" s="11" t="n">
        <x:f>IF(B208="Butterfly",IF(AND(J208&gt;0,J208&lt;K208),F208-J208,"n.a."),IF(C208="call",IF(K208&gt;J208,2*E208-D208-J208,"n.a."),IF(AND(J208&gt;0,J208&lt;K208),D208-J208,"n.a.")))</x:f>
        <x:v>5596.91</x:v>
      </x:c>
      <x:c r="P208" s="19" t="n">
        <x:f>IF(AND(B208="Butterfly",J208&gt;0,J208&lt;K208),L208/J208,"n.a.")</x:f>
        <x:v>63.724919093851135</x:v>
      </x:c>
      <x:c r="Q208" s="11" t="n">
        <x:f>J208*'Model inputs'!$B$8</x:f>
        <x:v>309</x:v>
      </x:c>
      <x:c r="R208" s="1" t="str">
        <x:v>Indicative only</x:v>
      </x:c>
      <x:c r="S208" s="1" t="n">
        <x:v>593</x:v>
      </x:c>
      <x:c r="T208" s="1" t="n">
        <x:v>612</x:v>
      </x:c>
    </x:row>
    <x:row r="209" ht="21" customHeight="1">
      <x:c r="A209" s="12" t="n">
        <x:v>46279</x:v>
      </x:c>
      <x:c r="B209" s="1" t="str">
        <x:v>Butterfly</x:v>
      </x:c>
      <x:c r="C209" s="1" t="str">
        <x:v>call</x:v>
      </x:c>
      <x:c r="D209" s="11" t="n">
        <x:v>8000</x:v>
      </x:c>
      <x:c r="E209" s="11" t="n">
        <x:v>8300</x:v>
      </x:c>
      <x:c r="F209" s="11" t="n">
        <x:v>8600</x:v>
      </x:c>
      <x:c r="G209" s="11" t="n">
        <x:f>'Option source'!B370</x:f>
        <x:v>76.83</x:v>
      </x:c>
      <x:c r="H209" s="11" t="n">
        <x:f>'Option source'!B389</x:f>
        <x:v>45.46</x:v>
      </x:c>
      <x:c r="I209" s="11" t="n">
        <x:f>'Option source'!B408</x:f>
        <x:v>27.59</x:v>
      </x:c>
      <x:c r="J209" s="11" t="n">
        <x:f>G209-2*H209+IF(B209="Butterfly",I209,0)</x:f>
        <x:v>13.499999999999996</x:v>
      </x:c>
      <x:c r="K209" s="11" t="n">
        <x:f>ABS(E209-D209)</x:f>
        <x:v>300</x:v>
      </x:c>
      <x:c r="L209" s="11" t="n">
        <x:f>K209-J209</x:f>
        <x:v>286.5</x:v>
      </x:c>
      <x:c r="M209" s="11" t="n">
        <x:f>IF(B209="Butterfly",MAX(J209,0),IF(C209="call","Unlimited",MAX(2*E209-D209+J209,J209,0)))</x:f>
        <x:v>13.499999999999996</x:v>
      </x:c>
      <x:c r="N209" s="11" t="n">
        <x:f>IF(B209="Butterfly",IF(AND(J209&gt;0,J209&lt;K209),D209+J209,"n.a."),IF(C209="call",IF(AND(J209&gt;0,J209&lt;K209),D209+J209,"n.a."),IF(AND(K209&gt;J209,2*E209-D209+J209&gt;=0),2*E209-D209+J209,"n.a.")))</x:f>
        <x:v>8013.5</x:v>
      </x:c>
      <x:c r="O209" s="11" t="n">
        <x:f>IF(B209="Butterfly",IF(AND(J209&gt;0,J209&lt;K209),F209-J209,"n.a."),IF(C209="call",IF(K209&gt;J209,2*E209-D209-J209,"n.a."),IF(AND(J209&gt;0,J209&lt;K209),D209-J209,"n.a.")))</x:f>
        <x:v>8586.5</x:v>
      </x:c>
      <x:c r="P209" s="19" t="n">
        <x:f>IF(AND(B209="Butterfly",J209&gt;0,J209&lt;K209),L209/J209,"n.a.")</x:f>
        <x:v>21.22222222222223</x:v>
      </x:c>
      <x:c r="Q209" s="11" t="n">
        <x:f>J209*'Model inputs'!$B$8</x:f>
        <x:v>1349.9999999999995</x:v>
      </x:c>
      <x:c r="R209" s="1" t="str">
        <x:v>Indicative only</x:v>
      </x:c>
      <x:c r="S209" s="1" t="n">
        <x:v>365</x:v>
      </x:c>
      <x:c r="T209" s="1" t="n">
        <x:v>384</x:v>
      </x:c>
    </x:row>
    <x:row r="210" ht="21" customHeight="1">
      <x:c r="A210" s="12" t="n">
        <x:v>46279</x:v>
      </x:c>
      <x:c r="B210" s="1" t="str">
        <x:v>Butterfly</x:v>
      </x:c>
      <x:c r="C210" s="1" t="str">
        <x:v>put</x:v>
      </x:c>
      <x:c r="D210" s="11" t="n">
        <x:v>5000</x:v>
      </x:c>
      <x:c r="E210" s="11" t="n">
        <x:v>5200</x:v>
      </x:c>
      <x:c r="F210" s="11" t="n">
        <x:v>5400</x:v>
      </x:c>
      <x:c r="G210" s="11" t="n">
        <x:f>'Option source'!B579</x:f>
        <x:v>2.5</x:v>
      </x:c>
      <x:c r="H210" s="11" t="n">
        <x:f>'Option source'!B598</x:f>
        <x:v>4.05</x:v>
      </x:c>
      <x:c r="I210" s="11" t="n">
        <x:f>'Option source'!B617</x:f>
        <x:v>7.66</x:v>
      </x:c>
      <x:c r="J210" s="11" t="n">
        <x:f>G210-2*H210+IF(B210="Butterfly",I210,0)</x:f>
        <x:v>2.0600000000000005</x:v>
      </x:c>
      <x:c r="K210" s="11" t="n">
        <x:f>ABS(E210-D210)</x:f>
        <x:v>200</x:v>
      </x:c>
      <x:c r="L210" s="11" t="n">
        <x:f>K210-J210</x:f>
        <x:v>197.94</x:v>
      </x:c>
      <x:c r="M210" s="11" t="n">
        <x:f>IF(B210="Butterfly",MAX(J210,0),IF(C210="call","Unlimited",MAX(2*E210-D210+J210,J210,0)))</x:f>
        <x:v>2.0600000000000005</x:v>
      </x:c>
      <x:c r="N210" s="11" t="n">
        <x:f>IF(B210="Butterfly",IF(AND(J210&gt;0,J210&lt;K210),D210+J210,"n.a."),IF(C210="call",IF(AND(J210&gt;0,J210&lt;K210),D210+J210,"n.a."),IF(AND(K210&gt;J210,2*E210-D210+J210&gt;=0),2*E210-D210+J210,"n.a.")))</x:f>
        <x:v>5002.06</x:v>
      </x:c>
      <x:c r="O210" s="11" t="n">
        <x:f>IF(B210="Butterfly",IF(AND(J210&gt;0,J210&lt;K210),F210-J210,"n.a."),IF(C210="call",IF(K210&gt;J210,2*E210-D210-J210,"n.a."),IF(AND(J210&gt;0,J210&lt;K210),D210-J210,"n.a.")))</x:f>
        <x:v>5397.94</x:v>
      </x:c>
      <x:c r="P210" s="19" t="n">
        <x:f>IF(AND(B210="Butterfly",J210&gt;0,J210&lt;K210),L210/J210,"n.a.")</x:f>
        <x:v>96.08737864077668</x:v>
      </x:c>
      <x:c r="Q210" s="11" t="n">
        <x:f>J210*'Model inputs'!$B$8</x:f>
        <x:v>206.00000000000006</x:v>
      </x:c>
      <x:c r="R210" s="1" t="str">
        <x:v>Indicative only</x:v>
      </x:c>
      <x:c r="S210" s="1" t="n">
        <x:v>574</x:v>
      </x:c>
      <x:c r="T210" s="1" t="n">
        <x:v>593</x:v>
      </x:c>
    </x:row>
    <x:row r="211" ht="21" customHeight="1">
      <x:c r="A211" s="12" t="n">
        <x:v>46279</x:v>
      </x:c>
      <x:c r="B211" s="1" t="str">
        <x:v>Butterfly</x:v>
      </x:c>
      <x:c r="C211" s="1" t="str">
        <x:v>call</x:v>
      </x:c>
      <x:c r="D211" s="11" t="n">
        <x:v>8300</x:v>
      </x:c>
      <x:c r="E211" s="11" t="n">
        <x:v>8600</x:v>
      </x:c>
      <x:c r="F211" s="11" t="n">
        <x:v>8900</x:v>
      </x:c>
      <x:c r="G211" s="11" t="n">
        <x:f>'Option source'!B389</x:f>
        <x:v>45.46</x:v>
      </x:c>
      <x:c r="H211" s="11" t="n">
        <x:f>'Option source'!B408</x:f>
        <x:v>27.59</x:v>
      </x:c>
      <x:c r="I211" s="11" t="n">
        <x:f>'Option source'!B427</x:f>
        <x:v>14.97</x:v>
      </x:c>
      <x:c r="J211" s="11" t="n">
        <x:f>G211-2*H211+IF(B211="Butterfly",I211,0)</x:f>
        <x:v>5.250000000000002</x:v>
      </x:c>
      <x:c r="K211" s="11" t="n">
        <x:f>ABS(E211-D211)</x:f>
        <x:v>300</x:v>
      </x:c>
      <x:c r="L211" s="11" t="n">
        <x:f>K211-J211</x:f>
        <x:v>294.75</x:v>
      </x:c>
      <x:c r="M211" s="11" t="n">
        <x:f>IF(B211="Butterfly",MAX(J211,0),IF(C211="call","Unlimited",MAX(2*E211-D211+J211,J211,0)))</x:f>
        <x:v>5.250000000000002</x:v>
      </x:c>
      <x:c r="N211" s="11" t="n">
        <x:f>IF(B211="Butterfly",IF(AND(J211&gt;0,J211&lt;K211),D211+J211,"n.a."),IF(C211="call",IF(AND(J211&gt;0,J211&lt;K211),D211+J211,"n.a."),IF(AND(K211&gt;J211,2*E211-D211+J211&gt;=0),2*E211-D211+J211,"n.a.")))</x:f>
        <x:v>8305.25</x:v>
      </x:c>
      <x:c r="O211" s="11" t="n">
        <x:f>IF(B211="Butterfly",IF(AND(J211&gt;0,J211&lt;K211),F211-J211,"n.a."),IF(C211="call",IF(K211&gt;J211,2*E211-D211-J211,"n.a."),IF(AND(J211&gt;0,J211&lt;K211),D211-J211,"n.a.")))</x:f>
        <x:v>8894.75</x:v>
      </x:c>
      <x:c r="P211" s="19" t="n">
        <x:f>IF(AND(B211="Butterfly",J211&gt;0,J211&lt;K211),L211/J211,"n.a.")</x:f>
        <x:v>56.142857142857125</x:v>
      </x:c>
      <x:c r="Q211" s="11" t="n">
        <x:f>J211*'Model inputs'!$B$8</x:f>
        <x:v>525.0000000000002</x:v>
      </x:c>
      <x:c r="R211" s="1" t="str">
        <x:v>Indicative only</x:v>
      </x:c>
      <x:c r="S211" s="1" t="n">
        <x:v>384</x:v>
      </x:c>
      <x:c r="T211" s="1" t="n">
        <x:v>403</x:v>
      </x:c>
    </x:row>
    <x:row r="212" ht="21" customHeight="1">
      <x:c r="A212" s="12" t="n">
        <x:v>46279</x:v>
      </x:c>
      <x:c r="B212" s="1" t="str">
        <x:v>Butterfly</x:v>
      </x:c>
      <x:c r="C212" s="1" t="str">
        <x:v>put</x:v>
      </x:c>
      <x:c r="D212" s="11" t="n">
        <x:v>4800</x:v>
      </x:c>
      <x:c r="E212" s="11" t="n">
        <x:v>5000</x:v>
      </x:c>
      <x:c r="F212" s="11" t="n">
        <x:v>5200</x:v>
      </x:c>
      <x:c r="G212" s="11" t="n">
        <x:f>'Option source'!B560</x:f>
        <x:v>1.61</x:v>
      </x:c>
      <x:c r="H212" s="11" t="n">
        <x:f>'Option source'!B579</x:f>
        <x:v>2.5</x:v>
      </x:c>
      <x:c r="I212" s="11" t="n">
        <x:f>'Option source'!B598</x:f>
        <x:v>4.05</x:v>
      </x:c>
      <x:c r="J212" s="11" t="n">
        <x:f>G212-2*H212+IF(B212="Butterfly",I212,0)</x:f>
        <x:v>0.6600000000000001</x:v>
      </x:c>
      <x:c r="K212" s="11" t="n">
        <x:f>ABS(E212-D212)</x:f>
        <x:v>200</x:v>
      </x:c>
      <x:c r="L212" s="11" t="n">
        <x:f>K212-J212</x:f>
        <x:v>199.34</x:v>
      </x:c>
      <x:c r="M212" s="11" t="n">
        <x:f>IF(B212="Butterfly",MAX(J212,0),IF(C212="call","Unlimited",MAX(2*E212-D212+J212,J212,0)))</x:f>
        <x:v>0.6600000000000001</x:v>
      </x:c>
      <x:c r="N212" s="11" t="n">
        <x:f>IF(B212="Butterfly",IF(AND(J212&gt;0,J212&lt;K212),D212+J212,"n.a."),IF(C212="call",IF(AND(J212&gt;0,J212&lt;K212),D212+J212,"n.a."),IF(AND(K212&gt;J212,2*E212-D212+J212&gt;=0),2*E212-D212+J212,"n.a.")))</x:f>
        <x:v>4800.66</x:v>
      </x:c>
      <x:c r="O212" s="11" t="n">
        <x:f>IF(B212="Butterfly",IF(AND(J212&gt;0,J212&lt;K212),F212-J212,"n.a."),IF(C212="call",IF(K212&gt;J212,2*E212-D212-J212,"n.a."),IF(AND(J212&gt;0,J212&lt;K212),D212-J212,"n.a.")))</x:f>
        <x:v>5199.34</x:v>
      </x:c>
      <x:c r="P212" s="19" t="n">
        <x:f>IF(AND(B212="Butterfly",J212&gt;0,J212&lt;K212),L212/J212,"n.a.")</x:f>
        <x:v>302.03030303030295</x:v>
      </x:c>
      <x:c r="Q212" s="11" t="n">
        <x:f>J212*'Model inputs'!$B$8</x:f>
        <x:v>66.00000000000001</x:v>
      </x:c>
      <x:c r="R212" s="1" t="str">
        <x:v>Indicative only</x:v>
      </x:c>
      <x:c r="S212" s="1" t="n">
        <x:v>555</x:v>
      </x:c>
      <x:c r="T212" s="1" t="n">
        <x:v>574</x:v>
      </x:c>
    </x:row>
    <x:row r="213" ht="21" customHeight="1">
      <x:c r="A213" s="12" t="n">
        <x:v>46279</x:v>
      </x:c>
      <x:c r="B213" s="1" t="str">
        <x:v>Butterfly</x:v>
      </x:c>
      <x:c r="C213" s="1" t="str">
        <x:v>put</x:v>
      </x:c>
      <x:c r="D213" s="11" t="n">
        <x:v>4600</x:v>
      </x:c>
      <x:c r="E213" s="11" t="n">
        <x:v>4800</x:v>
      </x:c>
      <x:c r="F213" s="11" t="n">
        <x:v>5000</x:v>
      </x:c>
      <x:c r="G213" s="11" t="n">
        <x:f>'Option source'!B541</x:f>
        <x:v>1.3</x:v>
      </x:c>
      <x:c r="H213" s="11" t="n">
        <x:f>'Option source'!B560</x:f>
        <x:v>1.61</x:v>
      </x:c>
      <x:c r="I213" s="11" t="n">
        <x:f>'Option source'!B579</x:f>
        <x:v>2.5</x:v>
      </x:c>
      <x:c r="J213" s="11" t="n">
        <x:f>G213-2*H213+IF(B213="Butterfly",I213,0)</x:f>
        <x:v>0.5799999999999998</x:v>
      </x:c>
      <x:c r="K213" s="11" t="n">
        <x:f>ABS(E213-D213)</x:f>
        <x:v>200</x:v>
      </x:c>
      <x:c r="L213" s="11" t="n">
        <x:f>K213-J213</x:f>
        <x:v>199.42</x:v>
      </x:c>
      <x:c r="M213" s="11" t="n">
        <x:f>IF(B213="Butterfly",MAX(J213,0),IF(C213="call","Unlimited",MAX(2*E213-D213+J213,J213,0)))</x:f>
        <x:v>0.5799999999999998</x:v>
      </x:c>
      <x:c r="N213" s="11" t="n">
        <x:f>IF(B213="Butterfly",IF(AND(J213&gt;0,J213&lt;K213),D213+J213,"n.a."),IF(C213="call",IF(AND(J213&gt;0,J213&lt;K213),D213+J213,"n.a."),IF(AND(K213&gt;J213,2*E213-D213+J213&gt;=0),2*E213-D213+J213,"n.a.")))</x:f>
        <x:v>4600.58</x:v>
      </x:c>
      <x:c r="O213" s="11" t="n">
        <x:f>IF(B213="Butterfly",IF(AND(J213&gt;0,J213&lt;K213),F213-J213,"n.a."),IF(C213="call",IF(K213&gt;J213,2*E213-D213-J213,"n.a."),IF(AND(J213&gt;0,J213&lt;K213),D213-J213,"n.a.")))</x:f>
        <x:v>4999.42</x:v>
      </x:c>
      <x:c r="P213" s="19" t="n">
        <x:f>IF(AND(B213="Butterfly",J213&gt;0,J213&lt;K213),L213/J213,"n.a.")</x:f>
        <x:v>343.8275862068966</x:v>
      </x:c>
      <x:c r="Q213" s="11" t="n">
        <x:f>J213*'Model inputs'!$B$8</x:f>
        <x:v>57.999999999999986</x:v>
      </x:c>
      <x:c r="R213" s="1" t="str">
        <x:v>Indicative only</x:v>
      </x:c>
      <x:c r="S213" s="1" t="n">
        <x:v>536</x:v>
      </x:c>
      <x:c r="T213" s="1" t="n">
        <x:v>555</x:v>
      </x:c>
    </x:row>
    <x:row r="214" ht="21" customHeight="1">
      <x:c r="A214" s="12" t="n">
        <x:v>46279</x:v>
      </x:c>
      <x:c r="B214" s="1" t="str">
        <x:v>Butterfly</x:v>
      </x:c>
      <x:c r="C214" s="1" t="str">
        <x:v>call</x:v>
      </x:c>
      <x:c r="D214" s="11" t="n">
        <x:v>8600</x:v>
      </x:c>
      <x:c r="E214" s="11" t="n">
        <x:v>8900</x:v>
      </x:c>
      <x:c r="F214" s="11" t="n">
        <x:v>9200</x:v>
      </x:c>
      <x:c r="G214" s="11" t="n">
        <x:f>'Option source'!B408</x:f>
        <x:v>27.59</x:v>
      </x:c>
      <x:c r="H214" s="11" t="n">
        <x:f>'Option source'!B427</x:f>
        <x:v>14.97</x:v>
      </x:c>
      <x:c r="I214" s="11" t="n">
        <x:f>'Option source'!B446</x:f>
        <x:v>9.07</x:v>
      </x:c>
      <x:c r="J214" s="11" t="n">
        <x:f>G214-2*H214+IF(B214="Butterfly",I214,0)</x:f>
        <x:v>6.719999999999999</x:v>
      </x:c>
      <x:c r="K214" s="11" t="n">
        <x:f>ABS(E214-D214)</x:f>
        <x:v>300</x:v>
      </x:c>
      <x:c r="L214" s="11" t="n">
        <x:f>K214-J214</x:f>
        <x:v>293.28</x:v>
      </x:c>
      <x:c r="M214" s="11" t="n">
        <x:f>IF(B214="Butterfly",MAX(J214,0),IF(C214="call","Unlimited",MAX(2*E214-D214+J214,J214,0)))</x:f>
        <x:v>6.719999999999999</x:v>
      </x:c>
      <x:c r="N214" s="11" t="n">
        <x:f>IF(B214="Butterfly",IF(AND(J214&gt;0,J214&lt;K214),D214+J214,"n.a."),IF(C214="call",IF(AND(J214&gt;0,J214&lt;K214),D214+J214,"n.a."),IF(AND(K214&gt;J214,2*E214-D214+J214&gt;=0),2*E214-D214+J214,"n.a.")))</x:f>
        <x:v>8606.72</x:v>
      </x:c>
      <x:c r="O214" s="11" t="n">
        <x:f>IF(B214="Butterfly",IF(AND(J214&gt;0,J214&lt;K214),F214-J214,"n.a."),IF(C214="call",IF(K214&gt;J214,2*E214-D214-J214,"n.a."),IF(AND(J214&gt;0,J214&lt;K214),D214-J214,"n.a.")))</x:f>
        <x:v>9193.28</x:v>
      </x:c>
      <x:c r="P214" s="19" t="n">
        <x:f>IF(AND(B214="Butterfly",J214&gt;0,J214&lt;K214),L214/J214,"n.a.")</x:f>
        <x:v>43.642857142857146</x:v>
      </x:c>
      <x:c r="Q214" s="11" t="n">
        <x:f>J214*'Model inputs'!$B$8</x:f>
        <x:v>671.9999999999999</x:v>
      </x:c>
      <x:c r="R214" s="1" t="str">
        <x:v>Indicative only</x:v>
      </x:c>
      <x:c r="S214" s="1" t="n">
        <x:v>403</x:v>
      </x:c>
      <x:c r="T214" s="1" t="n">
        <x:v>422</x:v>
      </x:c>
    </x:row>
    <x:row r="215" ht="21" customHeight="1">
      <x:c r="A215" s="12" t="n">
        <x:v>46279</x:v>
      </x:c>
      <x:c r="B215" s="1" t="str">
        <x:v>Butterfly</x:v>
      </x:c>
      <x:c r="C215" s="1" t="str">
        <x:v>put</x:v>
      </x:c>
      <x:c r="D215" s="11" t="n">
        <x:v>4400</x:v>
      </x:c>
      <x:c r="E215" s="11" t="n">
        <x:v>4600</x:v>
      </x:c>
      <x:c r="F215" s="11" t="n">
        <x:v>4800</x:v>
      </x:c>
      <x:c r="G215" s="11" t="n">
        <x:f>'Option source'!B522</x:f>
        <x:v>1.17</x:v>
      </x:c>
      <x:c r="H215" s="11" t="n">
        <x:f>'Option source'!B541</x:f>
        <x:v>1.3</x:v>
      </x:c>
      <x:c r="I215" s="11" t="n">
        <x:f>'Option source'!B560</x:f>
        <x:v>1.61</x:v>
      </x:c>
      <x:c r="J215" s="11" t="n">
        <x:f>G215-2*H215+IF(B215="Butterfly",I215,0)</x:f>
        <x:v>0.17999999999999994</x:v>
      </x:c>
      <x:c r="K215" s="11" t="n">
        <x:f>ABS(E215-D215)</x:f>
        <x:v>200</x:v>
      </x:c>
      <x:c r="L215" s="11" t="n">
        <x:f>K215-J215</x:f>
        <x:v>199.82</x:v>
      </x:c>
      <x:c r="M215" s="11" t="n">
        <x:f>IF(B215="Butterfly",MAX(J215,0),IF(C215="call","Unlimited",MAX(2*E215-D215+J215,J215,0)))</x:f>
        <x:v>0.17999999999999994</x:v>
      </x:c>
      <x:c r="N215" s="11" t="n">
        <x:f>IF(B215="Butterfly",IF(AND(J215&gt;0,J215&lt;K215),D215+J215,"n.a."),IF(C215="call",IF(AND(J215&gt;0,J215&lt;K215),D215+J215,"n.a."),IF(AND(K215&gt;J215,2*E215-D215+J215&gt;=0),2*E215-D215+J215,"n.a.")))</x:f>
        <x:v>4400.18</x:v>
      </x:c>
      <x:c r="O215" s="11" t="n">
        <x:f>IF(B215="Butterfly",IF(AND(J215&gt;0,J215&lt;K215),F215-J215,"n.a."),IF(C215="call",IF(K215&gt;J215,2*E215-D215-J215,"n.a."),IF(AND(J215&gt;0,J215&lt;K215),D215-J215,"n.a.")))</x:f>
        <x:v>4799.82</x:v>
      </x:c>
      <x:c r="P215" s="19" t="n">
        <x:f>IF(AND(B215="Butterfly",J215&gt;0,J215&lt;K215),L215/J215,"n.a.")</x:f>
        <x:v>1110.1111111111115</x:v>
      </x:c>
      <x:c r="Q215" s="11" t="n">
        <x:f>J215*'Model inputs'!$B$8</x:f>
        <x:v>17.999999999999993</x:v>
      </x:c>
      <x:c r="R215" s="1" t="str">
        <x:v>Indicative only</x:v>
      </x:c>
      <x:c r="S215" s="1" t="n">
        <x:v>517</x:v>
      </x:c>
      <x:c r="T215" s="1" t="n">
        <x:v>536</x:v>
      </x:c>
    </x:row>
    <x:row r="216" ht="21" customHeight="1">
      <x:c r="A216" s="12" t="n">
        <x:v>46279</x:v>
      </x:c>
      <x:c r="B216" s="1" t="str">
        <x:v>Butterfly</x:v>
      </x:c>
      <x:c r="C216" s="1" t="str">
        <x:v>call</x:v>
      </x:c>
      <x:c r="D216" s="11" t="n">
        <x:v>8900</x:v>
      </x:c>
      <x:c r="E216" s="11" t="n">
        <x:v>9200</x:v>
      </x:c>
      <x:c r="F216" s="11" t="n">
        <x:v>9500</x:v>
      </x:c>
      <x:c r="G216" s="11" t="n">
        <x:f>'Option source'!B427</x:f>
        <x:v>14.97</x:v>
      </x:c>
      <x:c r="H216" s="11" t="n">
        <x:f>'Option source'!B446</x:f>
        <x:v>9.07</x:v>
      </x:c>
      <x:c r="I216" s="11" t="n">
        <x:f>'Option source'!B465</x:f>
        <x:v>5.26</x:v>
      </x:c>
      <x:c r="J216" s="11" t="n">
        <x:f>G216-2*H216+IF(B216="Butterfly",I216,0)</x:f>
        <x:v>2.09</x:v>
      </x:c>
      <x:c r="K216" s="11" t="n">
        <x:f>ABS(E216-D216)</x:f>
        <x:v>300</x:v>
      </x:c>
      <x:c r="L216" s="11" t="n">
        <x:f>K216-J216</x:f>
        <x:v>297.91</x:v>
      </x:c>
      <x:c r="M216" s="11" t="n">
        <x:f>IF(B216="Butterfly",MAX(J216,0),IF(C216="call","Unlimited",MAX(2*E216-D216+J216,J216,0)))</x:f>
        <x:v>2.09</x:v>
      </x:c>
      <x:c r="N216" s="11" t="n">
        <x:f>IF(B216="Butterfly",IF(AND(J216&gt;0,J216&lt;K216),D216+J216,"n.a."),IF(C216="call",IF(AND(J216&gt;0,J216&lt;K216),D216+J216,"n.a."),IF(AND(K216&gt;J216,2*E216-D216+J216&gt;=0),2*E216-D216+J216,"n.a.")))</x:f>
        <x:v>8902.09</x:v>
      </x:c>
      <x:c r="O216" s="11" t="n">
        <x:f>IF(B216="Butterfly",IF(AND(J216&gt;0,J216&lt;K216),F216-J216,"n.a."),IF(C216="call",IF(K216&gt;J216,2*E216-D216-J216,"n.a."),IF(AND(J216&gt;0,J216&lt;K216),D216-J216,"n.a.")))</x:f>
        <x:v>9497.91</x:v>
      </x:c>
      <x:c r="P216" s="19" t="n">
        <x:f>IF(AND(B216="Butterfly",J216&gt;0,J216&lt;K216),L216/J216,"n.a.")</x:f>
        <x:v>142.54066985645935</x:v>
      </x:c>
      <x:c r="Q216" s="11" t="n">
        <x:f>J216*'Model inputs'!$B$8</x:f>
        <x:v>209</x:v>
      </x:c>
      <x:c r="R216" s="1" t="str">
        <x:v>Indicative only</x:v>
      </x:c>
      <x:c r="S216" s="1" t="n">
        <x:v>422</x:v>
      </x:c>
      <x:c r="T216" s="1" t="n">
        <x:v>441</x:v>
      </x:c>
    </x:row>
    <x:row r="217" ht="21" customHeight="1">
      <x:c r="A217" s="12" t="n">
        <x:v>46279</x:v>
      </x:c>
      <x:c r="B217" s="1" t="str">
        <x:v>Butterfly</x:v>
      </x:c>
      <x:c r="C217" s="1" t="str">
        <x:v>call</x:v>
      </x:c>
      <x:c r="D217" s="11" t="n">
        <x:v>6400</x:v>
      </x:c>
      <x:c r="E217" s="11" t="n">
        <x:v>6600</x:v>
      </x:c>
      <x:c r="F217" s="11" t="n">
        <x:v>6800</x:v>
      </x:c>
      <x:c r="G217" s="11" t="n">
        <x:f>'Option source'!B218</x:f>
        <x:v>675.11</x:v>
      </x:c>
      <x:c r="H217" s="11" t="n">
        <x:f>'Option source'!B237</x:f>
        <x:v>574.6</x:v>
      </x:c>
      <x:c r="I217" s="11" t="n">
        <x:f>'Option source'!B256</x:f>
        <x:v>449.91</x:v>
      </x:c>
      <x:c r="J217" s="11" t="n">
        <x:f>G217-2*H217+IF(B217="Butterfly",I217,0)</x:f>
        <x:v>-24.180000000000007</x:v>
      </x:c>
      <x:c r="K217" s="11" t="n">
        <x:f>ABS(E217-D217)</x:f>
        <x:v>200</x:v>
      </x:c>
      <x:c r="L217" s="11" t="n">
        <x:f>K217-J217</x:f>
        <x:v>224.18</x:v>
      </x:c>
      <x:c r="M217" s="11" t="n">
        <x:f>IF(B217="Butterfly",MAX(J217,0),IF(C217="call","Unlimited",MAX(2*E217-D217+J217,J217,0)))</x:f>
        <x:v>0</x:v>
      </x:c>
      <x:c r="N217" s="11" t="str">
        <x:f>IF(B217="Butterfly",IF(AND(J217&gt;0,J217&lt;K217),D217+J217,"n.a."),IF(C217="call",IF(AND(J217&gt;0,J217&lt;K217),D217+J217,"n.a."),IF(AND(K217&gt;J217,2*E217-D217+J217&gt;=0),2*E217-D217+J217,"n.a.")))</x:f>
        <x:v>n.a.</x:v>
      </x:c>
      <x:c r="O217" s="11" t="str">
        <x:f>IF(B217="Butterfly",IF(AND(J217&gt;0,J217&lt;K217),F217-J217,"n.a."),IF(C217="call",IF(K217&gt;J217,2*E217-D217-J217,"n.a."),IF(AND(J217&gt;0,J217&lt;K217),D217-J217,"n.a.")))</x:f>
        <x:v>n.a.</x:v>
      </x:c>
      <x:c r="P217" s="19" t="str">
        <x:f>IF(AND(B217="Butterfly",J217&gt;0,J217&lt;K217),L217/J217,"n.a.")</x:f>
        <x:v>n.a.</x:v>
      </x:c>
      <x:c r="Q217" s="11" t="n">
        <x:f>J217*'Model inputs'!$B$8</x:f>
        <x:v>-2418.000000000001</x:v>
      </x:c>
      <x:c r="R217" s="1" t="str">
        <x:v>Outside standard debit bounds</x:v>
      </x:c>
      <x:c r="S217" s="1" t="n">
        <x:v>213</x:v>
      </x:c>
      <x:c r="T217" s="1" t="n">
        <x:v>232</x:v>
      </x:c>
    </x:row>
    <x:row r="218" ht="21" customHeight="1">
      <x:c r="A218" s="12" t="n">
        <x:v>46279</x:v>
      </x:c>
      <x:c r="B218" s="1" t="str">
        <x:v>Butterfly</x:v>
      </x:c>
      <x:c r="C218" s="1" t="str">
        <x:v>call</x:v>
      </x:c>
      <x:c r="D218" s="11" t="n">
        <x:v>6000</x:v>
      </x:c>
      <x:c r="E218" s="11" t="n">
        <x:v>6200</x:v>
      </x:c>
      <x:c r="F218" s="11" t="n">
        <x:v>6400</x:v>
      </x:c>
      <x:c r="G218" s="11" t="n">
        <x:f>'Option source'!B180</x:f>
        <x:v>1010</x:v>
      </x:c>
      <x:c r="H218" s="11" t="n">
        <x:f>'Option source'!B199</x:f>
        <x:v>847.81</x:v>
      </x:c>
      <x:c r="I218" s="11" t="n">
        <x:f>'Option source'!B218</x:f>
        <x:v>675.11</x:v>
      </x:c>
      <x:c r="J218" s="11" t="n">
        <x:f>G218-2*H218+IF(B218="Butterfly",I218,0)</x:f>
        <x:v>-10.509999999999877</x:v>
      </x:c>
      <x:c r="K218" s="11" t="n">
        <x:f>ABS(E218-D218)</x:f>
        <x:v>200</x:v>
      </x:c>
      <x:c r="L218" s="11" t="n">
        <x:f>K218-J218</x:f>
        <x:v>210.50999999999988</x:v>
      </x:c>
      <x:c r="M218" s="11" t="n">
        <x:f>IF(B218="Butterfly",MAX(J218,0),IF(C218="call","Unlimited",MAX(2*E218-D218+J218,J218,0)))</x:f>
        <x:v>0</x:v>
      </x:c>
      <x:c r="N218" s="11" t="str">
        <x:f>IF(B218="Butterfly",IF(AND(J218&gt;0,J218&lt;K218),D218+J218,"n.a."),IF(C218="call",IF(AND(J218&gt;0,J218&lt;K218),D218+J218,"n.a."),IF(AND(K218&gt;J218,2*E218-D218+J218&gt;=0),2*E218-D218+J218,"n.a.")))</x:f>
        <x:v>n.a.</x:v>
      </x:c>
      <x:c r="O218" s="11" t="str">
        <x:f>IF(B218="Butterfly",IF(AND(J218&gt;0,J218&lt;K218),F218-J218,"n.a."),IF(C218="call",IF(K218&gt;J218,2*E218-D218-J218,"n.a."),IF(AND(J218&gt;0,J218&lt;K218),D218-J218,"n.a.")))</x:f>
        <x:v>n.a.</x:v>
      </x:c>
      <x:c r="P218" s="19" t="str">
        <x:f>IF(AND(B218="Butterfly",J218&gt;0,J218&lt;K218),L218/J218,"n.a.")</x:f>
        <x:v>n.a.</x:v>
      </x:c>
      <x:c r="Q218" s="11" t="n">
        <x:f>J218*'Model inputs'!$B$8</x:f>
        <x:v>-1050.9999999999877</x:v>
      </x:c>
      <x:c r="R218" s="1" t="str">
        <x:v>Outside standard debit bounds</x:v>
      </x:c>
      <x:c r="S218" s="1" t="n">
        <x:v>175</x:v>
      </x:c>
      <x:c r="T218" s="1" t="n">
        <x:v>194</x:v>
      </x:c>
    </x:row>
    <x:row r="219" ht="21" customHeight="1">
      <x:c r="A219" s="12" t="n">
        <x:v>46279</x:v>
      </x:c>
      <x:c r="B219" s="1" t="str">
        <x:v>Butterfly</x:v>
      </x:c>
      <x:c r="C219" s="1" t="str">
        <x:v>put</x:v>
      </x:c>
      <x:c r="D219" s="11" t="n">
        <x:v>7400</x:v>
      </x:c>
      <x:c r="E219" s="11" t="n">
        <x:v>7600</x:v>
      </x:c>
      <x:c r="F219" s="11" t="n">
        <x:v>7800</x:v>
      </x:c>
      <x:c r="G219" s="11" t="n">
        <x:f>'Option source'!B807</x:f>
        <x:v>619.04</x:v>
      </x:c>
      <x:c r="H219" s="11" t="n">
        <x:f>'Option source'!B826</x:f>
        <x:v>775.5</x:v>
      </x:c>
      <x:c r="I219" s="11" t="n">
        <x:f>'Option source'!B845</x:f>
        <x:v>955</x:v>
      </x:c>
      <x:c r="J219" s="11" t="n">
        <x:f>G219-2*H219+IF(B219="Butterfly",I219,0)</x:f>
        <x:v>23.039999999999964</x:v>
      </x:c>
      <x:c r="K219" s="11" t="n">
        <x:f>ABS(E219-D219)</x:f>
        <x:v>200</x:v>
      </x:c>
      <x:c r="L219" s="11" t="n">
        <x:f>K219-J219</x:f>
        <x:v>176.96000000000004</x:v>
      </x:c>
      <x:c r="M219" s="11" t="n">
        <x:f>IF(B219="Butterfly",MAX(J219,0),IF(C219="call","Unlimited",MAX(2*E219-D219+J219,J219,0)))</x:f>
        <x:v>23.039999999999964</x:v>
      </x:c>
      <x:c r="N219" s="11" t="n">
        <x:f>IF(B219="Butterfly",IF(AND(J219&gt;0,J219&lt;K219),D219+J219,"n.a."),IF(C219="call",IF(AND(J219&gt;0,J219&lt;K219),D219+J219,"n.a."),IF(AND(K219&gt;J219,2*E219-D219+J219&gt;=0),2*E219-D219+J219,"n.a.")))</x:f>
        <x:v>7423.04</x:v>
      </x:c>
      <x:c r="O219" s="11" t="n">
        <x:f>IF(B219="Butterfly",IF(AND(J219&gt;0,J219&lt;K219),F219-J219,"n.a."),IF(C219="call",IF(K219&gt;J219,2*E219-D219-J219,"n.a."),IF(AND(J219&gt;0,J219&lt;K219),D219-J219,"n.a.")))</x:f>
        <x:v>7776.96</x:v>
      </x:c>
      <x:c r="P219" s="19" t="n">
        <x:f>IF(AND(B219="Butterfly",J219&gt;0,J219&lt;K219),L219/J219,"n.a.")</x:f>
        <x:v>7.68055555555557</x:v>
      </x:c>
      <x:c r="Q219" s="11" t="n">
        <x:f>J219*'Model inputs'!$B$8</x:f>
        <x:v>2303.9999999999964</x:v>
      </x:c>
      <x:c r="R219" s="1" t="str">
        <x:v>Flagged leg data</x:v>
      </x:c>
      <x:c r="S219" s="1" t="n">
        <x:v>802</x:v>
      </x:c>
      <x:c r="T219" s="1" t="n">
        <x:v>821</x:v>
      </x:c>
    </x:row>
    <x:row r="220" ht="21" customHeight="1">
      <x:c r="A220" s="12" t="n">
        <x:v>46279</x:v>
      </x:c>
      <x:c r="B220" s="1" t="str">
        <x:v>Butterfly</x:v>
      </x:c>
      <x:c r="C220" s="1" t="str">
        <x:v>put</x:v>
      </x:c>
      <x:c r="D220" s="11" t="n">
        <x:v>7600</x:v>
      </x:c>
      <x:c r="E220" s="11" t="n">
        <x:v>7800</x:v>
      </x:c>
      <x:c r="F220" s="11" t="n">
        <x:v>8000</x:v>
      </x:c>
      <x:c r="G220" s="11" t="n">
        <x:f>'Option source'!B826</x:f>
        <x:v>775.5</x:v>
      </x:c>
      <x:c r="H220" s="11" t="n">
        <x:f>'Option source'!B845</x:f>
        <x:v>955</x:v>
      </x:c>
      <x:c r="I220" s="11" t="n">
        <x:f>'Option source'!B864</x:f>
        <x:v>1160</x:v>
      </x:c>
      <x:c r="J220" s="11" t="n">
        <x:f>G220-2*H220+IF(B220="Butterfly",I220,0)</x:f>
        <x:v>25.5</x:v>
      </x:c>
      <x:c r="K220" s="11" t="n">
        <x:f>ABS(E220-D220)</x:f>
        <x:v>200</x:v>
      </x:c>
      <x:c r="L220" s="11" t="n">
        <x:f>K220-J220</x:f>
        <x:v>174.5</x:v>
      </x:c>
      <x:c r="M220" s="11" t="n">
        <x:f>IF(B220="Butterfly",MAX(J220,0),IF(C220="call","Unlimited",MAX(2*E220-D220+J220,J220,0)))</x:f>
        <x:v>25.5</x:v>
      </x:c>
      <x:c r="N220" s="11" t="n">
        <x:f>IF(B220="Butterfly",IF(AND(J220&gt;0,J220&lt;K220),D220+J220,"n.a."),IF(C220="call",IF(AND(J220&gt;0,J220&lt;K220),D220+J220,"n.a."),IF(AND(K220&gt;J220,2*E220-D220+J220&gt;=0),2*E220-D220+J220,"n.a.")))</x:f>
        <x:v>7625.5</x:v>
      </x:c>
      <x:c r="O220" s="11" t="n">
        <x:f>IF(B220="Butterfly",IF(AND(J220&gt;0,J220&lt;K220),F220-J220,"n.a."),IF(C220="call",IF(K220&gt;J220,2*E220-D220-J220,"n.a."),IF(AND(J220&gt;0,J220&lt;K220),D220-J220,"n.a.")))</x:f>
        <x:v>7974.5</x:v>
      </x:c>
      <x:c r="P220" s="19" t="n">
        <x:f>IF(AND(B220="Butterfly",J220&gt;0,J220&lt;K220),L220/J220,"n.a.")</x:f>
        <x:v>6.8431372549019605</x:v>
      </x:c>
      <x:c r="Q220" s="11" t="n">
        <x:f>J220*'Model inputs'!$B$8</x:f>
        <x:v>2550</x:v>
      </x:c>
      <x:c r="R220" s="1" t="str">
        <x:v>Flagged leg data</x:v>
      </x:c>
      <x:c r="S220" s="1" t="n">
        <x:v>821</x:v>
      </x:c>
      <x:c r="T220" s="1" t="n">
        <x:v>840</x:v>
      </x:c>
    </x:row>
    <x:row r="221" ht="21" customHeight="1">
      <x:c r="A221" s="12" t="n">
        <x:v>46279</x:v>
      </x:c>
      <x:c r="B221" s="1" t="str">
        <x:v>Butterfly</x:v>
      </x:c>
      <x:c r="C221" s="1" t="str">
        <x:v>call</x:v>
      </x:c>
      <x:c r="D221" s="11" t="n">
        <x:v>5400</x:v>
      </x:c>
      <x:c r="E221" s="11" t="n">
        <x:v>5600</x:v>
      </x:c>
      <x:c r="F221" s="11" t="n">
        <x:v>5800</x:v>
      </x:c>
      <x:c r="G221" s="11" t="n">
        <x:f>'Option source'!B133</x:f>
        <x:v>1616</x:v>
      </x:c>
      <x:c r="H221" s="11" t="n">
        <x:f>'Option source'!B151</x:f>
        <x:v>1455</x:v>
      </x:c>
      <x:c r="I221" s="11" t="n">
        <x:f>'Option source'!B161</x:f>
        <x:v>1198.65</x:v>
      </x:c>
      <x:c r="J221" s="11" t="n">
        <x:f>G221-2*H221+IF(B221="Butterfly",I221,0)</x:f>
        <x:v>-95.34999999999991</x:v>
      </x:c>
      <x:c r="K221" s="11" t="n">
        <x:f>ABS(E221-D221)</x:f>
        <x:v>200</x:v>
      </x:c>
      <x:c r="L221" s="11" t="n">
        <x:f>K221-J221</x:f>
        <x:v>295.3499999999999</x:v>
      </x:c>
      <x:c r="M221" s="11" t="n">
        <x:f>IF(B221="Butterfly",MAX(J221,0),IF(C221="call","Unlimited",MAX(2*E221-D221+J221,J221,0)))</x:f>
        <x:v>0</x:v>
      </x:c>
      <x:c r="N221" s="11" t="str">
        <x:f>IF(B221="Butterfly",IF(AND(J221&gt;0,J221&lt;K221),D221+J221,"n.a."),IF(C221="call",IF(AND(J221&gt;0,J221&lt;K221),D221+J221,"n.a."),IF(AND(K221&gt;J221,2*E221-D221+J221&gt;=0),2*E221-D221+J221,"n.a.")))</x:f>
        <x:v>n.a.</x:v>
      </x:c>
      <x:c r="O221" s="11" t="str">
        <x:f>IF(B221="Butterfly",IF(AND(J221&gt;0,J221&lt;K221),F221-J221,"n.a."),IF(C221="call",IF(K221&gt;J221,2*E221-D221-J221,"n.a."),IF(AND(J221&gt;0,J221&lt;K221),D221-J221,"n.a.")))</x:f>
        <x:v>n.a.</x:v>
      </x:c>
      <x:c r="P221" s="19" t="str">
        <x:f>IF(AND(B221="Butterfly",J221&gt;0,J221&lt;K221),L221/J221,"n.a.")</x:f>
        <x:v>n.a.</x:v>
      </x:c>
      <x:c r="Q221" s="11" t="n">
        <x:f>J221*'Model inputs'!$B$8</x:f>
        <x:v>-9534.99999999999</x:v>
      </x:c>
      <x:c r="R221" s="1" t="str">
        <x:v>Outside standard debit bounds</x:v>
      </x:c>
      <x:c r="S221" s="1" t="n">
        <x:v>128</x:v>
      </x:c>
      <x:c r="T221" s="1" t="n">
        <x:v>146</x:v>
      </x:c>
    </x:row>
    <x:row r="222" ht="21" customHeight="1">
      <x:c r="A222" s="12" t="n">
        <x:v>46279</x:v>
      </x:c>
      <x:c r="B222" s="1" t="str">
        <x:v>Butterfly</x:v>
      </x:c>
      <x:c r="C222" s="1" t="str">
        <x:v>call</x:v>
      </x:c>
      <x:c r="D222" s="11" t="n">
        <x:v>5200</x:v>
      </x:c>
      <x:c r="E222" s="11" t="n">
        <x:v>5400</x:v>
      </x:c>
      <x:c r="F222" s="11" t="n">
        <x:v>5600</x:v>
      </x:c>
      <x:c r="G222" s="11" t="n">
        <x:f>'Option source'!B114</x:f>
        <x:v>1998.09</x:v>
      </x:c>
      <x:c r="H222" s="11" t="n">
        <x:f>'Option source'!B133</x:f>
        <x:v>1616</x:v>
      </x:c>
      <x:c r="I222" s="11" t="n">
        <x:f>'Option source'!B151</x:f>
        <x:v>1455</x:v>
      </x:c>
      <x:c r="J222" s="11" t="n">
        <x:f>G222-2*H222+IF(B222="Butterfly",I222,0)</x:f>
        <x:v>221.08999999999992</x:v>
      </x:c>
      <x:c r="K222" s="11" t="n">
        <x:f>ABS(E222-D222)</x:f>
        <x:v>200</x:v>
      </x:c>
      <x:c r="L222" s="11" t="n">
        <x:f>K222-J222</x:f>
        <x:v>-21.089999999999918</x:v>
      </x:c>
      <x:c r="M222" s="11" t="n">
        <x:f>IF(B222="Butterfly",MAX(J222,0),IF(C222="call","Unlimited",MAX(2*E222-D222+J222,J222,0)))</x:f>
        <x:v>221.08999999999992</x:v>
      </x:c>
      <x:c r="N222" s="11" t="str">
        <x:f>IF(B222="Butterfly",IF(AND(J222&gt;0,J222&lt;K222),D222+J222,"n.a."),IF(C222="call",IF(AND(J222&gt;0,J222&lt;K222),D222+J222,"n.a."),IF(AND(K222&gt;J222,2*E222-D222+J222&gt;=0),2*E222-D222+J222,"n.a.")))</x:f>
        <x:v>n.a.</x:v>
      </x:c>
      <x:c r="O222" s="11" t="str">
        <x:f>IF(B222="Butterfly",IF(AND(J222&gt;0,J222&lt;K222),F222-J222,"n.a."),IF(C222="call",IF(K222&gt;J222,2*E222-D222-J222,"n.a."),IF(AND(J222&gt;0,J222&lt;K222),D222-J222,"n.a.")))</x:f>
        <x:v>n.a.</x:v>
      </x:c>
      <x:c r="P222" s="19" t="str">
        <x:f>IF(AND(B222="Butterfly",J222&gt;0,J222&lt;K222),L222/J222,"n.a.")</x:f>
        <x:v>n.a.</x:v>
      </x:c>
      <x:c r="Q222" s="11" t="n">
        <x:f>J222*'Model inputs'!$B$8</x:f>
        <x:v>22108.999999999993</x:v>
      </x:c>
      <x:c r="R222" s="1" t="str">
        <x:v>Outside standard debit bounds</x:v>
      </x:c>
      <x:c r="S222" s="1" t="n">
        <x:v>109</x:v>
      </x:c>
      <x:c r="T222" s="1" t="n">
        <x:v>128</x:v>
      </x:c>
    </x:row>
    <x:row r="223" ht="21" customHeight="1">
      <x:c r="A223" s="12" t="n">
        <x:v>46279</x:v>
      </x:c>
      <x:c r="B223" s="1" t="str">
        <x:v>Butterfly</x:v>
      </x:c>
      <x:c r="C223" s="1" t="str">
        <x:v>put</x:v>
      </x:c>
      <x:c r="D223" s="11" t="n">
        <x:v>8000</x:v>
      </x:c>
      <x:c r="E223" s="11" t="n">
        <x:v>8300</x:v>
      </x:c>
      <x:c r="F223" s="11" t="n">
        <x:v>8600</x:v>
      </x:c>
      <x:c r="G223" s="11" t="n">
        <x:f>'Option source'!B864</x:f>
        <x:v>1160</x:v>
      </x:c>
      <x:c r="H223" s="11" t="n">
        <x:f>'Option source'!B883</x:f>
        <x:v>1327.03</x:v>
      </x:c>
      <x:c r="I223" s="11" t="n">
        <x:f>'Option source'!B902</x:f>
        <x:v>1789.44</x:v>
      </x:c>
      <x:c r="J223" s="11" t="n">
        <x:f>G223-2*H223+IF(B223="Butterfly",I223,0)</x:f>
        <x:v>295.3800000000001</x:v>
      </x:c>
      <x:c r="K223" s="11" t="n">
        <x:f>ABS(E223-D223)</x:f>
        <x:v>300</x:v>
      </x:c>
      <x:c r="L223" s="11" t="n">
        <x:f>K223-J223</x:f>
        <x:v>4.619999999999891</x:v>
      </x:c>
      <x:c r="M223" s="11" t="n">
        <x:f>IF(B223="Butterfly",MAX(J223,0),IF(C223="call","Unlimited",MAX(2*E223-D223+J223,J223,0)))</x:f>
        <x:v>295.3800000000001</x:v>
      </x:c>
      <x:c r="N223" s="11" t="n">
        <x:f>IF(B223="Butterfly",IF(AND(J223&gt;0,J223&lt;K223),D223+J223,"n.a."),IF(C223="call",IF(AND(J223&gt;0,J223&lt;K223),D223+J223,"n.a."),IF(AND(K223&gt;J223,2*E223-D223+J223&gt;=0),2*E223-D223+J223,"n.a.")))</x:f>
        <x:v>8295.380000000001</x:v>
      </x:c>
      <x:c r="O223" s="11" t="n">
        <x:f>IF(B223="Butterfly",IF(AND(J223&gt;0,J223&lt;K223),F223-J223,"n.a."),IF(C223="call",IF(K223&gt;J223,2*E223-D223-J223,"n.a."),IF(AND(J223&gt;0,J223&lt;K223),D223-J223,"n.a.")))</x:f>
        <x:v>8304.619999999999</x:v>
      </x:c>
      <x:c r="P223" s="19" t="n">
        <x:f>IF(AND(B223="Butterfly",J223&gt;0,J223&lt;K223),L223/J223,"n.a.")</x:f>
        <x:v>0.015640869388583823</x:v>
      </x:c>
      <x:c r="Q223" s="11" t="n">
        <x:f>J223*'Model inputs'!$B$8</x:f>
        <x:v>29538.00000000001</x:v>
      </x:c>
      <x:c r="R223" s="1" t="str">
        <x:v>Flagged leg data</x:v>
      </x:c>
      <x:c r="S223" s="1" t="n">
        <x:v>859</x:v>
      </x:c>
      <x:c r="T223" s="1" t="n">
        <x:v>878</x:v>
      </x:c>
    </x:row>
    <x:row r="224" ht="21" customHeight="1">
      <x:c r="A224" s="12" t="n">
        <x:v>46279</x:v>
      </x:c>
      <x:c r="B224" s="1" t="str">
        <x:v>Butterfly</x:v>
      </x:c>
      <x:c r="C224" s="1" t="str">
        <x:v>call</x:v>
      </x:c>
      <x:c r="D224" s="11" t="n">
        <x:v>5000</x:v>
      </x:c>
      <x:c r="E224" s="11" t="n">
        <x:v>5200</x:v>
      </x:c>
      <x:c r="F224" s="11" t="n">
        <x:v>5400</x:v>
      </x:c>
      <x:c r="G224" s="11" t="n">
        <x:f>'Option source'!B95</x:f>
        <x:v>2248.2</x:v>
      </x:c>
      <x:c r="H224" s="11" t="n">
        <x:f>'Option source'!B114</x:f>
        <x:v>1998.09</x:v>
      </x:c>
      <x:c r="I224" s="11" t="n">
        <x:f>'Option source'!B133</x:f>
        <x:v>1616</x:v>
      </x:c>
      <x:c r="J224" s="11" t="n">
        <x:f>G224-2*H224+IF(B224="Butterfly",I224,0)</x:f>
        <x:v>-131.98000000000002</x:v>
      </x:c>
      <x:c r="K224" s="11" t="n">
        <x:f>ABS(E224-D224)</x:f>
        <x:v>200</x:v>
      </x:c>
      <x:c r="L224" s="11" t="n">
        <x:f>K224-J224</x:f>
        <x:v>331.98</x:v>
      </x:c>
      <x:c r="M224" s="11" t="n">
        <x:f>IF(B224="Butterfly",MAX(J224,0),IF(C224="call","Unlimited",MAX(2*E224-D224+J224,J224,0)))</x:f>
        <x:v>0</x:v>
      </x:c>
      <x:c r="N224" s="11" t="str">
        <x:f>IF(B224="Butterfly",IF(AND(J224&gt;0,J224&lt;K224),D224+J224,"n.a."),IF(C224="call",IF(AND(J224&gt;0,J224&lt;K224),D224+J224,"n.a."),IF(AND(K224&gt;J224,2*E224-D224+J224&gt;=0),2*E224-D224+J224,"n.a.")))</x:f>
        <x:v>n.a.</x:v>
      </x:c>
      <x:c r="O224" s="11" t="str">
        <x:f>IF(B224="Butterfly",IF(AND(J224&gt;0,J224&lt;K224),F224-J224,"n.a."),IF(C224="call",IF(K224&gt;J224,2*E224-D224-J224,"n.a."),IF(AND(J224&gt;0,J224&lt;K224),D224-J224,"n.a.")))</x:f>
        <x:v>n.a.</x:v>
      </x:c>
      <x:c r="P224" s="19" t="str">
        <x:f>IF(AND(B224="Butterfly",J224&gt;0,J224&lt;K224),L224/J224,"n.a.")</x:f>
        <x:v>n.a.</x:v>
      </x:c>
      <x:c r="Q224" s="11" t="n">
        <x:f>J224*'Model inputs'!$B$8</x:f>
        <x:v>-13198.000000000002</x:v>
      </x:c>
      <x:c r="R224" s="1" t="str">
        <x:v>Outside standard debit bounds</x:v>
      </x:c>
      <x:c r="S224" s="1" t="n">
        <x:v>90</x:v>
      </x:c>
      <x:c r="T224" s="1" t="n">
        <x:v>109</x:v>
      </x:c>
    </x:row>
    <x:row r="225" ht="21" customHeight="1">
      <x:c r="A225" s="12" t="n">
        <x:v>46279</x:v>
      </x:c>
      <x:c r="B225" s="1" t="str">
        <x:v>Butterfly</x:v>
      </x:c>
      <x:c r="C225" s="1" t="str">
        <x:v>put</x:v>
      </x:c>
      <x:c r="D225" s="11" t="n">
        <x:v>8300</x:v>
      </x:c>
      <x:c r="E225" s="11" t="n">
        <x:v>8600</x:v>
      </x:c>
      <x:c r="F225" s="11" t="n">
        <x:v>8900</x:v>
      </x:c>
      <x:c r="G225" s="11" t="n">
        <x:f>'Option source'!B883</x:f>
        <x:v>1327.03</x:v>
      </x:c>
      <x:c r="H225" s="11" t="n">
        <x:f>'Option source'!B902</x:f>
        <x:v>1789.44</x:v>
      </x:c>
      <x:c r="I225" s="11" t="n">
        <x:f>'Option source'!B917</x:f>
        <x:v>2022.5</x:v>
      </x:c>
      <x:c r="J225" s="11" t="n">
        <x:f>G225-2*H225+IF(B225="Butterfly",I225,0)</x:f>
        <x:v>-229.35000000000036</x:v>
      </x:c>
      <x:c r="K225" s="11" t="n">
        <x:f>ABS(E225-D225)</x:f>
        <x:v>300</x:v>
      </x:c>
      <x:c r="L225" s="11" t="n">
        <x:f>K225-J225</x:f>
        <x:v>529.3500000000004</x:v>
      </x:c>
      <x:c r="M225" s="11" t="n">
        <x:f>IF(B225="Butterfly",MAX(J225,0),IF(C225="call","Unlimited",MAX(2*E225-D225+J225,J225,0)))</x:f>
        <x:v>0</x:v>
      </x:c>
      <x:c r="N225" s="11" t="str">
        <x:f>IF(B225="Butterfly",IF(AND(J225&gt;0,J225&lt;K225),D225+J225,"n.a."),IF(C225="call",IF(AND(J225&gt;0,J225&lt;K225),D225+J225,"n.a."),IF(AND(K225&gt;J225,2*E225-D225+J225&gt;=0),2*E225-D225+J225,"n.a.")))</x:f>
        <x:v>n.a.</x:v>
      </x:c>
      <x:c r="O225" s="11" t="str">
        <x:f>IF(B225="Butterfly",IF(AND(J225&gt;0,J225&lt;K225),F225-J225,"n.a."),IF(C225="call",IF(K225&gt;J225,2*E225-D225-J225,"n.a."),IF(AND(J225&gt;0,J225&lt;K225),D225-J225,"n.a.")))</x:f>
        <x:v>n.a.</x:v>
      </x:c>
      <x:c r="P225" s="19" t="str">
        <x:f>IF(AND(B225="Butterfly",J225&gt;0,J225&lt;K225),L225/J225,"n.a.")</x:f>
        <x:v>n.a.</x:v>
      </x:c>
      <x:c r="Q225" s="11" t="n">
        <x:f>J225*'Model inputs'!$B$8</x:f>
        <x:v>-22935.000000000036</x:v>
      </x:c>
      <x:c r="R225" s="1" t="str">
        <x:v>Outside standard debit bounds</x:v>
      </x:c>
      <x:c r="S225" s="1" t="n">
        <x:v>878</x:v>
      </x:c>
      <x:c r="T225" s="1" t="n">
        <x:v>897</x:v>
      </x:c>
    </x:row>
    <x:row r="226" ht="21" customHeight="1">
      <x:c r="A226" s="12" t="n">
        <x:v>46279</x:v>
      </x:c>
      <x:c r="B226" s="1" t="str">
        <x:v>Butterfly</x:v>
      </x:c>
      <x:c r="C226" s="1" t="str">
        <x:v>call</x:v>
      </x:c>
      <x:c r="D226" s="11" t="n">
        <x:v>4800</x:v>
      </x:c>
      <x:c r="E226" s="11" t="n">
        <x:v>5000</x:v>
      </x:c>
      <x:c r="F226" s="11" t="n">
        <x:v>5200</x:v>
      </x:c>
      <x:c r="G226" s="11" t="n">
        <x:f>'Option source'!B78</x:f>
        <x:v>2235.08</x:v>
      </x:c>
      <x:c r="H226" s="11" t="n">
        <x:f>'Option source'!B95</x:f>
        <x:v>2248.2</x:v>
      </x:c>
      <x:c r="I226" s="11" t="n">
        <x:f>'Option source'!B114</x:f>
        <x:v>1998.09</x:v>
      </x:c>
      <x:c r="J226" s="11" t="n">
        <x:f>G226-2*H226+IF(B226="Butterfly",I226,0)</x:f>
        <x:v>-263.2299999999998</x:v>
      </x:c>
      <x:c r="K226" s="11" t="n">
        <x:f>ABS(E226-D226)</x:f>
        <x:v>200</x:v>
      </x:c>
      <x:c r="L226" s="11" t="n">
        <x:f>K226-J226</x:f>
        <x:v>463.2299999999998</x:v>
      </x:c>
      <x:c r="M226" s="11" t="n">
        <x:f>IF(B226="Butterfly",MAX(J226,0),IF(C226="call","Unlimited",MAX(2*E226-D226+J226,J226,0)))</x:f>
        <x:v>0</x:v>
      </x:c>
      <x:c r="N226" s="11" t="str">
        <x:f>IF(B226="Butterfly",IF(AND(J226&gt;0,J226&lt;K226),D226+J226,"n.a."),IF(C226="call",IF(AND(J226&gt;0,J226&lt;K226),D226+J226,"n.a."),IF(AND(K226&gt;J226,2*E226-D226+J226&gt;=0),2*E226-D226+J226,"n.a.")))</x:f>
        <x:v>n.a.</x:v>
      </x:c>
      <x:c r="O226" s="11" t="str">
        <x:f>IF(B226="Butterfly",IF(AND(J226&gt;0,J226&lt;K226),F226-J226,"n.a."),IF(C226="call",IF(K226&gt;J226,2*E226-D226-J226,"n.a."),IF(AND(J226&gt;0,J226&lt;K226),D226-J226,"n.a.")))</x:f>
        <x:v>n.a.</x:v>
      </x:c>
      <x:c r="P226" s="19" t="str">
        <x:f>IF(AND(B226="Butterfly",J226&gt;0,J226&lt;K226),L226/J226,"n.a.")</x:f>
        <x:v>n.a.</x:v>
      </x:c>
      <x:c r="Q226" s="11" t="n">
        <x:f>J226*'Model inputs'!$B$8</x:f>
        <x:v>-26322.999999999978</x:v>
      </x:c>
      <x:c r="R226" s="1" t="str">
        <x:v>Outside standard debit bounds</x:v>
      </x:c>
      <x:c r="S226" s="1" t="n">
        <x:v>73</x:v>
      </x:c>
      <x:c r="T226" s="1" t="n">
        <x:v>90</x:v>
      </x:c>
    </x:row>
    <x:row r="227" ht="21" customHeight="1">
      <x:c r="A227" s="12" t="n">
        <x:v>46279</x:v>
      </x:c>
      <x:c r="B227" s="1" t="str">
        <x:v>Butterfly</x:v>
      </x:c>
      <x:c r="C227" s="1" t="str">
        <x:v>call</x:v>
      </x:c>
      <x:c r="D227" s="11" t="n">
        <x:v>4600</x:v>
      </x:c>
      <x:c r="E227" s="11" t="n">
        <x:v>4800</x:v>
      </x:c>
      <x:c r="F227" s="11" t="n">
        <x:v>5000</x:v>
      </x:c>
      <x:c r="G227" s="11" t="n">
        <x:f>'Option source'!B61</x:f>
        <x:v>2400</x:v>
      </x:c>
      <x:c r="H227" s="11" t="n">
        <x:f>'Option source'!B78</x:f>
        <x:v>2235.08</x:v>
      </x:c>
      <x:c r="I227" s="11" t="n">
        <x:f>'Option source'!B95</x:f>
        <x:v>2248.2</x:v>
      </x:c>
      <x:c r="J227" s="11" t="n">
        <x:f>G227-2*H227+IF(B227="Butterfly",I227,0)</x:f>
        <x:v>178.03999999999996</x:v>
      </x:c>
      <x:c r="K227" s="11" t="n">
        <x:f>ABS(E227-D227)</x:f>
        <x:v>200</x:v>
      </x:c>
      <x:c r="L227" s="11" t="n">
        <x:f>K227-J227</x:f>
        <x:v>21.960000000000036</x:v>
      </x:c>
      <x:c r="M227" s="11" t="n">
        <x:f>IF(B227="Butterfly",MAX(J227,0),IF(C227="call","Unlimited",MAX(2*E227-D227+J227,J227,0)))</x:f>
        <x:v>178.03999999999996</x:v>
      </x:c>
      <x:c r="N227" s="11" t="n">
        <x:f>IF(B227="Butterfly",IF(AND(J227&gt;0,J227&lt;K227),D227+J227,"n.a."),IF(C227="call",IF(AND(J227&gt;0,J227&lt;K227),D227+J227,"n.a."),IF(AND(K227&gt;J227,2*E227-D227+J227&gt;=0),2*E227-D227+J227,"n.a.")))</x:f>
        <x:v>4778.04</x:v>
      </x:c>
      <x:c r="O227" s="11" t="n">
        <x:f>IF(B227="Butterfly",IF(AND(J227&gt;0,J227&lt;K227),F227-J227,"n.a."),IF(C227="call",IF(K227&gt;J227,2*E227-D227-J227,"n.a."),IF(AND(J227&gt;0,J227&lt;K227),D227-J227,"n.a.")))</x:f>
        <x:v>4821.96</x:v>
      </x:c>
      <x:c r="P227" s="19" t="n">
        <x:f>IF(AND(B227="Butterfly",J227&gt;0,J227&lt;K227),L227/J227,"n.a.")</x:f>
        <x:v>0.12334306897326466</x:v>
      </x:c>
      <x:c r="Q227" s="11" t="n">
        <x:f>J227*'Model inputs'!$B$8</x:f>
        <x:v>17803.999999999996</x:v>
      </x:c>
      <x:c r="R227" s="1" t="str">
        <x:v>Flagged leg data</x:v>
      </x:c>
      <x:c r="S227" s="1" t="n">
        <x:v>56</x:v>
      </x:c>
      <x:c r="T227" s="1" t="n">
        <x:v>73</x:v>
      </x:c>
    </x:row>
    <x:row r="228" ht="21" customHeight="1">
      <x:c r="A228" s="12" t="n">
        <x:v>46279</x:v>
      </x:c>
      <x:c r="B228" s="1" t="str">
        <x:v>Butterfly</x:v>
      </x:c>
      <x:c r="C228" s="1" t="str">
        <x:v>put</x:v>
      </x:c>
      <x:c r="D228" s="11" t="n">
        <x:v>8600</x:v>
      </x:c>
      <x:c r="E228" s="11" t="n">
        <x:v>8900</x:v>
      </x:c>
      <x:c r="F228" s="11" t="n">
        <x:v>9200</x:v>
      </x:c>
      <x:c r="G228" s="11" t="n">
        <x:f>'Option source'!B902</x:f>
        <x:v>1789.44</x:v>
      </x:c>
      <x:c r="H228" s="11" t="n">
        <x:f>'Option source'!B917</x:f>
        <x:v>2022.5</x:v>
      </x:c>
      <x:c r="I228" s="11" t="n">
        <x:f>'Option source'!B924</x:f>
        <x:v>2041.57</x:v>
      </x:c>
      <x:c r="J228" s="11" t="n">
        <x:f>G228-2*H228+IF(B228="Butterfly",I228,0)</x:f>
        <x:v>-213.99</x:v>
      </x:c>
      <x:c r="K228" s="11" t="n">
        <x:f>ABS(E228-D228)</x:f>
        <x:v>300</x:v>
      </x:c>
      <x:c r="L228" s="11" t="n">
        <x:f>K228-J228</x:f>
        <x:v>513.99</x:v>
      </x:c>
      <x:c r="M228" s="11" t="n">
        <x:f>IF(B228="Butterfly",MAX(J228,0),IF(C228="call","Unlimited",MAX(2*E228-D228+J228,J228,0)))</x:f>
        <x:v>0</x:v>
      </x:c>
      <x:c r="N228" s="11" t="str">
        <x:f>IF(B228="Butterfly",IF(AND(J228&gt;0,J228&lt;K228),D228+J228,"n.a."),IF(C228="call",IF(AND(J228&gt;0,J228&lt;K228),D228+J228,"n.a."),IF(AND(K228&gt;J228,2*E228-D228+J228&gt;=0),2*E228-D228+J228,"n.a.")))</x:f>
        <x:v>n.a.</x:v>
      </x:c>
      <x:c r="O228" s="11" t="str">
        <x:f>IF(B228="Butterfly",IF(AND(J228&gt;0,J228&lt;K228),F228-J228,"n.a."),IF(C228="call",IF(K228&gt;J228,2*E228-D228-J228,"n.a."),IF(AND(J228&gt;0,J228&lt;K228),D228-J228,"n.a.")))</x:f>
        <x:v>n.a.</x:v>
      </x:c>
      <x:c r="P228" s="19" t="str">
        <x:f>IF(AND(B228="Butterfly",J228&gt;0,J228&lt;K228),L228/J228,"n.a.")</x:f>
        <x:v>n.a.</x:v>
      </x:c>
      <x:c r="Q228" s="11" t="n">
        <x:f>J228*'Model inputs'!$B$8</x:f>
        <x:v>-21399</x:v>
      </x:c>
      <x:c r="R228" s="1" t="str">
        <x:v>Outside standard debit bounds</x:v>
      </x:c>
      <x:c r="S228" s="1" t="n">
        <x:v>897</x:v>
      </x:c>
      <x:c r="T228" s="1" t="n">
        <x:v>912</x:v>
      </x:c>
    </x:row>
    <x:row r="229" ht="21" customHeight="1">
      <x:c r="A229" s="12" t="n">
        <x:v>46279</x:v>
      </x:c>
      <x:c r="B229" s="1" t="str">
        <x:v>Butterfly</x:v>
      </x:c>
      <x:c r="C229" s="1" t="str">
        <x:v>call</x:v>
      </x:c>
      <x:c r="D229" s="11" t="n">
        <x:v>4400</x:v>
      </x:c>
      <x:c r="E229" s="11" t="n">
        <x:v>4600</x:v>
      </x:c>
      <x:c r="F229" s="11" t="n">
        <x:v>4800</x:v>
      </x:c>
      <x:c r="G229" s="11" t="n">
        <x:f>'Option source'!B42</x:f>
        <x:v>2624.82</x:v>
      </x:c>
      <x:c r="H229" s="11" t="n">
        <x:f>'Option source'!B61</x:f>
        <x:v>2400</x:v>
      </x:c>
      <x:c r="I229" s="11" t="n">
        <x:f>'Option source'!B78</x:f>
        <x:v>2235.08</x:v>
      </x:c>
      <x:c r="J229" s="11" t="n">
        <x:f>G229-2*H229+IF(B229="Butterfly",I229,0)</x:f>
        <x:v>59.90000000000009</x:v>
      </x:c>
      <x:c r="K229" s="11" t="n">
        <x:f>ABS(E229-D229)</x:f>
        <x:v>200</x:v>
      </x:c>
      <x:c r="L229" s="11" t="n">
        <x:f>K229-J229</x:f>
        <x:v>140.0999999999999</x:v>
      </x:c>
      <x:c r="M229" s="11" t="n">
        <x:f>IF(B229="Butterfly",MAX(J229,0),IF(C229="call","Unlimited",MAX(2*E229-D229+J229,J229,0)))</x:f>
        <x:v>59.90000000000009</x:v>
      </x:c>
      <x:c r="N229" s="11" t="n">
        <x:f>IF(B229="Butterfly",IF(AND(J229&gt;0,J229&lt;K229),D229+J229,"n.a."),IF(C229="call",IF(AND(J229&gt;0,J229&lt;K229),D229+J229,"n.a."),IF(AND(K229&gt;J229,2*E229-D229+J229&gt;=0),2*E229-D229+J229,"n.a.")))</x:f>
        <x:v>4459.9</x:v>
      </x:c>
      <x:c r="O229" s="11" t="n">
        <x:f>IF(B229="Butterfly",IF(AND(J229&gt;0,J229&lt;K229),F229-J229,"n.a."),IF(C229="call",IF(K229&gt;J229,2*E229-D229-J229,"n.a."),IF(AND(J229&gt;0,J229&lt;K229),D229-J229,"n.a.")))</x:f>
        <x:v>4740.1</x:v>
      </x:c>
      <x:c r="P229" s="19" t="n">
        <x:f>IF(AND(B229="Butterfly",J229&gt;0,J229&lt;K229),L229/J229,"n.a.")</x:f>
        <x:v>2.338898163606005</x:v>
      </x:c>
      <x:c r="Q229" s="11" t="n">
        <x:f>J229*'Model inputs'!$B$8</x:f>
        <x:v>5990.000000000009</x:v>
      </x:c>
      <x:c r="R229" s="1" t="str">
        <x:v>Flagged leg data</x:v>
      </x:c>
      <x:c r="S229" s="1" t="n">
        <x:v>37</x:v>
      </x:c>
      <x:c r="T229" s="1" t="n">
        <x:v>56</x:v>
      </x:c>
    </x:row>
    <x:row r="230" ht="21" customHeight="1">
      <x:c r="A230" s="12" t="n">
        <x:v>46279</x:v>
      </x:c>
      <x:c r="B230" s="1" t="str">
        <x:v>Butterfly</x:v>
      </x:c>
      <x:c r="C230" s="1" t="str">
        <x:v>call</x:v>
      </x:c>
      <x:c r="D230" s="11" t="n">
        <x:v>4200</x:v>
      </x:c>
      <x:c r="E230" s="11" t="n">
        <x:v>4400</x:v>
      </x:c>
      <x:c r="F230" s="11" t="n">
        <x:v>4600</x:v>
      </x:c>
      <x:c r="G230" s="11" t="n">
        <x:f>'Option source'!B23</x:f>
        <x:v>2956.52</x:v>
      </x:c>
      <x:c r="H230" s="11" t="n">
        <x:f>'Option source'!B42</x:f>
        <x:v>2624.82</x:v>
      </x:c>
      <x:c r="I230" s="11" t="n">
        <x:f>'Option source'!B61</x:f>
        <x:v>2400</x:v>
      </x:c>
      <x:c r="J230" s="11" t="n">
        <x:f>G230-2*H230+IF(B230="Butterfly",I230,0)</x:f>
        <x:v>106.87999999999965</x:v>
      </x:c>
      <x:c r="K230" s="11" t="n">
        <x:f>ABS(E230-D230)</x:f>
        <x:v>200</x:v>
      </x:c>
      <x:c r="L230" s="11" t="n">
        <x:f>K230-J230</x:f>
        <x:v>93.12000000000035</x:v>
      </x:c>
      <x:c r="M230" s="11" t="n">
        <x:f>IF(B230="Butterfly",MAX(J230,0),IF(C230="call","Unlimited",MAX(2*E230-D230+J230,J230,0)))</x:f>
        <x:v>106.87999999999965</x:v>
      </x:c>
      <x:c r="N230" s="11" t="n">
        <x:f>IF(B230="Butterfly",IF(AND(J230&gt;0,J230&lt;K230),D230+J230,"n.a."),IF(C230="call",IF(AND(J230&gt;0,J230&lt;K230),D230+J230,"n.a."),IF(AND(K230&gt;J230,2*E230-D230+J230&gt;=0),2*E230-D230+J230,"n.a.")))</x:f>
        <x:v>4306.879999999999</x:v>
      </x:c>
      <x:c r="O230" s="11" t="n">
        <x:f>IF(B230="Butterfly",IF(AND(J230&gt;0,J230&lt;K230),F230-J230,"n.a."),IF(C230="call",IF(K230&gt;J230,2*E230-D230-J230,"n.a."),IF(AND(J230&gt;0,J230&lt;K230),D230-J230,"n.a.")))</x:f>
        <x:v>4493.120000000001</x:v>
      </x:c>
      <x:c r="P230" s="19" t="n">
        <x:f>IF(AND(B230="Butterfly",J230&gt;0,J230&lt;K230),L230/J230,"n.a.")</x:f>
        <x:v>0.8712574850299462</x:v>
      </x:c>
      <x:c r="Q230" s="11" t="n">
        <x:f>J230*'Model inputs'!$B$8</x:f>
        <x:v>10687.999999999965</x:v>
      </x:c>
      <x:c r="R230" s="1" t="str">
        <x:v>Flagged leg data</x:v>
      </x:c>
      <x:c r="S230" s="1" t="n">
        <x:v>18</x:v>
      </x:c>
      <x:c r="T230" s="1" t="n">
        <x:v>37</x:v>
      </x:c>
    </x:row>
    <x:row r="231" ht="21" customHeight="1">
      <x:c r="A231" s="12" t="n">
        <x:v>46279</x:v>
      </x:c>
      <x:c r="B231" s="1" t="str">
        <x:v>Butterfly</x:v>
      </x:c>
      <x:c r="C231" s="1" t="str">
        <x:v>put</x:v>
      </x:c>
      <x:c r="D231" s="11" t="n">
        <x:v>4200</x:v>
      </x:c>
      <x:c r="E231" s="11" t="n">
        <x:v>4400</x:v>
      </x:c>
      <x:c r="F231" s="11" t="n">
        <x:v>4600</x:v>
      </x:c>
      <x:c r="G231" s="11" t="n">
        <x:f>'Option source'!B503</x:f>
        <x:v>0.76</x:v>
      </x:c>
      <x:c r="H231" s="11" t="n">
        <x:f>'Option source'!B522</x:f>
        <x:v>1.17</x:v>
      </x:c>
      <x:c r="I231" s="11" t="n">
        <x:f>'Option source'!B541</x:f>
        <x:v>1.3</x:v>
      </x:c>
      <x:c r="J231" s="11" t="n">
        <x:f>G231-2*H231+IF(B231="Butterfly",I231,0)</x:f>
        <x:v>-0.2799999999999998</x:v>
      </x:c>
      <x:c r="K231" s="11" t="n">
        <x:f>ABS(E231-D231)</x:f>
        <x:v>200</x:v>
      </x:c>
      <x:c r="L231" s="11" t="n">
        <x:f>K231-J231</x:f>
        <x:v>200.28</x:v>
      </x:c>
      <x:c r="M231" s="11" t="n">
        <x:f>IF(B231="Butterfly",MAX(J231,0),IF(C231="call","Unlimited",MAX(2*E231-D231+J231,J231,0)))</x:f>
        <x:v>0</x:v>
      </x:c>
      <x:c r="N231" s="11" t="str">
        <x:f>IF(B231="Butterfly",IF(AND(J231&gt;0,J231&lt;K231),D231+J231,"n.a."),IF(C231="call",IF(AND(J231&gt;0,J231&lt;K231),D231+J231,"n.a."),IF(AND(K231&gt;J231,2*E231-D231+J231&gt;=0),2*E231-D231+J231,"n.a.")))</x:f>
        <x:v>n.a.</x:v>
      </x:c>
      <x:c r="O231" s="11" t="str">
        <x:f>IF(B231="Butterfly",IF(AND(J231&gt;0,J231&lt;K231),F231-J231,"n.a."),IF(C231="call",IF(K231&gt;J231,2*E231-D231-J231,"n.a."),IF(AND(J231&gt;0,J231&lt;K231),D231-J231,"n.a.")))</x:f>
        <x:v>n.a.</x:v>
      </x:c>
      <x:c r="P231" s="19" t="str">
        <x:f>IF(AND(B231="Butterfly",J231&gt;0,J231&lt;K231),L231/J231,"n.a.")</x:f>
        <x:v>n.a.</x:v>
      </x:c>
      <x:c r="Q231" s="11" t="n">
        <x:f>J231*'Model inputs'!$B$8</x:f>
        <x:v>-27.99999999999998</x:v>
      </x:c>
      <x:c r="R231" s="1" t="str">
        <x:v>Outside standard debit bounds</x:v>
      </x:c>
      <x:c r="S231" s="1" t="n">
        <x:v>498</x:v>
      </x:c>
      <x:c r="T231" s="1" t="n">
        <x:v>517</x:v>
      </x:c>
    </x:row>
    <x:row r="232" ht="21" customHeight="1">
      <x:c r="A232" s="12" t="n">
        <x:v>46279</x:v>
      </x:c>
      <x:c r="B232" s="1" t="str">
        <x:v>1x2 ratio</x:v>
      </x:c>
      <x:c r="C232" s="1" t="str">
        <x:v>call</x:v>
      </x:c>
      <x:c r="D232" s="11" t="n">
        <x:v>6600</x:v>
      </x:c>
      <x:c r="E232" s="11" t="n">
        <x:v>6800</x:v>
      </x:c>
      <x:c r="F232" s="11"/>
      <x:c r="G232" s="11" t="n">
        <x:f>'Option source'!B237</x:f>
        <x:v>574.6</x:v>
      </x:c>
      <x:c r="H232" s="11" t="n">
        <x:f>'Option source'!B256</x:f>
        <x:v>449.91</x:v>
      </x:c>
      <x:c r="I232" s="11"/>
      <x:c r="J232" s="11" t="n">
        <x:f>G232-2*H232+IF(B232="Butterfly",I232,0)</x:f>
        <x:v>-325.22</x:v>
      </x:c>
      <x:c r="K232" s="11" t="n">
        <x:f>ABS(E232-D232)</x:f>
        <x:v>200</x:v>
      </x:c>
      <x:c r="L232" s="11" t="n">
        <x:f>K232-J232</x:f>
        <x:v>525.22</x:v>
      </x:c>
      <x:c r="M232" s="11" t="str">
        <x:f>IF(B232="Butterfly",MAX(J232,0),IF(C232="call","Unlimited",MAX(2*E232-D232+J232,J232,0)))</x:f>
        <x:v>Unlimited</x:v>
      </x:c>
      <x:c r="N232" s="11" t="str">
        <x:f>IF(B232="Butterfly",IF(AND(J232&gt;0,J232&lt;K232),D232+J232,"n.a."),IF(C232="call",IF(AND(J232&gt;0,J232&lt;K232),D232+J232,"n.a."),IF(AND(K232&gt;J232,2*E232-D232+J232&gt;=0),2*E232-D232+J232,"n.a.")))</x:f>
        <x:v>n.a.</x:v>
      </x:c>
      <x:c r="O232" s="11" t="n">
        <x:f>IF(B232="Butterfly",IF(AND(J232&gt;0,J232&lt;K232),F232-J232,"n.a."),IF(C232="call",IF(K232&gt;J232,2*E232-D232-J232,"n.a."),IF(AND(J232&gt;0,J232&lt;K232),D232-J232,"n.a.")))</x:f>
        <x:v>7325.22</x:v>
      </x:c>
      <x:c r="P232" s="19" t="str">
        <x:f>IF(AND(B232="Butterfly",J232&gt;0,J232&lt;K232),L232/J232,"n.a.")</x:f>
        <x:v>n.a.</x:v>
      </x:c>
      <x:c r="Q232" s="11" t="n">
        <x:f>J232*'Model inputs'!$B$8</x:f>
        <x:v>-32522.000000000004</x:v>
      </x:c>
      <x:c r="R232" s="1" t="str">
        <x:v>Indicative only</x:v>
      </x:c>
      <x:c r="S232" s="1" t="n">
        <x:v>232</x:v>
      </x:c>
      <x:c r="T232" s="1" t="n">
        <x:v>251</x:v>
      </x:c>
    </x:row>
    <x:row r="233" ht="21" customHeight="1">
      <x:c r="A233" s="12" t="n">
        <x:v>46279</x:v>
      </x:c>
      <x:c r="B233" s="1" t="str">
        <x:v>1x2 ratio</x:v>
      </x:c>
      <x:c r="C233" s="1" t="str">
        <x:v>put</x:v>
      </x:c>
      <x:c r="D233" s="11" t="n">
        <x:v>7000</x:v>
      </x:c>
      <x:c r="E233" s="11" t="n">
        <x:v>6800</x:v>
      </x:c>
      <x:c r="F233" s="11"/>
      <x:c r="G233" s="11" t="n">
        <x:f>'Option source'!B769</x:f>
        <x:v>374.39</x:v>
      </x:c>
      <x:c r="H233" s="11" t="n">
        <x:f>'Option source'!B750</x:f>
        <x:v>275.35</x:v>
      </x:c>
      <x:c r="I233" s="11"/>
      <x:c r="J233" s="11" t="n">
        <x:f>G233-2*H233+IF(B233="Butterfly",I233,0)</x:f>
        <x:v>-176.31000000000006</x:v>
      </x:c>
      <x:c r="K233" s="11" t="n">
        <x:f>ABS(E233-D233)</x:f>
        <x:v>200</x:v>
      </x:c>
      <x:c r="L233" s="11" t="n">
        <x:f>K233-J233</x:f>
        <x:v>376.31000000000006</x:v>
      </x:c>
      <x:c r="M233" s="11" t="n">
        <x:f>IF(B233="Butterfly",MAX(J233,0),IF(C233="call","Unlimited",MAX(2*E233-D233+J233,J233,0)))</x:f>
        <x:v>6423.69</x:v>
      </x:c>
      <x:c r="N233" s="11" t="n">
        <x:f>IF(B233="Butterfly",IF(AND(J233&gt;0,J233&lt;K233),D233+J233,"n.a."),IF(C233="call",IF(AND(J233&gt;0,J233&lt;K233),D233+J233,"n.a."),IF(AND(K233&gt;J233,2*E233-D233+J233&gt;=0),2*E233-D233+J233,"n.a.")))</x:f>
        <x:v>6423.69</x:v>
      </x:c>
      <x:c r="O233" s="11" t="str">
        <x:f>IF(B233="Butterfly",IF(AND(J233&gt;0,J233&lt;K233),F233-J233,"n.a."),IF(C233="call",IF(K233&gt;J233,2*E233-D233-J233,"n.a."),IF(AND(J233&gt;0,J233&lt;K233),D233-J233,"n.a.")))</x:f>
        <x:v>n.a.</x:v>
      </x:c>
      <x:c r="P233" s="19" t="str">
        <x:f>IF(AND(B233="Butterfly",J233&gt;0,J233&lt;K233),L233/J233,"n.a.")</x:f>
        <x:v>n.a.</x:v>
      </x:c>
      <x:c r="Q233" s="11" t="n">
        <x:f>J233*'Model inputs'!$B$8</x:f>
        <x:v>-17631.000000000007</x:v>
      </x:c>
      <x:c r="R233" s="1" t="str">
        <x:v>Indicative only</x:v>
      </x:c>
      <x:c r="S233" s="1" t="n">
        <x:v>764</x:v>
      </x:c>
      <x:c r="T233" s="1" t="n">
        <x:v>745</x:v>
      </x:c>
    </x:row>
    <x:row r="234" ht="21" customHeight="1">
      <x:c r="A234" s="12" t="n">
        <x:v>46279</x:v>
      </x:c>
      <x:c r="B234" s="1" t="str">
        <x:v>1x2 ratio</x:v>
      </x:c>
      <x:c r="C234" s="1" t="str">
        <x:v>call</x:v>
      </x:c>
      <x:c r="D234" s="11" t="n">
        <x:v>6800</x:v>
      </x:c>
      <x:c r="E234" s="11" t="n">
        <x:v>7000</x:v>
      </x:c>
      <x:c r="F234" s="11"/>
      <x:c r="G234" s="11" t="n">
        <x:f>'Option source'!B256</x:f>
        <x:v>449.91</x:v>
      </x:c>
      <x:c r="H234" s="11" t="n">
        <x:f>'Option source'!B275</x:f>
        <x:v>351.33</x:v>
      </x:c>
      <x:c r="I234" s="11"/>
      <x:c r="J234" s="11" t="n">
        <x:f>G234-2*H234+IF(B234="Butterfly",I234,0)</x:f>
        <x:v>-252.74999999999994</x:v>
      </x:c>
      <x:c r="K234" s="11" t="n">
        <x:f>ABS(E234-D234)</x:f>
        <x:v>200</x:v>
      </x:c>
      <x:c r="L234" s="11" t="n">
        <x:f>K234-J234</x:f>
        <x:v>452.74999999999994</x:v>
      </x:c>
      <x:c r="M234" s="11" t="str">
        <x:f>IF(B234="Butterfly",MAX(J234,0),IF(C234="call","Unlimited",MAX(2*E234-D234+J234,J234,0)))</x:f>
        <x:v>Unlimited</x:v>
      </x:c>
      <x:c r="N234" s="11" t="str">
        <x:f>IF(B234="Butterfly",IF(AND(J234&gt;0,J234&lt;K234),D234+J234,"n.a."),IF(C234="call",IF(AND(J234&gt;0,J234&lt;K234),D234+J234,"n.a."),IF(AND(K234&gt;J234,2*E234-D234+J234&gt;=0),2*E234-D234+J234,"n.a.")))</x:f>
        <x:v>n.a.</x:v>
      </x:c>
      <x:c r="O234" s="11" t="n">
        <x:f>IF(B234="Butterfly",IF(AND(J234&gt;0,J234&lt;K234),F234-J234,"n.a."),IF(C234="call",IF(K234&gt;J234,2*E234-D234-J234,"n.a."),IF(AND(J234&gt;0,J234&lt;K234),D234-J234,"n.a.")))</x:f>
        <x:v>7452.75</x:v>
      </x:c>
      <x:c r="P234" s="19" t="str">
        <x:f>IF(AND(B234="Butterfly",J234&gt;0,J234&lt;K234),L234/J234,"n.a.")</x:f>
        <x:v>n.a.</x:v>
      </x:c>
      <x:c r="Q234" s="11" t="n">
        <x:f>J234*'Model inputs'!$B$8</x:f>
        <x:v>-25274.999999999993</x:v>
      </x:c>
      <x:c r="R234" s="1" t="str">
        <x:v>Indicative only</x:v>
      </x:c>
      <x:c r="S234" s="1" t="n">
        <x:v>251</x:v>
      </x:c>
      <x:c r="T234" s="1" t="n">
        <x:v>270</x:v>
      </x:c>
    </x:row>
    <x:row r="235" ht="21" customHeight="1">
      <x:c r="A235" s="12" t="n">
        <x:v>46279</x:v>
      </x:c>
      <x:c r="B235" s="1" t="str">
        <x:v>1x2 ratio</x:v>
      </x:c>
      <x:c r="C235" s="1" t="str">
        <x:v>put</x:v>
      </x:c>
      <x:c r="D235" s="11" t="n">
        <x:v>7200</x:v>
      </x:c>
      <x:c r="E235" s="11" t="n">
        <x:v>7000</x:v>
      </x:c>
      <x:c r="F235" s="11"/>
      <x:c r="G235" s="11" t="n">
        <x:f>'Option source'!B788</x:f>
        <x:v>494.18</x:v>
      </x:c>
      <x:c r="H235" s="11" t="n">
        <x:f>'Option source'!B769</x:f>
        <x:v>374.39</x:v>
      </x:c>
      <x:c r="I235" s="11"/>
      <x:c r="J235" s="11" t="n">
        <x:f>G235-2*H235+IF(B235="Butterfly",I235,0)</x:f>
        <x:v>-254.59999999999997</x:v>
      </x:c>
      <x:c r="K235" s="11" t="n">
        <x:f>ABS(E235-D235)</x:f>
        <x:v>200</x:v>
      </x:c>
      <x:c r="L235" s="11" t="n">
        <x:f>K235-J235</x:f>
        <x:v>454.59999999999997</x:v>
      </x:c>
      <x:c r="M235" s="11" t="n">
        <x:f>IF(B235="Butterfly",MAX(J235,0),IF(C235="call","Unlimited",MAX(2*E235-D235+J235,J235,0)))</x:f>
        <x:v>6545.4</x:v>
      </x:c>
      <x:c r="N235" s="11" t="n">
        <x:f>IF(B235="Butterfly",IF(AND(J235&gt;0,J235&lt;K235),D235+J235,"n.a."),IF(C235="call",IF(AND(J235&gt;0,J235&lt;K235),D235+J235,"n.a."),IF(AND(K235&gt;J235,2*E235-D235+J235&gt;=0),2*E235-D235+J235,"n.a.")))</x:f>
        <x:v>6545.4</x:v>
      </x:c>
      <x:c r="O235" s="11" t="str">
        <x:f>IF(B235="Butterfly",IF(AND(J235&gt;0,J235&lt;K235),F235-J235,"n.a."),IF(C235="call",IF(K235&gt;J235,2*E235-D235-J235,"n.a."),IF(AND(J235&gt;0,J235&lt;K235),D235-J235,"n.a.")))</x:f>
        <x:v>n.a.</x:v>
      </x:c>
      <x:c r="P235" s="19" t="str">
        <x:f>IF(AND(B235="Butterfly",J235&gt;0,J235&lt;K235),L235/J235,"n.a.")</x:f>
        <x:v>n.a.</x:v>
      </x:c>
      <x:c r="Q235" s="11" t="n">
        <x:f>J235*'Model inputs'!$B$8</x:f>
        <x:v>-25459.999999999996</x:v>
      </x:c>
      <x:c r="R235" s="1" t="str">
        <x:v>Indicative only</x:v>
      </x:c>
      <x:c r="S235" s="1" t="n">
        <x:v>783</x:v>
      </x:c>
      <x:c r="T235" s="1" t="n">
        <x:v>764</x:v>
      </x:c>
    </x:row>
    <x:row r="236" ht="21" customHeight="1">
      <x:c r="A236" s="12" t="n">
        <x:v>46279</x:v>
      </x:c>
      <x:c r="B236" s="1" t="str">
        <x:v>1x2 ratio</x:v>
      </x:c>
      <x:c r="C236" s="1" t="str">
        <x:v>call</x:v>
      </x:c>
      <x:c r="D236" s="11" t="n">
        <x:v>6400</x:v>
      </x:c>
      <x:c r="E236" s="11" t="n">
        <x:v>6600</x:v>
      </x:c>
      <x:c r="F236" s="11"/>
      <x:c r="G236" s="11" t="n">
        <x:f>'Option source'!B218</x:f>
        <x:v>675.11</x:v>
      </x:c>
      <x:c r="H236" s="11" t="n">
        <x:f>'Option source'!B237</x:f>
        <x:v>574.6</x:v>
      </x:c>
      <x:c r="I236" s="11"/>
      <x:c r="J236" s="11" t="n">
        <x:f>G236-2*H236+IF(B236="Butterfly",I236,0)</x:f>
        <x:v>-474.09000000000003</x:v>
      </x:c>
      <x:c r="K236" s="11" t="n">
        <x:f>ABS(E236-D236)</x:f>
        <x:v>200</x:v>
      </x:c>
      <x:c r="L236" s="11" t="n">
        <x:f>K236-J236</x:f>
        <x:v>674.09</x:v>
      </x:c>
      <x:c r="M236" s="11" t="str">
        <x:f>IF(B236="Butterfly",MAX(J236,0),IF(C236="call","Unlimited",MAX(2*E236-D236+J236,J236,0)))</x:f>
        <x:v>Unlimited</x:v>
      </x:c>
      <x:c r="N236" s="11" t="str">
        <x:f>IF(B236="Butterfly",IF(AND(J236&gt;0,J236&lt;K236),D236+J236,"n.a."),IF(C236="call",IF(AND(J236&gt;0,J236&lt;K236),D236+J236,"n.a."),IF(AND(K236&gt;J236,2*E236-D236+J236&gt;=0),2*E236-D236+J236,"n.a.")))</x:f>
        <x:v>n.a.</x:v>
      </x:c>
      <x:c r="O236" s="11" t="n">
        <x:f>IF(B236="Butterfly",IF(AND(J236&gt;0,J236&lt;K236),F236-J236,"n.a."),IF(C236="call",IF(K236&gt;J236,2*E236-D236-J236,"n.a."),IF(AND(J236&gt;0,J236&lt;K236),D236-J236,"n.a.")))</x:f>
        <x:v>7274.09</x:v>
      </x:c>
      <x:c r="P236" s="19" t="str">
        <x:f>IF(AND(B236="Butterfly",J236&gt;0,J236&lt;K236),L236/J236,"n.a.")</x:f>
        <x:v>n.a.</x:v>
      </x:c>
      <x:c r="Q236" s="11" t="n">
        <x:f>J236*'Model inputs'!$B$8</x:f>
        <x:v>-47409</x:v>
      </x:c>
      <x:c r="R236" s="1" t="str">
        <x:v>Indicative only</x:v>
      </x:c>
      <x:c r="S236" s="1" t="n">
        <x:v>213</x:v>
      </x:c>
      <x:c r="T236" s="1" t="n">
        <x:v>232</x:v>
      </x:c>
    </x:row>
    <x:row r="237" ht="21" customHeight="1">
      <x:c r="A237" s="12" t="n">
        <x:v>46279</x:v>
      </x:c>
      <x:c r="B237" s="1" t="str">
        <x:v>1x2 ratio</x:v>
      </x:c>
      <x:c r="C237" s="1" t="str">
        <x:v>put</x:v>
      </x:c>
      <x:c r="D237" s="11" t="n">
        <x:v>6800</x:v>
      </x:c>
      <x:c r="E237" s="11" t="n">
        <x:v>6600</x:v>
      </x:c>
      <x:c r="F237" s="11"/>
      <x:c r="G237" s="11" t="n">
        <x:f>'Option source'!B750</x:f>
        <x:v>275.35</x:v>
      </x:c>
      <x:c r="H237" s="11" t="n">
        <x:f>'Option source'!B731</x:f>
        <x:v>192.29</x:v>
      </x:c>
      <x:c r="I237" s="11"/>
      <x:c r="J237" s="11" t="n">
        <x:f>G237-2*H237+IF(B237="Butterfly",I237,0)</x:f>
        <x:v>-109.22999999999996</x:v>
      </x:c>
      <x:c r="K237" s="11" t="n">
        <x:f>ABS(E237-D237)</x:f>
        <x:v>200</x:v>
      </x:c>
      <x:c r="L237" s="11" t="n">
        <x:f>K237-J237</x:f>
        <x:v>309.22999999999996</x:v>
      </x:c>
      <x:c r="M237" s="11" t="n">
        <x:f>IF(B237="Butterfly",MAX(J237,0),IF(C237="call","Unlimited",MAX(2*E237-D237+J237,J237,0)))</x:f>
        <x:v>6290.77</x:v>
      </x:c>
      <x:c r="N237" s="11" t="n">
        <x:f>IF(B237="Butterfly",IF(AND(J237&gt;0,J237&lt;K237),D237+J237,"n.a."),IF(C237="call",IF(AND(J237&gt;0,J237&lt;K237),D237+J237,"n.a."),IF(AND(K237&gt;J237,2*E237-D237+J237&gt;=0),2*E237-D237+J237,"n.a.")))</x:f>
        <x:v>6290.77</x:v>
      </x:c>
      <x:c r="O237" s="11" t="str">
        <x:f>IF(B237="Butterfly",IF(AND(J237&gt;0,J237&lt;K237),F237-J237,"n.a."),IF(C237="call",IF(K237&gt;J237,2*E237-D237-J237,"n.a."),IF(AND(J237&gt;0,J237&lt;K237),D237-J237,"n.a.")))</x:f>
        <x:v>n.a.</x:v>
      </x:c>
      <x:c r="P237" s="19" t="str">
        <x:f>IF(AND(B237="Butterfly",J237&gt;0,J237&lt;K237),L237/J237,"n.a.")</x:f>
        <x:v>n.a.</x:v>
      </x:c>
      <x:c r="Q237" s="11" t="n">
        <x:f>J237*'Model inputs'!$B$8</x:f>
        <x:v>-10922.999999999996</x:v>
      </x:c>
      <x:c r="R237" s="1" t="str">
        <x:v>Indicative only</x:v>
      </x:c>
      <x:c r="S237" s="1" t="n">
        <x:v>745</x:v>
      </x:c>
      <x:c r="T237" s="1" t="n">
        <x:v>726</x:v>
      </x:c>
    </x:row>
    <x:row r="238" ht="21" customHeight="1">
      <x:c r="A238" s="12" t="n">
        <x:v>46279</x:v>
      </x:c>
      <x:c r="B238" s="1" t="str">
        <x:v>1x2 ratio</x:v>
      </x:c>
      <x:c r="C238" s="1" t="str">
        <x:v>call</x:v>
      </x:c>
      <x:c r="D238" s="11" t="n">
        <x:v>7000</x:v>
      </x:c>
      <x:c r="E238" s="11" t="n">
        <x:v>7200</x:v>
      </x:c>
      <x:c r="F238" s="11"/>
      <x:c r="G238" s="11" t="n">
        <x:f>'Option source'!B275</x:f>
        <x:v>351.33</x:v>
      </x:c>
      <x:c r="H238" s="11" t="n">
        <x:f>'Option source'!B294</x:f>
        <x:v>261.93</x:v>
      </x:c>
      <x:c r="I238" s="11"/>
      <x:c r="J238" s="11" t="n">
        <x:f>G238-2*H238+IF(B238="Butterfly",I238,0)</x:f>
        <x:v>-172.53000000000003</x:v>
      </x:c>
      <x:c r="K238" s="11" t="n">
        <x:f>ABS(E238-D238)</x:f>
        <x:v>200</x:v>
      </x:c>
      <x:c r="L238" s="11" t="n">
        <x:f>K238-J238</x:f>
        <x:v>372.53000000000003</x:v>
      </x:c>
      <x:c r="M238" s="11" t="str">
        <x:f>IF(B238="Butterfly",MAX(J238,0),IF(C238="call","Unlimited",MAX(2*E238-D238+J238,J238,0)))</x:f>
        <x:v>Unlimited</x:v>
      </x:c>
      <x:c r="N238" s="11" t="str">
        <x:f>IF(B238="Butterfly",IF(AND(J238&gt;0,J238&lt;K238),D238+J238,"n.a."),IF(C238="call",IF(AND(J238&gt;0,J238&lt;K238),D238+J238,"n.a."),IF(AND(K238&gt;J238,2*E238-D238+J238&gt;=0),2*E238-D238+J238,"n.a.")))</x:f>
        <x:v>n.a.</x:v>
      </x:c>
      <x:c r="O238" s="11" t="n">
        <x:f>IF(B238="Butterfly",IF(AND(J238&gt;0,J238&lt;K238),F238-J238,"n.a."),IF(C238="call",IF(K238&gt;J238,2*E238-D238-J238,"n.a."),IF(AND(J238&gt;0,J238&lt;K238),D238-J238,"n.a.")))</x:f>
        <x:v>7572.53</x:v>
      </x:c>
      <x:c r="P238" s="19" t="str">
        <x:f>IF(AND(B238="Butterfly",J238&gt;0,J238&lt;K238),L238/J238,"n.a.")</x:f>
        <x:v>n.a.</x:v>
      </x:c>
      <x:c r="Q238" s="11" t="n">
        <x:f>J238*'Model inputs'!$B$8</x:f>
        <x:v>-17253.000000000004</x:v>
      </x:c>
      <x:c r="R238" s="1" t="str">
        <x:v>Indicative only</x:v>
      </x:c>
      <x:c r="S238" s="1" t="n">
        <x:v>270</x:v>
      </x:c>
      <x:c r="T238" s="1" t="n">
        <x:v>289</x:v>
      </x:c>
    </x:row>
    <x:row r="239" ht="21" customHeight="1">
      <x:c r="A239" s="12" t="n">
        <x:v>46279</x:v>
      </x:c>
      <x:c r="B239" s="1" t="str">
        <x:v>1x2 ratio</x:v>
      </x:c>
      <x:c r="C239" s="1" t="str">
        <x:v>put</x:v>
      </x:c>
      <x:c r="D239" s="11" t="n">
        <x:v>7400</x:v>
      </x:c>
      <x:c r="E239" s="11" t="n">
        <x:v>7200</x:v>
      </x:c>
      <x:c r="F239" s="11"/>
      <x:c r="G239" s="11" t="n">
        <x:f>'Option source'!B807</x:f>
        <x:v>619.04</x:v>
      </x:c>
      <x:c r="H239" s="11" t="n">
        <x:f>'Option source'!B788</x:f>
        <x:v>494.18</x:v>
      </x:c>
      <x:c r="I239" s="11"/>
      <x:c r="J239" s="11" t="n">
        <x:f>G239-2*H239+IF(B239="Butterfly",I239,0)</x:f>
        <x:v>-369.32000000000005</x:v>
      </x:c>
      <x:c r="K239" s="11" t="n">
        <x:f>ABS(E239-D239)</x:f>
        <x:v>200</x:v>
      </x:c>
      <x:c r="L239" s="11" t="n">
        <x:f>K239-J239</x:f>
        <x:v>569.32</x:v>
      </x:c>
      <x:c r="M239" s="11" t="n">
        <x:f>IF(B239="Butterfly",MAX(J239,0),IF(C239="call","Unlimited",MAX(2*E239-D239+J239,J239,0)))</x:f>
        <x:v>6630.68</x:v>
      </x:c>
      <x:c r="N239" s="11" t="n">
        <x:f>IF(B239="Butterfly",IF(AND(J239&gt;0,J239&lt;K239),D239+J239,"n.a."),IF(C239="call",IF(AND(J239&gt;0,J239&lt;K239),D239+J239,"n.a."),IF(AND(K239&gt;J239,2*E239-D239+J239&gt;=0),2*E239-D239+J239,"n.a.")))</x:f>
        <x:v>6630.68</x:v>
      </x:c>
      <x:c r="O239" s="11" t="str">
        <x:f>IF(B239="Butterfly",IF(AND(J239&gt;0,J239&lt;K239),F239-J239,"n.a."),IF(C239="call",IF(K239&gt;J239,2*E239-D239-J239,"n.a."),IF(AND(J239&gt;0,J239&lt;K239),D239-J239,"n.a.")))</x:f>
        <x:v>n.a.</x:v>
      </x:c>
      <x:c r="P239" s="19" t="str">
        <x:f>IF(AND(B239="Butterfly",J239&gt;0,J239&lt;K239),L239/J239,"n.a.")</x:f>
        <x:v>n.a.</x:v>
      </x:c>
      <x:c r="Q239" s="11" t="n">
        <x:f>J239*'Model inputs'!$B$8</x:f>
        <x:v>-36932.00000000001</x:v>
      </x:c>
      <x:c r="R239" s="1" t="str">
        <x:v>Indicative only</x:v>
      </x:c>
      <x:c r="S239" s="1" t="n">
        <x:v>802</x:v>
      </x:c>
      <x:c r="T239" s="1" t="n">
        <x:v>783</x:v>
      </x:c>
    </x:row>
    <x:row r="240" ht="21" customHeight="1">
      <x:c r="A240" s="12" t="n">
        <x:v>46279</x:v>
      </x:c>
      <x:c r="B240" s="1" t="str">
        <x:v>1x2 ratio</x:v>
      </x:c>
      <x:c r="C240" s="1" t="str">
        <x:v>call</x:v>
      </x:c>
      <x:c r="D240" s="11" t="n">
        <x:v>6200</x:v>
      </x:c>
      <x:c r="E240" s="11" t="n">
        <x:v>6400</x:v>
      </x:c>
      <x:c r="F240" s="11"/>
      <x:c r="G240" s="11" t="n">
        <x:f>'Option source'!B199</x:f>
        <x:v>847.81</x:v>
      </x:c>
      <x:c r="H240" s="11" t="n">
        <x:f>'Option source'!B218</x:f>
        <x:v>675.11</x:v>
      </x:c>
      <x:c r="I240" s="11"/>
      <x:c r="J240" s="11" t="n">
        <x:f>G240-2*H240+IF(B240="Butterfly",I240,0)</x:f>
        <x:v>-502.4100000000001</x:v>
      </x:c>
      <x:c r="K240" s="11" t="n">
        <x:f>ABS(E240-D240)</x:f>
        <x:v>200</x:v>
      </x:c>
      <x:c r="L240" s="11" t="n">
        <x:f>K240-J240</x:f>
        <x:v>702.4100000000001</x:v>
      </x:c>
      <x:c r="M240" s="11" t="str">
        <x:f>IF(B240="Butterfly",MAX(J240,0),IF(C240="call","Unlimited",MAX(2*E240-D240+J240,J240,0)))</x:f>
        <x:v>Unlimited</x:v>
      </x:c>
      <x:c r="N240" s="11" t="str">
        <x:f>IF(B240="Butterfly",IF(AND(J240&gt;0,J240&lt;K240),D240+J240,"n.a."),IF(C240="call",IF(AND(J240&gt;0,J240&lt;K240),D240+J240,"n.a."),IF(AND(K240&gt;J240,2*E240-D240+J240&gt;=0),2*E240-D240+J240,"n.a.")))</x:f>
        <x:v>n.a.</x:v>
      </x:c>
      <x:c r="O240" s="11" t="n">
        <x:f>IF(B240="Butterfly",IF(AND(J240&gt;0,J240&lt;K240),F240-J240,"n.a."),IF(C240="call",IF(K240&gt;J240,2*E240-D240-J240,"n.a."),IF(AND(J240&gt;0,J240&lt;K240),D240-J240,"n.a.")))</x:f>
        <x:v>7102.41</x:v>
      </x:c>
      <x:c r="P240" s="19" t="str">
        <x:f>IF(AND(B240="Butterfly",J240&gt;0,J240&lt;K240),L240/J240,"n.a.")</x:f>
        <x:v>n.a.</x:v>
      </x:c>
      <x:c r="Q240" s="11" t="n">
        <x:f>J240*'Model inputs'!$B$8</x:f>
        <x:v>-50241.00000000001</x:v>
      </x:c>
      <x:c r="R240" s="1" t="str">
        <x:v>Indicative only</x:v>
      </x:c>
      <x:c r="S240" s="1" t="n">
        <x:v>194</x:v>
      </x:c>
      <x:c r="T240" s="1" t="n">
        <x:v>213</x:v>
      </x:c>
    </x:row>
    <x:row r="241" ht="21" customHeight="1">
      <x:c r="A241" s="12" t="n">
        <x:v>46279</x:v>
      </x:c>
      <x:c r="B241" s="1" t="str">
        <x:v>1x2 ratio</x:v>
      </x:c>
      <x:c r="C241" s="1" t="str">
        <x:v>put</x:v>
      </x:c>
      <x:c r="D241" s="11" t="n">
        <x:v>6600</x:v>
      </x:c>
      <x:c r="E241" s="11" t="n">
        <x:v>6400</x:v>
      </x:c>
      <x:c r="F241" s="11"/>
      <x:c r="G241" s="11" t="n">
        <x:f>'Option source'!B731</x:f>
        <x:v>192.29</x:v>
      </x:c>
      <x:c r="H241" s="11" t="n">
        <x:f>'Option source'!B712</x:f>
        <x:v>130.18</x:v>
      </x:c>
      <x:c r="I241" s="11"/>
      <x:c r="J241" s="11" t="n">
        <x:f>G241-2*H241+IF(B241="Butterfly",I241,0)</x:f>
        <x:v>-68.07000000000002</x:v>
      </x:c>
      <x:c r="K241" s="11" t="n">
        <x:f>ABS(E241-D241)</x:f>
        <x:v>200</x:v>
      </x:c>
      <x:c r="L241" s="11" t="n">
        <x:f>K241-J241</x:f>
        <x:v>268.07000000000005</x:v>
      </x:c>
      <x:c r="M241" s="11" t="n">
        <x:f>IF(B241="Butterfly",MAX(J241,0),IF(C241="call","Unlimited",MAX(2*E241-D241+J241,J241,0)))</x:f>
        <x:v>6131.93</x:v>
      </x:c>
      <x:c r="N241" s="11" t="n">
        <x:f>IF(B241="Butterfly",IF(AND(J241&gt;0,J241&lt;K241),D241+J241,"n.a."),IF(C241="call",IF(AND(J241&gt;0,J241&lt;K241),D241+J241,"n.a."),IF(AND(K241&gt;J241,2*E241-D241+J241&gt;=0),2*E241-D241+J241,"n.a.")))</x:f>
        <x:v>6131.93</x:v>
      </x:c>
      <x:c r="O241" s="11" t="str">
        <x:f>IF(B241="Butterfly",IF(AND(J241&gt;0,J241&lt;K241),F241-J241,"n.a."),IF(C241="call",IF(K241&gt;J241,2*E241-D241-J241,"n.a."),IF(AND(J241&gt;0,J241&lt;K241),D241-J241,"n.a.")))</x:f>
        <x:v>n.a.</x:v>
      </x:c>
      <x:c r="P241" s="19" t="str">
        <x:f>IF(AND(B241="Butterfly",J241&gt;0,J241&lt;K241),L241/J241,"n.a.")</x:f>
        <x:v>n.a.</x:v>
      </x:c>
      <x:c r="Q241" s="11" t="n">
        <x:f>J241*'Model inputs'!$B$8</x:f>
        <x:v>-6807.000000000002</x:v>
      </x:c>
      <x:c r="R241" s="1" t="str">
        <x:v>Indicative only</x:v>
      </x:c>
      <x:c r="S241" s="1" t="n">
        <x:v>726</x:v>
      </x:c>
      <x:c r="T241" s="1" t="n">
        <x:v>707</x:v>
      </x:c>
    </x:row>
    <x:row r="242" ht="21" customHeight="1">
      <x:c r="A242" s="12" t="n">
        <x:v>46279</x:v>
      </x:c>
      <x:c r="B242" s="1" t="str">
        <x:v>1x2 ratio</x:v>
      </x:c>
      <x:c r="C242" s="1" t="str">
        <x:v>call</x:v>
      </x:c>
      <x:c r="D242" s="11" t="n">
        <x:v>7200</x:v>
      </x:c>
      <x:c r="E242" s="11" t="n">
        <x:v>7400</x:v>
      </x:c>
      <x:c r="F242" s="11"/>
      <x:c r="G242" s="11" t="n">
        <x:f>'Option source'!B294</x:f>
        <x:v>261.93</x:v>
      </x:c>
      <x:c r="H242" s="11" t="n">
        <x:f>'Option source'!B313</x:f>
        <x:v>198.36</x:v>
      </x:c>
      <x:c r="I242" s="11"/>
      <x:c r="J242" s="11" t="n">
        <x:f>G242-2*H242+IF(B242="Butterfly",I242,0)</x:f>
        <x:v>-134.79000000000002</x:v>
      </x:c>
      <x:c r="K242" s="11" t="n">
        <x:f>ABS(E242-D242)</x:f>
        <x:v>200</x:v>
      </x:c>
      <x:c r="L242" s="11" t="n">
        <x:f>K242-J242</x:f>
        <x:v>334.79</x:v>
      </x:c>
      <x:c r="M242" s="11" t="str">
        <x:f>IF(B242="Butterfly",MAX(J242,0),IF(C242="call","Unlimited",MAX(2*E242-D242+J242,J242,0)))</x:f>
        <x:v>Unlimited</x:v>
      </x:c>
      <x:c r="N242" s="11" t="str">
        <x:f>IF(B242="Butterfly",IF(AND(J242&gt;0,J242&lt;K242),D242+J242,"n.a."),IF(C242="call",IF(AND(J242&gt;0,J242&lt;K242),D242+J242,"n.a."),IF(AND(K242&gt;J242,2*E242-D242+J242&gt;=0),2*E242-D242+J242,"n.a.")))</x:f>
        <x:v>n.a.</x:v>
      </x:c>
      <x:c r="O242" s="11" t="n">
        <x:f>IF(B242="Butterfly",IF(AND(J242&gt;0,J242&lt;K242),F242-J242,"n.a."),IF(C242="call",IF(K242&gt;J242,2*E242-D242-J242,"n.a."),IF(AND(J242&gt;0,J242&lt;K242),D242-J242,"n.a.")))</x:f>
        <x:v>7734.79</x:v>
      </x:c>
      <x:c r="P242" s="19" t="str">
        <x:f>IF(AND(B242="Butterfly",J242&gt;0,J242&lt;K242),L242/J242,"n.a.")</x:f>
        <x:v>n.a.</x:v>
      </x:c>
      <x:c r="Q242" s="11" t="n">
        <x:f>J242*'Model inputs'!$B$8</x:f>
        <x:v>-13479.000000000002</x:v>
      </x:c>
      <x:c r="R242" s="1" t="str">
        <x:v>Indicative only</x:v>
      </x:c>
      <x:c r="S242" s="1" t="n">
        <x:v>289</x:v>
      </x:c>
      <x:c r="T242" s="1" t="n">
        <x:v>308</x:v>
      </x:c>
    </x:row>
    <x:row r="243" ht="21" customHeight="1">
      <x:c r="A243" s="12" t="n">
        <x:v>46279</x:v>
      </x:c>
      <x:c r="B243" s="1" t="str">
        <x:v>1x2 ratio</x:v>
      </x:c>
      <x:c r="C243" s="1" t="str">
        <x:v>put</x:v>
      </x:c>
      <x:c r="D243" s="11" t="n">
        <x:v>7600</x:v>
      </x:c>
      <x:c r="E243" s="11" t="n">
        <x:v>7400</x:v>
      </x:c>
      <x:c r="F243" s="11"/>
      <x:c r="G243" s="11" t="n">
        <x:f>'Option source'!B826</x:f>
        <x:v>775.5</x:v>
      </x:c>
      <x:c r="H243" s="11" t="n">
        <x:f>'Option source'!B807</x:f>
        <x:v>619.04</x:v>
      </x:c>
      <x:c r="I243" s="11"/>
      <x:c r="J243" s="11" t="n">
        <x:f>G243-2*H243+IF(B243="Butterfly",I243,0)</x:f>
        <x:v>-462.5799999999999</x:v>
      </x:c>
      <x:c r="K243" s="11" t="n">
        <x:f>ABS(E243-D243)</x:f>
        <x:v>200</x:v>
      </x:c>
      <x:c r="L243" s="11" t="n">
        <x:f>K243-J243</x:f>
        <x:v>662.5799999999999</x:v>
      </x:c>
      <x:c r="M243" s="11" t="n">
        <x:f>IF(B243="Butterfly",MAX(J243,0),IF(C243="call","Unlimited",MAX(2*E243-D243+J243,J243,0)))</x:f>
        <x:v>6737.42</x:v>
      </x:c>
      <x:c r="N243" s="11" t="n">
        <x:f>IF(B243="Butterfly",IF(AND(J243&gt;0,J243&lt;K243),D243+J243,"n.a."),IF(C243="call",IF(AND(J243&gt;0,J243&lt;K243),D243+J243,"n.a."),IF(AND(K243&gt;J243,2*E243-D243+J243&gt;=0),2*E243-D243+J243,"n.a.")))</x:f>
        <x:v>6737.42</x:v>
      </x:c>
      <x:c r="O243" s="11" t="str">
        <x:f>IF(B243="Butterfly",IF(AND(J243&gt;0,J243&lt;K243),F243-J243,"n.a."),IF(C243="call",IF(K243&gt;J243,2*E243-D243-J243,"n.a."),IF(AND(J243&gt;0,J243&lt;K243),D243-J243,"n.a.")))</x:f>
        <x:v>n.a.</x:v>
      </x:c>
      <x:c r="P243" s="19" t="str">
        <x:f>IF(AND(B243="Butterfly",J243&gt;0,J243&lt;K243),L243/J243,"n.a.")</x:f>
        <x:v>n.a.</x:v>
      </x:c>
      <x:c r="Q243" s="11" t="n">
        <x:f>J243*'Model inputs'!$B$8</x:f>
        <x:v>-46257.99999999999</x:v>
      </x:c>
      <x:c r="R243" s="1" t="str">
        <x:v>Indicative only</x:v>
      </x:c>
      <x:c r="S243" s="1" t="n">
        <x:v>821</x:v>
      </x:c>
      <x:c r="T243" s="1" t="n">
        <x:v>802</x:v>
      </x:c>
    </x:row>
    <x:row r="244" ht="21" customHeight="1">
      <x:c r="A244" s="12" t="n">
        <x:v>46279</x:v>
      </x:c>
      <x:c r="B244" s="1" t="str">
        <x:v>1x2 ratio</x:v>
      </x:c>
      <x:c r="C244" s="1" t="str">
        <x:v>call</x:v>
      </x:c>
      <x:c r="D244" s="11" t="n">
        <x:v>6000</x:v>
      </x:c>
      <x:c r="E244" s="11" t="n">
        <x:v>6200</x:v>
      </x:c>
      <x:c r="F244" s="11"/>
      <x:c r="G244" s="11" t="n">
        <x:f>'Option source'!B180</x:f>
        <x:v>1010</x:v>
      </x:c>
      <x:c r="H244" s="11" t="n">
        <x:f>'Option source'!B199</x:f>
        <x:v>847.81</x:v>
      </x:c>
      <x:c r="I244" s="11"/>
      <x:c r="J244" s="11" t="n">
        <x:f>G244-2*H244+IF(B244="Butterfly",I244,0)</x:f>
        <x:v>-685.6199999999999</x:v>
      </x:c>
      <x:c r="K244" s="11" t="n">
        <x:f>ABS(E244-D244)</x:f>
        <x:v>200</x:v>
      </x:c>
      <x:c r="L244" s="11" t="n">
        <x:f>K244-J244</x:f>
        <x:v>885.6199999999999</x:v>
      </x:c>
      <x:c r="M244" s="11" t="str">
        <x:f>IF(B244="Butterfly",MAX(J244,0),IF(C244="call","Unlimited",MAX(2*E244-D244+J244,J244,0)))</x:f>
        <x:v>Unlimited</x:v>
      </x:c>
      <x:c r="N244" s="11" t="str">
        <x:f>IF(B244="Butterfly",IF(AND(J244&gt;0,J244&lt;K244),D244+J244,"n.a."),IF(C244="call",IF(AND(J244&gt;0,J244&lt;K244),D244+J244,"n.a."),IF(AND(K244&gt;J244,2*E244-D244+J244&gt;=0),2*E244-D244+J244,"n.a.")))</x:f>
        <x:v>n.a.</x:v>
      </x:c>
      <x:c r="O244" s="11" t="n">
        <x:f>IF(B244="Butterfly",IF(AND(J244&gt;0,J244&lt;K244),F244-J244,"n.a."),IF(C244="call",IF(K244&gt;J244,2*E244-D244-J244,"n.a."),IF(AND(J244&gt;0,J244&lt;K244),D244-J244,"n.a.")))</x:f>
        <x:v>7085.62</x:v>
      </x:c>
      <x:c r="P244" s="19" t="str">
        <x:f>IF(AND(B244="Butterfly",J244&gt;0,J244&lt;K244),L244/J244,"n.a.")</x:f>
        <x:v>n.a.</x:v>
      </x:c>
      <x:c r="Q244" s="11" t="n">
        <x:f>J244*'Model inputs'!$B$8</x:f>
        <x:v>-68561.99999999999</x:v>
      </x:c>
      <x:c r="R244" s="1" t="str">
        <x:v>Indicative only</x:v>
      </x:c>
      <x:c r="S244" s="1" t="n">
        <x:v>175</x:v>
      </x:c>
      <x:c r="T244" s="1" t="n">
        <x:v>194</x:v>
      </x:c>
    </x:row>
    <x:row r="245" ht="21" customHeight="1">
      <x:c r="A245" s="12" t="n">
        <x:v>46279</x:v>
      </x:c>
      <x:c r="B245" s="1" t="str">
        <x:v>1x2 ratio</x:v>
      </x:c>
      <x:c r="C245" s="1" t="str">
        <x:v>put</x:v>
      </x:c>
      <x:c r="D245" s="11" t="n">
        <x:v>6400</x:v>
      </x:c>
      <x:c r="E245" s="11" t="n">
        <x:v>6200</x:v>
      </x:c>
      <x:c r="F245" s="11"/>
      <x:c r="G245" s="11" t="n">
        <x:f>'Option source'!B712</x:f>
        <x:v>130.18</x:v>
      </x:c>
      <x:c r="H245" s="11" t="n">
        <x:f>'Option source'!B693</x:f>
        <x:v>81.68</x:v>
      </x:c>
      <x:c r="I245" s="11"/>
      <x:c r="J245" s="11" t="n">
        <x:f>G245-2*H245+IF(B245="Butterfly",I245,0)</x:f>
        <x:v>-33.18000000000001</x:v>
      </x:c>
      <x:c r="K245" s="11" t="n">
        <x:f>ABS(E245-D245)</x:f>
        <x:v>200</x:v>
      </x:c>
      <x:c r="L245" s="11" t="n">
        <x:f>K245-J245</x:f>
        <x:v>233.18</x:v>
      </x:c>
      <x:c r="M245" s="11" t="n">
        <x:f>IF(B245="Butterfly",MAX(J245,0),IF(C245="call","Unlimited",MAX(2*E245-D245+J245,J245,0)))</x:f>
        <x:v>5966.82</x:v>
      </x:c>
      <x:c r="N245" s="11" t="n">
        <x:f>IF(B245="Butterfly",IF(AND(J245&gt;0,J245&lt;K245),D245+J245,"n.a."),IF(C245="call",IF(AND(J245&gt;0,J245&lt;K245),D245+J245,"n.a."),IF(AND(K245&gt;J245,2*E245-D245+J245&gt;=0),2*E245-D245+J245,"n.a.")))</x:f>
        <x:v>5966.82</x:v>
      </x:c>
      <x:c r="O245" s="11" t="str">
        <x:f>IF(B245="Butterfly",IF(AND(J245&gt;0,J245&lt;K245),F245-J245,"n.a."),IF(C245="call",IF(K245&gt;J245,2*E245-D245-J245,"n.a."),IF(AND(J245&gt;0,J245&lt;K245),D245-J245,"n.a.")))</x:f>
        <x:v>n.a.</x:v>
      </x:c>
      <x:c r="P245" s="19" t="str">
        <x:f>IF(AND(B245="Butterfly",J245&gt;0,J245&lt;K245),L245/J245,"n.a.")</x:f>
        <x:v>n.a.</x:v>
      </x:c>
      <x:c r="Q245" s="11" t="n">
        <x:f>J245*'Model inputs'!$B$8</x:f>
        <x:v>-3318.000000000001</x:v>
      </x:c>
      <x:c r="R245" s="1" t="str">
        <x:v>Indicative only</x:v>
      </x:c>
      <x:c r="S245" s="1" t="n">
        <x:v>707</x:v>
      </x:c>
      <x:c r="T245" s="1" t="n">
        <x:v>688</x:v>
      </x:c>
    </x:row>
    <x:row r="246" ht="21" customHeight="1">
      <x:c r="A246" s="12" t="n">
        <x:v>46279</x:v>
      </x:c>
      <x:c r="B246" s="1" t="str">
        <x:v>1x2 ratio</x:v>
      </x:c>
      <x:c r="C246" s="1" t="str">
        <x:v>call</x:v>
      </x:c>
      <x:c r="D246" s="11" t="n">
        <x:v>7400</x:v>
      </x:c>
      <x:c r="E246" s="11" t="n">
        <x:v>7600</x:v>
      </x:c>
      <x:c r="F246" s="11"/>
      <x:c r="G246" s="11" t="n">
        <x:f>'Option source'!B313</x:f>
        <x:v>198.36</x:v>
      </x:c>
      <x:c r="H246" s="11" t="n">
        <x:f>'Option source'!B332</x:f>
        <x:v>145.5</x:v>
      </x:c>
      <x:c r="I246" s="11"/>
      <x:c r="J246" s="11" t="n">
        <x:f>G246-2*H246+IF(B246="Butterfly",I246,0)</x:f>
        <x:v>-92.63999999999999</x:v>
      </x:c>
      <x:c r="K246" s="11" t="n">
        <x:f>ABS(E246-D246)</x:f>
        <x:v>200</x:v>
      </x:c>
      <x:c r="L246" s="11" t="n">
        <x:f>K246-J246</x:f>
        <x:v>292.64</x:v>
      </x:c>
      <x:c r="M246" s="11" t="str">
        <x:f>IF(B246="Butterfly",MAX(J246,0),IF(C246="call","Unlimited",MAX(2*E246-D246+J246,J246,0)))</x:f>
        <x:v>Unlimited</x:v>
      </x:c>
      <x:c r="N246" s="11" t="str">
        <x:f>IF(B246="Butterfly",IF(AND(J246&gt;0,J246&lt;K246),D246+J246,"n.a."),IF(C246="call",IF(AND(J246&gt;0,J246&lt;K246),D246+J246,"n.a."),IF(AND(K246&gt;J246,2*E246-D246+J246&gt;=0),2*E246-D246+J246,"n.a.")))</x:f>
        <x:v>n.a.</x:v>
      </x:c>
      <x:c r="O246" s="11" t="n">
        <x:f>IF(B246="Butterfly",IF(AND(J246&gt;0,J246&lt;K246),F246-J246,"n.a."),IF(C246="call",IF(K246&gt;J246,2*E246-D246-J246,"n.a."),IF(AND(J246&gt;0,J246&lt;K246),D246-J246,"n.a.")))</x:f>
        <x:v>7892.64</x:v>
      </x:c>
      <x:c r="P246" s="19" t="str">
        <x:f>IF(AND(B246="Butterfly",J246&gt;0,J246&lt;K246),L246/J246,"n.a.")</x:f>
        <x:v>n.a.</x:v>
      </x:c>
      <x:c r="Q246" s="11" t="n">
        <x:f>J246*'Model inputs'!$B$8</x:f>
        <x:v>-9263.999999999998</x:v>
      </x:c>
      <x:c r="R246" s="1" t="str">
        <x:v>Indicative only</x:v>
      </x:c>
      <x:c r="S246" s="1" t="n">
        <x:v>308</x:v>
      </x:c>
      <x:c r="T246" s="1" t="n">
        <x:v>327</x:v>
      </x:c>
    </x:row>
    <x:row r="247" ht="21" customHeight="1">
      <x:c r="A247" s="12" t="n">
        <x:v>46279</x:v>
      </x:c>
      <x:c r="B247" s="1" t="str">
        <x:v>1x2 ratio</x:v>
      </x:c>
      <x:c r="C247" s="1" t="str">
        <x:v>call</x:v>
      </x:c>
      <x:c r="D247" s="11" t="n">
        <x:v>5800</x:v>
      </x:c>
      <x:c r="E247" s="11" t="n">
        <x:v>6000</x:v>
      </x:c>
      <x:c r="F247" s="11"/>
      <x:c r="G247" s="11" t="n">
        <x:f>'Option source'!B161</x:f>
        <x:v>1198.65</x:v>
      </x:c>
      <x:c r="H247" s="11" t="n">
        <x:f>'Option source'!B180</x:f>
        <x:v>1010</x:v>
      </x:c>
      <x:c r="I247" s="11"/>
      <x:c r="J247" s="11" t="n">
        <x:f>G247-2*H247+IF(B247="Butterfly",I247,0)</x:f>
        <x:v>-821.3499999999999</x:v>
      </x:c>
      <x:c r="K247" s="11" t="n">
        <x:f>ABS(E247-D247)</x:f>
        <x:v>200</x:v>
      </x:c>
      <x:c r="L247" s="11" t="n">
        <x:f>K247-J247</x:f>
        <x:v>1021.3499999999999</x:v>
      </x:c>
      <x:c r="M247" s="11" t="str">
        <x:f>IF(B247="Butterfly",MAX(J247,0),IF(C247="call","Unlimited",MAX(2*E247-D247+J247,J247,0)))</x:f>
        <x:v>Unlimited</x:v>
      </x:c>
      <x:c r="N247" s="11" t="str">
        <x:f>IF(B247="Butterfly",IF(AND(J247&gt;0,J247&lt;K247),D247+J247,"n.a."),IF(C247="call",IF(AND(J247&gt;0,J247&lt;K247),D247+J247,"n.a."),IF(AND(K247&gt;J247,2*E247-D247+J247&gt;=0),2*E247-D247+J247,"n.a.")))</x:f>
        <x:v>n.a.</x:v>
      </x:c>
      <x:c r="O247" s="11" t="n">
        <x:f>IF(B247="Butterfly",IF(AND(J247&gt;0,J247&lt;K247),F247-J247,"n.a."),IF(C247="call",IF(K247&gt;J247,2*E247-D247-J247,"n.a."),IF(AND(J247&gt;0,J247&lt;K247),D247-J247,"n.a.")))</x:f>
        <x:v>7021.35</x:v>
      </x:c>
      <x:c r="P247" s="19" t="str">
        <x:f>IF(AND(B247="Butterfly",J247&gt;0,J247&lt;K247),L247/J247,"n.a.")</x:f>
        <x:v>n.a.</x:v>
      </x:c>
      <x:c r="Q247" s="11" t="n">
        <x:f>J247*'Model inputs'!$B$8</x:f>
        <x:v>-82134.99999999999</x:v>
      </x:c>
      <x:c r="R247" s="1" t="str">
        <x:v>Indicative only</x:v>
      </x:c>
      <x:c r="S247" s="1" t="n">
        <x:v>156</x:v>
      </x:c>
      <x:c r="T247" s="1" t="n">
        <x:v>175</x:v>
      </x:c>
    </x:row>
    <x:row r="248" ht="21" customHeight="1">
      <x:c r="A248" s="12" t="n">
        <x:v>46279</x:v>
      </x:c>
      <x:c r="B248" s="1" t="str">
        <x:v>1x2 ratio</x:v>
      </x:c>
      <x:c r="C248" s="1" t="str">
        <x:v>put</x:v>
      </x:c>
      <x:c r="D248" s="11" t="n">
        <x:v>6200</x:v>
      </x:c>
      <x:c r="E248" s="11" t="n">
        <x:v>6000</x:v>
      </x:c>
      <x:c r="F248" s="11"/>
      <x:c r="G248" s="11" t="n">
        <x:f>'Option source'!B693</x:f>
        <x:v>81.68</x:v>
      </x:c>
      <x:c r="H248" s="11" t="n">
        <x:f>'Option source'!B674</x:f>
        <x:v>48.24</x:v>
      </x:c>
      <x:c r="I248" s="11"/>
      <x:c r="J248" s="11" t="n">
        <x:f>G248-2*H248+IF(B248="Butterfly",I248,0)</x:f>
        <x:v>-14.799999999999997</x:v>
      </x:c>
      <x:c r="K248" s="11" t="n">
        <x:f>ABS(E248-D248)</x:f>
        <x:v>200</x:v>
      </x:c>
      <x:c r="L248" s="11" t="n">
        <x:f>K248-J248</x:f>
        <x:v>214.8</x:v>
      </x:c>
      <x:c r="M248" s="11" t="n">
        <x:f>IF(B248="Butterfly",MAX(J248,0),IF(C248="call","Unlimited",MAX(2*E248-D248+J248,J248,0)))</x:f>
        <x:v>5785.2</x:v>
      </x:c>
      <x:c r="N248" s="11" t="n">
        <x:f>IF(B248="Butterfly",IF(AND(J248&gt;0,J248&lt;K248),D248+J248,"n.a."),IF(C248="call",IF(AND(J248&gt;0,J248&lt;K248),D248+J248,"n.a."),IF(AND(K248&gt;J248,2*E248-D248+J248&gt;=0),2*E248-D248+J248,"n.a.")))</x:f>
        <x:v>5785.2</x:v>
      </x:c>
      <x:c r="O248" s="11" t="str">
        <x:f>IF(B248="Butterfly",IF(AND(J248&gt;0,J248&lt;K248),F248-J248,"n.a."),IF(C248="call",IF(K248&gt;J248,2*E248-D248-J248,"n.a."),IF(AND(J248&gt;0,J248&lt;K248),D248-J248,"n.a.")))</x:f>
        <x:v>n.a.</x:v>
      </x:c>
      <x:c r="P248" s="19" t="str">
        <x:f>IF(AND(B248="Butterfly",J248&gt;0,J248&lt;K248),L248/J248,"n.a.")</x:f>
        <x:v>n.a.</x:v>
      </x:c>
      <x:c r="Q248" s="11" t="n">
        <x:f>J248*'Model inputs'!$B$8</x:f>
        <x:v>-1479.9999999999998</x:v>
      </x:c>
      <x:c r="R248" s="1" t="str">
        <x:v>Indicative only</x:v>
      </x:c>
      <x:c r="S248" s="1" t="n">
        <x:v>688</x:v>
      </x:c>
      <x:c r="T248" s="1" t="n">
        <x:v>669</x:v>
      </x:c>
    </x:row>
    <x:row r="249" ht="21" customHeight="1">
      <x:c r="A249" s="12" t="n">
        <x:v>46279</x:v>
      </x:c>
      <x:c r="B249" s="1" t="str">
        <x:v>1x2 ratio</x:v>
      </x:c>
      <x:c r="C249" s="1" t="str">
        <x:v>call</x:v>
      </x:c>
      <x:c r="D249" s="11" t="n">
        <x:v>7600</x:v>
      </x:c>
      <x:c r="E249" s="11" t="n">
        <x:v>7800</x:v>
      </x:c>
      <x:c r="F249" s="11"/>
      <x:c r="G249" s="11" t="n">
        <x:f>'Option source'!B332</x:f>
        <x:v>145.5</x:v>
      </x:c>
      <x:c r="H249" s="11" t="n">
        <x:f>'Option source'!B351</x:f>
        <x:v>104.78</x:v>
      </x:c>
      <x:c r="I249" s="11"/>
      <x:c r="J249" s="11" t="n">
        <x:f>G249-2*H249+IF(B249="Butterfly",I249,0)</x:f>
        <x:v>-64.06</x:v>
      </x:c>
      <x:c r="K249" s="11" t="n">
        <x:f>ABS(E249-D249)</x:f>
        <x:v>200</x:v>
      </x:c>
      <x:c r="L249" s="11" t="n">
        <x:f>K249-J249</x:f>
        <x:v>264.06</x:v>
      </x:c>
      <x:c r="M249" s="11" t="str">
        <x:f>IF(B249="Butterfly",MAX(J249,0),IF(C249="call","Unlimited",MAX(2*E249-D249+J249,J249,0)))</x:f>
        <x:v>Unlimited</x:v>
      </x:c>
      <x:c r="N249" s="11" t="str">
        <x:f>IF(B249="Butterfly",IF(AND(J249&gt;0,J249&lt;K249),D249+J249,"n.a."),IF(C249="call",IF(AND(J249&gt;0,J249&lt;K249),D249+J249,"n.a."),IF(AND(K249&gt;J249,2*E249-D249+J249&gt;=0),2*E249-D249+J249,"n.a.")))</x:f>
        <x:v>n.a.</x:v>
      </x:c>
      <x:c r="O249" s="11" t="n">
        <x:f>IF(B249="Butterfly",IF(AND(J249&gt;0,J249&lt;K249),F249-J249,"n.a."),IF(C249="call",IF(K249&gt;J249,2*E249-D249-J249,"n.a."),IF(AND(J249&gt;0,J249&lt;K249),D249-J249,"n.a.")))</x:f>
        <x:v>8064.06</x:v>
      </x:c>
      <x:c r="P249" s="19" t="str">
        <x:f>IF(AND(B249="Butterfly",J249&gt;0,J249&lt;K249),L249/J249,"n.a.")</x:f>
        <x:v>n.a.</x:v>
      </x:c>
      <x:c r="Q249" s="11" t="n">
        <x:f>J249*'Model inputs'!$B$8</x:f>
        <x:v>-6406</x:v>
      </x:c>
      <x:c r="R249" s="1" t="str">
        <x:v>Indicative only</x:v>
      </x:c>
      <x:c r="S249" s="1" t="n">
        <x:v>327</x:v>
      </x:c>
      <x:c r="T249" s="1" t="n">
        <x:v>346</x:v>
      </x:c>
    </x:row>
    <x:row r="250" ht="21" customHeight="1">
      <x:c r="A250" s="12" t="n">
        <x:v>46279</x:v>
      </x:c>
      <x:c r="B250" s="1" t="str">
        <x:v>1x2 ratio</x:v>
      </x:c>
      <x:c r="C250" s="1" t="str">
        <x:v>call</x:v>
      </x:c>
      <x:c r="D250" s="11" t="n">
        <x:v>5600</x:v>
      </x:c>
      <x:c r="E250" s="11" t="n">
        <x:v>5800</x:v>
      </x:c>
      <x:c r="F250" s="11"/>
      <x:c r="G250" s="11" t="n">
        <x:f>'Option source'!B151</x:f>
        <x:v>1455</x:v>
      </x:c>
      <x:c r="H250" s="11" t="n">
        <x:f>'Option source'!B161</x:f>
        <x:v>1198.65</x:v>
      </x:c>
      <x:c r="I250" s="11"/>
      <x:c r="J250" s="11" t="n">
        <x:f>G250-2*H250+IF(B250="Butterfly",I250,0)</x:f>
        <x:v>-942.3000000000002</x:v>
      </x:c>
      <x:c r="K250" s="11" t="n">
        <x:f>ABS(E250-D250)</x:f>
        <x:v>200</x:v>
      </x:c>
      <x:c r="L250" s="11" t="n">
        <x:f>K250-J250</x:f>
        <x:v>1142.3000000000002</x:v>
      </x:c>
      <x:c r="M250" s="11" t="str">
        <x:f>IF(B250="Butterfly",MAX(J250,0),IF(C250="call","Unlimited",MAX(2*E250-D250+J250,J250,0)))</x:f>
        <x:v>Unlimited</x:v>
      </x:c>
      <x:c r="N250" s="11" t="str">
        <x:f>IF(B250="Butterfly",IF(AND(J250&gt;0,J250&lt;K250),D250+J250,"n.a."),IF(C250="call",IF(AND(J250&gt;0,J250&lt;K250),D250+J250,"n.a."),IF(AND(K250&gt;J250,2*E250-D250+J250&gt;=0),2*E250-D250+J250,"n.a.")))</x:f>
        <x:v>n.a.</x:v>
      </x:c>
      <x:c r="O250" s="11" t="n">
        <x:f>IF(B250="Butterfly",IF(AND(J250&gt;0,J250&lt;K250),F250-J250,"n.a."),IF(C250="call",IF(K250&gt;J250,2*E250-D250-J250,"n.a."),IF(AND(J250&gt;0,J250&lt;K250),D250-J250,"n.a.")))</x:f>
        <x:v>6942.3</x:v>
      </x:c>
      <x:c r="P250" s="19" t="str">
        <x:f>IF(AND(B250="Butterfly",J250&gt;0,J250&lt;K250),L250/J250,"n.a.")</x:f>
        <x:v>n.a.</x:v>
      </x:c>
      <x:c r="Q250" s="11" t="n">
        <x:f>J250*'Model inputs'!$B$8</x:f>
        <x:v>-94230.00000000001</x:v>
      </x:c>
      <x:c r="R250" s="1" t="str">
        <x:v>Indicative only</x:v>
      </x:c>
      <x:c r="S250" s="1" t="n">
        <x:v>146</x:v>
      </x:c>
      <x:c r="T250" s="1" t="n">
        <x:v>156</x:v>
      </x:c>
    </x:row>
    <x:row r="251" ht="21" customHeight="1">
      <x:c r="A251" s="12" t="n">
        <x:v>46279</x:v>
      </x:c>
      <x:c r="B251" s="1" t="str">
        <x:v>1x2 ratio</x:v>
      </x:c>
      <x:c r="C251" s="1" t="str">
        <x:v>put</x:v>
      </x:c>
      <x:c r="D251" s="11" t="n">
        <x:v>6000</x:v>
      </x:c>
      <x:c r="E251" s="11" t="n">
        <x:v>5800</x:v>
      </x:c>
      <x:c r="F251" s="11"/>
      <x:c r="G251" s="11" t="n">
        <x:f>'Option source'!B674</x:f>
        <x:v>48.24</x:v>
      </x:c>
      <x:c r="H251" s="11" t="n">
        <x:f>'Option source'!B655</x:f>
        <x:v>28</x:v>
      </x:c>
      <x:c r="I251" s="11"/>
      <x:c r="J251" s="11" t="n">
        <x:f>G251-2*H251+IF(B251="Butterfly",I251,0)</x:f>
        <x:v>-7.759999999999998</x:v>
      </x:c>
      <x:c r="K251" s="11" t="n">
        <x:f>ABS(E251-D251)</x:f>
        <x:v>200</x:v>
      </x:c>
      <x:c r="L251" s="11" t="n">
        <x:f>K251-J251</x:f>
        <x:v>207.76</x:v>
      </x:c>
      <x:c r="M251" s="11" t="n">
        <x:f>IF(B251="Butterfly",MAX(J251,0),IF(C251="call","Unlimited",MAX(2*E251-D251+J251,J251,0)))</x:f>
        <x:v>5592.24</x:v>
      </x:c>
      <x:c r="N251" s="11" t="n">
        <x:f>IF(B251="Butterfly",IF(AND(J251&gt;0,J251&lt;K251),D251+J251,"n.a."),IF(C251="call",IF(AND(J251&gt;0,J251&lt;K251),D251+J251,"n.a."),IF(AND(K251&gt;J251,2*E251-D251+J251&gt;=0),2*E251-D251+J251,"n.a.")))</x:f>
        <x:v>5592.24</x:v>
      </x:c>
      <x:c r="O251" s="11" t="str">
        <x:f>IF(B251="Butterfly",IF(AND(J251&gt;0,J251&lt;K251),F251-J251,"n.a."),IF(C251="call",IF(K251&gt;J251,2*E251-D251-J251,"n.a."),IF(AND(J251&gt;0,J251&lt;K251),D251-J251,"n.a.")))</x:f>
        <x:v>n.a.</x:v>
      </x:c>
      <x:c r="P251" s="19" t="str">
        <x:f>IF(AND(B251="Butterfly",J251&gt;0,J251&lt;K251),L251/J251,"n.a.")</x:f>
        <x:v>n.a.</x:v>
      </x:c>
      <x:c r="Q251" s="11" t="n">
        <x:f>J251*'Model inputs'!$B$8</x:f>
        <x:v>-775.9999999999998</x:v>
      </x:c>
      <x:c r="R251" s="1" t="str">
        <x:v>Indicative only</x:v>
      </x:c>
      <x:c r="S251" s="1" t="n">
        <x:v>669</x:v>
      </x:c>
      <x:c r="T251" s="1" t="n">
        <x:v>650</x:v>
      </x:c>
    </x:row>
    <x:row r="252" ht="21" customHeight="1">
      <x:c r="A252" s="12" t="n">
        <x:v>46279</x:v>
      </x:c>
      <x:c r="B252" s="1" t="str">
        <x:v>1x2 ratio</x:v>
      </x:c>
      <x:c r="C252" s="1" t="str">
        <x:v>call</x:v>
      </x:c>
      <x:c r="D252" s="11" t="n">
        <x:v>7800</x:v>
      </x:c>
      <x:c r="E252" s="11" t="n">
        <x:v>8000</x:v>
      </x:c>
      <x:c r="F252" s="11"/>
      <x:c r="G252" s="11" t="n">
        <x:f>'Option source'!B351</x:f>
        <x:v>104.78</x:v>
      </x:c>
      <x:c r="H252" s="11" t="n">
        <x:f>'Option source'!B370</x:f>
        <x:v>76.83</x:v>
      </x:c>
      <x:c r="I252" s="11"/>
      <x:c r="J252" s="11" t="n">
        <x:f>G252-2*H252+IF(B252="Butterfly",I252,0)</x:f>
        <x:v>-48.879999999999995</x:v>
      </x:c>
      <x:c r="K252" s="11" t="n">
        <x:f>ABS(E252-D252)</x:f>
        <x:v>200</x:v>
      </x:c>
      <x:c r="L252" s="11" t="n">
        <x:f>K252-J252</x:f>
        <x:v>248.88</x:v>
      </x:c>
      <x:c r="M252" s="11" t="str">
        <x:f>IF(B252="Butterfly",MAX(J252,0),IF(C252="call","Unlimited",MAX(2*E252-D252+J252,J252,0)))</x:f>
        <x:v>Unlimited</x:v>
      </x:c>
      <x:c r="N252" s="11" t="str">
        <x:f>IF(B252="Butterfly",IF(AND(J252&gt;0,J252&lt;K252),D252+J252,"n.a."),IF(C252="call",IF(AND(J252&gt;0,J252&lt;K252),D252+J252,"n.a."),IF(AND(K252&gt;J252,2*E252-D252+J252&gt;=0),2*E252-D252+J252,"n.a.")))</x:f>
        <x:v>n.a.</x:v>
      </x:c>
      <x:c r="O252" s="11" t="n">
        <x:f>IF(B252="Butterfly",IF(AND(J252&gt;0,J252&lt;K252),F252-J252,"n.a."),IF(C252="call",IF(K252&gt;J252,2*E252-D252-J252,"n.a."),IF(AND(J252&gt;0,J252&lt;K252),D252-J252,"n.a.")))</x:f>
        <x:v>8248.88</x:v>
      </x:c>
      <x:c r="P252" s="19" t="str">
        <x:f>IF(AND(B252="Butterfly",J252&gt;0,J252&lt;K252),L252/J252,"n.a.")</x:f>
        <x:v>n.a.</x:v>
      </x:c>
      <x:c r="Q252" s="11" t="n">
        <x:f>J252*'Model inputs'!$B$8</x:f>
        <x:v>-4888</x:v>
      </x:c>
      <x:c r="R252" s="1" t="str">
        <x:v>Indicative only</x:v>
      </x:c>
      <x:c r="S252" s="1" t="n">
        <x:v>346</x:v>
      </x:c>
      <x:c r="T252" s="1" t="n">
        <x:v>365</x:v>
      </x:c>
    </x:row>
    <x:row r="253" ht="21" customHeight="1">
      <x:c r="A253" s="12" t="n">
        <x:v>46279</x:v>
      </x:c>
      <x:c r="B253" s="1" t="str">
        <x:v>1x2 ratio</x:v>
      </x:c>
      <x:c r="C253" s="1" t="str">
        <x:v>call</x:v>
      </x:c>
      <x:c r="D253" s="11" t="n">
        <x:v>5400</x:v>
      </x:c>
      <x:c r="E253" s="11" t="n">
        <x:v>5600</x:v>
      </x:c>
      <x:c r="F253" s="11"/>
      <x:c r="G253" s="11" t="n">
        <x:f>'Option source'!B133</x:f>
        <x:v>1616</x:v>
      </x:c>
      <x:c r="H253" s="11" t="n">
        <x:f>'Option source'!B151</x:f>
        <x:v>1455</x:v>
      </x:c>
      <x:c r="I253" s="11"/>
      <x:c r="J253" s="11" t="n">
        <x:f>G253-2*H253+IF(B253="Butterfly",I253,0)</x:f>
        <x:v>-1294</x:v>
      </x:c>
      <x:c r="K253" s="11" t="n">
        <x:f>ABS(E253-D253)</x:f>
        <x:v>200</x:v>
      </x:c>
      <x:c r="L253" s="11" t="n">
        <x:f>K253-J253</x:f>
        <x:v>1494</x:v>
      </x:c>
      <x:c r="M253" s="11" t="str">
        <x:f>IF(B253="Butterfly",MAX(J253,0),IF(C253="call","Unlimited",MAX(2*E253-D253+J253,J253,0)))</x:f>
        <x:v>Unlimited</x:v>
      </x:c>
      <x:c r="N253" s="11" t="str">
        <x:f>IF(B253="Butterfly",IF(AND(J253&gt;0,J253&lt;K253),D253+J253,"n.a."),IF(C253="call",IF(AND(J253&gt;0,J253&lt;K253),D253+J253,"n.a."),IF(AND(K253&gt;J253,2*E253-D253+J253&gt;=0),2*E253-D253+J253,"n.a.")))</x:f>
        <x:v>n.a.</x:v>
      </x:c>
      <x:c r="O253" s="11" t="n">
        <x:f>IF(B253="Butterfly",IF(AND(J253&gt;0,J253&lt;K253),F253-J253,"n.a."),IF(C253="call",IF(K253&gt;J253,2*E253-D253-J253,"n.a."),IF(AND(J253&gt;0,J253&lt;K253),D253-J253,"n.a.")))</x:f>
        <x:v>7094</x:v>
      </x:c>
      <x:c r="P253" s="19" t="str">
        <x:f>IF(AND(B253="Butterfly",J253&gt;0,J253&lt;K253),L253/J253,"n.a.")</x:f>
        <x:v>n.a.</x:v>
      </x:c>
      <x:c r="Q253" s="11" t="n">
        <x:f>J253*'Model inputs'!$B$8</x:f>
        <x:v>-129400</x:v>
      </x:c>
      <x:c r="R253" s="1" t="str">
        <x:v>Indicative only</x:v>
      </x:c>
      <x:c r="S253" s="1" t="n">
        <x:v>128</x:v>
      </x:c>
      <x:c r="T253" s="1" t="n">
        <x:v>146</x:v>
      </x:c>
    </x:row>
    <x:row r="254" ht="21" customHeight="1">
      <x:c r="A254" s="12" t="n">
        <x:v>46279</x:v>
      </x:c>
      <x:c r="B254" s="1" t="str">
        <x:v>1x2 ratio</x:v>
      </x:c>
      <x:c r="C254" s="1" t="str">
        <x:v>put</x:v>
      </x:c>
      <x:c r="D254" s="11" t="n">
        <x:v>5800</x:v>
      </x:c>
      <x:c r="E254" s="11" t="n">
        <x:v>5600</x:v>
      </x:c>
      <x:c r="F254" s="11"/>
      <x:c r="G254" s="11" t="n">
        <x:f>'Option source'!B655</x:f>
        <x:v>28</x:v>
      </x:c>
      <x:c r="H254" s="11" t="n">
        <x:f>'Option source'!B636</x:f>
        <x:v>14.36</x:v>
      </x:c>
      <x:c r="I254" s="11"/>
      <x:c r="J254" s="11" t="n">
        <x:f>G254-2*H254+IF(B254="Butterfly",I254,0)</x:f>
        <x:v>-0.7199999999999989</x:v>
      </x:c>
      <x:c r="K254" s="11" t="n">
        <x:f>ABS(E254-D254)</x:f>
        <x:v>200</x:v>
      </x:c>
      <x:c r="L254" s="11" t="n">
        <x:f>K254-J254</x:f>
        <x:v>200.72</x:v>
      </x:c>
      <x:c r="M254" s="11" t="n">
        <x:f>IF(B254="Butterfly",MAX(J254,0),IF(C254="call","Unlimited",MAX(2*E254-D254+J254,J254,0)))</x:f>
        <x:v>5399.28</x:v>
      </x:c>
      <x:c r="N254" s="11" t="n">
        <x:f>IF(B254="Butterfly",IF(AND(J254&gt;0,J254&lt;K254),D254+J254,"n.a."),IF(C254="call",IF(AND(J254&gt;0,J254&lt;K254),D254+J254,"n.a."),IF(AND(K254&gt;J254,2*E254-D254+J254&gt;=0),2*E254-D254+J254,"n.a.")))</x:f>
        <x:v>5399.28</x:v>
      </x:c>
      <x:c r="O254" s="11" t="str">
        <x:f>IF(B254="Butterfly",IF(AND(J254&gt;0,J254&lt;K254),F254-J254,"n.a."),IF(C254="call",IF(K254&gt;J254,2*E254-D254-J254,"n.a."),IF(AND(J254&gt;0,J254&lt;K254),D254-J254,"n.a.")))</x:f>
        <x:v>n.a.</x:v>
      </x:c>
      <x:c r="P254" s="19" t="str">
        <x:f>IF(AND(B254="Butterfly",J254&gt;0,J254&lt;K254),L254/J254,"n.a.")</x:f>
        <x:v>n.a.</x:v>
      </x:c>
      <x:c r="Q254" s="11" t="n">
        <x:f>J254*'Model inputs'!$B$8</x:f>
        <x:v>-71.99999999999989</x:v>
      </x:c>
      <x:c r="R254" s="1" t="str">
        <x:v>Indicative only</x:v>
      </x:c>
      <x:c r="S254" s="1" t="n">
        <x:v>650</x:v>
      </x:c>
      <x:c r="T254" s="1" t="n">
        <x:v>631</x:v>
      </x:c>
    </x:row>
    <x:row r="255" ht="21" customHeight="1">
      <x:c r="A255" s="12" t="n">
        <x:v>46279</x:v>
      </x:c>
      <x:c r="B255" s="1" t="str">
        <x:v>1x2 ratio</x:v>
      </x:c>
      <x:c r="C255" s="1" t="str">
        <x:v>put</x:v>
      </x:c>
      <x:c r="D255" s="11" t="n">
        <x:v>5600</x:v>
      </x:c>
      <x:c r="E255" s="11" t="n">
        <x:v>5400</x:v>
      </x:c>
      <x:c r="F255" s="11"/>
      <x:c r="G255" s="11" t="n">
        <x:f>'Option source'!B636</x:f>
        <x:v>14.36</x:v>
      </x:c>
      <x:c r="H255" s="11" t="n">
        <x:f>'Option source'!B617</x:f>
        <x:v>7.66</x:v>
      </x:c>
      <x:c r="I255" s="11"/>
      <x:c r="J255" s="11" t="n">
        <x:f>G255-2*H255+IF(B255="Butterfly",I255,0)</x:f>
        <x:v>-0.9600000000000009</x:v>
      </x:c>
      <x:c r="K255" s="11" t="n">
        <x:f>ABS(E255-D255)</x:f>
        <x:v>200</x:v>
      </x:c>
      <x:c r="L255" s="11" t="n">
        <x:f>K255-J255</x:f>
        <x:v>200.96</x:v>
      </x:c>
      <x:c r="M255" s="11" t="n">
        <x:f>IF(B255="Butterfly",MAX(J255,0),IF(C255="call","Unlimited",MAX(2*E255-D255+J255,J255,0)))</x:f>
        <x:v>5199.04</x:v>
      </x:c>
      <x:c r="N255" s="11" t="n">
        <x:f>IF(B255="Butterfly",IF(AND(J255&gt;0,J255&lt;K255),D255+J255,"n.a."),IF(C255="call",IF(AND(J255&gt;0,J255&lt;K255),D255+J255,"n.a."),IF(AND(K255&gt;J255,2*E255-D255+J255&gt;=0),2*E255-D255+J255,"n.a.")))</x:f>
        <x:v>5199.04</x:v>
      </x:c>
      <x:c r="O255" s="11" t="str">
        <x:f>IF(B255="Butterfly",IF(AND(J255&gt;0,J255&lt;K255),F255-J255,"n.a."),IF(C255="call",IF(K255&gt;J255,2*E255-D255-J255,"n.a."),IF(AND(J255&gt;0,J255&lt;K255),D255-J255,"n.a.")))</x:f>
        <x:v>n.a.</x:v>
      </x:c>
      <x:c r="P255" s="19" t="str">
        <x:f>IF(AND(B255="Butterfly",J255&gt;0,J255&lt;K255),L255/J255,"n.a.")</x:f>
        <x:v>n.a.</x:v>
      </x:c>
      <x:c r="Q255" s="11" t="n">
        <x:f>J255*'Model inputs'!$B$8</x:f>
        <x:v>-96.00000000000009</x:v>
      </x:c>
      <x:c r="R255" s="1" t="str">
        <x:v>Indicative only</x:v>
      </x:c>
      <x:c r="S255" s="1" t="n">
        <x:v>631</x:v>
      </x:c>
      <x:c r="T255" s="1" t="n">
        <x:v>612</x:v>
      </x:c>
    </x:row>
    <x:row r="256" ht="21" customHeight="1">
      <x:c r="A256" s="12" t="n">
        <x:v>46279</x:v>
      </x:c>
      <x:c r="B256" s="1" t="str">
        <x:v>1x2 ratio</x:v>
      </x:c>
      <x:c r="C256" s="1" t="str">
        <x:v>call</x:v>
      </x:c>
      <x:c r="D256" s="11" t="n">
        <x:v>8000</x:v>
      </x:c>
      <x:c r="E256" s="11" t="n">
        <x:v>8300</x:v>
      </x:c>
      <x:c r="F256" s="11"/>
      <x:c r="G256" s="11" t="n">
        <x:f>'Option source'!B370</x:f>
        <x:v>76.83</x:v>
      </x:c>
      <x:c r="H256" s="11" t="n">
        <x:f>'Option source'!B389</x:f>
        <x:v>45.46</x:v>
      </x:c>
      <x:c r="I256" s="11"/>
      <x:c r="J256" s="11" t="n">
        <x:f>G256-2*H256+IF(B256="Butterfly",I256,0)</x:f>
        <x:v>-14.090000000000003</x:v>
      </x:c>
      <x:c r="K256" s="11" t="n">
        <x:f>ABS(E256-D256)</x:f>
        <x:v>300</x:v>
      </x:c>
      <x:c r="L256" s="11" t="n">
        <x:f>K256-J256</x:f>
        <x:v>314.09000000000003</x:v>
      </x:c>
      <x:c r="M256" s="11" t="str">
        <x:f>IF(B256="Butterfly",MAX(J256,0),IF(C256="call","Unlimited",MAX(2*E256-D256+J256,J256,0)))</x:f>
        <x:v>Unlimited</x:v>
      </x:c>
      <x:c r="N256" s="11" t="str">
        <x:f>IF(B256="Butterfly",IF(AND(J256&gt;0,J256&lt;K256),D256+J256,"n.a."),IF(C256="call",IF(AND(J256&gt;0,J256&lt;K256),D256+J256,"n.a."),IF(AND(K256&gt;J256,2*E256-D256+J256&gt;=0),2*E256-D256+J256,"n.a.")))</x:f>
        <x:v>n.a.</x:v>
      </x:c>
      <x:c r="O256" s="11" t="n">
        <x:f>IF(B256="Butterfly",IF(AND(J256&gt;0,J256&lt;K256),F256-J256,"n.a."),IF(C256="call",IF(K256&gt;J256,2*E256-D256-J256,"n.a."),IF(AND(J256&gt;0,J256&lt;K256),D256-J256,"n.a.")))</x:f>
        <x:v>8614.09</x:v>
      </x:c>
      <x:c r="P256" s="19" t="str">
        <x:f>IF(AND(B256="Butterfly",J256&gt;0,J256&lt;K256),L256/J256,"n.a.")</x:f>
        <x:v>n.a.</x:v>
      </x:c>
      <x:c r="Q256" s="11" t="n">
        <x:f>J256*'Model inputs'!$B$8</x:f>
        <x:v>-1409.0000000000005</x:v>
      </x:c>
      <x:c r="R256" s="1" t="str">
        <x:v>Indicative only</x:v>
      </x:c>
      <x:c r="S256" s="1" t="n">
        <x:v>365</x:v>
      </x:c>
      <x:c r="T256" s="1" t="n">
        <x:v>384</x:v>
      </x:c>
    </x:row>
    <x:row r="257" ht="21" customHeight="1">
      <x:c r="A257" s="12" t="n">
        <x:v>46279</x:v>
      </x:c>
      <x:c r="B257" s="1" t="str">
        <x:v>1x2 ratio</x:v>
      </x:c>
      <x:c r="C257" s="1" t="str">
        <x:v>put</x:v>
      </x:c>
      <x:c r="D257" s="11" t="n">
        <x:v>5400</x:v>
      </x:c>
      <x:c r="E257" s="11" t="n">
        <x:v>5200</x:v>
      </x:c>
      <x:c r="F257" s="11"/>
      <x:c r="G257" s="11" t="n">
        <x:f>'Option source'!B617</x:f>
        <x:v>7.66</x:v>
      </x:c>
      <x:c r="H257" s="11" t="n">
        <x:f>'Option source'!B598</x:f>
        <x:v>4.05</x:v>
      </x:c>
      <x:c r="I257" s="11"/>
      <x:c r="J257" s="11" t="n">
        <x:f>G257-2*H257+IF(B257="Butterfly",I257,0)</x:f>
        <x:v>-0.4399999999999995</x:v>
      </x:c>
      <x:c r="K257" s="11" t="n">
        <x:f>ABS(E257-D257)</x:f>
        <x:v>200</x:v>
      </x:c>
      <x:c r="L257" s="11" t="n">
        <x:f>K257-J257</x:f>
        <x:v>200.44</x:v>
      </x:c>
      <x:c r="M257" s="11" t="n">
        <x:f>IF(B257="Butterfly",MAX(J257,0),IF(C257="call","Unlimited",MAX(2*E257-D257+J257,J257,0)))</x:f>
        <x:v>4999.56</x:v>
      </x:c>
      <x:c r="N257" s="11" t="n">
        <x:f>IF(B257="Butterfly",IF(AND(J257&gt;0,J257&lt;K257),D257+J257,"n.a."),IF(C257="call",IF(AND(J257&gt;0,J257&lt;K257),D257+J257,"n.a."),IF(AND(K257&gt;J257,2*E257-D257+J257&gt;=0),2*E257-D257+J257,"n.a.")))</x:f>
        <x:v>4999.56</x:v>
      </x:c>
      <x:c r="O257" s="11" t="str">
        <x:f>IF(B257="Butterfly",IF(AND(J257&gt;0,J257&lt;K257),F257-J257,"n.a."),IF(C257="call",IF(K257&gt;J257,2*E257-D257-J257,"n.a."),IF(AND(J257&gt;0,J257&lt;K257),D257-J257,"n.a.")))</x:f>
        <x:v>n.a.</x:v>
      </x:c>
      <x:c r="P257" s="19" t="str">
        <x:f>IF(AND(B257="Butterfly",J257&gt;0,J257&lt;K257),L257/J257,"n.a.")</x:f>
        <x:v>n.a.</x:v>
      </x:c>
      <x:c r="Q257" s="11" t="n">
        <x:f>J257*'Model inputs'!$B$8</x:f>
        <x:v>-43.99999999999995</x:v>
      </x:c>
      <x:c r="R257" s="1" t="str">
        <x:v>Indicative only</x:v>
      </x:c>
      <x:c r="S257" s="1" t="n">
        <x:v>612</x:v>
      </x:c>
      <x:c r="T257" s="1" t="n">
        <x:v>593</x:v>
      </x:c>
    </x:row>
    <x:row r="258" ht="21" customHeight="1">
      <x:c r="A258" s="12" t="n">
        <x:v>46279</x:v>
      </x:c>
      <x:c r="B258" s="1" t="str">
        <x:v>1x2 ratio</x:v>
      </x:c>
      <x:c r="C258" s="1" t="str">
        <x:v>call</x:v>
      </x:c>
      <x:c r="D258" s="11" t="n">
        <x:v>8300</x:v>
      </x:c>
      <x:c r="E258" s="11" t="n">
        <x:v>8600</x:v>
      </x:c>
      <x:c r="F258" s="11"/>
      <x:c r="G258" s="11" t="n">
        <x:f>'Option source'!B389</x:f>
        <x:v>45.46</x:v>
      </x:c>
      <x:c r="H258" s="11" t="n">
        <x:f>'Option source'!B408</x:f>
        <x:v>27.59</x:v>
      </x:c>
      <x:c r="I258" s="11"/>
      <x:c r="J258" s="11" t="n">
        <x:f>G258-2*H258+IF(B258="Butterfly",I258,0)</x:f>
        <x:v>-9.719999999999999</x:v>
      </x:c>
      <x:c r="K258" s="11" t="n">
        <x:f>ABS(E258-D258)</x:f>
        <x:v>300</x:v>
      </x:c>
      <x:c r="L258" s="11" t="n">
        <x:f>K258-J258</x:f>
        <x:v>309.72</x:v>
      </x:c>
      <x:c r="M258" s="11" t="str">
        <x:f>IF(B258="Butterfly",MAX(J258,0),IF(C258="call","Unlimited",MAX(2*E258-D258+J258,J258,0)))</x:f>
        <x:v>Unlimited</x:v>
      </x:c>
      <x:c r="N258" s="11" t="str">
        <x:f>IF(B258="Butterfly",IF(AND(J258&gt;0,J258&lt;K258),D258+J258,"n.a."),IF(C258="call",IF(AND(J258&gt;0,J258&lt;K258),D258+J258,"n.a."),IF(AND(K258&gt;J258,2*E258-D258+J258&gt;=0),2*E258-D258+J258,"n.a.")))</x:f>
        <x:v>n.a.</x:v>
      </x:c>
      <x:c r="O258" s="11" t="n">
        <x:f>IF(B258="Butterfly",IF(AND(J258&gt;0,J258&lt;K258),F258-J258,"n.a."),IF(C258="call",IF(K258&gt;J258,2*E258-D258-J258,"n.a."),IF(AND(J258&gt;0,J258&lt;K258),D258-J258,"n.a.")))</x:f>
        <x:v>8909.72</x:v>
      </x:c>
      <x:c r="P258" s="19" t="str">
        <x:f>IF(AND(B258="Butterfly",J258&gt;0,J258&lt;K258),L258/J258,"n.a.")</x:f>
        <x:v>n.a.</x:v>
      </x:c>
      <x:c r="Q258" s="11" t="n">
        <x:f>J258*'Model inputs'!$B$8</x:f>
        <x:v>-971.9999999999999</x:v>
      </x:c>
      <x:c r="R258" s="1" t="str">
        <x:v>Indicative only</x:v>
      </x:c>
      <x:c r="S258" s="1" t="n">
        <x:v>384</x:v>
      </x:c>
      <x:c r="T258" s="1" t="n">
        <x:v>403</x:v>
      </x:c>
    </x:row>
    <x:row r="259" ht="21" customHeight="1">
      <x:c r="A259" s="12" t="n">
        <x:v>46279</x:v>
      </x:c>
      <x:c r="B259" s="1" t="str">
        <x:v>1x2 ratio</x:v>
      </x:c>
      <x:c r="C259" s="1" t="str">
        <x:v>put</x:v>
      </x:c>
      <x:c r="D259" s="11" t="n">
        <x:v>5200</x:v>
      </x:c>
      <x:c r="E259" s="11" t="n">
        <x:v>5000</x:v>
      </x:c>
      <x:c r="F259" s="11"/>
      <x:c r="G259" s="11" t="n">
        <x:f>'Option source'!B598</x:f>
        <x:v>4.05</x:v>
      </x:c>
      <x:c r="H259" s="11" t="n">
        <x:f>'Option source'!B579</x:f>
        <x:v>2.5</x:v>
      </x:c>
      <x:c r="I259" s="11"/>
      <x:c r="J259" s="11" t="n">
        <x:f>G259-2*H259+IF(B259="Butterfly",I259,0)</x:f>
        <x:v>-0.9500000000000002</x:v>
      </x:c>
      <x:c r="K259" s="11" t="n">
        <x:f>ABS(E259-D259)</x:f>
        <x:v>200</x:v>
      </x:c>
      <x:c r="L259" s="11" t="n">
        <x:f>K259-J259</x:f>
        <x:v>200.95</x:v>
      </x:c>
      <x:c r="M259" s="11" t="n">
        <x:f>IF(B259="Butterfly",MAX(J259,0),IF(C259="call","Unlimited",MAX(2*E259-D259+J259,J259,0)))</x:f>
        <x:v>4799.05</x:v>
      </x:c>
      <x:c r="N259" s="11" t="n">
        <x:f>IF(B259="Butterfly",IF(AND(J259&gt;0,J259&lt;K259),D259+J259,"n.a."),IF(C259="call",IF(AND(J259&gt;0,J259&lt;K259),D259+J259,"n.a."),IF(AND(K259&gt;J259,2*E259-D259+J259&gt;=0),2*E259-D259+J259,"n.a.")))</x:f>
        <x:v>4799.05</x:v>
      </x:c>
      <x:c r="O259" s="11" t="str">
        <x:f>IF(B259="Butterfly",IF(AND(J259&gt;0,J259&lt;K259),F259-J259,"n.a."),IF(C259="call",IF(K259&gt;J259,2*E259-D259-J259,"n.a."),IF(AND(J259&gt;0,J259&lt;K259),D259-J259,"n.a.")))</x:f>
        <x:v>n.a.</x:v>
      </x:c>
      <x:c r="P259" s="19" t="str">
        <x:f>IF(AND(B259="Butterfly",J259&gt;0,J259&lt;K259),L259/J259,"n.a.")</x:f>
        <x:v>n.a.</x:v>
      </x:c>
      <x:c r="Q259" s="11" t="n">
        <x:f>J259*'Model inputs'!$B$8</x:f>
        <x:v>-95.00000000000001</x:v>
      </x:c>
      <x:c r="R259" s="1" t="str">
        <x:v>Indicative only</x:v>
      </x:c>
      <x:c r="S259" s="1" t="n">
        <x:v>593</x:v>
      </x:c>
      <x:c r="T259" s="1" t="n">
        <x:v>574</x:v>
      </x:c>
    </x:row>
    <x:row r="260" ht="21" customHeight="1">
      <x:c r="A260" s="12" t="n">
        <x:v>46279</x:v>
      </x:c>
      <x:c r="B260" s="1" t="str">
        <x:v>1x2 ratio</x:v>
      </x:c>
      <x:c r="C260" s="1" t="str">
        <x:v>put</x:v>
      </x:c>
      <x:c r="D260" s="11" t="n">
        <x:v>5000</x:v>
      </x:c>
      <x:c r="E260" s="11" t="n">
        <x:v>4800</x:v>
      </x:c>
      <x:c r="F260" s="11"/>
      <x:c r="G260" s="11" t="n">
        <x:f>'Option source'!B579</x:f>
        <x:v>2.5</x:v>
      </x:c>
      <x:c r="H260" s="11" t="n">
        <x:f>'Option source'!B560</x:f>
        <x:v>1.61</x:v>
      </x:c>
      <x:c r="I260" s="11"/>
      <x:c r="J260" s="11" t="n">
        <x:f>G260-2*H260+IF(B260="Butterfly",I260,0)</x:f>
        <x:v>-0.7200000000000002</x:v>
      </x:c>
      <x:c r="K260" s="11" t="n">
        <x:f>ABS(E260-D260)</x:f>
        <x:v>200</x:v>
      </x:c>
      <x:c r="L260" s="11" t="n">
        <x:f>K260-J260</x:f>
        <x:v>200.72</x:v>
      </x:c>
      <x:c r="M260" s="11" t="n">
        <x:f>IF(B260="Butterfly",MAX(J260,0),IF(C260="call","Unlimited",MAX(2*E260-D260+J260,J260,0)))</x:f>
        <x:v>4599.28</x:v>
      </x:c>
      <x:c r="N260" s="11" t="n">
        <x:f>IF(B260="Butterfly",IF(AND(J260&gt;0,J260&lt;K260),D260+J260,"n.a."),IF(C260="call",IF(AND(J260&gt;0,J260&lt;K260),D260+J260,"n.a."),IF(AND(K260&gt;J260,2*E260-D260+J260&gt;=0),2*E260-D260+J260,"n.a.")))</x:f>
        <x:v>4599.28</x:v>
      </x:c>
      <x:c r="O260" s="11" t="str">
        <x:f>IF(B260="Butterfly",IF(AND(J260&gt;0,J260&lt;K260),F260-J260,"n.a."),IF(C260="call",IF(K260&gt;J260,2*E260-D260-J260,"n.a."),IF(AND(J260&gt;0,J260&lt;K260),D260-J260,"n.a.")))</x:f>
        <x:v>n.a.</x:v>
      </x:c>
      <x:c r="P260" s="19" t="str">
        <x:f>IF(AND(B260="Butterfly",J260&gt;0,J260&lt;K260),L260/J260,"n.a.")</x:f>
        <x:v>n.a.</x:v>
      </x:c>
      <x:c r="Q260" s="11" t="n">
        <x:f>J260*'Model inputs'!$B$8</x:f>
        <x:v>-72.00000000000001</x:v>
      </x:c>
      <x:c r="R260" s="1" t="str">
        <x:v>Indicative only</x:v>
      </x:c>
      <x:c r="S260" s="1" t="n">
        <x:v>574</x:v>
      </x:c>
      <x:c r="T260" s="1" t="n">
        <x:v>555</x:v>
      </x:c>
    </x:row>
    <x:row r="261" ht="21" customHeight="1">
      <x:c r="A261" s="12" t="n">
        <x:v>46279</x:v>
      </x:c>
      <x:c r="B261" s="1" t="str">
        <x:v>1x2 ratio</x:v>
      </x:c>
      <x:c r="C261" s="1" t="str">
        <x:v>call</x:v>
      </x:c>
      <x:c r="D261" s="11" t="n">
        <x:v>8600</x:v>
      </x:c>
      <x:c r="E261" s="11" t="n">
        <x:v>8900</x:v>
      </x:c>
      <x:c r="F261" s="11"/>
      <x:c r="G261" s="11" t="n">
        <x:f>'Option source'!B408</x:f>
        <x:v>27.59</x:v>
      </x:c>
      <x:c r="H261" s="11" t="n">
        <x:f>'Option source'!B427</x:f>
        <x:v>14.97</x:v>
      </x:c>
      <x:c r="I261" s="11"/>
      <x:c r="J261" s="11" t="n">
        <x:f>G261-2*H261+IF(B261="Butterfly",I261,0)</x:f>
        <x:v>-2.3500000000000014</x:v>
      </x:c>
      <x:c r="K261" s="11" t="n">
        <x:f>ABS(E261-D261)</x:f>
        <x:v>300</x:v>
      </x:c>
      <x:c r="L261" s="11" t="n">
        <x:f>K261-J261</x:f>
        <x:v>302.35</x:v>
      </x:c>
      <x:c r="M261" s="11" t="str">
        <x:f>IF(B261="Butterfly",MAX(J261,0),IF(C261="call","Unlimited",MAX(2*E261-D261+J261,J261,0)))</x:f>
        <x:v>Unlimited</x:v>
      </x:c>
      <x:c r="N261" s="11" t="str">
        <x:f>IF(B261="Butterfly",IF(AND(J261&gt;0,J261&lt;K261),D261+J261,"n.a."),IF(C261="call",IF(AND(J261&gt;0,J261&lt;K261),D261+J261,"n.a."),IF(AND(K261&gt;J261,2*E261-D261+J261&gt;=0),2*E261-D261+J261,"n.a.")))</x:f>
        <x:v>n.a.</x:v>
      </x:c>
      <x:c r="O261" s="11" t="n">
        <x:f>IF(B261="Butterfly",IF(AND(J261&gt;0,J261&lt;K261),F261-J261,"n.a."),IF(C261="call",IF(K261&gt;J261,2*E261-D261-J261,"n.a."),IF(AND(J261&gt;0,J261&lt;K261),D261-J261,"n.a.")))</x:f>
        <x:v>9202.35</x:v>
      </x:c>
      <x:c r="P261" s="19" t="str">
        <x:f>IF(AND(B261="Butterfly",J261&gt;0,J261&lt;K261),L261/J261,"n.a.")</x:f>
        <x:v>n.a.</x:v>
      </x:c>
      <x:c r="Q261" s="11" t="n">
        <x:f>J261*'Model inputs'!$B$8</x:f>
        <x:v>-235.00000000000014</x:v>
      </x:c>
      <x:c r="R261" s="1" t="str">
        <x:v>Indicative only</x:v>
      </x:c>
      <x:c r="S261" s="1" t="n">
        <x:v>403</x:v>
      </x:c>
      <x:c r="T261" s="1" t="n">
        <x:v>422</x:v>
      </x:c>
    </x:row>
    <x:row r="262" ht="21" customHeight="1">
      <x:c r="A262" s="12" t="n">
        <x:v>46279</x:v>
      </x:c>
      <x:c r="B262" s="1" t="str">
        <x:v>1x2 ratio</x:v>
      </x:c>
      <x:c r="C262" s="1" t="str">
        <x:v>put</x:v>
      </x:c>
      <x:c r="D262" s="11" t="n">
        <x:v>4800</x:v>
      </x:c>
      <x:c r="E262" s="11" t="n">
        <x:v>4600</x:v>
      </x:c>
      <x:c r="F262" s="11"/>
      <x:c r="G262" s="11" t="n">
        <x:f>'Option source'!B560</x:f>
        <x:v>1.61</x:v>
      </x:c>
      <x:c r="H262" s="11" t="n">
        <x:f>'Option source'!B541</x:f>
        <x:v>1.3</x:v>
      </x:c>
      <x:c r="I262" s="11"/>
      <x:c r="J262" s="11" t="n">
        <x:f>G262-2*H262+IF(B262="Butterfly",I262,0)</x:f>
        <x:v>-0.99</x:v>
      </x:c>
      <x:c r="K262" s="11" t="n">
        <x:f>ABS(E262-D262)</x:f>
        <x:v>200</x:v>
      </x:c>
      <x:c r="L262" s="11" t="n">
        <x:f>K262-J262</x:f>
        <x:v>200.99</x:v>
      </x:c>
      <x:c r="M262" s="11" t="n">
        <x:f>IF(B262="Butterfly",MAX(J262,0),IF(C262="call","Unlimited",MAX(2*E262-D262+J262,J262,0)))</x:f>
        <x:v>4399.01</x:v>
      </x:c>
      <x:c r="N262" s="11" t="n">
        <x:f>IF(B262="Butterfly",IF(AND(J262&gt;0,J262&lt;K262),D262+J262,"n.a."),IF(C262="call",IF(AND(J262&gt;0,J262&lt;K262),D262+J262,"n.a."),IF(AND(K262&gt;J262,2*E262-D262+J262&gt;=0),2*E262-D262+J262,"n.a.")))</x:f>
        <x:v>4399.01</x:v>
      </x:c>
      <x:c r="O262" s="11" t="str">
        <x:f>IF(B262="Butterfly",IF(AND(J262&gt;0,J262&lt;K262),F262-J262,"n.a."),IF(C262="call",IF(K262&gt;J262,2*E262-D262-J262,"n.a."),IF(AND(J262&gt;0,J262&lt;K262),D262-J262,"n.a.")))</x:f>
        <x:v>n.a.</x:v>
      </x:c>
      <x:c r="P262" s="19" t="str">
        <x:f>IF(AND(B262="Butterfly",J262&gt;0,J262&lt;K262),L262/J262,"n.a.")</x:f>
        <x:v>n.a.</x:v>
      </x:c>
      <x:c r="Q262" s="11" t="n">
        <x:f>J262*'Model inputs'!$B$8</x:f>
        <x:v>-99</x:v>
      </x:c>
      <x:c r="R262" s="1" t="str">
        <x:v>Indicative only</x:v>
      </x:c>
      <x:c r="S262" s="1" t="n">
        <x:v>555</x:v>
      </x:c>
      <x:c r="T262" s="1" t="n">
        <x:v>536</x:v>
      </x:c>
    </x:row>
    <x:row r="263" ht="21" customHeight="1">
      <x:c r="A263" s="12" t="n">
        <x:v>46279</x:v>
      </x:c>
      <x:c r="B263" s="1" t="str">
        <x:v>1x2 ratio</x:v>
      </x:c>
      <x:c r="C263" s="1" t="str">
        <x:v>call</x:v>
      </x:c>
      <x:c r="D263" s="11" t="n">
        <x:v>8900</x:v>
      </x:c>
      <x:c r="E263" s="11" t="n">
        <x:v>9200</x:v>
      </x:c>
      <x:c r="F263" s="11"/>
      <x:c r="G263" s="11" t="n">
        <x:f>'Option source'!B427</x:f>
        <x:v>14.97</x:v>
      </x:c>
      <x:c r="H263" s="11" t="n">
        <x:f>'Option source'!B446</x:f>
        <x:v>9.07</x:v>
      </x:c>
      <x:c r="I263" s="11"/>
      <x:c r="J263" s="11" t="n">
        <x:f>G263-2*H263+IF(B263="Butterfly",I263,0)</x:f>
        <x:v>-3.17</x:v>
      </x:c>
      <x:c r="K263" s="11" t="n">
        <x:f>ABS(E263-D263)</x:f>
        <x:v>300</x:v>
      </x:c>
      <x:c r="L263" s="11" t="n">
        <x:f>K263-J263</x:f>
        <x:v>303.17</x:v>
      </x:c>
      <x:c r="M263" s="11" t="str">
        <x:f>IF(B263="Butterfly",MAX(J263,0),IF(C263="call","Unlimited",MAX(2*E263-D263+J263,J263,0)))</x:f>
        <x:v>Unlimited</x:v>
      </x:c>
      <x:c r="N263" s="11" t="str">
        <x:f>IF(B263="Butterfly",IF(AND(J263&gt;0,J263&lt;K263),D263+J263,"n.a."),IF(C263="call",IF(AND(J263&gt;0,J263&lt;K263),D263+J263,"n.a."),IF(AND(K263&gt;J263,2*E263-D263+J263&gt;=0),2*E263-D263+J263,"n.a.")))</x:f>
        <x:v>n.a.</x:v>
      </x:c>
      <x:c r="O263" s="11" t="n">
        <x:f>IF(B263="Butterfly",IF(AND(J263&gt;0,J263&lt;K263),F263-J263,"n.a."),IF(C263="call",IF(K263&gt;J263,2*E263-D263-J263,"n.a."),IF(AND(J263&gt;0,J263&lt;K263),D263-J263,"n.a.")))</x:f>
        <x:v>9503.17</x:v>
      </x:c>
      <x:c r="P263" s="19" t="str">
        <x:f>IF(AND(B263="Butterfly",J263&gt;0,J263&lt;K263),L263/J263,"n.a.")</x:f>
        <x:v>n.a.</x:v>
      </x:c>
      <x:c r="Q263" s="11" t="n">
        <x:f>J263*'Model inputs'!$B$8</x:f>
        <x:v>-317</x:v>
      </x:c>
      <x:c r="R263" s="1" t="str">
        <x:v>Indicative only</x:v>
      </x:c>
      <x:c r="S263" s="1" t="n">
        <x:v>422</x:v>
      </x:c>
      <x:c r="T263" s="1" t="n">
        <x:v>441</x:v>
      </x:c>
    </x:row>
    <x:row r="264" ht="21" customHeight="1">
      <x:c r="A264" s="12" t="n">
        <x:v>46279</x:v>
      </x:c>
      <x:c r="B264" s="1" t="str">
        <x:v>1x2 ratio</x:v>
      </x:c>
      <x:c r="C264" s="1" t="str">
        <x:v>put</x:v>
      </x:c>
      <x:c r="D264" s="11" t="n">
        <x:v>4600</x:v>
      </x:c>
      <x:c r="E264" s="11" t="n">
        <x:v>4400</x:v>
      </x:c>
      <x:c r="F264" s="11"/>
      <x:c r="G264" s="11" t="n">
        <x:f>'Option source'!B541</x:f>
        <x:v>1.3</x:v>
      </x:c>
      <x:c r="H264" s="11" t="n">
        <x:f>'Option source'!B522</x:f>
        <x:v>1.17</x:v>
      </x:c>
      <x:c r="I264" s="11"/>
      <x:c r="J264" s="11" t="n">
        <x:f>G264-2*H264+IF(B264="Butterfly",I264,0)</x:f>
        <x:v>-1.0399999999999998</x:v>
      </x:c>
      <x:c r="K264" s="11" t="n">
        <x:f>ABS(E264-D264)</x:f>
        <x:v>200</x:v>
      </x:c>
      <x:c r="L264" s="11" t="n">
        <x:f>K264-J264</x:f>
        <x:v>201.04</x:v>
      </x:c>
      <x:c r="M264" s="11" t="n">
        <x:f>IF(B264="Butterfly",MAX(J264,0),IF(C264="call","Unlimited",MAX(2*E264-D264+J264,J264,0)))</x:f>
        <x:v>4198.96</x:v>
      </x:c>
      <x:c r="N264" s="11" t="n">
        <x:f>IF(B264="Butterfly",IF(AND(J264&gt;0,J264&lt;K264),D264+J264,"n.a."),IF(C264="call",IF(AND(J264&gt;0,J264&lt;K264),D264+J264,"n.a."),IF(AND(K264&gt;J264,2*E264-D264+J264&gt;=0),2*E264-D264+J264,"n.a.")))</x:f>
        <x:v>4198.96</x:v>
      </x:c>
      <x:c r="O264" s="11" t="str">
        <x:f>IF(B264="Butterfly",IF(AND(J264&gt;0,J264&lt;K264),F264-J264,"n.a."),IF(C264="call",IF(K264&gt;J264,2*E264-D264-J264,"n.a."),IF(AND(J264&gt;0,J264&lt;K264),D264-J264,"n.a.")))</x:f>
        <x:v>n.a.</x:v>
      </x:c>
      <x:c r="P264" s="19" t="str">
        <x:f>IF(AND(B264="Butterfly",J264&gt;0,J264&lt;K264),L264/J264,"n.a.")</x:f>
        <x:v>n.a.</x:v>
      </x:c>
      <x:c r="Q264" s="11" t="n">
        <x:f>J264*'Model inputs'!$B$8</x:f>
        <x:v>-103.99999999999999</x:v>
      </x:c>
      <x:c r="R264" s="1" t="str">
        <x:v>Indicative only</x:v>
      </x:c>
      <x:c r="S264" s="1" t="n">
        <x:v>536</x:v>
      </x:c>
      <x:c r="T264" s="1" t="n">
        <x:v>517</x:v>
      </x:c>
    </x:row>
    <x:row r="265" ht="21" customHeight="1">
      <x:c r="A265" s="12" t="n">
        <x:v>46279</x:v>
      </x:c>
      <x:c r="B265" s="1" t="str">
        <x:v>1x2 ratio</x:v>
      </x:c>
      <x:c r="C265" s="1" t="str">
        <x:v>put</x:v>
      </x:c>
      <x:c r="D265" s="11" t="n">
        <x:v>4400</x:v>
      </x:c>
      <x:c r="E265" s="11" t="n">
        <x:v>4200</x:v>
      </x:c>
      <x:c r="F265" s="11"/>
      <x:c r="G265" s="11" t="n">
        <x:f>'Option source'!B522</x:f>
        <x:v>1.17</x:v>
      </x:c>
      <x:c r="H265" s="11" t="n">
        <x:f>'Option source'!B503</x:f>
        <x:v>0.76</x:v>
      </x:c>
      <x:c r="I265" s="11"/>
      <x:c r="J265" s="11" t="n">
        <x:f>G265-2*H265+IF(B265="Butterfly",I265,0)</x:f>
        <x:v>-0.3500000000000001</x:v>
      </x:c>
      <x:c r="K265" s="11" t="n">
        <x:f>ABS(E265-D265)</x:f>
        <x:v>200</x:v>
      </x:c>
      <x:c r="L265" s="11" t="n">
        <x:f>K265-J265</x:f>
        <x:v>200.35</x:v>
      </x:c>
      <x:c r="M265" s="11" t="n">
        <x:f>IF(B265="Butterfly",MAX(J265,0),IF(C265="call","Unlimited",MAX(2*E265-D265+J265,J265,0)))</x:f>
        <x:v>3999.65</x:v>
      </x:c>
      <x:c r="N265" s="11" t="n">
        <x:f>IF(B265="Butterfly",IF(AND(J265&gt;0,J265&lt;K265),D265+J265,"n.a."),IF(C265="call",IF(AND(J265&gt;0,J265&lt;K265),D265+J265,"n.a."),IF(AND(K265&gt;J265,2*E265-D265+J265&gt;=0),2*E265-D265+J265,"n.a.")))</x:f>
        <x:v>3999.65</x:v>
      </x:c>
      <x:c r="O265" s="11" t="str">
        <x:f>IF(B265="Butterfly",IF(AND(J265&gt;0,J265&lt;K265),F265-J265,"n.a."),IF(C265="call",IF(K265&gt;J265,2*E265-D265-J265,"n.a."),IF(AND(J265&gt;0,J265&lt;K265),D265-J265,"n.a.")))</x:f>
        <x:v>n.a.</x:v>
      </x:c>
      <x:c r="P265" s="19" t="str">
        <x:f>IF(AND(B265="Butterfly",J265&gt;0,J265&lt;K265),L265/J265,"n.a.")</x:f>
        <x:v>n.a.</x:v>
      </x:c>
      <x:c r="Q265" s="11" t="n">
        <x:f>J265*'Model inputs'!$B$8</x:f>
        <x:v>-35.00000000000001</x:v>
      </x:c>
      <x:c r="R265" s="1" t="str">
        <x:v>Indicative only</x:v>
      </x:c>
      <x:c r="S265" s="1" t="n">
        <x:v>517</x:v>
      </x:c>
      <x:c r="T265" s="1" t="n">
        <x:v>498</x:v>
      </x:c>
    </x:row>
    <x:row r="266" ht="21" customHeight="1">
      <x:c r="A266" s="12" t="n">
        <x:v>46279</x:v>
      </x:c>
      <x:c r="B266" s="1" t="str">
        <x:v>1x2 ratio</x:v>
      </x:c>
      <x:c r="C266" s="1" t="str">
        <x:v>call</x:v>
      </x:c>
      <x:c r="D266" s="11" t="n">
        <x:v>9200</x:v>
      </x:c>
      <x:c r="E266" s="11" t="n">
        <x:v>9500</x:v>
      </x:c>
      <x:c r="F266" s="11"/>
      <x:c r="G266" s="11" t="n">
        <x:f>'Option source'!B446</x:f>
        <x:v>9.07</x:v>
      </x:c>
      <x:c r="H266" s="11" t="n">
        <x:f>'Option source'!B465</x:f>
        <x:v>5.26</x:v>
      </x:c>
      <x:c r="I266" s="11"/>
      <x:c r="J266" s="11" t="n">
        <x:f>G266-2*H266+IF(B266="Butterfly",I266,0)</x:f>
        <x:v>-1.4499999999999993</x:v>
      </x:c>
      <x:c r="K266" s="11" t="n">
        <x:f>ABS(E266-D266)</x:f>
        <x:v>300</x:v>
      </x:c>
      <x:c r="L266" s="11" t="n">
        <x:f>K266-J266</x:f>
        <x:v>301.45</x:v>
      </x:c>
      <x:c r="M266" s="11" t="str">
        <x:f>IF(B266="Butterfly",MAX(J266,0),IF(C266="call","Unlimited",MAX(2*E266-D266+J266,J266,0)))</x:f>
        <x:v>Unlimited</x:v>
      </x:c>
      <x:c r="N266" s="11" t="str">
        <x:f>IF(B266="Butterfly",IF(AND(J266&gt;0,J266&lt;K266),D266+J266,"n.a."),IF(C266="call",IF(AND(J266&gt;0,J266&lt;K266),D266+J266,"n.a."),IF(AND(K266&gt;J266,2*E266-D266+J266&gt;=0),2*E266-D266+J266,"n.a.")))</x:f>
        <x:v>n.a.</x:v>
      </x:c>
      <x:c r="O266" s="11" t="n">
        <x:f>IF(B266="Butterfly",IF(AND(J266&gt;0,J266&lt;K266),F266-J266,"n.a."),IF(C266="call",IF(K266&gt;J266,2*E266-D266-J266,"n.a."),IF(AND(J266&gt;0,J266&lt;K266),D266-J266,"n.a.")))</x:f>
        <x:v>9801.45</x:v>
      </x:c>
      <x:c r="P266" s="19" t="str">
        <x:f>IF(AND(B266="Butterfly",J266&gt;0,J266&lt;K266),L266/J266,"n.a.")</x:f>
        <x:v>n.a.</x:v>
      </x:c>
      <x:c r="Q266" s="11" t="n">
        <x:f>J266*'Model inputs'!$B$8</x:f>
        <x:v>-144.99999999999994</x:v>
      </x:c>
      <x:c r="R266" s="1" t="str">
        <x:v>Indicative only</x:v>
      </x:c>
      <x:c r="S266" s="1" t="n">
        <x:v>441</x:v>
      </x:c>
      <x:c r="T266" s="1" t="n">
        <x:v>460</x:v>
      </x:c>
    </x:row>
    <x:row r="267" ht="21" customHeight="1">
      <x:c r="A267" s="12" t="n">
        <x:v>46279</x:v>
      </x:c>
      <x:c r="B267" s="1" t="str">
        <x:v>1x2 ratio</x:v>
      </x:c>
      <x:c r="C267" s="1" t="str">
        <x:v>call</x:v>
      </x:c>
      <x:c r="D267" s="11" t="n">
        <x:v>9500</x:v>
      </x:c>
      <x:c r="E267" s="11" t="n">
        <x:v>9900</x:v>
      </x:c>
      <x:c r="F267" s="11"/>
      <x:c r="G267" s="11" t="n">
        <x:f>'Option source'!B465</x:f>
        <x:v>5.26</x:v>
      </x:c>
      <x:c r="H267" s="11" t="n">
        <x:f>'Option source'!B484</x:f>
        <x:v>3.27</x:v>
      </x:c>
      <x:c r="I267" s="11"/>
      <x:c r="J267" s="11" t="n">
        <x:f>G267-2*H267+IF(B267="Butterfly",I267,0)</x:f>
        <x:v>-1.2800000000000002</x:v>
      </x:c>
      <x:c r="K267" s="11" t="n">
        <x:f>ABS(E267-D267)</x:f>
        <x:v>400</x:v>
      </x:c>
      <x:c r="L267" s="11" t="n">
        <x:f>K267-J267</x:f>
        <x:v>401.28</x:v>
      </x:c>
      <x:c r="M267" s="11" t="str">
        <x:f>IF(B267="Butterfly",MAX(J267,0),IF(C267="call","Unlimited",MAX(2*E267-D267+J267,J267,0)))</x:f>
        <x:v>Unlimited</x:v>
      </x:c>
      <x:c r="N267" s="11" t="str">
        <x:f>IF(B267="Butterfly",IF(AND(J267&gt;0,J267&lt;K267),D267+J267,"n.a."),IF(C267="call",IF(AND(J267&gt;0,J267&lt;K267),D267+J267,"n.a."),IF(AND(K267&gt;J267,2*E267-D267+J267&gt;=0),2*E267-D267+J267,"n.a.")))</x:f>
        <x:v>n.a.</x:v>
      </x:c>
      <x:c r="O267" s="11" t="n">
        <x:f>IF(B267="Butterfly",IF(AND(J267&gt;0,J267&lt;K267),F267-J267,"n.a."),IF(C267="call",IF(K267&gt;J267,2*E267-D267-J267,"n.a."),IF(AND(J267&gt;0,J267&lt;K267),D267-J267,"n.a.")))</x:f>
        <x:v>10301.28</x:v>
      </x:c>
      <x:c r="P267" s="19" t="str">
        <x:f>IF(AND(B267="Butterfly",J267&gt;0,J267&lt;K267),L267/J267,"n.a.")</x:f>
        <x:v>n.a.</x:v>
      </x:c>
      <x:c r="Q267" s="11" t="n">
        <x:f>J267*'Model inputs'!$B$8</x:f>
        <x:v>-128.00000000000003</x:v>
      </x:c>
      <x:c r="R267" s="1" t="str">
        <x:v>Indicative only</x:v>
      </x:c>
      <x:c r="S267" s="1" t="n">
        <x:v>460</x:v>
      </x:c>
      <x:c r="T267" s="1" t="n">
        <x:v>479</x:v>
      </x:c>
    </x:row>
    <x:row r="268" ht="21" customHeight="1">
      <x:c r="A268" s="12" t="n">
        <x:v>46279</x:v>
      </x:c>
      <x:c r="B268" s="1" t="str">
        <x:v>1x2 ratio</x:v>
      </x:c>
      <x:c r="C268" s="1" t="str">
        <x:v>put</x:v>
      </x:c>
      <x:c r="D268" s="11" t="n">
        <x:v>7800</x:v>
      </x:c>
      <x:c r="E268" s="11" t="n">
        <x:v>7600</x:v>
      </x:c>
      <x:c r="F268" s="11"/>
      <x:c r="G268" s="11" t="n">
        <x:f>'Option source'!B845</x:f>
        <x:v>955</x:v>
      </x:c>
      <x:c r="H268" s="11" t="n">
        <x:f>'Option source'!B826</x:f>
        <x:v>775.5</x:v>
      </x:c>
      <x:c r="I268" s="11"/>
      <x:c r="J268" s="11" t="n">
        <x:f>G268-2*H268+IF(B268="Butterfly",I268,0)</x:f>
        <x:v>-596</x:v>
      </x:c>
      <x:c r="K268" s="11" t="n">
        <x:f>ABS(E268-D268)</x:f>
        <x:v>200</x:v>
      </x:c>
      <x:c r="L268" s="11" t="n">
        <x:f>K268-J268</x:f>
        <x:v>796</x:v>
      </x:c>
      <x:c r="M268" s="11" t="n">
        <x:f>IF(B268="Butterfly",MAX(J268,0),IF(C268="call","Unlimited",MAX(2*E268-D268+J268,J268,0)))</x:f>
        <x:v>6804</x:v>
      </x:c>
      <x:c r="N268" s="11" t="n">
        <x:f>IF(B268="Butterfly",IF(AND(J268&gt;0,J268&lt;K268),D268+J268,"n.a."),IF(C268="call",IF(AND(J268&gt;0,J268&lt;K268),D268+J268,"n.a."),IF(AND(K268&gt;J268,2*E268-D268+J268&gt;=0),2*E268-D268+J268,"n.a.")))</x:f>
        <x:v>6804</x:v>
      </x:c>
      <x:c r="O268" s="11" t="str">
        <x:f>IF(B268="Butterfly",IF(AND(J268&gt;0,J268&lt;K268),F268-J268,"n.a."),IF(C268="call",IF(K268&gt;J268,2*E268-D268-J268,"n.a."),IF(AND(J268&gt;0,J268&lt;K268),D268-J268,"n.a.")))</x:f>
        <x:v>n.a.</x:v>
      </x:c>
      <x:c r="P268" s="19" t="str">
        <x:f>IF(AND(B268="Butterfly",J268&gt;0,J268&lt;K268),L268/J268,"n.a.")</x:f>
        <x:v>n.a.</x:v>
      </x:c>
      <x:c r="Q268" s="11" t="n">
        <x:f>J268*'Model inputs'!$B$8</x:f>
        <x:v>-59600</x:v>
      </x:c>
      <x:c r="R268" s="1" t="str">
        <x:v>Flagged leg data</x:v>
      </x:c>
      <x:c r="S268" s="1" t="n">
        <x:v>840</x:v>
      </x:c>
      <x:c r="T268" s="1" t="n">
        <x:v>821</x:v>
      </x:c>
    </x:row>
    <x:row r="269" ht="21" customHeight="1">
      <x:c r="A269" s="12" t="n">
        <x:v>46279</x:v>
      </x:c>
      <x:c r="B269" s="1" t="str">
        <x:v>1x2 ratio</x:v>
      </x:c>
      <x:c r="C269" s="1" t="str">
        <x:v>put</x:v>
      </x:c>
      <x:c r="D269" s="11" t="n">
        <x:v>8000</x:v>
      </x:c>
      <x:c r="E269" s="11" t="n">
        <x:v>7800</x:v>
      </x:c>
      <x:c r="F269" s="11"/>
      <x:c r="G269" s="11" t="n">
        <x:f>'Option source'!B864</x:f>
        <x:v>1160</x:v>
      </x:c>
      <x:c r="H269" s="11" t="n">
        <x:f>'Option source'!B845</x:f>
        <x:v>955</x:v>
      </x:c>
      <x:c r="I269" s="11"/>
      <x:c r="J269" s="11" t="n">
        <x:f>G269-2*H269+IF(B269="Butterfly",I269,0)</x:f>
        <x:v>-750</x:v>
      </x:c>
      <x:c r="K269" s="11" t="n">
        <x:f>ABS(E269-D269)</x:f>
        <x:v>200</x:v>
      </x:c>
      <x:c r="L269" s="11" t="n">
        <x:f>K269-J269</x:f>
        <x:v>950</x:v>
      </x:c>
      <x:c r="M269" s="11" t="n">
        <x:f>IF(B269="Butterfly",MAX(J269,0),IF(C269="call","Unlimited",MAX(2*E269-D269+J269,J269,0)))</x:f>
        <x:v>6850</x:v>
      </x:c>
      <x:c r="N269" s="11" t="n">
        <x:f>IF(B269="Butterfly",IF(AND(J269&gt;0,J269&lt;K269),D269+J269,"n.a."),IF(C269="call",IF(AND(J269&gt;0,J269&lt;K269),D269+J269,"n.a."),IF(AND(K269&gt;J269,2*E269-D269+J269&gt;=0),2*E269-D269+J269,"n.a.")))</x:f>
        <x:v>6850</x:v>
      </x:c>
      <x:c r="O269" s="11" t="str">
        <x:f>IF(B269="Butterfly",IF(AND(J269&gt;0,J269&lt;K269),F269-J269,"n.a."),IF(C269="call",IF(K269&gt;J269,2*E269-D269-J269,"n.a."),IF(AND(J269&gt;0,J269&lt;K269),D269-J269,"n.a.")))</x:f>
        <x:v>n.a.</x:v>
      </x:c>
      <x:c r="P269" s="19" t="str">
        <x:f>IF(AND(B269="Butterfly",J269&gt;0,J269&lt;K269),L269/J269,"n.a.")</x:f>
        <x:v>n.a.</x:v>
      </x:c>
      <x:c r="Q269" s="11" t="n">
        <x:f>J269*'Model inputs'!$B$8</x:f>
        <x:v>-75000</x:v>
      </x:c>
      <x:c r="R269" s="1" t="str">
        <x:v>Flagged leg data</x:v>
      </x:c>
      <x:c r="S269" s="1" t="n">
        <x:v>859</x:v>
      </x:c>
      <x:c r="T269" s="1" t="n">
        <x:v>840</x:v>
      </x:c>
    </x:row>
    <x:row r="270" ht="21" customHeight="1">
      <x:c r="A270" s="12" t="n">
        <x:v>46279</x:v>
      </x:c>
      <x:c r="B270" s="1" t="str">
        <x:v>1x2 ratio</x:v>
      </x:c>
      <x:c r="C270" s="1" t="str">
        <x:v>put</x:v>
      </x:c>
      <x:c r="D270" s="11" t="n">
        <x:v>8300</x:v>
      </x:c>
      <x:c r="E270" s="11" t="n">
        <x:v>8000</x:v>
      </x:c>
      <x:c r="F270" s="11"/>
      <x:c r="G270" s="11" t="n">
        <x:f>'Option source'!B883</x:f>
        <x:v>1327.03</x:v>
      </x:c>
      <x:c r="H270" s="11" t="n">
        <x:f>'Option source'!B864</x:f>
        <x:v>1160</x:v>
      </x:c>
      <x:c r="I270" s="11"/>
      <x:c r="J270" s="11" t="n">
        <x:f>G270-2*H270+IF(B270="Butterfly",I270,0)</x:f>
        <x:v>-992.97</x:v>
      </x:c>
      <x:c r="K270" s="11" t="n">
        <x:f>ABS(E270-D270)</x:f>
        <x:v>300</x:v>
      </x:c>
      <x:c r="L270" s="11" t="n">
        <x:f>K270-J270</x:f>
        <x:v>1292.97</x:v>
      </x:c>
      <x:c r="M270" s="11" t="n">
        <x:f>IF(B270="Butterfly",MAX(J270,0),IF(C270="call","Unlimited",MAX(2*E270-D270+J270,J270,0)))</x:f>
        <x:v>6707.03</x:v>
      </x:c>
      <x:c r="N270" s="11" t="n">
        <x:f>IF(B270="Butterfly",IF(AND(J270&gt;0,J270&lt;K270),D270+J270,"n.a."),IF(C270="call",IF(AND(J270&gt;0,J270&lt;K270),D270+J270,"n.a."),IF(AND(K270&gt;J270,2*E270-D270+J270&gt;=0),2*E270-D270+J270,"n.a.")))</x:f>
        <x:v>6707.03</x:v>
      </x:c>
      <x:c r="O270" s="11" t="str">
        <x:f>IF(B270="Butterfly",IF(AND(J270&gt;0,J270&lt;K270),F270-J270,"n.a."),IF(C270="call",IF(K270&gt;J270,2*E270-D270-J270,"n.a."),IF(AND(J270&gt;0,J270&lt;K270),D270-J270,"n.a.")))</x:f>
        <x:v>n.a.</x:v>
      </x:c>
      <x:c r="P270" s="19" t="str">
        <x:f>IF(AND(B270="Butterfly",J270&gt;0,J270&lt;K270),L270/J270,"n.a.")</x:f>
        <x:v>n.a.</x:v>
      </x:c>
      <x:c r="Q270" s="11" t="n">
        <x:f>J270*'Model inputs'!$B$8</x:f>
        <x:v>-99297</x:v>
      </x:c>
      <x:c r="R270" s="1" t="str">
        <x:v>Flagged leg data</x:v>
      </x:c>
      <x:c r="S270" s="1" t="n">
        <x:v>878</x:v>
      </x:c>
      <x:c r="T270" s="1" t="n">
        <x:v>859</x:v>
      </x:c>
    </x:row>
    <x:row r="271" ht="21" customHeight="1">
      <x:c r="A271" s="12" t="n">
        <x:v>46279</x:v>
      </x:c>
      <x:c r="B271" s="1" t="str">
        <x:v>1x2 ratio</x:v>
      </x:c>
      <x:c r="C271" s="1" t="str">
        <x:v>call</x:v>
      </x:c>
      <x:c r="D271" s="11" t="n">
        <x:v>5200</x:v>
      </x:c>
      <x:c r="E271" s="11" t="n">
        <x:v>5400</x:v>
      </x:c>
      <x:c r="F271" s="11"/>
      <x:c r="G271" s="11" t="n">
        <x:f>'Option source'!B114</x:f>
        <x:v>1998.09</x:v>
      </x:c>
      <x:c r="H271" s="11" t="n">
        <x:f>'Option source'!B133</x:f>
        <x:v>1616</x:v>
      </x:c>
      <x:c r="I271" s="11"/>
      <x:c r="J271" s="11" t="n">
        <x:f>G271-2*H271+IF(B271="Butterfly",I271,0)</x:f>
        <x:v>-1233.91</x:v>
      </x:c>
      <x:c r="K271" s="11" t="n">
        <x:f>ABS(E271-D271)</x:f>
        <x:v>200</x:v>
      </x:c>
      <x:c r="L271" s="11" t="n">
        <x:f>K271-J271</x:f>
        <x:v>1433.91</x:v>
      </x:c>
      <x:c r="M271" s="11" t="str">
        <x:f>IF(B271="Butterfly",MAX(J271,0),IF(C271="call","Unlimited",MAX(2*E271-D271+J271,J271,0)))</x:f>
        <x:v>Unlimited</x:v>
      </x:c>
      <x:c r="N271" s="11" t="str">
        <x:f>IF(B271="Butterfly",IF(AND(J271&gt;0,J271&lt;K271),D271+J271,"n.a."),IF(C271="call",IF(AND(J271&gt;0,J271&lt;K271),D271+J271,"n.a."),IF(AND(K271&gt;J271,2*E271-D271+J271&gt;=0),2*E271-D271+J271,"n.a.")))</x:f>
        <x:v>n.a.</x:v>
      </x:c>
      <x:c r="O271" s="11" t="n">
        <x:f>IF(B271="Butterfly",IF(AND(J271&gt;0,J271&lt;K271),F271-J271,"n.a."),IF(C271="call",IF(K271&gt;J271,2*E271-D271-J271,"n.a."),IF(AND(J271&gt;0,J271&lt;K271),D271-J271,"n.a.")))</x:f>
        <x:v>6833.91</x:v>
      </x:c>
      <x:c r="P271" s="19" t="str">
        <x:f>IF(AND(B271="Butterfly",J271&gt;0,J271&lt;K271),L271/J271,"n.a.")</x:f>
        <x:v>n.a.</x:v>
      </x:c>
      <x:c r="Q271" s="11" t="n">
        <x:f>J271*'Model inputs'!$B$8</x:f>
        <x:v>-123391.00000000001</x:v>
      </x:c>
      <x:c r="R271" s="1" t="str">
        <x:v>Flagged leg data</x:v>
      </x:c>
      <x:c r="S271" s="1" t="n">
        <x:v>109</x:v>
      </x:c>
      <x:c r="T271" s="1" t="n">
        <x:v>128</x:v>
      </x:c>
    </x:row>
    <x:row r="272" ht="21" customHeight="1">
      <x:c r="A272" s="12" t="n">
        <x:v>46279</x:v>
      </x:c>
      <x:c r="B272" s="1" t="str">
        <x:v>1x2 ratio</x:v>
      </x:c>
      <x:c r="C272" s="1" t="str">
        <x:v>put</x:v>
      </x:c>
      <x:c r="D272" s="11" t="n">
        <x:v>8600</x:v>
      </x:c>
      <x:c r="E272" s="11" t="n">
        <x:v>8300</x:v>
      </x:c>
      <x:c r="F272" s="11"/>
      <x:c r="G272" s="11" t="n">
        <x:f>'Option source'!B902</x:f>
        <x:v>1789.44</x:v>
      </x:c>
      <x:c r="H272" s="11" t="n">
        <x:f>'Option source'!B883</x:f>
        <x:v>1327.03</x:v>
      </x:c>
      <x:c r="I272" s="11"/>
      <x:c r="J272" s="11" t="n">
        <x:f>G272-2*H272+IF(B272="Butterfly",I272,0)</x:f>
        <x:v>-864.6199999999999</x:v>
      </x:c>
      <x:c r="K272" s="11" t="n">
        <x:f>ABS(E272-D272)</x:f>
        <x:v>300</x:v>
      </x:c>
      <x:c r="L272" s="11" t="n">
        <x:f>K272-J272</x:f>
        <x:v>1164.62</x:v>
      </x:c>
      <x:c r="M272" s="11" t="n">
        <x:f>IF(B272="Butterfly",MAX(J272,0),IF(C272="call","Unlimited",MAX(2*E272-D272+J272,J272,0)))</x:f>
        <x:v>7135.38</x:v>
      </x:c>
      <x:c r="N272" s="11" t="n">
        <x:f>IF(B272="Butterfly",IF(AND(J272&gt;0,J272&lt;K272),D272+J272,"n.a."),IF(C272="call",IF(AND(J272&gt;0,J272&lt;K272),D272+J272,"n.a."),IF(AND(K272&gt;J272,2*E272-D272+J272&gt;=0),2*E272-D272+J272,"n.a.")))</x:f>
        <x:v>7135.38</x:v>
      </x:c>
      <x:c r="O272" s="11" t="str">
        <x:f>IF(B272="Butterfly",IF(AND(J272&gt;0,J272&lt;K272),F272-J272,"n.a."),IF(C272="call",IF(K272&gt;J272,2*E272-D272-J272,"n.a."),IF(AND(J272&gt;0,J272&lt;K272),D272-J272,"n.a.")))</x:f>
        <x:v>n.a.</x:v>
      </x:c>
      <x:c r="P272" s="19" t="str">
        <x:f>IF(AND(B272="Butterfly",J272&gt;0,J272&lt;K272),L272/J272,"n.a.")</x:f>
        <x:v>n.a.</x:v>
      </x:c>
      <x:c r="Q272" s="11" t="n">
        <x:f>J272*'Model inputs'!$B$8</x:f>
        <x:v>-86461.99999999999</x:v>
      </x:c>
      <x:c r="R272" s="1" t="str">
        <x:v>Flagged leg data</x:v>
      </x:c>
      <x:c r="S272" s="1" t="n">
        <x:v>897</x:v>
      </x:c>
      <x:c r="T272" s="1" t="n">
        <x:v>878</x:v>
      </x:c>
    </x:row>
    <x:row r="273" ht="21" customHeight="1">
      <x:c r="A273" s="12" t="n">
        <x:v>46279</x:v>
      </x:c>
      <x:c r="B273" s="1" t="str">
        <x:v>1x2 ratio</x:v>
      </x:c>
      <x:c r="C273" s="1" t="str">
        <x:v>call</x:v>
      </x:c>
      <x:c r="D273" s="11" t="n">
        <x:v>5000</x:v>
      </x:c>
      <x:c r="E273" s="11" t="n">
        <x:v>5200</x:v>
      </x:c>
      <x:c r="F273" s="11"/>
      <x:c r="G273" s="11" t="n">
        <x:f>'Option source'!B95</x:f>
        <x:v>2248.2</x:v>
      </x:c>
      <x:c r="H273" s="11" t="n">
        <x:f>'Option source'!B114</x:f>
        <x:v>1998.09</x:v>
      </x:c>
      <x:c r="I273" s="11"/>
      <x:c r="J273" s="11" t="n">
        <x:f>G273-2*H273+IF(B273="Butterfly",I273,0)</x:f>
        <x:v>-1747.98</x:v>
      </x:c>
      <x:c r="K273" s="11" t="n">
        <x:f>ABS(E273-D273)</x:f>
        <x:v>200</x:v>
      </x:c>
      <x:c r="L273" s="11" t="n">
        <x:f>K273-J273</x:f>
        <x:v>1947.98</x:v>
      </x:c>
      <x:c r="M273" s="11" t="str">
        <x:f>IF(B273="Butterfly",MAX(J273,0),IF(C273="call","Unlimited",MAX(2*E273-D273+J273,J273,0)))</x:f>
        <x:v>Unlimited</x:v>
      </x:c>
      <x:c r="N273" s="11" t="str">
        <x:f>IF(B273="Butterfly",IF(AND(J273&gt;0,J273&lt;K273),D273+J273,"n.a."),IF(C273="call",IF(AND(J273&gt;0,J273&lt;K273),D273+J273,"n.a."),IF(AND(K273&gt;J273,2*E273-D273+J273&gt;=0),2*E273-D273+J273,"n.a.")))</x:f>
        <x:v>n.a.</x:v>
      </x:c>
      <x:c r="O273" s="11" t="n">
        <x:f>IF(B273="Butterfly",IF(AND(J273&gt;0,J273&lt;K273),F273-J273,"n.a."),IF(C273="call",IF(K273&gt;J273,2*E273-D273-J273,"n.a."),IF(AND(J273&gt;0,J273&lt;K273),D273-J273,"n.a.")))</x:f>
        <x:v>7147.98</x:v>
      </x:c>
      <x:c r="P273" s="19" t="str">
        <x:f>IF(AND(B273="Butterfly",J273&gt;0,J273&lt;K273),L273/J273,"n.a.")</x:f>
        <x:v>n.a.</x:v>
      </x:c>
      <x:c r="Q273" s="11" t="n">
        <x:f>J273*'Model inputs'!$B$8</x:f>
        <x:v>-174798</x:v>
      </x:c>
      <x:c r="R273" s="1" t="str">
        <x:v>Flagged leg data</x:v>
      </x:c>
      <x:c r="S273" s="1" t="n">
        <x:v>90</x:v>
      </x:c>
      <x:c r="T273" s="1" t="n">
        <x:v>109</x:v>
      </x:c>
    </x:row>
    <x:row r="274" ht="21" customHeight="1">
      <x:c r="A274" s="12" t="n">
        <x:v>46279</x:v>
      </x:c>
      <x:c r="B274" s="1" t="str">
        <x:v>1x2 ratio</x:v>
      </x:c>
      <x:c r="C274" s="1" t="str">
        <x:v>put</x:v>
      </x:c>
      <x:c r="D274" s="11" t="n">
        <x:v>8900</x:v>
      </x:c>
      <x:c r="E274" s="11" t="n">
        <x:v>8600</x:v>
      </x:c>
      <x:c r="F274" s="11"/>
      <x:c r="G274" s="11" t="n">
        <x:f>'Option source'!B917</x:f>
        <x:v>2022.5</x:v>
      </x:c>
      <x:c r="H274" s="11" t="n">
        <x:f>'Option source'!B902</x:f>
        <x:v>1789.44</x:v>
      </x:c>
      <x:c r="I274" s="11"/>
      <x:c r="J274" s="11" t="n">
        <x:f>G274-2*H274+IF(B274="Butterfly",I274,0)</x:f>
        <x:v>-1556.38</x:v>
      </x:c>
      <x:c r="K274" s="11" t="n">
        <x:f>ABS(E274-D274)</x:f>
        <x:v>300</x:v>
      </x:c>
      <x:c r="L274" s="11" t="n">
        <x:f>K274-J274</x:f>
        <x:v>1856.38</x:v>
      </x:c>
      <x:c r="M274" s="11" t="n">
        <x:f>IF(B274="Butterfly",MAX(J274,0),IF(C274="call","Unlimited",MAX(2*E274-D274+J274,J274,0)))</x:f>
        <x:v>6743.62</x:v>
      </x:c>
      <x:c r="N274" s="11" t="n">
        <x:f>IF(B274="Butterfly",IF(AND(J274&gt;0,J274&lt;K274),D274+J274,"n.a."),IF(C274="call",IF(AND(J274&gt;0,J274&lt;K274),D274+J274,"n.a."),IF(AND(K274&gt;J274,2*E274-D274+J274&gt;=0),2*E274-D274+J274,"n.a.")))</x:f>
        <x:v>6743.62</x:v>
      </x:c>
      <x:c r="O274" s="11" t="str">
        <x:f>IF(B274="Butterfly",IF(AND(J274&gt;0,J274&lt;K274),F274-J274,"n.a."),IF(C274="call",IF(K274&gt;J274,2*E274-D274-J274,"n.a."),IF(AND(J274&gt;0,J274&lt;K274),D274-J274,"n.a.")))</x:f>
        <x:v>n.a.</x:v>
      </x:c>
      <x:c r="P274" s="19" t="str">
        <x:f>IF(AND(B274="Butterfly",J274&gt;0,J274&lt;K274),L274/J274,"n.a.")</x:f>
        <x:v>n.a.</x:v>
      </x:c>
      <x:c r="Q274" s="11" t="n">
        <x:f>J274*'Model inputs'!$B$8</x:f>
        <x:v>-155638</x:v>
      </x:c>
      <x:c r="R274" s="1" t="str">
        <x:v>Flagged leg data</x:v>
      </x:c>
      <x:c r="S274" s="1" t="n">
        <x:v>912</x:v>
      </x:c>
      <x:c r="T274" s="1" t="n">
        <x:v>897</x:v>
      </x:c>
    </x:row>
    <x:row r="275" ht="21" customHeight="1">
      <x:c r="A275" s="12" t="n">
        <x:v>46279</x:v>
      </x:c>
      <x:c r="B275" s="1" t="str">
        <x:v>1x2 ratio</x:v>
      </x:c>
      <x:c r="C275" s="1" t="str">
        <x:v>call</x:v>
      </x:c>
      <x:c r="D275" s="11" t="n">
        <x:v>4800</x:v>
      </x:c>
      <x:c r="E275" s="11" t="n">
        <x:v>5000</x:v>
      </x:c>
      <x:c r="F275" s="11"/>
      <x:c r="G275" s="11" t="n">
        <x:f>'Option source'!B78</x:f>
        <x:v>2235.08</x:v>
      </x:c>
      <x:c r="H275" s="11" t="n">
        <x:f>'Option source'!B95</x:f>
        <x:v>2248.2</x:v>
      </x:c>
      <x:c r="I275" s="11"/>
      <x:c r="J275" s="11" t="n">
        <x:f>G275-2*H275+IF(B275="Butterfly",I275,0)</x:f>
        <x:v>-2261.3199999999997</x:v>
      </x:c>
      <x:c r="K275" s="11" t="n">
        <x:f>ABS(E275-D275)</x:f>
        <x:v>200</x:v>
      </x:c>
      <x:c r="L275" s="11" t="n">
        <x:f>K275-J275</x:f>
        <x:v>2461.3199999999997</x:v>
      </x:c>
      <x:c r="M275" s="11" t="str">
        <x:f>IF(B275="Butterfly",MAX(J275,0),IF(C275="call","Unlimited",MAX(2*E275-D275+J275,J275,0)))</x:f>
        <x:v>Unlimited</x:v>
      </x:c>
      <x:c r="N275" s="11" t="str">
        <x:f>IF(B275="Butterfly",IF(AND(J275&gt;0,J275&lt;K275),D275+J275,"n.a."),IF(C275="call",IF(AND(J275&gt;0,J275&lt;K275),D275+J275,"n.a."),IF(AND(K275&gt;J275,2*E275-D275+J275&gt;=0),2*E275-D275+J275,"n.a.")))</x:f>
        <x:v>n.a.</x:v>
      </x:c>
      <x:c r="O275" s="11" t="n">
        <x:f>IF(B275="Butterfly",IF(AND(J275&gt;0,J275&lt;K275),F275-J275,"n.a."),IF(C275="call",IF(K275&gt;J275,2*E275-D275-J275,"n.a."),IF(AND(J275&gt;0,J275&lt;K275),D275-J275,"n.a.")))</x:f>
        <x:v>7461.32</x:v>
      </x:c>
      <x:c r="P275" s="19" t="str">
        <x:f>IF(AND(B275="Butterfly",J275&gt;0,J275&lt;K275),L275/J275,"n.a.")</x:f>
        <x:v>n.a.</x:v>
      </x:c>
      <x:c r="Q275" s="11" t="n">
        <x:f>J275*'Model inputs'!$B$8</x:f>
        <x:v>-226131.99999999997</x:v>
      </x:c>
      <x:c r="R275" s="1" t="str">
        <x:v>Flagged leg data</x:v>
      </x:c>
      <x:c r="S275" s="1" t="n">
        <x:v>73</x:v>
      </x:c>
      <x:c r="T275" s="1" t="n">
        <x:v>90</x:v>
      </x:c>
    </x:row>
    <x:row r="276" ht="21" customHeight="1">
      <x:c r="A276" s="12" t="n">
        <x:v>46279</x:v>
      </x:c>
      <x:c r="B276" s="1" t="str">
        <x:v>1x2 ratio</x:v>
      </x:c>
      <x:c r="C276" s="1" t="str">
        <x:v>call</x:v>
      </x:c>
      <x:c r="D276" s="11" t="n">
        <x:v>4600</x:v>
      </x:c>
      <x:c r="E276" s="11" t="n">
        <x:v>4800</x:v>
      </x:c>
      <x:c r="F276" s="11"/>
      <x:c r="G276" s="11" t="n">
        <x:f>'Option source'!B61</x:f>
        <x:v>2400</x:v>
      </x:c>
      <x:c r="H276" s="11" t="n">
        <x:f>'Option source'!B78</x:f>
        <x:v>2235.08</x:v>
      </x:c>
      <x:c r="I276" s="11"/>
      <x:c r="J276" s="11" t="n">
        <x:f>G276-2*H276+IF(B276="Butterfly",I276,0)</x:f>
        <x:v>-2070.16</x:v>
      </x:c>
      <x:c r="K276" s="11" t="n">
        <x:f>ABS(E276-D276)</x:f>
        <x:v>200</x:v>
      </x:c>
      <x:c r="L276" s="11" t="n">
        <x:f>K276-J276</x:f>
        <x:v>2270.16</x:v>
      </x:c>
      <x:c r="M276" s="11" t="str">
        <x:f>IF(B276="Butterfly",MAX(J276,0),IF(C276="call","Unlimited",MAX(2*E276-D276+J276,J276,0)))</x:f>
        <x:v>Unlimited</x:v>
      </x:c>
      <x:c r="N276" s="11" t="str">
        <x:f>IF(B276="Butterfly",IF(AND(J276&gt;0,J276&lt;K276),D276+J276,"n.a."),IF(C276="call",IF(AND(J276&gt;0,J276&lt;K276),D276+J276,"n.a."),IF(AND(K276&gt;J276,2*E276-D276+J276&gt;=0),2*E276-D276+J276,"n.a.")))</x:f>
        <x:v>n.a.</x:v>
      </x:c>
      <x:c r="O276" s="11" t="n">
        <x:f>IF(B276="Butterfly",IF(AND(J276&gt;0,J276&lt;K276),F276-J276,"n.a."),IF(C276="call",IF(K276&gt;J276,2*E276-D276-J276,"n.a."),IF(AND(J276&gt;0,J276&lt;K276),D276-J276,"n.a.")))</x:f>
        <x:v>7070.16</x:v>
      </x:c>
      <x:c r="P276" s="19" t="str">
        <x:f>IF(AND(B276="Butterfly",J276&gt;0,J276&lt;K276),L276/J276,"n.a.")</x:f>
        <x:v>n.a.</x:v>
      </x:c>
      <x:c r="Q276" s="11" t="n">
        <x:f>J276*'Model inputs'!$B$8</x:f>
        <x:v>-207016</x:v>
      </x:c>
      <x:c r="R276" s="1" t="str">
        <x:v>Flagged leg data</x:v>
      </x:c>
      <x:c r="S276" s="1" t="n">
        <x:v>56</x:v>
      </x:c>
      <x:c r="T276" s="1" t="n">
        <x:v>73</x:v>
      </x:c>
    </x:row>
    <x:row r="277" ht="21" customHeight="1">
      <x:c r="A277" s="12" t="n">
        <x:v>46279</x:v>
      </x:c>
      <x:c r="B277" s="1" t="str">
        <x:v>1x2 ratio</x:v>
      </x:c>
      <x:c r="C277" s="1" t="str">
        <x:v>put</x:v>
      </x:c>
      <x:c r="D277" s="11" t="n">
        <x:v>9200</x:v>
      </x:c>
      <x:c r="E277" s="11" t="n">
        <x:v>8900</x:v>
      </x:c>
      <x:c r="F277" s="11"/>
      <x:c r="G277" s="11" t="n">
        <x:f>'Option source'!B924</x:f>
        <x:v>2041.57</x:v>
      </x:c>
      <x:c r="H277" s="11" t="n">
        <x:f>'Option source'!B917</x:f>
        <x:v>2022.5</x:v>
      </x:c>
      <x:c r="I277" s="11"/>
      <x:c r="J277" s="11" t="n">
        <x:f>G277-2*H277+IF(B277="Butterfly",I277,0)</x:f>
        <x:v>-2003.43</x:v>
      </x:c>
      <x:c r="K277" s="11" t="n">
        <x:f>ABS(E277-D277)</x:f>
        <x:v>300</x:v>
      </x:c>
      <x:c r="L277" s="11" t="n">
        <x:f>K277-J277</x:f>
        <x:v>2303.4300000000003</x:v>
      </x:c>
      <x:c r="M277" s="11" t="n">
        <x:f>IF(B277="Butterfly",MAX(J277,0),IF(C277="call","Unlimited",MAX(2*E277-D277+J277,J277,0)))</x:f>
        <x:v>6596.57</x:v>
      </x:c>
      <x:c r="N277" s="11" t="n">
        <x:f>IF(B277="Butterfly",IF(AND(J277&gt;0,J277&lt;K277),D277+J277,"n.a."),IF(C277="call",IF(AND(J277&gt;0,J277&lt;K277),D277+J277,"n.a."),IF(AND(K277&gt;J277,2*E277-D277+J277&gt;=0),2*E277-D277+J277,"n.a.")))</x:f>
        <x:v>6596.57</x:v>
      </x:c>
      <x:c r="O277" s="11" t="str">
        <x:f>IF(B277="Butterfly",IF(AND(J277&gt;0,J277&lt;K277),F277-J277,"n.a."),IF(C277="call",IF(K277&gt;J277,2*E277-D277-J277,"n.a."),IF(AND(J277&gt;0,J277&lt;K277),D277-J277,"n.a.")))</x:f>
        <x:v>n.a.</x:v>
      </x:c>
      <x:c r="P277" s="19" t="str">
        <x:f>IF(AND(B277="Butterfly",J277&gt;0,J277&lt;K277),L277/J277,"n.a.")</x:f>
        <x:v>n.a.</x:v>
      </x:c>
      <x:c r="Q277" s="11" t="n">
        <x:f>J277*'Model inputs'!$B$8</x:f>
        <x:v>-200343</x:v>
      </x:c>
      <x:c r="R277" s="1" t="str">
        <x:v>Flagged leg data</x:v>
      </x:c>
      <x:c r="S277" s="1" t="n">
        <x:v>919</x:v>
      </x:c>
      <x:c r="T277" s="1" t="n">
        <x:v>912</x:v>
      </x:c>
    </x:row>
    <x:row r="278" ht="21" customHeight="1">
      <x:c r="A278" s="12" t="n">
        <x:v>46279</x:v>
      </x:c>
      <x:c r="B278" s="1" t="str">
        <x:v>1x2 ratio</x:v>
      </x:c>
      <x:c r="C278" s="1" t="str">
        <x:v>call</x:v>
      </x:c>
      <x:c r="D278" s="11" t="n">
        <x:v>4400</x:v>
      </x:c>
      <x:c r="E278" s="11" t="n">
        <x:v>4600</x:v>
      </x:c>
      <x:c r="F278" s="11"/>
      <x:c r="G278" s="11" t="n">
        <x:f>'Option source'!B42</x:f>
        <x:v>2624.82</x:v>
      </x:c>
      <x:c r="H278" s="11" t="n">
        <x:f>'Option source'!B61</x:f>
        <x:v>2400</x:v>
      </x:c>
      <x:c r="I278" s="11"/>
      <x:c r="J278" s="11" t="n">
        <x:f>G278-2*H278+IF(B278="Butterfly",I278,0)</x:f>
        <x:v>-2175.18</x:v>
      </x:c>
      <x:c r="K278" s="11" t="n">
        <x:f>ABS(E278-D278)</x:f>
        <x:v>200</x:v>
      </x:c>
      <x:c r="L278" s="11" t="n">
        <x:f>K278-J278</x:f>
        <x:v>2375.18</x:v>
      </x:c>
      <x:c r="M278" s="11" t="str">
        <x:f>IF(B278="Butterfly",MAX(J278,0),IF(C278="call","Unlimited",MAX(2*E278-D278+J278,J278,0)))</x:f>
        <x:v>Unlimited</x:v>
      </x:c>
      <x:c r="N278" s="11" t="str">
        <x:f>IF(B278="Butterfly",IF(AND(J278&gt;0,J278&lt;K278),D278+J278,"n.a."),IF(C278="call",IF(AND(J278&gt;0,J278&lt;K278),D278+J278,"n.a."),IF(AND(K278&gt;J278,2*E278-D278+J278&gt;=0),2*E278-D278+J278,"n.a.")))</x:f>
        <x:v>n.a.</x:v>
      </x:c>
      <x:c r="O278" s="11" t="n">
        <x:f>IF(B278="Butterfly",IF(AND(J278&gt;0,J278&lt;K278),F278-J278,"n.a."),IF(C278="call",IF(K278&gt;J278,2*E278-D278-J278,"n.a."),IF(AND(J278&gt;0,J278&lt;K278),D278-J278,"n.a.")))</x:f>
        <x:v>6975.18</x:v>
      </x:c>
      <x:c r="P278" s="19" t="str">
        <x:f>IF(AND(B278="Butterfly",J278&gt;0,J278&lt;K278),L278/J278,"n.a.")</x:f>
        <x:v>n.a.</x:v>
      </x:c>
      <x:c r="Q278" s="11" t="n">
        <x:f>J278*'Model inputs'!$B$8</x:f>
        <x:v>-217517.99999999997</x:v>
      </x:c>
      <x:c r="R278" s="1" t="str">
        <x:v>Flagged leg data</x:v>
      </x:c>
      <x:c r="S278" s="1" t="n">
        <x:v>37</x:v>
      </x:c>
      <x:c r="T278" s="1" t="n">
        <x:v>56</x:v>
      </x:c>
    </x:row>
    <x:row r="279" ht="21" customHeight="1">
      <x:c r="A279" s="12" t="n">
        <x:v>46279</x:v>
      </x:c>
      <x:c r="B279" s="1" t="str">
        <x:v>1x2 ratio</x:v>
      </x:c>
      <x:c r="C279" s="1" t="str">
        <x:v>call</x:v>
      </x:c>
      <x:c r="D279" s="11" t="n">
        <x:v>4200</x:v>
      </x:c>
      <x:c r="E279" s="11" t="n">
        <x:v>4400</x:v>
      </x:c>
      <x:c r="F279" s="11"/>
      <x:c r="G279" s="11" t="n">
        <x:f>'Option source'!B23</x:f>
        <x:v>2956.52</x:v>
      </x:c>
      <x:c r="H279" s="11" t="n">
        <x:f>'Option source'!B42</x:f>
        <x:v>2624.82</x:v>
      </x:c>
      <x:c r="I279" s="11"/>
      <x:c r="J279" s="11" t="n">
        <x:f>G279-2*H279+IF(B279="Butterfly",I279,0)</x:f>
        <x:v>-2293.1200000000003</x:v>
      </x:c>
      <x:c r="K279" s="11" t="n">
        <x:f>ABS(E279-D279)</x:f>
        <x:v>200</x:v>
      </x:c>
      <x:c r="L279" s="11" t="n">
        <x:f>K279-J279</x:f>
        <x:v>2493.1200000000003</x:v>
      </x:c>
      <x:c r="M279" s="11" t="str">
        <x:f>IF(B279="Butterfly",MAX(J279,0),IF(C279="call","Unlimited",MAX(2*E279-D279+J279,J279,0)))</x:f>
        <x:v>Unlimited</x:v>
      </x:c>
      <x:c r="N279" s="11" t="str">
        <x:f>IF(B279="Butterfly",IF(AND(J279&gt;0,J279&lt;K279),D279+J279,"n.a."),IF(C279="call",IF(AND(J279&gt;0,J279&lt;K279),D279+J279,"n.a."),IF(AND(K279&gt;J279,2*E279-D279+J279&gt;=0),2*E279-D279+J279,"n.a.")))</x:f>
        <x:v>n.a.</x:v>
      </x:c>
      <x:c r="O279" s="11" t="n">
        <x:f>IF(B279="Butterfly",IF(AND(J279&gt;0,J279&lt;K279),F279-J279,"n.a."),IF(C279="call",IF(K279&gt;J279,2*E279-D279-J279,"n.a."),IF(AND(J279&gt;0,J279&lt;K279),D279-J279,"n.a.")))</x:f>
        <x:v>6893.120000000001</x:v>
      </x:c>
      <x:c r="P279" s="19" t="str">
        <x:f>IF(AND(B279="Butterfly",J279&gt;0,J279&lt;K279),L279/J279,"n.a.")</x:f>
        <x:v>n.a.</x:v>
      </x:c>
      <x:c r="Q279" s="11" t="n">
        <x:f>J279*'Model inputs'!$B$8</x:f>
        <x:v>-229312.00000000003</x:v>
      </x:c>
      <x:c r="R279" s="1" t="str">
        <x:v>Flagged leg data</x:v>
      </x:c>
      <x:c r="S279" s="1" t="n">
        <x:v>18</x:v>
      </x:c>
      <x:c r="T279" s="1" t="n">
        <x:v>37</x:v>
      </x:c>
    </x:row>
    <x:row r="280" ht="21" customHeight="1">
      <x:c r="A280" s="12" t="n">
        <x:v>46276</x:v>
      </x:c>
      <x:c r="B280" s="1" t="str">
        <x:v>Butterfly</x:v>
      </x:c>
      <x:c r="C280" s="1" t="str">
        <x:v>call</x:v>
      </x:c>
      <x:c r="D280" s="11" t="n">
        <x:v>6800</x:v>
      </x:c>
      <x:c r="E280" s="11" t="n">
        <x:v>7000</x:v>
      </x:c>
      <x:c r="F280" s="11" t="n">
        <x:v>7200</x:v>
      </x:c>
      <x:c r="G280" s="11" t="n">
        <x:f>'Option source'!B255</x:f>
        <x:v>544.29</x:v>
      </x:c>
      <x:c r="H280" s="11" t="n">
        <x:f>'Option source'!B274</x:f>
        <x:v>438.34</x:v>
      </x:c>
      <x:c r="I280" s="11" t="n">
        <x:f>'Option source'!B293</x:f>
        <x:v>345.7</x:v>
      </x:c>
      <x:c r="J280" s="11" t="n">
        <x:f>G280-2*H280+IF(B280="Butterfly",I280,0)</x:f>
        <x:v>13.310000000000002</x:v>
      </x:c>
      <x:c r="K280" s="11" t="n">
        <x:f>ABS(E280-D280)</x:f>
        <x:v>200</x:v>
      </x:c>
      <x:c r="L280" s="11" t="n">
        <x:f>K280-J280</x:f>
        <x:v>186.69</x:v>
      </x:c>
      <x:c r="M280" s="11" t="n">
        <x:f>IF(B280="Butterfly",MAX(J280,0),IF(C280="call","Unlimited",MAX(2*E280-D280+J280,J280,0)))</x:f>
        <x:v>13.310000000000002</x:v>
      </x:c>
      <x:c r="N280" s="11" t="n">
        <x:f>IF(B280="Butterfly",IF(AND(J280&gt;0,J280&lt;K280),D280+J280,"n.a."),IF(C280="call",IF(AND(J280&gt;0,J280&lt;K280),D280+J280,"n.a."),IF(AND(K280&gt;J280,2*E280-D280+J280&gt;=0),2*E280-D280+J280,"n.a.")))</x:f>
        <x:v>6813.31</x:v>
      </x:c>
      <x:c r="O280" s="11" t="n">
        <x:f>IF(B280="Butterfly",IF(AND(J280&gt;0,J280&lt;K280),F280-J280,"n.a."),IF(C280="call",IF(K280&gt;J280,2*E280-D280-J280,"n.a."),IF(AND(J280&gt;0,J280&lt;K280),D280-J280,"n.a.")))</x:f>
        <x:v>7186.69</x:v>
      </x:c>
      <x:c r="P280" s="19" t="n">
        <x:f>IF(AND(B280="Butterfly",J280&gt;0,J280&lt;K280),L280/J280,"n.a.")</x:f>
        <x:v>14.026296018031553</x:v>
      </x:c>
      <x:c r="Q280" s="11" t="n">
        <x:f>J280*'Model inputs'!$B$8</x:f>
        <x:v>1331.0000000000002</x:v>
      </x:c>
      <x:c r="R280" s="1" t="str">
        <x:v>Indicative only</x:v>
      </x:c>
      <x:c r="S280" s="1" t="n">
        <x:v>250</x:v>
      </x:c>
      <x:c r="T280" s="1" t="n">
        <x:v>269</x:v>
      </x:c>
    </x:row>
    <x:row r="281" ht="21" customHeight="1">
      <x:c r="A281" s="12" t="n">
        <x:v>46276</x:v>
      </x:c>
      <x:c r="B281" s="1" t="str">
        <x:v>Butterfly</x:v>
      </x:c>
      <x:c r="C281" s="1" t="str">
        <x:v>put</x:v>
      </x:c>
      <x:c r="D281" s="11" t="n">
        <x:v>6800</x:v>
      </x:c>
      <x:c r="E281" s="11" t="n">
        <x:v>7000</x:v>
      </x:c>
      <x:c r="F281" s="11" t="n">
        <x:v>7200</x:v>
      </x:c>
      <x:c r="G281" s="11" t="n">
        <x:f>'Option source'!B749</x:f>
        <x:v>222.83</x:v>
      </x:c>
      <x:c r="H281" s="11" t="n">
        <x:f>'Option source'!B768</x:f>
        <x:v>308.63</x:v>
      </x:c>
      <x:c r="I281" s="11" t="n">
        <x:f>'Option source'!B787</x:f>
        <x:v>409.22</x:v>
      </x:c>
      <x:c r="J281" s="11" t="n">
        <x:f>G281-2*H281+IF(B281="Butterfly",I281,0)</x:f>
        <x:v>14.790000000000077</x:v>
      </x:c>
      <x:c r="K281" s="11" t="n">
        <x:f>ABS(E281-D281)</x:f>
        <x:v>200</x:v>
      </x:c>
      <x:c r="L281" s="11" t="n">
        <x:f>K281-J281</x:f>
        <x:v>185.20999999999992</x:v>
      </x:c>
      <x:c r="M281" s="11" t="n">
        <x:f>IF(B281="Butterfly",MAX(J281,0),IF(C281="call","Unlimited",MAX(2*E281-D281+J281,J281,0)))</x:f>
        <x:v>14.790000000000077</x:v>
      </x:c>
      <x:c r="N281" s="11" t="n">
        <x:f>IF(B281="Butterfly",IF(AND(J281&gt;0,J281&lt;K281),D281+J281,"n.a."),IF(C281="call",IF(AND(J281&gt;0,J281&lt;K281),D281+J281,"n.a."),IF(AND(K281&gt;J281,2*E281-D281+J281&gt;=0),2*E281-D281+J281,"n.a.")))</x:f>
        <x:v>6814.79</x:v>
      </x:c>
      <x:c r="O281" s="11" t="n">
        <x:f>IF(B281="Butterfly",IF(AND(J281&gt;0,J281&lt;K281),F281-J281,"n.a."),IF(C281="call",IF(K281&gt;J281,2*E281-D281-J281,"n.a."),IF(AND(J281&gt;0,J281&lt;K281),D281-J281,"n.a.")))</x:f>
        <x:v>7185.21</x:v>
      </x:c>
      <x:c r="P281" s="19" t="n">
        <x:f>IF(AND(B281="Butterfly",J281&gt;0,J281&lt;K281),L281/J281,"n.a.")</x:f>
        <x:v>12.52265043948607</x:v>
      </x:c>
      <x:c r="Q281" s="11" t="n">
        <x:f>J281*'Model inputs'!$B$8</x:f>
        <x:v>1479.0000000000077</x:v>
      </x:c>
      <x:c r="R281" s="1" t="str">
        <x:v>Indicative only</x:v>
      </x:c>
      <x:c r="S281" s="1" t="n">
        <x:v>744</x:v>
      </x:c>
      <x:c r="T281" s="1" t="n">
        <x:v>763</x:v>
      </x:c>
    </x:row>
    <x:row r="282" ht="21" customHeight="1">
      <x:c r="A282" s="12" t="n">
        <x:v>46276</x:v>
      </x:c>
      <x:c r="B282" s="1" t="str">
        <x:v>Butterfly</x:v>
      </x:c>
      <x:c r="C282" s="1" t="str">
        <x:v>call</x:v>
      </x:c>
      <x:c r="D282" s="11" t="n">
        <x:v>6600</x:v>
      </x:c>
      <x:c r="E282" s="11" t="n">
        <x:v>6800</x:v>
      </x:c>
      <x:c r="F282" s="11" t="n">
        <x:v>7000</x:v>
      </x:c>
      <x:c r="G282" s="11" t="n">
        <x:f>'Option source'!B236</x:f>
        <x:v>663.81</x:v>
      </x:c>
      <x:c r="H282" s="11" t="n">
        <x:f>'Option source'!B255</x:f>
        <x:v>544.29</x:v>
      </x:c>
      <x:c r="I282" s="11" t="n">
        <x:f>'Option source'!B274</x:f>
        <x:v>438.34</x:v>
      </x:c>
      <x:c r="J282" s="11" t="n">
        <x:f>G282-2*H282+IF(B282="Butterfly",I282,0)</x:f>
        <x:v>13.569999999999993</x:v>
      </x:c>
      <x:c r="K282" s="11" t="n">
        <x:f>ABS(E282-D282)</x:f>
        <x:v>200</x:v>
      </x:c>
      <x:c r="L282" s="11" t="n">
        <x:f>K282-J282</x:f>
        <x:v>186.43</x:v>
      </x:c>
      <x:c r="M282" s="11" t="n">
        <x:f>IF(B282="Butterfly",MAX(J282,0),IF(C282="call","Unlimited",MAX(2*E282-D282+J282,J282,0)))</x:f>
        <x:v>13.569999999999993</x:v>
      </x:c>
      <x:c r="N282" s="11" t="n">
        <x:f>IF(B282="Butterfly",IF(AND(J282&gt;0,J282&lt;K282),D282+J282,"n.a."),IF(C282="call",IF(AND(J282&gt;0,J282&lt;K282),D282+J282,"n.a."),IF(AND(K282&gt;J282,2*E282-D282+J282&gt;=0),2*E282-D282+J282,"n.a.")))</x:f>
        <x:v>6613.57</x:v>
      </x:c>
      <x:c r="O282" s="11" t="n">
        <x:f>IF(B282="Butterfly",IF(AND(J282&gt;0,J282&lt;K282),F282-J282,"n.a."),IF(C282="call",IF(K282&gt;J282,2*E282-D282-J282,"n.a."),IF(AND(J282&gt;0,J282&lt;K282),D282-J282,"n.a.")))</x:f>
        <x:v>6986.43</x:v>
      </x:c>
      <x:c r="P282" s="19" t="n">
        <x:f>IF(AND(B282="Butterfly",J282&gt;0,J282&lt;K282),L282/J282,"n.a.")</x:f>
        <x:v>13.73839351510686</x:v>
      </x:c>
      <x:c r="Q282" s="11" t="n">
        <x:f>J282*'Model inputs'!$B$8</x:f>
        <x:v>1356.9999999999993</x:v>
      </x:c>
      <x:c r="R282" s="1" t="str">
        <x:v>Indicative only</x:v>
      </x:c>
      <x:c r="S282" s="1" t="n">
        <x:v>231</x:v>
      </x:c>
      <x:c r="T282" s="1" t="n">
        <x:v>250</x:v>
      </x:c>
    </x:row>
    <x:row r="283" ht="21" customHeight="1">
      <x:c r="A283" s="12" t="n">
        <x:v>46276</x:v>
      </x:c>
      <x:c r="B283" s="1" t="str">
        <x:v>Butterfly</x:v>
      </x:c>
      <x:c r="C283" s="1" t="str">
        <x:v>call</x:v>
      </x:c>
      <x:c r="D283" s="11" t="n">
        <x:v>7000</x:v>
      </x:c>
      <x:c r="E283" s="11" t="n">
        <x:v>7200</x:v>
      </x:c>
      <x:c r="F283" s="11" t="n">
        <x:v>7400</x:v>
      </x:c>
      <x:c r="G283" s="11" t="n">
        <x:f>'Option source'!B274</x:f>
        <x:v>438.34</x:v>
      </x:c>
      <x:c r="H283" s="11" t="n">
        <x:f>'Option source'!B293</x:f>
        <x:v>345.7</x:v>
      </x:c>
      <x:c r="I283" s="11" t="n">
        <x:f>'Option source'!B312</x:f>
        <x:v>262.49</x:v>
      </x:c>
      <x:c r="J283" s="11" t="n">
        <x:f>G283-2*H283+IF(B283="Butterfly",I283,0)</x:f>
        <x:v>9.430000000000007</x:v>
      </x:c>
      <x:c r="K283" s="11" t="n">
        <x:f>ABS(E283-D283)</x:f>
        <x:v>200</x:v>
      </x:c>
      <x:c r="L283" s="11" t="n">
        <x:f>K283-J283</x:f>
        <x:v>190.57</x:v>
      </x:c>
      <x:c r="M283" s="11" t="n">
        <x:f>IF(B283="Butterfly",MAX(J283,0),IF(C283="call","Unlimited",MAX(2*E283-D283+J283,J283,0)))</x:f>
        <x:v>9.430000000000007</x:v>
      </x:c>
      <x:c r="N283" s="11" t="n">
        <x:f>IF(B283="Butterfly",IF(AND(J283&gt;0,J283&lt;K283),D283+J283,"n.a."),IF(C283="call",IF(AND(J283&gt;0,J283&lt;K283),D283+J283,"n.a."),IF(AND(K283&gt;J283,2*E283-D283+J283&gt;=0),2*E283-D283+J283,"n.a.")))</x:f>
        <x:v>7009.43</x:v>
      </x:c>
      <x:c r="O283" s="11" t="n">
        <x:f>IF(B283="Butterfly",IF(AND(J283&gt;0,J283&lt;K283),F283-J283,"n.a."),IF(C283="call",IF(K283&gt;J283,2*E283-D283-J283,"n.a."),IF(AND(J283&gt;0,J283&lt;K283),D283-J283,"n.a.")))</x:f>
        <x:v>7390.57</x:v>
      </x:c>
      <x:c r="P283" s="19" t="n">
        <x:f>IF(AND(B283="Butterfly",J283&gt;0,J283&lt;K283),L283/J283,"n.a.")</x:f>
        <x:v>20.20890774125131</x:v>
      </x:c>
      <x:c r="Q283" s="11" t="n">
        <x:f>J283*'Model inputs'!$B$8</x:f>
        <x:v>943.0000000000007</x:v>
      </x:c>
      <x:c r="R283" s="1" t="str">
        <x:v>Indicative only</x:v>
      </x:c>
      <x:c r="S283" s="1" t="n">
        <x:v>269</x:v>
      </x:c>
      <x:c r="T283" s="1" t="n">
        <x:v>288</x:v>
      </x:c>
    </x:row>
    <x:row r="284" ht="21" customHeight="1">
      <x:c r="A284" s="12" t="n">
        <x:v>46276</x:v>
      </x:c>
      <x:c r="B284" s="1" t="str">
        <x:v>Butterfly</x:v>
      </x:c>
      <x:c r="C284" s="1" t="str">
        <x:v>put</x:v>
      </x:c>
      <x:c r="D284" s="11" t="n">
        <x:v>6600</x:v>
      </x:c>
      <x:c r="E284" s="11" t="n">
        <x:v>6800</x:v>
      </x:c>
      <x:c r="F284" s="11" t="n">
        <x:v>7000</x:v>
      </x:c>
      <x:c r="G284" s="11" t="n">
        <x:f>'Option source'!B730</x:f>
        <x:v>152.55</x:v>
      </x:c>
      <x:c r="H284" s="11" t="n">
        <x:f>'Option source'!B749</x:f>
        <x:v>222.83</x:v>
      </x:c>
      <x:c r="I284" s="11" t="n">
        <x:f>'Option source'!B768</x:f>
        <x:v>308.63</x:v>
      </x:c>
      <x:c r="J284" s="11" t="n">
        <x:f>G284-2*H284+IF(B284="Butterfly",I284,0)</x:f>
        <x:v>15.519999999999982</x:v>
      </x:c>
      <x:c r="K284" s="11" t="n">
        <x:f>ABS(E284-D284)</x:f>
        <x:v>200</x:v>
      </x:c>
      <x:c r="L284" s="11" t="n">
        <x:f>K284-J284</x:f>
        <x:v>184.48000000000002</x:v>
      </x:c>
      <x:c r="M284" s="11" t="n">
        <x:f>IF(B284="Butterfly",MAX(J284,0),IF(C284="call","Unlimited",MAX(2*E284-D284+J284,J284,0)))</x:f>
        <x:v>15.519999999999982</x:v>
      </x:c>
      <x:c r="N284" s="11" t="n">
        <x:f>IF(B284="Butterfly",IF(AND(J284&gt;0,J284&lt;K284),D284+J284,"n.a."),IF(C284="call",IF(AND(J284&gt;0,J284&lt;K284),D284+J284,"n.a."),IF(AND(K284&gt;J284,2*E284-D284+J284&gt;=0),2*E284-D284+J284,"n.a.")))</x:f>
        <x:v>6615.52</x:v>
      </x:c>
      <x:c r="O284" s="11" t="n">
        <x:f>IF(B284="Butterfly",IF(AND(J284&gt;0,J284&lt;K284),F284-J284,"n.a."),IF(C284="call",IF(K284&gt;J284,2*E284-D284-J284,"n.a."),IF(AND(J284&gt;0,J284&lt;K284),D284-J284,"n.a.")))</x:f>
        <x:v>6984.48</x:v>
      </x:c>
      <x:c r="P284" s="19" t="n">
        <x:f>IF(AND(B284="Butterfly",J284&gt;0,J284&lt;K284),L284/J284,"n.a.")</x:f>
        <x:v>11.886597938144345</x:v>
      </x:c>
      <x:c r="Q284" s="11" t="n">
        <x:f>J284*'Model inputs'!$B$8</x:f>
        <x:v>1551.9999999999982</x:v>
      </x:c>
      <x:c r="R284" s="1" t="str">
        <x:v>Indicative only</x:v>
      </x:c>
      <x:c r="S284" s="1" t="n">
        <x:v>725</x:v>
      </x:c>
      <x:c r="T284" s="1" t="n">
        <x:v>744</x:v>
      </x:c>
    </x:row>
    <x:row r="285" ht="21" customHeight="1">
      <x:c r="A285" s="12" t="n">
        <x:v>46276</x:v>
      </x:c>
      <x:c r="B285" s="1" t="str">
        <x:v>Butterfly</x:v>
      </x:c>
      <x:c r="C285" s="1" t="str">
        <x:v>put</x:v>
      </x:c>
      <x:c r="D285" s="11" t="n">
        <x:v>7000</x:v>
      </x:c>
      <x:c r="E285" s="11" t="n">
        <x:v>7200</x:v>
      </x:c>
      <x:c r="F285" s="11" t="n">
        <x:v>7400</x:v>
      </x:c>
      <x:c r="G285" s="11" t="n">
        <x:f>'Option source'!B768</x:f>
        <x:v>308.63</x:v>
      </x:c>
      <x:c r="H285" s="11" t="n">
        <x:f>'Option source'!B787</x:f>
        <x:v>409.22</x:v>
      </x:c>
      <x:c r="I285" s="11" t="n">
        <x:f>'Option source'!B806</x:f>
        <x:v>528.03</x:v>
      </x:c>
      <x:c r="J285" s="11" t="n">
        <x:f>G285-2*H285+IF(B285="Butterfly",I285,0)</x:f>
        <x:v>18.219999999999914</x:v>
      </x:c>
      <x:c r="K285" s="11" t="n">
        <x:f>ABS(E285-D285)</x:f>
        <x:v>200</x:v>
      </x:c>
      <x:c r="L285" s="11" t="n">
        <x:f>K285-J285</x:f>
        <x:v>181.7800000000001</x:v>
      </x:c>
      <x:c r="M285" s="11" t="n">
        <x:f>IF(B285="Butterfly",MAX(J285,0),IF(C285="call","Unlimited",MAX(2*E285-D285+J285,J285,0)))</x:f>
        <x:v>18.219999999999914</x:v>
      </x:c>
      <x:c r="N285" s="11" t="n">
        <x:f>IF(B285="Butterfly",IF(AND(J285&gt;0,J285&lt;K285),D285+J285,"n.a."),IF(C285="call",IF(AND(J285&gt;0,J285&lt;K285),D285+J285,"n.a."),IF(AND(K285&gt;J285,2*E285-D285+J285&gt;=0),2*E285-D285+J285,"n.a.")))</x:f>
        <x:v>7018.22</x:v>
      </x:c>
      <x:c r="O285" s="11" t="n">
        <x:f>IF(B285="Butterfly",IF(AND(J285&gt;0,J285&lt;K285),F285-J285,"n.a."),IF(C285="call",IF(K285&gt;J285,2*E285-D285-J285,"n.a."),IF(AND(J285&gt;0,J285&lt;K285),D285-J285,"n.a.")))</x:f>
        <x:v>7381.78</x:v>
      </x:c>
      <x:c r="P285" s="19" t="n">
        <x:f>IF(AND(B285="Butterfly",J285&gt;0,J285&lt;K285),L285/J285,"n.a.")</x:f>
        <x:v>9.976948408342533</x:v>
      </x:c>
      <x:c r="Q285" s="11" t="n">
        <x:f>J285*'Model inputs'!$B$8</x:f>
        <x:v>1821.9999999999914</x:v>
      </x:c>
      <x:c r="R285" s="1" t="str">
        <x:v>Indicative only</x:v>
      </x:c>
      <x:c r="S285" s="1" t="n">
        <x:v>763</x:v>
      </x:c>
      <x:c r="T285" s="1" t="n">
        <x:v>782</x:v>
      </x:c>
    </x:row>
    <x:row r="286" ht="21" customHeight="1">
      <x:c r="A286" s="12" t="n">
        <x:v>46276</x:v>
      </x:c>
      <x:c r="B286" s="1" t="str">
        <x:v>Butterfly</x:v>
      </x:c>
      <x:c r="C286" s="1" t="str">
        <x:v>call</x:v>
      </x:c>
      <x:c r="D286" s="11" t="n">
        <x:v>6400</x:v>
      </x:c>
      <x:c r="E286" s="11" t="n">
        <x:v>6600</x:v>
      </x:c>
      <x:c r="F286" s="11" t="n">
        <x:v>6800</x:v>
      </x:c>
      <x:c r="G286" s="11" t="n">
        <x:f>'Option source'!B217</x:f>
        <x:v>830</x:v>
      </x:c>
      <x:c r="H286" s="11" t="n">
        <x:f>'Option source'!B236</x:f>
        <x:v>663.81</x:v>
      </x:c>
      <x:c r="I286" s="11" t="n">
        <x:f>'Option source'!B255</x:f>
        <x:v>544.29</x:v>
      </x:c>
      <x:c r="J286" s="11" t="n">
        <x:f>G286-2*H286+IF(B286="Butterfly",I286,0)</x:f>
        <x:v>46.67000000000007</x:v>
      </x:c>
      <x:c r="K286" s="11" t="n">
        <x:f>ABS(E286-D286)</x:f>
        <x:v>200</x:v>
      </x:c>
      <x:c r="L286" s="11" t="n">
        <x:f>K286-J286</x:f>
        <x:v>153.32999999999993</x:v>
      </x:c>
      <x:c r="M286" s="11" t="n">
        <x:f>IF(B286="Butterfly",MAX(J286,0),IF(C286="call","Unlimited",MAX(2*E286-D286+J286,J286,0)))</x:f>
        <x:v>46.67000000000007</x:v>
      </x:c>
      <x:c r="N286" s="11" t="n">
        <x:f>IF(B286="Butterfly",IF(AND(J286&gt;0,J286&lt;K286),D286+J286,"n.a."),IF(C286="call",IF(AND(J286&gt;0,J286&lt;K286),D286+J286,"n.a."),IF(AND(K286&gt;J286,2*E286-D286+J286&gt;=0),2*E286-D286+J286,"n.a.")))</x:f>
        <x:v>6446.67</x:v>
      </x:c>
      <x:c r="O286" s="11" t="n">
        <x:f>IF(B286="Butterfly",IF(AND(J286&gt;0,J286&lt;K286),F286-J286,"n.a."),IF(C286="call",IF(K286&gt;J286,2*E286-D286-J286,"n.a."),IF(AND(J286&gt;0,J286&lt;K286),D286-J286,"n.a.")))</x:f>
        <x:v>6753.33</x:v>
      </x:c>
      <x:c r="P286" s="19" t="n">
        <x:f>IF(AND(B286="Butterfly",J286&gt;0,J286&lt;K286),L286/J286,"n.a.")</x:f>
        <x:v>3.285408185129627</x:v>
      </x:c>
      <x:c r="Q286" s="11" t="n">
        <x:f>J286*'Model inputs'!$B$8</x:f>
        <x:v>4667.000000000007</x:v>
      </x:c>
      <x:c r="R286" s="1" t="str">
        <x:v>Indicative only</x:v>
      </x:c>
      <x:c r="S286" s="1" t="n">
        <x:v>212</x:v>
      </x:c>
      <x:c r="T286" s="1" t="n">
        <x:v>231</x:v>
      </x:c>
    </x:row>
    <x:row r="287" ht="21" customHeight="1">
      <x:c r="A287" s="12" t="n">
        <x:v>46276</x:v>
      </x:c>
      <x:c r="B287" s="1" t="str">
        <x:v>Butterfly</x:v>
      </x:c>
      <x:c r="C287" s="1" t="str">
        <x:v>call</x:v>
      </x:c>
      <x:c r="D287" s="11" t="n">
        <x:v>7200</x:v>
      </x:c>
      <x:c r="E287" s="11" t="n">
        <x:v>7400</x:v>
      </x:c>
      <x:c r="F287" s="11" t="n">
        <x:v>7600</x:v>
      </x:c>
      <x:c r="G287" s="11" t="n">
        <x:f>'Option source'!B293</x:f>
        <x:v>345.7</x:v>
      </x:c>
      <x:c r="H287" s="11" t="n">
        <x:f>'Option source'!B312</x:f>
        <x:v>262.49</x:v>
      </x:c>
      <x:c r="I287" s="11" t="n">
        <x:f>'Option source'!B331</x:f>
        <x:v>198.58</x:v>
      </x:c>
      <x:c r="J287" s="11" t="n">
        <x:f>G287-2*H287+IF(B287="Butterfly",I287,0)</x:f>
        <x:v>19.299999999999983</x:v>
      </x:c>
      <x:c r="K287" s="11" t="n">
        <x:f>ABS(E287-D287)</x:f>
        <x:v>200</x:v>
      </x:c>
      <x:c r="L287" s="11" t="n">
        <x:f>K287-J287</x:f>
        <x:v>180.70000000000002</x:v>
      </x:c>
      <x:c r="M287" s="11" t="n">
        <x:f>IF(B287="Butterfly",MAX(J287,0),IF(C287="call","Unlimited",MAX(2*E287-D287+J287,J287,0)))</x:f>
        <x:v>19.299999999999983</x:v>
      </x:c>
      <x:c r="N287" s="11" t="n">
        <x:f>IF(B287="Butterfly",IF(AND(J287&gt;0,J287&lt;K287),D287+J287,"n.a."),IF(C287="call",IF(AND(J287&gt;0,J287&lt;K287),D287+J287,"n.a."),IF(AND(K287&gt;J287,2*E287-D287+J287&gt;=0),2*E287-D287+J287,"n.a.")))</x:f>
        <x:v>7219.3</x:v>
      </x:c>
      <x:c r="O287" s="11" t="n">
        <x:f>IF(B287="Butterfly",IF(AND(J287&gt;0,J287&lt;K287),F287-J287,"n.a."),IF(C287="call",IF(K287&gt;J287,2*E287-D287-J287,"n.a."),IF(AND(J287&gt;0,J287&lt;K287),D287-J287,"n.a.")))</x:f>
        <x:v>7580.7</x:v>
      </x:c>
      <x:c r="P287" s="19" t="n">
        <x:f>IF(AND(B287="Butterfly",J287&gt;0,J287&lt;K287),L287/J287,"n.a.")</x:f>
        <x:v>9.362694300518143</x:v>
      </x:c>
      <x:c r="Q287" s="11" t="n">
        <x:f>J287*'Model inputs'!$B$8</x:f>
        <x:v>1929.9999999999982</x:v>
      </x:c>
      <x:c r="R287" s="1" t="str">
        <x:v>Indicative only</x:v>
      </x:c>
      <x:c r="S287" s="1" t="n">
        <x:v>288</x:v>
      </x:c>
      <x:c r="T287" s="1" t="n">
        <x:v>307</x:v>
      </x:c>
    </x:row>
    <x:row r="288" ht="21" customHeight="1">
      <x:c r="A288" s="12" t="n">
        <x:v>46276</x:v>
      </x:c>
      <x:c r="B288" s="1" t="str">
        <x:v>Butterfly</x:v>
      </x:c>
      <x:c r="C288" s="1" t="str">
        <x:v>put</x:v>
      </x:c>
      <x:c r="D288" s="11" t="n">
        <x:v>6400</x:v>
      </x:c>
      <x:c r="E288" s="11" t="n">
        <x:v>6600</x:v>
      </x:c>
      <x:c r="F288" s="11" t="n">
        <x:v>6800</x:v>
      </x:c>
      <x:c r="G288" s="11" t="n">
        <x:f>'Option source'!B711</x:f>
        <x:v>95.07</x:v>
      </x:c>
      <x:c r="H288" s="11" t="n">
        <x:f>'Option source'!B730</x:f>
        <x:v>152.55</x:v>
      </x:c>
      <x:c r="I288" s="11" t="n">
        <x:f>'Option source'!B749</x:f>
        <x:v>222.83</x:v>
      </x:c>
      <x:c r="J288" s="11" t="n">
        <x:f>G288-2*H288+IF(B288="Butterfly",I288,0)</x:f>
        <x:v>12.799999999999983</x:v>
      </x:c>
      <x:c r="K288" s="11" t="n">
        <x:f>ABS(E288-D288)</x:f>
        <x:v>200</x:v>
      </x:c>
      <x:c r="L288" s="11" t="n">
        <x:f>K288-J288</x:f>
        <x:v>187.20000000000002</x:v>
      </x:c>
      <x:c r="M288" s="11" t="n">
        <x:f>IF(B288="Butterfly",MAX(J288,0),IF(C288="call","Unlimited",MAX(2*E288-D288+J288,J288,0)))</x:f>
        <x:v>12.799999999999983</x:v>
      </x:c>
      <x:c r="N288" s="11" t="n">
        <x:f>IF(B288="Butterfly",IF(AND(J288&gt;0,J288&lt;K288),D288+J288,"n.a."),IF(C288="call",IF(AND(J288&gt;0,J288&lt;K288),D288+J288,"n.a."),IF(AND(K288&gt;J288,2*E288-D288+J288&gt;=0),2*E288-D288+J288,"n.a.")))</x:f>
        <x:v>6412.8</x:v>
      </x:c>
      <x:c r="O288" s="11" t="n">
        <x:f>IF(B288="Butterfly",IF(AND(J288&gt;0,J288&lt;K288),F288-J288,"n.a."),IF(C288="call",IF(K288&gt;J288,2*E288-D288-J288,"n.a."),IF(AND(J288&gt;0,J288&lt;K288),D288-J288,"n.a.")))</x:f>
        <x:v>6787.2</x:v>
      </x:c>
      <x:c r="P288" s="19" t="n">
        <x:f>IF(AND(B288="Butterfly",J288&gt;0,J288&lt;K288),L288/J288,"n.a.")</x:f>
        <x:v>14.625000000000021</x:v>
      </x:c>
      <x:c r="Q288" s="11" t="n">
        <x:f>J288*'Model inputs'!$B$8</x:f>
        <x:v>1279.9999999999982</x:v>
      </x:c>
      <x:c r="R288" s="1" t="str">
        <x:v>Indicative only</x:v>
      </x:c>
      <x:c r="S288" s="1" t="n">
        <x:v>706</x:v>
      </x:c>
      <x:c r="T288" s="1" t="n">
        <x:v>725</x:v>
      </x:c>
    </x:row>
    <x:row r="289" ht="21" customHeight="1">
      <x:c r="A289" s="12" t="n">
        <x:v>46276</x:v>
      </x:c>
      <x:c r="B289" s="1" t="str">
        <x:v>Butterfly</x:v>
      </x:c>
      <x:c r="C289" s="1" t="str">
        <x:v>put</x:v>
      </x:c>
      <x:c r="D289" s="11" t="n">
        <x:v>7200</x:v>
      </x:c>
      <x:c r="E289" s="11" t="n">
        <x:v>7400</x:v>
      </x:c>
      <x:c r="F289" s="11" t="n">
        <x:v>7600</x:v>
      </x:c>
      <x:c r="G289" s="11" t="n">
        <x:f>'Option source'!B787</x:f>
        <x:v>409.22</x:v>
      </x:c>
      <x:c r="H289" s="11" t="n">
        <x:f>'Option source'!B806</x:f>
        <x:v>528.03</x:v>
      </x:c>
      <x:c r="I289" s="11" t="n">
        <x:f>'Option source'!B825</x:f>
        <x:v>658.65</x:v>
      </x:c>
      <x:c r="J289" s="11" t="n">
        <x:f>G289-2*H289+IF(B289="Butterfly",I289,0)</x:f>
        <x:v>11.81000000000006</x:v>
      </x:c>
      <x:c r="K289" s="11" t="n">
        <x:f>ABS(E289-D289)</x:f>
        <x:v>200</x:v>
      </x:c>
      <x:c r="L289" s="11" t="n">
        <x:f>K289-J289</x:f>
        <x:v>188.18999999999994</x:v>
      </x:c>
      <x:c r="M289" s="11" t="n">
        <x:f>IF(B289="Butterfly",MAX(J289,0),IF(C289="call","Unlimited",MAX(2*E289-D289+J289,J289,0)))</x:f>
        <x:v>11.81000000000006</x:v>
      </x:c>
      <x:c r="N289" s="11" t="n">
        <x:f>IF(B289="Butterfly",IF(AND(J289&gt;0,J289&lt;K289),D289+J289,"n.a."),IF(C289="call",IF(AND(J289&gt;0,J289&lt;K289),D289+J289,"n.a."),IF(AND(K289&gt;J289,2*E289-D289+J289&gt;=0),2*E289-D289+J289,"n.a.")))</x:f>
        <x:v>7211.81</x:v>
      </x:c>
      <x:c r="O289" s="11" t="n">
        <x:f>IF(B289="Butterfly",IF(AND(J289&gt;0,J289&lt;K289),F289-J289,"n.a."),IF(C289="call",IF(K289&gt;J289,2*E289-D289-J289,"n.a."),IF(AND(J289&gt;0,J289&lt;K289),D289-J289,"n.a.")))</x:f>
        <x:v>7588.19</x:v>
      </x:c>
      <x:c r="P289" s="19" t="n">
        <x:f>IF(AND(B289="Butterfly",J289&gt;0,J289&lt;K289),L289/J289,"n.a.")</x:f>
        <x:v>15.934801016087976</x:v>
      </x:c>
      <x:c r="Q289" s="11" t="n">
        <x:f>J289*'Model inputs'!$B$8</x:f>
        <x:v>1181.000000000006</x:v>
      </x:c>
      <x:c r="R289" s="1" t="str">
        <x:v>Indicative only</x:v>
      </x:c>
      <x:c r="S289" s="1" t="n">
        <x:v>782</x:v>
      </x:c>
      <x:c r="T289" s="1" t="n">
        <x:v>801</x:v>
      </x:c>
    </x:row>
    <x:row r="290" ht="21" customHeight="1">
      <x:c r="A290" s="12" t="n">
        <x:v>46276</x:v>
      </x:c>
      <x:c r="B290" s="1" t="str">
        <x:v>Butterfly</x:v>
      </x:c>
      <x:c r="C290" s="1" t="str">
        <x:v>call</x:v>
      </x:c>
      <x:c r="D290" s="11" t="n">
        <x:v>7400</x:v>
      </x:c>
      <x:c r="E290" s="11" t="n">
        <x:v>7600</x:v>
      </x:c>
      <x:c r="F290" s="11" t="n">
        <x:v>7800</x:v>
      </x:c>
      <x:c r="G290" s="11" t="n">
        <x:f>'Option source'!B312</x:f>
        <x:v>262.49</x:v>
      </x:c>
      <x:c r="H290" s="11" t="n">
        <x:f>'Option source'!B331</x:f>
        <x:v>198.58</x:v>
      </x:c>
      <x:c r="I290" s="11" t="n">
        <x:f>'Option source'!B350</x:f>
        <x:v>147.07</x:v>
      </x:c>
      <x:c r="J290" s="11" t="n">
        <x:f>G290-2*H290+IF(B290="Butterfly",I290,0)</x:f>
        <x:v>12.399999999999977</x:v>
      </x:c>
      <x:c r="K290" s="11" t="n">
        <x:f>ABS(E290-D290)</x:f>
        <x:v>200</x:v>
      </x:c>
      <x:c r="L290" s="11" t="n">
        <x:f>K290-J290</x:f>
        <x:v>187.60000000000002</x:v>
      </x:c>
      <x:c r="M290" s="11" t="n">
        <x:f>IF(B290="Butterfly",MAX(J290,0),IF(C290="call","Unlimited",MAX(2*E290-D290+J290,J290,0)))</x:f>
        <x:v>12.399999999999977</x:v>
      </x:c>
      <x:c r="N290" s="11" t="n">
        <x:f>IF(B290="Butterfly",IF(AND(J290&gt;0,J290&lt;K290),D290+J290,"n.a."),IF(C290="call",IF(AND(J290&gt;0,J290&lt;K290),D290+J290,"n.a."),IF(AND(K290&gt;J290,2*E290-D290+J290&gt;=0),2*E290-D290+J290,"n.a.")))</x:f>
        <x:v>7412.4</x:v>
      </x:c>
      <x:c r="O290" s="11" t="n">
        <x:f>IF(B290="Butterfly",IF(AND(J290&gt;0,J290&lt;K290),F290-J290,"n.a."),IF(C290="call",IF(K290&gt;J290,2*E290-D290-J290,"n.a."),IF(AND(J290&gt;0,J290&lt;K290),D290-J290,"n.a.")))</x:f>
        <x:v>7787.6</x:v>
      </x:c>
      <x:c r="P290" s="19" t="n">
        <x:f>IF(AND(B290="Butterfly",J290&gt;0,J290&lt;K290),L290/J290,"n.a.")</x:f>
        <x:v>15.129032258064546</x:v>
      </x:c>
      <x:c r="Q290" s="11" t="n">
        <x:f>J290*'Model inputs'!$B$8</x:f>
        <x:v>1239.9999999999977</x:v>
      </x:c>
      <x:c r="R290" s="1" t="str">
        <x:v>Indicative only</x:v>
      </x:c>
      <x:c r="S290" s="1" t="n">
        <x:v>307</x:v>
      </x:c>
      <x:c r="T290" s="1" t="n">
        <x:v>326</x:v>
      </x:c>
    </x:row>
    <x:row r="291" ht="21" customHeight="1">
      <x:c r="A291" s="12" t="n">
        <x:v>46276</x:v>
      </x:c>
      <x:c r="B291" s="1" t="str">
        <x:v>Butterfly</x:v>
      </x:c>
      <x:c r="C291" s="1" t="str">
        <x:v>put</x:v>
      </x:c>
      <x:c r="D291" s="11" t="n">
        <x:v>6200</x:v>
      </x:c>
      <x:c r="E291" s="11" t="n">
        <x:v>6400</x:v>
      </x:c>
      <x:c r="F291" s="11" t="n">
        <x:v>6600</x:v>
      </x:c>
      <x:c r="G291" s="11" t="n">
        <x:f>'Option source'!B692</x:f>
        <x:v>62.2</x:v>
      </x:c>
      <x:c r="H291" s="11" t="n">
        <x:f>'Option source'!B711</x:f>
        <x:v>95.07</x:v>
      </x:c>
      <x:c r="I291" s="11" t="n">
        <x:f>'Option source'!B730</x:f>
        <x:v>152.55</x:v>
      </x:c>
      <x:c r="J291" s="11" t="n">
        <x:f>G291-2*H291+IF(B291="Butterfly",I291,0)</x:f>
        <x:v>24.610000000000028</x:v>
      </x:c>
      <x:c r="K291" s="11" t="n">
        <x:f>ABS(E291-D291)</x:f>
        <x:v>200</x:v>
      </x:c>
      <x:c r="L291" s="11" t="n">
        <x:f>K291-J291</x:f>
        <x:v>175.39</x:v>
      </x:c>
      <x:c r="M291" s="11" t="n">
        <x:f>IF(B291="Butterfly",MAX(J291,0),IF(C291="call","Unlimited",MAX(2*E291-D291+J291,J291,0)))</x:f>
        <x:v>24.610000000000028</x:v>
      </x:c>
      <x:c r="N291" s="11" t="n">
        <x:f>IF(B291="Butterfly",IF(AND(J291&gt;0,J291&lt;K291),D291+J291,"n.a."),IF(C291="call",IF(AND(J291&gt;0,J291&lt;K291),D291+J291,"n.a."),IF(AND(K291&gt;J291,2*E291-D291+J291&gt;=0),2*E291-D291+J291,"n.a.")))</x:f>
        <x:v>6224.61</x:v>
      </x:c>
      <x:c r="O291" s="11" t="n">
        <x:f>IF(B291="Butterfly",IF(AND(J291&gt;0,J291&lt;K291),F291-J291,"n.a."),IF(C291="call",IF(K291&gt;J291,2*E291-D291-J291,"n.a."),IF(AND(J291&gt;0,J291&lt;K291),D291-J291,"n.a.")))</x:f>
        <x:v>6575.39</x:v>
      </x:c>
      <x:c r="P291" s="19" t="n">
        <x:f>IF(AND(B291="Butterfly",J291&gt;0,J291&lt;K291),L291/J291,"n.a.")</x:f>
        <x:v>7.126777732629004</x:v>
      </x:c>
      <x:c r="Q291" s="11" t="n">
        <x:f>J291*'Model inputs'!$B$8</x:f>
        <x:v>2461.0000000000027</x:v>
      </x:c>
      <x:c r="R291" s="1" t="str">
        <x:v>Indicative only</x:v>
      </x:c>
      <x:c r="S291" s="1" t="n">
        <x:v>687</x:v>
      </x:c>
      <x:c r="T291" s="1" t="n">
        <x:v>706</x:v>
      </x:c>
    </x:row>
    <x:row r="292" ht="21" customHeight="1">
      <x:c r="A292" s="12" t="n">
        <x:v>46276</x:v>
      </x:c>
      <x:c r="B292" s="1" t="str">
        <x:v>Butterfly</x:v>
      </x:c>
      <x:c r="C292" s="1" t="str">
        <x:v>call</x:v>
      </x:c>
      <x:c r="D292" s="11" t="n">
        <x:v>7600</x:v>
      </x:c>
      <x:c r="E292" s="11" t="n">
        <x:v>7800</x:v>
      </x:c>
      <x:c r="F292" s="11" t="n">
        <x:v>8000</x:v>
      </x:c>
      <x:c r="G292" s="11" t="n">
        <x:f>'Option source'!B331</x:f>
        <x:v>198.58</x:v>
      </x:c>
      <x:c r="H292" s="11" t="n">
        <x:f>'Option source'!B350</x:f>
        <x:v>147.07</x:v>
      </x:c>
      <x:c r="I292" s="11" t="n">
        <x:f>'Option source'!B369</x:f>
        <x:v>109.14</x:v>
      </x:c>
      <x:c r="J292" s="11" t="n">
        <x:f>G292-2*H292+IF(B292="Butterfly",I292,0)</x:f>
        <x:v>13.580000000000027</x:v>
      </x:c>
      <x:c r="K292" s="11" t="n">
        <x:f>ABS(E292-D292)</x:f>
        <x:v>200</x:v>
      </x:c>
      <x:c r="L292" s="11" t="n">
        <x:f>K292-J292</x:f>
        <x:v>186.41999999999996</x:v>
      </x:c>
      <x:c r="M292" s="11" t="n">
        <x:f>IF(B292="Butterfly",MAX(J292,0),IF(C292="call","Unlimited",MAX(2*E292-D292+J292,J292,0)))</x:f>
        <x:v>13.580000000000027</x:v>
      </x:c>
      <x:c r="N292" s="11" t="n">
        <x:f>IF(B292="Butterfly",IF(AND(J292&gt;0,J292&lt;K292),D292+J292,"n.a."),IF(C292="call",IF(AND(J292&gt;0,J292&lt;K292),D292+J292,"n.a."),IF(AND(K292&gt;J292,2*E292-D292+J292&gt;=0),2*E292-D292+J292,"n.a.")))</x:f>
        <x:v>7613.58</x:v>
      </x:c>
      <x:c r="O292" s="11" t="n">
        <x:f>IF(B292="Butterfly",IF(AND(J292&gt;0,J292&lt;K292),F292-J292,"n.a."),IF(C292="call",IF(K292&gt;J292,2*E292-D292-J292,"n.a."),IF(AND(J292&gt;0,J292&lt;K292),D292-J292,"n.a.")))</x:f>
        <x:v>7986.42</x:v>
      </x:c>
      <x:c r="P292" s="19" t="n">
        <x:f>IF(AND(B292="Butterfly",J292&gt;0,J292&lt;K292),L292/J292,"n.a.")</x:f>
        <x:v>13.727540500736348</x:v>
      </x:c>
      <x:c r="Q292" s="11" t="n">
        <x:f>J292*'Model inputs'!$B$8</x:f>
        <x:v>1358.0000000000027</x:v>
      </x:c>
      <x:c r="R292" s="1" t="str">
        <x:v>Indicative only</x:v>
      </x:c>
      <x:c r="S292" s="1" t="n">
        <x:v>326</x:v>
      </x:c>
      <x:c r="T292" s="1" t="n">
        <x:v>345</x:v>
      </x:c>
    </x:row>
    <x:row r="293" ht="21" customHeight="1">
      <x:c r="A293" s="12" t="n">
        <x:v>46276</x:v>
      </x:c>
      <x:c r="B293" s="1" t="str">
        <x:v>Butterfly</x:v>
      </x:c>
      <x:c r="C293" s="1" t="str">
        <x:v>put</x:v>
      </x:c>
      <x:c r="D293" s="11" t="n">
        <x:v>6000</x:v>
      </x:c>
      <x:c r="E293" s="11" t="n">
        <x:v>6200</x:v>
      </x:c>
      <x:c r="F293" s="11" t="n">
        <x:v>6400</x:v>
      </x:c>
      <x:c r="G293" s="11" t="n">
        <x:f>'Option source'!B673</x:f>
        <x:v>35.59</x:v>
      </x:c>
      <x:c r="H293" s="11" t="n">
        <x:f>'Option source'!B692</x:f>
        <x:v>62.2</x:v>
      </x:c>
      <x:c r="I293" s="11" t="n">
        <x:f>'Option source'!B711</x:f>
        <x:v>95.07</x:v>
      </x:c>
      <x:c r="J293" s="11" t="n">
        <x:f>G293-2*H293+IF(B293="Butterfly",I293,0)</x:f>
        <x:v>6.259999999999991</x:v>
      </x:c>
      <x:c r="K293" s="11" t="n">
        <x:f>ABS(E293-D293)</x:f>
        <x:v>200</x:v>
      </x:c>
      <x:c r="L293" s="11" t="n">
        <x:f>K293-J293</x:f>
        <x:v>193.74</x:v>
      </x:c>
      <x:c r="M293" s="11" t="n">
        <x:f>IF(B293="Butterfly",MAX(J293,0),IF(C293="call","Unlimited",MAX(2*E293-D293+J293,J293,0)))</x:f>
        <x:v>6.259999999999991</x:v>
      </x:c>
      <x:c r="N293" s="11" t="n">
        <x:f>IF(B293="Butterfly",IF(AND(J293&gt;0,J293&lt;K293),D293+J293,"n.a."),IF(C293="call",IF(AND(J293&gt;0,J293&lt;K293),D293+J293,"n.a."),IF(AND(K293&gt;J293,2*E293-D293+J293&gt;=0),2*E293-D293+J293,"n.a.")))</x:f>
        <x:v>6006.26</x:v>
      </x:c>
      <x:c r="O293" s="11" t="n">
        <x:f>IF(B293="Butterfly",IF(AND(J293&gt;0,J293&lt;K293),F293-J293,"n.a."),IF(C293="call",IF(K293&gt;J293,2*E293-D293-J293,"n.a."),IF(AND(J293&gt;0,J293&lt;K293),D293-J293,"n.a.")))</x:f>
        <x:v>6393.74</x:v>
      </x:c>
      <x:c r="P293" s="19" t="n">
        <x:f>IF(AND(B293="Butterfly",J293&gt;0,J293&lt;K293),L293/J293,"n.a.")</x:f>
        <x:v>30.948881789137427</x:v>
      </x:c>
      <x:c r="Q293" s="11" t="n">
        <x:f>J293*'Model inputs'!$B$8</x:f>
        <x:v>625.9999999999991</x:v>
      </x:c>
      <x:c r="R293" s="1" t="str">
        <x:v>Indicative only</x:v>
      </x:c>
      <x:c r="S293" s="1" t="n">
        <x:v>668</x:v>
      </x:c>
      <x:c r="T293" s="1" t="n">
        <x:v>687</x:v>
      </x:c>
    </x:row>
    <x:row r="294" ht="21" customHeight="1">
      <x:c r="A294" s="12" t="n">
        <x:v>46276</x:v>
      </x:c>
      <x:c r="B294" s="1" t="str">
        <x:v>Butterfly</x:v>
      </x:c>
      <x:c r="C294" s="1" t="str">
        <x:v>put</x:v>
      </x:c>
      <x:c r="D294" s="11" t="n">
        <x:v>5800</x:v>
      </x:c>
      <x:c r="E294" s="11" t="n">
        <x:v>6000</x:v>
      </x:c>
      <x:c r="F294" s="11" t="n">
        <x:v>6200</x:v>
      </x:c>
      <x:c r="G294" s="11" t="n">
        <x:f>'Option source'!B654</x:f>
        <x:v>20.5</x:v>
      </x:c>
      <x:c r="H294" s="11" t="n">
        <x:f>'Option source'!B673</x:f>
        <x:v>35.59</x:v>
      </x:c>
      <x:c r="I294" s="11" t="n">
        <x:f>'Option source'!B692</x:f>
        <x:v>62.2</x:v>
      </x:c>
      <x:c r="J294" s="11" t="n">
        <x:f>G294-2*H294+IF(B294="Butterfly",I294,0)</x:f>
        <x:v>11.519999999999996</x:v>
      </x:c>
      <x:c r="K294" s="11" t="n">
        <x:f>ABS(E294-D294)</x:f>
        <x:v>200</x:v>
      </x:c>
      <x:c r="L294" s="11" t="n">
        <x:f>K294-J294</x:f>
        <x:v>188.48000000000002</x:v>
      </x:c>
      <x:c r="M294" s="11" t="n">
        <x:f>IF(B294="Butterfly",MAX(J294,0),IF(C294="call","Unlimited",MAX(2*E294-D294+J294,J294,0)))</x:f>
        <x:v>11.519999999999996</x:v>
      </x:c>
      <x:c r="N294" s="11" t="n">
        <x:f>IF(B294="Butterfly",IF(AND(J294&gt;0,J294&lt;K294),D294+J294,"n.a."),IF(C294="call",IF(AND(J294&gt;0,J294&lt;K294),D294+J294,"n.a."),IF(AND(K294&gt;J294,2*E294-D294+J294&gt;=0),2*E294-D294+J294,"n.a.")))</x:f>
        <x:v>5811.52</x:v>
      </x:c>
      <x:c r="O294" s="11" t="n">
        <x:f>IF(B294="Butterfly",IF(AND(J294&gt;0,J294&lt;K294),F294-J294,"n.a."),IF(C294="call",IF(K294&gt;J294,2*E294-D294-J294,"n.a."),IF(AND(J294&gt;0,J294&lt;K294),D294-J294,"n.a.")))</x:f>
        <x:v>6188.48</x:v>
      </x:c>
      <x:c r="P294" s="19" t="n">
        <x:f>IF(AND(B294="Butterfly",J294&gt;0,J294&lt;K294),L294/J294,"n.a.")</x:f>
        <x:v>16.361111111111118</x:v>
      </x:c>
      <x:c r="Q294" s="11" t="n">
        <x:f>J294*'Model inputs'!$B$8</x:f>
        <x:v>1151.9999999999995</x:v>
      </x:c>
      <x:c r="R294" s="1" t="str">
        <x:v>Indicative only</x:v>
      </x:c>
      <x:c r="S294" s="1" t="n">
        <x:v>649</x:v>
      </x:c>
      <x:c r="T294" s="1" t="n">
        <x:v>668</x:v>
      </x:c>
    </x:row>
    <x:row r="295" ht="21" customHeight="1">
      <x:c r="A295" s="12" t="n">
        <x:v>46276</x:v>
      </x:c>
      <x:c r="B295" s="1" t="str">
        <x:v>Butterfly</x:v>
      </x:c>
      <x:c r="C295" s="1" t="str">
        <x:v>put</x:v>
      </x:c>
      <x:c r="D295" s="11" t="n">
        <x:v>5600</x:v>
      </x:c>
      <x:c r="E295" s="11" t="n">
        <x:v>5800</x:v>
      </x:c>
      <x:c r="F295" s="11" t="n">
        <x:v>6000</x:v>
      </x:c>
      <x:c r="G295" s="11" t="n">
        <x:f>'Option source'!B635</x:f>
        <x:v>10.74</x:v>
      </x:c>
      <x:c r="H295" s="11" t="n">
        <x:f>'Option source'!B654</x:f>
        <x:v>20.5</x:v>
      </x:c>
      <x:c r="I295" s="11" t="n">
        <x:f>'Option source'!B673</x:f>
        <x:v>35.59</x:v>
      </x:c>
      <x:c r="J295" s="11" t="n">
        <x:f>G295-2*H295+IF(B295="Butterfly",I295,0)</x:f>
        <x:v>5.330000000000005</x:v>
      </x:c>
      <x:c r="K295" s="11" t="n">
        <x:f>ABS(E295-D295)</x:f>
        <x:v>200</x:v>
      </x:c>
      <x:c r="L295" s="11" t="n">
        <x:f>K295-J295</x:f>
        <x:v>194.67</x:v>
      </x:c>
      <x:c r="M295" s="11" t="n">
        <x:f>IF(B295="Butterfly",MAX(J295,0),IF(C295="call","Unlimited",MAX(2*E295-D295+J295,J295,0)))</x:f>
        <x:v>5.330000000000005</x:v>
      </x:c>
      <x:c r="N295" s="11" t="n">
        <x:f>IF(B295="Butterfly",IF(AND(J295&gt;0,J295&lt;K295),D295+J295,"n.a."),IF(C295="call",IF(AND(J295&gt;0,J295&lt;K295),D295+J295,"n.a."),IF(AND(K295&gt;J295,2*E295-D295+J295&gt;=0),2*E295-D295+J295,"n.a.")))</x:f>
        <x:v>5605.33</x:v>
      </x:c>
      <x:c r="O295" s="11" t="n">
        <x:f>IF(B295="Butterfly",IF(AND(J295&gt;0,J295&lt;K295),F295-J295,"n.a."),IF(C295="call",IF(K295&gt;J295,2*E295-D295-J295,"n.a."),IF(AND(J295&gt;0,J295&lt;K295),D295-J295,"n.a.")))</x:f>
        <x:v>5994.67</x:v>
      </x:c>
      <x:c r="P295" s="19" t="n">
        <x:f>IF(AND(B295="Butterfly",J295&gt;0,J295&lt;K295),L295/J295,"n.a.")</x:f>
        <x:v>36.52345215759846</x:v>
      </x:c>
      <x:c r="Q295" s="11" t="n">
        <x:f>J295*'Model inputs'!$B$8</x:f>
        <x:v>533.0000000000006</x:v>
      </x:c>
      <x:c r="R295" s="1" t="str">
        <x:v>Indicative only</x:v>
      </x:c>
      <x:c r="S295" s="1" t="n">
        <x:v>630</x:v>
      </x:c>
      <x:c r="T295" s="1" t="n">
        <x:v>649</x:v>
      </x:c>
    </x:row>
    <x:row r="296" ht="21" customHeight="1">
      <x:c r="A296" s="12" t="n">
        <x:v>46276</x:v>
      </x:c>
      <x:c r="B296" s="1" t="str">
        <x:v>Butterfly</x:v>
      </x:c>
      <x:c r="C296" s="1" t="str">
        <x:v>call</x:v>
      </x:c>
      <x:c r="D296" s="11" t="n">
        <x:v>8000</x:v>
      </x:c>
      <x:c r="E296" s="11" t="n">
        <x:v>8300</x:v>
      </x:c>
      <x:c r="F296" s="11" t="n">
        <x:v>8600</x:v>
      </x:c>
      <x:c r="G296" s="11" t="n">
        <x:f>'Option source'!B369</x:f>
        <x:v>109.14</x:v>
      </x:c>
      <x:c r="H296" s="11" t="n">
        <x:f>'Option source'!B388</x:f>
        <x:v>66.81</x:v>
      </x:c>
      <x:c r="I296" s="11" t="n">
        <x:f>'Option source'!B407</x:f>
        <x:v>38.76</x:v>
      </x:c>
      <x:c r="J296" s="11" t="n">
        <x:f>G296-2*H296+IF(B296="Butterfly",I296,0)</x:f>
        <x:v>14.279999999999994</x:v>
      </x:c>
      <x:c r="K296" s="11" t="n">
        <x:f>ABS(E296-D296)</x:f>
        <x:v>300</x:v>
      </x:c>
      <x:c r="L296" s="11" t="n">
        <x:f>K296-J296</x:f>
        <x:v>285.72</x:v>
      </x:c>
      <x:c r="M296" s="11" t="n">
        <x:f>IF(B296="Butterfly",MAX(J296,0),IF(C296="call","Unlimited",MAX(2*E296-D296+J296,J296,0)))</x:f>
        <x:v>14.279999999999994</x:v>
      </x:c>
      <x:c r="N296" s="11" t="n">
        <x:f>IF(B296="Butterfly",IF(AND(J296&gt;0,J296&lt;K296),D296+J296,"n.a."),IF(C296="call",IF(AND(J296&gt;0,J296&lt;K296),D296+J296,"n.a."),IF(AND(K296&gt;J296,2*E296-D296+J296&gt;=0),2*E296-D296+J296,"n.a.")))</x:f>
        <x:v>8014.28</x:v>
      </x:c>
      <x:c r="O296" s="11" t="n">
        <x:f>IF(B296="Butterfly",IF(AND(J296&gt;0,J296&lt;K296),F296-J296,"n.a."),IF(C296="call",IF(K296&gt;J296,2*E296-D296-J296,"n.a."),IF(AND(J296&gt;0,J296&lt;K296),D296-J296,"n.a.")))</x:f>
        <x:v>8585.72</x:v>
      </x:c>
      <x:c r="P296" s="19" t="n">
        <x:f>IF(AND(B296="Butterfly",J296&gt;0,J296&lt;K296),L296/J296,"n.a.")</x:f>
        <x:v>20.00840336134455</x:v>
      </x:c>
      <x:c r="Q296" s="11" t="n">
        <x:f>J296*'Model inputs'!$B$8</x:f>
        <x:v>1427.9999999999993</x:v>
      </x:c>
      <x:c r="R296" s="1" t="str">
        <x:v>Indicative only</x:v>
      </x:c>
      <x:c r="S296" s="1" t="n">
        <x:v>364</x:v>
      </x:c>
      <x:c r="T296" s="1" t="n">
        <x:v>383</x:v>
      </x:c>
    </x:row>
    <x:row r="297" ht="21" customHeight="1">
      <x:c r="A297" s="12" t="n">
        <x:v>46276</x:v>
      </x:c>
      <x:c r="B297" s="1" t="str">
        <x:v>Butterfly</x:v>
      </x:c>
      <x:c r="C297" s="1" t="str">
        <x:v>put</x:v>
      </x:c>
      <x:c r="D297" s="11" t="n">
        <x:v>5400</x:v>
      </x:c>
      <x:c r="E297" s="11" t="n">
        <x:v>5600</x:v>
      </x:c>
      <x:c r="F297" s="11" t="n">
        <x:v>5800</x:v>
      </x:c>
      <x:c r="G297" s="11" t="n">
        <x:f>'Option source'!B616</x:f>
        <x:v>5.84</x:v>
      </x:c>
      <x:c r="H297" s="11" t="n">
        <x:f>'Option source'!B635</x:f>
        <x:v>10.74</x:v>
      </x:c>
      <x:c r="I297" s="11" t="n">
        <x:f>'Option source'!B654</x:f>
        <x:v>20.5</x:v>
      </x:c>
      <x:c r="J297" s="11" t="n">
        <x:f>G297-2*H297+IF(B297="Butterfly",I297,0)</x:f>
        <x:v>4.859999999999999</x:v>
      </x:c>
      <x:c r="K297" s="11" t="n">
        <x:f>ABS(E297-D297)</x:f>
        <x:v>200</x:v>
      </x:c>
      <x:c r="L297" s="11" t="n">
        <x:f>K297-J297</x:f>
        <x:v>195.14</x:v>
      </x:c>
      <x:c r="M297" s="11" t="n">
        <x:f>IF(B297="Butterfly",MAX(J297,0),IF(C297="call","Unlimited",MAX(2*E297-D297+J297,J297,0)))</x:f>
        <x:v>4.859999999999999</x:v>
      </x:c>
      <x:c r="N297" s="11" t="n">
        <x:f>IF(B297="Butterfly",IF(AND(J297&gt;0,J297&lt;K297),D297+J297,"n.a."),IF(C297="call",IF(AND(J297&gt;0,J297&lt;K297),D297+J297,"n.a."),IF(AND(K297&gt;J297,2*E297-D297+J297&gt;=0),2*E297-D297+J297,"n.a.")))</x:f>
        <x:v>5404.86</x:v>
      </x:c>
      <x:c r="O297" s="11" t="n">
        <x:f>IF(B297="Butterfly",IF(AND(J297&gt;0,J297&lt;K297),F297-J297,"n.a."),IF(C297="call",IF(K297&gt;J297,2*E297-D297-J297,"n.a."),IF(AND(J297&gt;0,J297&lt;K297),D297-J297,"n.a.")))</x:f>
        <x:v>5795.14</x:v>
      </x:c>
      <x:c r="P297" s="19" t="n">
        <x:f>IF(AND(B297="Butterfly",J297&gt;0,J297&lt;K297),L297/J297,"n.a.")</x:f>
        <x:v>40.1522633744856</x:v>
      </x:c>
      <x:c r="Q297" s="11" t="n">
        <x:f>J297*'Model inputs'!$B$8</x:f>
        <x:v>485.99999999999994</x:v>
      </x:c>
      <x:c r="R297" s="1" t="str">
        <x:v>Indicative only</x:v>
      </x:c>
      <x:c r="S297" s="1" t="n">
        <x:v>611</x:v>
      </x:c>
      <x:c r="T297" s="1" t="n">
        <x:v>630</x:v>
      </x:c>
    </x:row>
    <x:row r="298" ht="21" customHeight="1">
      <x:c r="A298" s="12" t="n">
        <x:v>46276</x:v>
      </x:c>
      <x:c r="B298" s="1" t="str">
        <x:v>Butterfly</x:v>
      </x:c>
      <x:c r="C298" s="1" t="str">
        <x:v>call</x:v>
      </x:c>
      <x:c r="D298" s="11" t="n">
        <x:v>8300</x:v>
      </x:c>
      <x:c r="E298" s="11" t="n">
        <x:v>8600</x:v>
      </x:c>
      <x:c r="F298" s="11" t="n">
        <x:v>8900</x:v>
      </x:c>
      <x:c r="G298" s="11" t="n">
        <x:f>'Option source'!B388</x:f>
        <x:v>66.81</x:v>
      </x:c>
      <x:c r="H298" s="11" t="n">
        <x:f>'Option source'!B407</x:f>
        <x:v>38.76</x:v>
      </x:c>
      <x:c r="I298" s="11" t="n">
        <x:f>'Option source'!B426</x:f>
        <x:v>22.19</x:v>
      </x:c>
      <x:c r="J298" s="11" t="n">
        <x:f>G298-2*H298+IF(B298="Butterfly",I298,0)</x:f>
        <x:v>11.480000000000008</x:v>
      </x:c>
      <x:c r="K298" s="11" t="n">
        <x:f>ABS(E298-D298)</x:f>
        <x:v>300</x:v>
      </x:c>
      <x:c r="L298" s="11" t="n">
        <x:f>K298-J298</x:f>
        <x:v>288.52</x:v>
      </x:c>
      <x:c r="M298" s="11" t="n">
        <x:f>IF(B298="Butterfly",MAX(J298,0),IF(C298="call","Unlimited",MAX(2*E298-D298+J298,J298,0)))</x:f>
        <x:v>11.480000000000008</x:v>
      </x:c>
      <x:c r="N298" s="11" t="n">
        <x:f>IF(B298="Butterfly",IF(AND(J298&gt;0,J298&lt;K298),D298+J298,"n.a."),IF(C298="call",IF(AND(J298&gt;0,J298&lt;K298),D298+J298,"n.a."),IF(AND(K298&gt;J298,2*E298-D298+J298&gt;=0),2*E298-D298+J298,"n.a.")))</x:f>
        <x:v>8311.48</x:v>
      </x:c>
      <x:c r="O298" s="11" t="n">
        <x:f>IF(B298="Butterfly",IF(AND(J298&gt;0,J298&lt;K298),F298-J298,"n.a."),IF(C298="call",IF(K298&gt;J298,2*E298-D298-J298,"n.a."),IF(AND(J298&gt;0,J298&lt;K298),D298-J298,"n.a.")))</x:f>
        <x:v>8888.52</x:v>
      </x:c>
      <x:c r="P298" s="19" t="n">
        <x:f>IF(AND(B298="Butterfly",J298&gt;0,J298&lt;K298),L298/J298,"n.a.")</x:f>
        <x:v>25.13240418118465</x:v>
      </x:c>
      <x:c r="Q298" s="11" t="n">
        <x:f>J298*'Model inputs'!$B$8</x:f>
        <x:v>1148.0000000000007</x:v>
      </x:c>
      <x:c r="R298" s="1" t="str">
        <x:v>Indicative only</x:v>
      </x:c>
      <x:c r="S298" s="1" t="n">
        <x:v>383</x:v>
      </x:c>
      <x:c r="T298" s="1" t="n">
        <x:v>402</x:v>
      </x:c>
    </x:row>
    <x:row r="299" ht="21" customHeight="1">
      <x:c r="A299" s="12" t="n">
        <x:v>46276</x:v>
      </x:c>
      <x:c r="B299" s="1" t="str">
        <x:v>Butterfly</x:v>
      </x:c>
      <x:c r="C299" s="1" t="str">
        <x:v>put</x:v>
      </x:c>
      <x:c r="D299" s="11" t="n">
        <x:v>5200</x:v>
      </x:c>
      <x:c r="E299" s="11" t="n">
        <x:v>5400</x:v>
      </x:c>
      <x:c r="F299" s="11" t="n">
        <x:v>5600</x:v>
      </x:c>
      <x:c r="G299" s="11" t="n">
        <x:f>'Option source'!B597</x:f>
        <x:v>3.1</x:v>
      </x:c>
      <x:c r="H299" s="11" t="n">
        <x:f>'Option source'!B616</x:f>
        <x:v>5.84</x:v>
      </x:c>
      <x:c r="I299" s="11" t="n">
        <x:f>'Option source'!B635</x:f>
        <x:v>10.74</x:v>
      </x:c>
      <x:c r="J299" s="11" t="n">
        <x:f>G299-2*H299+IF(B299="Butterfly",I299,0)</x:f>
        <x:v>2.16</x:v>
      </x:c>
      <x:c r="K299" s="11" t="n">
        <x:f>ABS(E299-D299)</x:f>
        <x:v>200</x:v>
      </x:c>
      <x:c r="L299" s="11" t="n">
        <x:f>K299-J299</x:f>
        <x:v>197.84</x:v>
      </x:c>
      <x:c r="M299" s="11" t="n">
        <x:f>IF(B299="Butterfly",MAX(J299,0),IF(C299="call","Unlimited",MAX(2*E299-D299+J299,J299,0)))</x:f>
        <x:v>2.16</x:v>
      </x:c>
      <x:c r="N299" s="11" t="n">
        <x:f>IF(B299="Butterfly",IF(AND(J299&gt;0,J299&lt;K299),D299+J299,"n.a."),IF(C299="call",IF(AND(J299&gt;0,J299&lt;K299),D299+J299,"n.a."),IF(AND(K299&gt;J299,2*E299-D299+J299&gt;=0),2*E299-D299+J299,"n.a.")))</x:f>
        <x:v>5202.16</x:v>
      </x:c>
      <x:c r="O299" s="11" t="n">
        <x:f>IF(B299="Butterfly",IF(AND(J299&gt;0,J299&lt;K299),F299-J299,"n.a."),IF(C299="call",IF(K299&gt;J299,2*E299-D299-J299,"n.a."),IF(AND(J299&gt;0,J299&lt;K299),D299-J299,"n.a.")))</x:f>
        <x:v>5597.84</x:v>
      </x:c>
      <x:c r="P299" s="19" t="n">
        <x:f>IF(AND(B299="Butterfly",J299&gt;0,J299&lt;K299),L299/J299,"n.a.")</x:f>
        <x:v>91.5925925925926</x:v>
      </x:c>
      <x:c r="Q299" s="11" t="n">
        <x:f>J299*'Model inputs'!$B$8</x:f>
        <x:v>216</x:v>
      </x:c>
      <x:c r="R299" s="1" t="str">
        <x:v>Indicative only</x:v>
      </x:c>
      <x:c r="S299" s="1" t="n">
        <x:v>592</x:v>
      </x:c>
      <x:c r="T299" s="1" t="n">
        <x:v>611</x:v>
      </x:c>
    </x:row>
    <x:row r="300" ht="21" customHeight="1">
      <x:c r="A300" s="12" t="n">
        <x:v>46276</x:v>
      </x:c>
      <x:c r="B300" s="1" t="str">
        <x:v>Butterfly</x:v>
      </x:c>
      <x:c r="C300" s="1" t="str">
        <x:v>put</x:v>
      </x:c>
      <x:c r="D300" s="11" t="n">
        <x:v>5000</x:v>
      </x:c>
      <x:c r="E300" s="11" t="n">
        <x:v>5200</x:v>
      </x:c>
      <x:c r="F300" s="11" t="n">
        <x:v>5400</x:v>
      </x:c>
      <x:c r="G300" s="11" t="n">
        <x:f>'Option source'!B578</x:f>
        <x:v>2.15</x:v>
      </x:c>
      <x:c r="H300" s="11" t="n">
        <x:f>'Option source'!B597</x:f>
        <x:v>3.1</x:v>
      </x:c>
      <x:c r="I300" s="11" t="n">
        <x:f>'Option source'!B616</x:f>
        <x:v>5.84</x:v>
      </x:c>
      <x:c r="J300" s="11" t="n">
        <x:f>G300-2*H300+IF(B300="Butterfly",I300,0)</x:f>
        <x:v>1.7899999999999991</x:v>
      </x:c>
      <x:c r="K300" s="11" t="n">
        <x:f>ABS(E300-D300)</x:f>
        <x:v>200</x:v>
      </x:c>
      <x:c r="L300" s="11" t="n">
        <x:f>K300-J300</x:f>
        <x:v>198.21</x:v>
      </x:c>
      <x:c r="M300" s="11" t="n">
        <x:f>IF(B300="Butterfly",MAX(J300,0),IF(C300="call","Unlimited",MAX(2*E300-D300+J300,J300,0)))</x:f>
        <x:v>1.7899999999999991</x:v>
      </x:c>
      <x:c r="N300" s="11" t="n">
        <x:f>IF(B300="Butterfly",IF(AND(J300&gt;0,J300&lt;K300),D300+J300,"n.a."),IF(C300="call",IF(AND(J300&gt;0,J300&lt;K300),D300+J300,"n.a."),IF(AND(K300&gt;J300,2*E300-D300+J300&gt;=0),2*E300-D300+J300,"n.a.")))</x:f>
        <x:v>5001.79</x:v>
      </x:c>
      <x:c r="O300" s="11" t="n">
        <x:f>IF(B300="Butterfly",IF(AND(J300&gt;0,J300&lt;K300),F300-J300,"n.a."),IF(C300="call",IF(K300&gt;J300,2*E300-D300-J300,"n.a."),IF(AND(J300&gt;0,J300&lt;K300),D300-J300,"n.a.")))</x:f>
        <x:v>5398.21</x:v>
      </x:c>
      <x:c r="P300" s="19" t="n">
        <x:f>IF(AND(B300="Butterfly",J300&gt;0,J300&lt;K300),L300/J300,"n.a.")</x:f>
        <x:v>110.73184357541905</x:v>
      </x:c>
      <x:c r="Q300" s="11" t="n">
        <x:f>J300*'Model inputs'!$B$8</x:f>
        <x:v>178.99999999999991</x:v>
      </x:c>
      <x:c r="R300" s="1" t="str">
        <x:v>Indicative only</x:v>
      </x:c>
      <x:c r="S300" s="1" t="n">
        <x:v>573</x:v>
      </x:c>
      <x:c r="T300" s="1" t="n">
        <x:v>592</x:v>
      </x:c>
    </x:row>
    <x:row r="301" ht="21" customHeight="1">
      <x:c r="A301" s="12" t="n">
        <x:v>46276</x:v>
      </x:c>
      <x:c r="B301" s="1" t="str">
        <x:v>Butterfly</x:v>
      </x:c>
      <x:c r="C301" s="1" t="str">
        <x:v>call</x:v>
      </x:c>
      <x:c r="D301" s="11" t="n">
        <x:v>8600</x:v>
      </x:c>
      <x:c r="E301" s="11" t="n">
        <x:v>8900</x:v>
      </x:c>
      <x:c r="F301" s="11" t="n">
        <x:v>9200</x:v>
      </x:c>
      <x:c r="G301" s="11" t="n">
        <x:f>'Option source'!B407</x:f>
        <x:v>38.76</x:v>
      </x:c>
      <x:c r="H301" s="11" t="n">
        <x:f>'Option source'!B426</x:f>
        <x:v>22.19</x:v>
      </x:c>
      <x:c r="I301" s="11" t="n">
        <x:f>'Option source'!B445</x:f>
        <x:v>13.01</x:v>
      </x:c>
      <x:c r="J301" s="11" t="n">
        <x:f>G301-2*H301+IF(B301="Butterfly",I301,0)</x:f>
        <x:v>7.389999999999995</x:v>
      </x:c>
      <x:c r="K301" s="11" t="n">
        <x:f>ABS(E301-D301)</x:f>
        <x:v>300</x:v>
      </x:c>
      <x:c r="L301" s="11" t="n">
        <x:f>K301-J301</x:f>
        <x:v>292.61</x:v>
      </x:c>
      <x:c r="M301" s="11" t="n">
        <x:f>IF(B301="Butterfly",MAX(J301,0),IF(C301="call","Unlimited",MAX(2*E301-D301+J301,J301,0)))</x:f>
        <x:v>7.389999999999995</x:v>
      </x:c>
      <x:c r="N301" s="11" t="n">
        <x:f>IF(B301="Butterfly",IF(AND(J301&gt;0,J301&lt;K301),D301+J301,"n.a."),IF(C301="call",IF(AND(J301&gt;0,J301&lt;K301),D301+J301,"n.a."),IF(AND(K301&gt;J301,2*E301-D301+J301&gt;=0),2*E301-D301+J301,"n.a.")))</x:f>
        <x:v>8607.39</x:v>
      </x:c>
      <x:c r="O301" s="11" t="n">
        <x:f>IF(B301="Butterfly",IF(AND(J301&gt;0,J301&lt;K301),F301-J301,"n.a."),IF(C301="call",IF(K301&gt;J301,2*E301-D301-J301,"n.a."),IF(AND(J301&gt;0,J301&lt;K301),D301-J301,"n.a.")))</x:f>
        <x:v>9192.61</x:v>
      </x:c>
      <x:c r="P301" s="19" t="n">
        <x:f>IF(AND(B301="Butterfly",J301&gt;0,J301&lt;K301),L301/J301,"n.a.")</x:f>
        <x:v>39.595399188092046</x:v>
      </x:c>
      <x:c r="Q301" s="11" t="n">
        <x:f>J301*'Model inputs'!$B$8</x:f>
        <x:v>738.9999999999995</x:v>
      </x:c>
      <x:c r="R301" s="1" t="str">
        <x:v>Indicative only</x:v>
      </x:c>
      <x:c r="S301" s="1" t="n">
        <x:v>402</x:v>
      </x:c>
      <x:c r="T301" s="1" t="n">
        <x:v>421</x:v>
      </x:c>
    </x:row>
    <x:row r="302" ht="21" customHeight="1">
      <x:c r="A302" s="12" t="n">
        <x:v>46276</x:v>
      </x:c>
      <x:c r="B302" s="1" t="str">
        <x:v>Butterfly</x:v>
      </x:c>
      <x:c r="C302" s="1" t="str">
        <x:v>put</x:v>
      </x:c>
      <x:c r="D302" s="11" t="n">
        <x:v>4800</x:v>
      </x:c>
      <x:c r="E302" s="11" t="n">
        <x:v>5000</x:v>
      </x:c>
      <x:c r="F302" s="11" t="n">
        <x:v>5200</x:v>
      </x:c>
      <x:c r="G302" s="11" t="n">
        <x:f>'Option source'!B559</x:f>
        <x:v>1.24</x:v>
      </x:c>
      <x:c r="H302" s="11" t="n">
        <x:f>'Option source'!B578</x:f>
        <x:v>2.15</x:v>
      </x:c>
      <x:c r="I302" s="11" t="n">
        <x:f>'Option source'!B597</x:f>
        <x:v>3.1</x:v>
      </x:c>
      <x:c r="J302" s="11" t="n">
        <x:f>G302-2*H302+IF(B302="Butterfly",I302,0)</x:f>
        <x:v>0.04000000000000048</x:v>
      </x:c>
      <x:c r="K302" s="11" t="n">
        <x:f>ABS(E302-D302)</x:f>
        <x:v>200</x:v>
      </x:c>
      <x:c r="L302" s="11" t="n">
        <x:f>K302-J302</x:f>
        <x:v>199.96</x:v>
      </x:c>
      <x:c r="M302" s="11" t="n">
        <x:f>IF(B302="Butterfly",MAX(J302,0),IF(C302="call","Unlimited",MAX(2*E302-D302+J302,J302,0)))</x:f>
        <x:v>0.04000000000000048</x:v>
      </x:c>
      <x:c r="N302" s="11" t="n">
        <x:f>IF(B302="Butterfly",IF(AND(J302&gt;0,J302&lt;K302),D302+J302,"n.a."),IF(C302="call",IF(AND(J302&gt;0,J302&lt;K302),D302+J302,"n.a."),IF(AND(K302&gt;J302,2*E302-D302+J302&gt;=0),2*E302-D302+J302,"n.a.")))</x:f>
        <x:v>4800.04</x:v>
      </x:c>
      <x:c r="O302" s="11" t="n">
        <x:f>IF(B302="Butterfly",IF(AND(J302&gt;0,J302&lt;K302),F302-J302,"n.a."),IF(C302="call",IF(K302&gt;J302,2*E302-D302-J302,"n.a."),IF(AND(J302&gt;0,J302&lt;K302),D302-J302,"n.a.")))</x:f>
        <x:v>5199.96</x:v>
      </x:c>
      <x:c r="P302" s="19" t="n">
        <x:f>IF(AND(B302="Butterfly",J302&gt;0,J302&lt;K302),L302/J302,"n.a.")</x:f>
        <x:v>4998.99999999994</x:v>
      </x:c>
      <x:c r="Q302" s="11" t="n">
        <x:f>J302*'Model inputs'!$B$8</x:f>
        <x:v>4.000000000000048</x:v>
      </x:c>
      <x:c r="R302" s="1" t="str">
        <x:v>Indicative only</x:v>
      </x:c>
      <x:c r="S302" s="1" t="n">
        <x:v>554</x:v>
      </x:c>
      <x:c r="T302" s="1" t="n">
        <x:v>573</x:v>
      </x:c>
    </x:row>
    <x:row r="303" ht="21" customHeight="1">
      <x:c r="A303" s="12" t="n">
        <x:v>46276</x:v>
      </x:c>
      <x:c r="B303" s="1" t="str">
        <x:v>Butterfly</x:v>
      </x:c>
      <x:c r="C303" s="1" t="str">
        <x:v>call</x:v>
      </x:c>
      <x:c r="D303" s="11" t="n">
        <x:v>8900</x:v>
      </x:c>
      <x:c r="E303" s="11" t="n">
        <x:v>9200</x:v>
      </x:c>
      <x:c r="F303" s="11" t="n">
        <x:v>9500</x:v>
      </x:c>
      <x:c r="G303" s="11" t="n">
        <x:f>'Option source'!B426</x:f>
        <x:v>22.19</x:v>
      </x:c>
      <x:c r="H303" s="11" t="n">
        <x:f>'Option source'!B445</x:f>
        <x:v>13.01</x:v>
      </x:c>
      <x:c r="I303" s="11" t="n">
        <x:f>'Option source'!B464</x:f>
        <x:v>7.92</x:v>
      </x:c>
      <x:c r="J303" s="11" t="n">
        <x:f>G303-2*H303+IF(B303="Butterfly",I303,0)</x:f>
        <x:v>4.090000000000002</x:v>
      </x:c>
      <x:c r="K303" s="11" t="n">
        <x:f>ABS(E303-D303)</x:f>
        <x:v>300</x:v>
      </x:c>
      <x:c r="L303" s="11" t="n">
        <x:f>K303-J303</x:f>
        <x:v>295.91</x:v>
      </x:c>
      <x:c r="M303" s="11" t="n">
        <x:f>IF(B303="Butterfly",MAX(J303,0),IF(C303="call","Unlimited",MAX(2*E303-D303+J303,J303,0)))</x:f>
        <x:v>4.090000000000002</x:v>
      </x:c>
      <x:c r="N303" s="11" t="n">
        <x:f>IF(B303="Butterfly",IF(AND(J303&gt;0,J303&lt;K303),D303+J303,"n.a."),IF(C303="call",IF(AND(J303&gt;0,J303&lt;K303),D303+J303,"n.a."),IF(AND(K303&gt;J303,2*E303-D303+J303&gt;=0),2*E303-D303+J303,"n.a.")))</x:f>
        <x:v>8904.09</x:v>
      </x:c>
      <x:c r="O303" s="11" t="n">
        <x:f>IF(B303="Butterfly",IF(AND(J303&gt;0,J303&lt;K303),F303-J303,"n.a."),IF(C303="call",IF(K303&gt;J303,2*E303-D303-J303,"n.a."),IF(AND(J303&gt;0,J303&lt;K303),D303-J303,"n.a.")))</x:f>
        <x:v>9495.91</x:v>
      </x:c>
      <x:c r="P303" s="19" t="n">
        <x:f>IF(AND(B303="Butterfly",J303&gt;0,J303&lt;K303),L303/J303,"n.a.")</x:f>
        <x:v>72.34963325183372</x:v>
      </x:c>
      <x:c r="Q303" s="11" t="n">
        <x:f>J303*'Model inputs'!$B$8</x:f>
        <x:v>409.00000000000017</x:v>
      </x:c>
      <x:c r="R303" s="1" t="str">
        <x:v>Indicative only</x:v>
      </x:c>
      <x:c r="S303" s="1" t="n">
        <x:v>421</x:v>
      </x:c>
      <x:c r="T303" s="1" t="n">
        <x:v>440</x:v>
      </x:c>
    </x:row>
    <x:row r="304" ht="21" customHeight="1">
      <x:c r="A304" s="12" t="n">
        <x:v>46276</x:v>
      </x:c>
      <x:c r="B304" s="1" t="str">
        <x:v>Butterfly</x:v>
      </x:c>
      <x:c r="C304" s="1" t="str">
        <x:v>put</x:v>
      </x:c>
      <x:c r="D304" s="11" t="n">
        <x:v>4600</x:v>
      </x:c>
      <x:c r="E304" s="11" t="n">
        <x:v>4800</x:v>
      </x:c>
      <x:c r="F304" s="11" t="n">
        <x:v>5000</x:v>
      </x:c>
      <x:c r="G304" s="11" t="n">
        <x:f>'Option source'!B540</x:f>
        <x:v>1.13</x:v>
      </x:c>
      <x:c r="H304" s="11" t="n">
        <x:f>'Option source'!B559</x:f>
        <x:v>1.24</x:v>
      </x:c>
      <x:c r="I304" s="11" t="n">
        <x:f>'Option source'!B578</x:f>
        <x:v>2.15</x:v>
      </x:c>
      <x:c r="J304" s="11" t="n">
        <x:f>G304-2*H304+IF(B304="Butterfly",I304,0)</x:f>
        <x:v>0.7999999999999998</x:v>
      </x:c>
      <x:c r="K304" s="11" t="n">
        <x:f>ABS(E304-D304)</x:f>
        <x:v>200</x:v>
      </x:c>
      <x:c r="L304" s="11" t="n">
        <x:f>K304-J304</x:f>
        <x:v>199.2</x:v>
      </x:c>
      <x:c r="M304" s="11" t="n">
        <x:f>IF(B304="Butterfly",MAX(J304,0),IF(C304="call","Unlimited",MAX(2*E304-D304+J304,J304,0)))</x:f>
        <x:v>0.7999999999999998</x:v>
      </x:c>
      <x:c r="N304" s="11" t="n">
        <x:f>IF(B304="Butterfly",IF(AND(J304&gt;0,J304&lt;K304),D304+J304,"n.a."),IF(C304="call",IF(AND(J304&gt;0,J304&lt;K304),D304+J304,"n.a."),IF(AND(K304&gt;J304,2*E304-D304+J304&gt;=0),2*E304-D304+J304,"n.a.")))</x:f>
        <x:v>4600.8</x:v>
      </x:c>
      <x:c r="O304" s="11" t="n">
        <x:f>IF(B304="Butterfly",IF(AND(J304&gt;0,J304&lt;K304),F304-J304,"n.a."),IF(C304="call",IF(K304&gt;J304,2*E304-D304-J304,"n.a."),IF(AND(J304&gt;0,J304&lt;K304),D304-J304,"n.a.")))</x:f>
        <x:v>4999.2</x:v>
      </x:c>
      <x:c r="P304" s="19" t="n">
        <x:f>IF(AND(B304="Butterfly",J304&gt;0,J304&lt;K304),L304/J304,"n.a.")</x:f>
        <x:v>249.00000000000003</x:v>
      </x:c>
      <x:c r="Q304" s="11" t="n">
        <x:f>J304*'Model inputs'!$B$8</x:f>
        <x:v>79.99999999999999</x:v>
      </x:c>
      <x:c r="R304" s="1" t="str">
        <x:v>Indicative only</x:v>
      </x:c>
      <x:c r="S304" s="1" t="n">
        <x:v>535</x:v>
      </x:c>
      <x:c r="T304" s="1" t="n">
        <x:v>554</x:v>
      </x:c>
    </x:row>
    <x:row r="305" ht="21" customHeight="1">
      <x:c r="A305" s="12" t="n">
        <x:v>46276</x:v>
      </x:c>
      <x:c r="B305" s="1" t="str">
        <x:v>Butterfly</x:v>
      </x:c>
      <x:c r="C305" s="1" t="str">
        <x:v>call</x:v>
      </x:c>
      <x:c r="D305" s="11" t="n">
        <x:v>6200</x:v>
      </x:c>
      <x:c r="E305" s="11" t="n">
        <x:v>6400</x:v>
      </x:c>
      <x:c r="F305" s="11" t="n">
        <x:v>6600</x:v>
      </x:c>
      <x:c r="G305" s="11" t="n">
        <x:f>'Option source'!B198</x:f>
        <x:v>941.05</x:v>
      </x:c>
      <x:c r="H305" s="11" t="n">
        <x:f>'Option source'!B217</x:f>
        <x:v>830</x:v>
      </x:c>
      <x:c r="I305" s="11" t="n">
        <x:f>'Option source'!B236</x:f>
        <x:v>663.81</x:v>
      </x:c>
      <x:c r="J305" s="11" t="n">
        <x:f>G305-2*H305+IF(B305="Butterfly",I305,0)</x:f>
        <x:v>-55.1400000000001</x:v>
      </x:c>
      <x:c r="K305" s="11" t="n">
        <x:f>ABS(E305-D305)</x:f>
        <x:v>200</x:v>
      </x:c>
      <x:c r="L305" s="11" t="n">
        <x:f>K305-J305</x:f>
        <x:v>255.1400000000001</x:v>
      </x:c>
      <x:c r="M305" s="11" t="n">
        <x:f>IF(B305="Butterfly",MAX(J305,0),IF(C305="call","Unlimited",MAX(2*E305-D305+J305,J305,0)))</x:f>
        <x:v>0</x:v>
      </x:c>
      <x:c r="N305" s="11" t="str">
        <x:f>IF(B305="Butterfly",IF(AND(J305&gt;0,J305&lt;K305),D305+J305,"n.a."),IF(C305="call",IF(AND(J305&gt;0,J305&lt;K305),D305+J305,"n.a."),IF(AND(K305&gt;J305,2*E305-D305+J305&gt;=0),2*E305-D305+J305,"n.a.")))</x:f>
        <x:v>n.a.</x:v>
      </x:c>
      <x:c r="O305" s="11" t="str">
        <x:f>IF(B305="Butterfly",IF(AND(J305&gt;0,J305&lt;K305),F305-J305,"n.a."),IF(C305="call",IF(K305&gt;J305,2*E305-D305-J305,"n.a."),IF(AND(J305&gt;0,J305&lt;K305),D305-J305,"n.a.")))</x:f>
        <x:v>n.a.</x:v>
      </x:c>
      <x:c r="P305" s="19" t="str">
        <x:f>IF(AND(B305="Butterfly",J305&gt;0,J305&lt;K305),L305/J305,"n.a.")</x:f>
        <x:v>n.a.</x:v>
      </x:c>
      <x:c r="Q305" s="11" t="n">
        <x:f>J305*'Model inputs'!$B$8</x:f>
        <x:v>-5514.00000000001</x:v>
      </x:c>
      <x:c r="R305" s="1" t="str">
        <x:v>Outside standard debit bounds</x:v>
      </x:c>
      <x:c r="S305" s="1" t="n">
        <x:v>193</x:v>
      </x:c>
      <x:c r="T305" s="1" t="n">
        <x:v>212</x:v>
      </x:c>
    </x:row>
    <x:row r="306" ht="21" customHeight="1">
      <x:c r="A306" s="12" t="n">
        <x:v>46276</x:v>
      </x:c>
      <x:c r="B306" s="1" t="str">
        <x:v>Butterfly</x:v>
      </x:c>
      <x:c r="C306" s="1" t="str">
        <x:v>put</x:v>
      </x:c>
      <x:c r="D306" s="11" t="n">
        <x:v>7400</x:v>
      </x:c>
      <x:c r="E306" s="11" t="n">
        <x:v>7600</x:v>
      </x:c>
      <x:c r="F306" s="11" t="n">
        <x:v>7800</x:v>
      </x:c>
      <x:c r="G306" s="11" t="n">
        <x:f>'Option source'!B806</x:f>
        <x:v>528.03</x:v>
      </x:c>
      <x:c r="H306" s="11" t="n">
        <x:f>'Option source'!B825</x:f>
        <x:v>658.65</x:v>
      </x:c>
      <x:c r="I306" s="11" t="n">
        <x:f>'Option source'!B844</x:f>
        <x:v>720</x:v>
      </x:c>
      <x:c r="J306" s="11" t="n">
        <x:f>G306-2*H306+IF(B306="Butterfly",I306,0)</x:f>
        <x:v>-69.26999999999998</x:v>
      </x:c>
      <x:c r="K306" s="11" t="n">
        <x:f>ABS(E306-D306)</x:f>
        <x:v>200</x:v>
      </x:c>
      <x:c r="L306" s="11" t="n">
        <x:f>K306-J306</x:f>
        <x:v>269.27</x:v>
      </x:c>
      <x:c r="M306" s="11" t="n">
        <x:f>IF(B306="Butterfly",MAX(J306,0),IF(C306="call","Unlimited",MAX(2*E306-D306+J306,J306,0)))</x:f>
        <x:v>0</x:v>
      </x:c>
      <x:c r="N306" s="11" t="str">
        <x:f>IF(B306="Butterfly",IF(AND(J306&gt;0,J306&lt;K306),D306+J306,"n.a."),IF(C306="call",IF(AND(J306&gt;0,J306&lt;K306),D306+J306,"n.a."),IF(AND(K306&gt;J306,2*E306-D306+J306&gt;=0),2*E306-D306+J306,"n.a.")))</x:f>
        <x:v>n.a.</x:v>
      </x:c>
      <x:c r="O306" s="11" t="str">
        <x:f>IF(B306="Butterfly",IF(AND(J306&gt;0,J306&lt;K306),F306-J306,"n.a."),IF(C306="call",IF(K306&gt;J306,2*E306-D306-J306,"n.a."),IF(AND(J306&gt;0,J306&lt;K306),D306-J306,"n.a.")))</x:f>
        <x:v>n.a.</x:v>
      </x:c>
      <x:c r="P306" s="19" t="str">
        <x:f>IF(AND(B306="Butterfly",J306&gt;0,J306&lt;K306),L306/J306,"n.a.")</x:f>
        <x:v>n.a.</x:v>
      </x:c>
      <x:c r="Q306" s="11" t="n">
        <x:f>J306*'Model inputs'!$B$8</x:f>
        <x:v>-6926.999999999998</x:v>
      </x:c>
      <x:c r="R306" s="1" t="str">
        <x:v>Outside standard debit bounds</x:v>
      </x:c>
      <x:c r="S306" s="1" t="n">
        <x:v>801</x:v>
      </x:c>
      <x:c r="T306" s="1" t="n">
        <x:v>820</x:v>
      </x:c>
    </x:row>
    <x:row r="307" ht="21" customHeight="1">
      <x:c r="A307" s="12" t="n">
        <x:v>46276</x:v>
      </x:c>
      <x:c r="B307" s="1" t="str">
        <x:v>Butterfly</x:v>
      </x:c>
      <x:c r="C307" s="1" t="str">
        <x:v>call</x:v>
      </x:c>
      <x:c r="D307" s="11" t="n">
        <x:v>6000</x:v>
      </x:c>
      <x:c r="E307" s="11" t="n">
        <x:v>6200</x:v>
      </x:c>
      <x:c r="F307" s="11" t="n">
        <x:v>6400</x:v>
      </x:c>
      <x:c r="G307" s="11" t="n">
        <x:f>'Option source'!B179</x:f>
        <x:v>1130</x:v>
      </x:c>
      <x:c r="H307" s="11" t="n">
        <x:f>'Option source'!B198</x:f>
        <x:v>941.05</x:v>
      </x:c>
      <x:c r="I307" s="11" t="n">
        <x:f>'Option source'!B217</x:f>
        <x:v>830</x:v>
      </x:c>
      <x:c r="J307" s="11" t="n">
        <x:f>G307-2*H307+IF(B307="Butterfly",I307,0)</x:f>
        <x:v>77.90000000000009</x:v>
      </x:c>
      <x:c r="K307" s="11" t="n">
        <x:f>ABS(E307-D307)</x:f>
        <x:v>200</x:v>
      </x:c>
      <x:c r="L307" s="11" t="n">
        <x:f>K307-J307</x:f>
        <x:v>122.09999999999991</x:v>
      </x:c>
      <x:c r="M307" s="11" t="n">
        <x:f>IF(B307="Butterfly",MAX(J307,0),IF(C307="call","Unlimited",MAX(2*E307-D307+J307,J307,0)))</x:f>
        <x:v>77.90000000000009</x:v>
      </x:c>
      <x:c r="N307" s="11" t="n">
        <x:f>IF(B307="Butterfly",IF(AND(J307&gt;0,J307&lt;K307),D307+J307,"n.a."),IF(C307="call",IF(AND(J307&gt;0,J307&lt;K307),D307+J307,"n.a."),IF(AND(K307&gt;J307,2*E307-D307+J307&gt;=0),2*E307-D307+J307,"n.a.")))</x:f>
        <x:v>6077.9</x:v>
      </x:c>
      <x:c r="O307" s="11" t="n">
        <x:f>IF(B307="Butterfly",IF(AND(J307&gt;0,J307&lt;K307),F307-J307,"n.a."),IF(C307="call",IF(K307&gt;J307,2*E307-D307-J307,"n.a."),IF(AND(J307&gt;0,J307&lt;K307),D307-J307,"n.a.")))</x:f>
        <x:v>6322.1</x:v>
      </x:c>
      <x:c r="P307" s="19" t="n">
        <x:f>IF(AND(B307="Butterfly",J307&gt;0,J307&lt;K307),L307/J307,"n.a.")</x:f>
        <x:v>1.5673940949935785</x:v>
      </x:c>
      <x:c r="Q307" s="11" t="n">
        <x:f>J307*'Model inputs'!$B$8</x:f>
        <x:v>7790.000000000009</x:v>
      </x:c>
      <x:c r="R307" s="1" t="str">
        <x:v>Flagged leg data</x:v>
      </x:c>
      <x:c r="S307" s="1" t="n">
        <x:v>174</x:v>
      </x:c>
      <x:c r="T307" s="1" t="n">
        <x:v>193</x:v>
      </x:c>
    </x:row>
    <x:row r="308" ht="21" customHeight="1">
      <x:c r="A308" s="12" t="n">
        <x:v>46276</x:v>
      </x:c>
      <x:c r="B308" s="1" t="str">
        <x:v>Butterfly</x:v>
      </x:c>
      <x:c r="C308" s="1" t="str">
        <x:v>put</x:v>
      </x:c>
      <x:c r="D308" s="11" t="n">
        <x:v>7600</x:v>
      </x:c>
      <x:c r="E308" s="11" t="n">
        <x:v>7800</x:v>
      </x:c>
      <x:c r="F308" s="11" t="n">
        <x:v>8000</x:v>
      </x:c>
      <x:c r="G308" s="11" t="n">
        <x:f>'Option source'!B825</x:f>
        <x:v>658.65</x:v>
      </x:c>
      <x:c r="H308" s="11" t="n">
        <x:f>'Option source'!B844</x:f>
        <x:v>720</x:v>
      </x:c>
      <x:c r="I308" s="11" t="n">
        <x:f>'Option source'!B863</x:f>
        <x:v>1017.5</x:v>
      </x:c>
      <x:c r="J308" s="11" t="n">
        <x:f>G308-2*H308+IF(B308="Butterfly",I308,0)</x:f>
        <x:v>236.14999999999998</x:v>
      </x:c>
      <x:c r="K308" s="11" t="n">
        <x:f>ABS(E308-D308)</x:f>
        <x:v>200</x:v>
      </x:c>
      <x:c r="L308" s="11" t="n">
        <x:f>K308-J308</x:f>
        <x:v>-36.14999999999998</x:v>
      </x:c>
      <x:c r="M308" s="11" t="n">
        <x:f>IF(B308="Butterfly",MAX(J308,0),IF(C308="call","Unlimited",MAX(2*E308-D308+J308,J308,0)))</x:f>
        <x:v>236.14999999999998</x:v>
      </x:c>
      <x:c r="N308" s="11" t="str">
        <x:f>IF(B308="Butterfly",IF(AND(J308&gt;0,J308&lt;K308),D308+J308,"n.a."),IF(C308="call",IF(AND(J308&gt;0,J308&lt;K308),D308+J308,"n.a."),IF(AND(K308&gt;J308,2*E308-D308+J308&gt;=0),2*E308-D308+J308,"n.a.")))</x:f>
        <x:v>n.a.</x:v>
      </x:c>
      <x:c r="O308" s="11" t="str">
        <x:f>IF(B308="Butterfly",IF(AND(J308&gt;0,J308&lt;K308),F308-J308,"n.a."),IF(C308="call",IF(K308&gt;J308,2*E308-D308-J308,"n.a."),IF(AND(J308&gt;0,J308&lt;K308),D308-J308,"n.a.")))</x:f>
        <x:v>n.a.</x:v>
      </x:c>
      <x:c r="P308" s="19" t="str">
        <x:f>IF(AND(B308="Butterfly",J308&gt;0,J308&lt;K308),L308/J308,"n.a.")</x:f>
        <x:v>n.a.</x:v>
      </x:c>
      <x:c r="Q308" s="11" t="n">
        <x:f>J308*'Model inputs'!$B$8</x:f>
        <x:v>23614.999999999996</x:v>
      </x:c>
      <x:c r="R308" s="1" t="str">
        <x:v>Outside standard debit bounds</x:v>
      </x:c>
      <x:c r="S308" s="1" t="n">
        <x:v>820</x:v>
      </x:c>
      <x:c r="T308" s="1" t="n">
        <x:v>839</x:v>
      </x:c>
    </x:row>
    <x:row r="309" ht="21" customHeight="1">
      <x:c r="A309" s="12" t="n">
        <x:v>46276</x:v>
      </x:c>
      <x:c r="B309" s="1" t="str">
        <x:v>Butterfly</x:v>
      </x:c>
      <x:c r="C309" s="1" t="str">
        <x:v>call</x:v>
      </x:c>
      <x:c r="D309" s="11" t="n">
        <x:v>5800</x:v>
      </x:c>
      <x:c r="E309" s="11" t="n">
        <x:v>6000</x:v>
      </x:c>
      <x:c r="F309" s="11" t="n">
        <x:v>6200</x:v>
      </x:c>
      <x:c r="G309" s="11" t="n">
        <x:f>'Option source'!B160</x:f>
        <x:v>1343.33</x:v>
      </x:c>
      <x:c r="H309" s="11" t="n">
        <x:f>'Option source'!B179</x:f>
        <x:v>1130</x:v>
      </x:c>
      <x:c r="I309" s="11" t="n">
        <x:f>'Option source'!B198</x:f>
        <x:v>941.05</x:v>
      </x:c>
      <x:c r="J309" s="11" t="n">
        <x:f>G309-2*H309+IF(B309="Butterfly",I309,0)</x:f>
        <x:v>24.37999999999988</x:v>
      </x:c>
      <x:c r="K309" s="11" t="n">
        <x:f>ABS(E309-D309)</x:f>
        <x:v>200</x:v>
      </x:c>
      <x:c r="L309" s="11" t="n">
        <x:f>K309-J309</x:f>
        <x:v>175.62000000000012</x:v>
      </x:c>
      <x:c r="M309" s="11" t="n">
        <x:f>IF(B309="Butterfly",MAX(J309,0),IF(C309="call","Unlimited",MAX(2*E309-D309+J309,J309,0)))</x:f>
        <x:v>24.37999999999988</x:v>
      </x:c>
      <x:c r="N309" s="11" t="n">
        <x:f>IF(B309="Butterfly",IF(AND(J309&gt;0,J309&lt;K309),D309+J309,"n.a."),IF(C309="call",IF(AND(J309&gt;0,J309&lt;K309),D309+J309,"n.a."),IF(AND(K309&gt;J309,2*E309-D309+J309&gt;=0),2*E309-D309+J309,"n.a.")))</x:f>
        <x:v>5824.38</x:v>
      </x:c>
      <x:c r="O309" s="11" t="n">
        <x:f>IF(B309="Butterfly",IF(AND(J309&gt;0,J309&lt;K309),F309-J309,"n.a."),IF(C309="call",IF(K309&gt;J309,2*E309-D309-J309,"n.a."),IF(AND(J309&gt;0,J309&lt;K309),D309-J309,"n.a.")))</x:f>
        <x:v>6175.62</x:v>
      </x:c>
      <x:c r="P309" s="19" t="n">
        <x:f>IF(AND(B309="Butterfly",J309&gt;0,J309&lt;K309),L309/J309,"n.a.")</x:f>
        <x:v>7.203445447087817</x:v>
      </x:c>
      <x:c r="Q309" s="11" t="n">
        <x:f>J309*'Model inputs'!$B$8</x:f>
        <x:v>2437.999999999988</x:v>
      </x:c>
      <x:c r="R309" s="1" t="str">
        <x:v>Flagged leg data</x:v>
      </x:c>
      <x:c r="S309" s="1" t="n">
        <x:v>155</x:v>
      </x:c>
      <x:c r="T309" s="1" t="n">
        <x:v>174</x:v>
      </x:c>
    </x:row>
    <x:row r="310" ht="21" customHeight="1">
      <x:c r="A310" s="12" t="n">
        <x:v>46276</x:v>
      </x:c>
      <x:c r="B310" s="1" t="str">
        <x:v>Butterfly</x:v>
      </x:c>
      <x:c r="C310" s="1" t="str">
        <x:v>call</x:v>
      </x:c>
      <x:c r="D310" s="11" t="n">
        <x:v>5600</x:v>
      </x:c>
      <x:c r="E310" s="11" t="n">
        <x:v>5800</x:v>
      </x:c>
      <x:c r="F310" s="11" t="n">
        <x:v>6000</x:v>
      </x:c>
      <x:c r="G310" s="11" t="n">
        <x:f>'Option source'!B150</x:f>
        <x:v>1490</x:v>
      </x:c>
      <x:c r="H310" s="11" t="n">
        <x:f>'Option source'!B160</x:f>
        <x:v>1343.33</x:v>
      </x:c>
      <x:c r="I310" s="11" t="n">
        <x:f>'Option source'!B179</x:f>
        <x:v>1130</x:v>
      </x:c>
      <x:c r="J310" s="11" t="n">
        <x:f>G310-2*H310+IF(B310="Butterfly",I310,0)</x:f>
        <x:v>-66.65999999999985</x:v>
      </x:c>
      <x:c r="K310" s="11" t="n">
        <x:f>ABS(E310-D310)</x:f>
        <x:v>200</x:v>
      </x:c>
      <x:c r="L310" s="11" t="n">
        <x:f>K310-J310</x:f>
        <x:v>266.65999999999985</x:v>
      </x:c>
      <x:c r="M310" s="11" t="n">
        <x:f>IF(B310="Butterfly",MAX(J310,0),IF(C310="call","Unlimited",MAX(2*E310-D310+J310,J310,0)))</x:f>
        <x:v>0</x:v>
      </x:c>
      <x:c r="N310" s="11" t="str">
        <x:f>IF(B310="Butterfly",IF(AND(J310&gt;0,J310&lt;K310),D310+J310,"n.a."),IF(C310="call",IF(AND(J310&gt;0,J310&lt;K310),D310+J310,"n.a."),IF(AND(K310&gt;J310,2*E310-D310+J310&gt;=0),2*E310-D310+J310,"n.a.")))</x:f>
        <x:v>n.a.</x:v>
      </x:c>
      <x:c r="O310" s="11" t="str">
        <x:f>IF(B310="Butterfly",IF(AND(J310&gt;0,J310&lt;K310),F310-J310,"n.a."),IF(C310="call",IF(K310&gt;J310,2*E310-D310-J310,"n.a."),IF(AND(J310&gt;0,J310&lt;K310),D310-J310,"n.a.")))</x:f>
        <x:v>n.a.</x:v>
      </x:c>
      <x:c r="P310" s="19" t="str">
        <x:f>IF(AND(B310="Butterfly",J310&gt;0,J310&lt;K310),L310/J310,"n.a.")</x:f>
        <x:v>n.a.</x:v>
      </x:c>
      <x:c r="Q310" s="11" t="n">
        <x:f>J310*'Model inputs'!$B$8</x:f>
        <x:v>-6665.999999999985</x:v>
      </x:c>
      <x:c r="R310" s="1" t="str">
        <x:v>Outside standard debit bounds</x:v>
      </x:c>
      <x:c r="S310" s="1" t="n">
        <x:v>145</x:v>
      </x:c>
      <x:c r="T310" s="1" t="n">
        <x:v>155</x:v>
      </x:c>
    </x:row>
    <x:row r="311" ht="21" customHeight="1">
      <x:c r="A311" s="12" t="n">
        <x:v>46276</x:v>
      </x:c>
      <x:c r="B311" s="1" t="str">
        <x:v>Butterfly</x:v>
      </x:c>
      <x:c r="C311" s="1" t="str">
        <x:v>put</x:v>
      </x:c>
      <x:c r="D311" s="11" t="n">
        <x:v>8000</x:v>
      </x:c>
      <x:c r="E311" s="11" t="n">
        <x:v>8300</x:v>
      </x:c>
      <x:c r="F311" s="11" t="n">
        <x:v>8600</x:v>
      </x:c>
      <x:c r="G311" s="11" t="n">
        <x:f>'Option source'!B863</x:f>
        <x:v>1017.5</x:v>
      </x:c>
      <x:c r="H311" s="11" t="n">
        <x:f>'Option source'!B882</x:f>
        <x:v>1264.67</x:v>
      </x:c>
      <x:c r="I311" s="11" t="n">
        <x:f>'Option source'!B901</x:f>
        <x:v>1600</x:v>
      </x:c>
      <x:c r="J311" s="11" t="n">
        <x:f>G311-2*H311+IF(B311="Butterfly",I311,0)</x:f>
        <x:v>88.15999999999985</x:v>
      </x:c>
      <x:c r="K311" s="11" t="n">
        <x:f>ABS(E311-D311)</x:f>
        <x:v>300</x:v>
      </x:c>
      <x:c r="L311" s="11" t="n">
        <x:f>K311-J311</x:f>
        <x:v>211.84000000000015</x:v>
      </x:c>
      <x:c r="M311" s="11" t="n">
        <x:f>IF(B311="Butterfly",MAX(J311,0),IF(C311="call","Unlimited",MAX(2*E311-D311+J311,J311,0)))</x:f>
        <x:v>88.15999999999985</x:v>
      </x:c>
      <x:c r="N311" s="11" t="n">
        <x:f>IF(B311="Butterfly",IF(AND(J311&gt;0,J311&lt;K311),D311+J311,"n.a."),IF(C311="call",IF(AND(J311&gt;0,J311&lt;K311),D311+J311,"n.a."),IF(AND(K311&gt;J311,2*E311-D311+J311&gt;=0),2*E311-D311+J311,"n.a.")))</x:f>
        <x:v>8088.16</x:v>
      </x:c>
      <x:c r="O311" s="11" t="n">
        <x:f>IF(B311="Butterfly",IF(AND(J311&gt;0,J311&lt;K311),F311-J311,"n.a."),IF(C311="call",IF(K311&gt;J311,2*E311-D311-J311,"n.a."),IF(AND(J311&gt;0,J311&lt;K311),D311-J311,"n.a.")))</x:f>
        <x:v>8511.84</x:v>
      </x:c>
      <x:c r="P311" s="19" t="n">
        <x:f>IF(AND(B311="Butterfly",J311&gt;0,J311&lt;K311),L311/J311,"n.a.")</x:f>
        <x:v>2.402903811252274</x:v>
      </x:c>
      <x:c r="Q311" s="11" t="n">
        <x:f>J311*'Model inputs'!$B$8</x:f>
        <x:v>8815.999999999985</x:v>
      </x:c>
      <x:c r="R311" s="1" t="str">
        <x:v>Flagged leg data</x:v>
      </x:c>
      <x:c r="S311" s="1" t="n">
        <x:v>858</x:v>
      </x:c>
      <x:c r="T311" s="1" t="n">
        <x:v>877</x:v>
      </x:c>
    </x:row>
    <x:row r="312" ht="21" customHeight="1">
      <x:c r="A312" s="12" t="n">
        <x:v>46276</x:v>
      </x:c>
      <x:c r="B312" s="1" t="str">
        <x:v>Butterfly</x:v>
      </x:c>
      <x:c r="C312" s="1" t="str">
        <x:v>call</x:v>
      </x:c>
      <x:c r="D312" s="11" t="n">
        <x:v>5400</x:v>
      </x:c>
      <x:c r="E312" s="11" t="n">
        <x:v>5600</x:v>
      </x:c>
      <x:c r="F312" s="11" t="n">
        <x:v>5800</x:v>
      </x:c>
      <x:c r="G312" s="11" t="n">
        <x:f>'Option source'!B132</x:f>
        <x:v>1801.16</x:v>
      </x:c>
      <x:c r="H312" s="11" t="n">
        <x:f>'Option source'!B150</x:f>
        <x:v>1490</x:v>
      </x:c>
      <x:c r="I312" s="11" t="n">
        <x:f>'Option source'!B160</x:f>
        <x:v>1343.33</x:v>
      </x:c>
      <x:c r="J312" s="11" t="n">
        <x:f>G312-2*H312+IF(B312="Butterfly",I312,0)</x:f>
        <x:v>164.49</x:v>
      </x:c>
      <x:c r="K312" s="11" t="n">
        <x:f>ABS(E312-D312)</x:f>
        <x:v>200</x:v>
      </x:c>
      <x:c r="L312" s="11" t="n">
        <x:f>K312-J312</x:f>
        <x:v>35.50999999999999</x:v>
      </x:c>
      <x:c r="M312" s="11" t="n">
        <x:f>IF(B312="Butterfly",MAX(J312,0),IF(C312="call","Unlimited",MAX(2*E312-D312+J312,J312,0)))</x:f>
        <x:v>164.49</x:v>
      </x:c>
      <x:c r="N312" s="11" t="n">
        <x:f>IF(B312="Butterfly",IF(AND(J312&gt;0,J312&lt;K312),D312+J312,"n.a."),IF(C312="call",IF(AND(J312&gt;0,J312&lt;K312),D312+J312,"n.a."),IF(AND(K312&gt;J312,2*E312-D312+J312&gt;=0),2*E312-D312+J312,"n.a.")))</x:f>
        <x:v>5564.49</x:v>
      </x:c>
      <x:c r="O312" s="11" t="n">
        <x:f>IF(B312="Butterfly",IF(AND(J312&gt;0,J312&lt;K312),F312-J312,"n.a."),IF(C312="call",IF(K312&gt;J312,2*E312-D312-J312,"n.a."),IF(AND(J312&gt;0,J312&lt;K312),D312-J312,"n.a.")))</x:f>
        <x:v>5635.51</x:v>
      </x:c>
      <x:c r="P312" s="19" t="n">
        <x:f>IF(AND(B312="Butterfly",J312&gt;0,J312&lt;K312),L312/J312,"n.a.")</x:f>
        <x:v>0.21587938476503124</x:v>
      </x:c>
      <x:c r="Q312" s="11" t="n">
        <x:f>J312*'Model inputs'!$B$8</x:f>
        <x:v>16449</x:v>
      </x:c>
      <x:c r="R312" s="1" t="str">
        <x:v>Flagged leg data</x:v>
      </x:c>
      <x:c r="S312" s="1" t="n">
        <x:v>127</x:v>
      </x:c>
      <x:c r="T312" s="1" t="n">
        <x:v>145</x:v>
      </x:c>
    </x:row>
    <x:row r="313" ht="21" customHeight="1">
      <x:c r="A313" s="12" t="n">
        <x:v>46276</x:v>
      </x:c>
      <x:c r="B313" s="1" t="str">
        <x:v>Butterfly</x:v>
      </x:c>
      <x:c r="C313" s="1" t="str">
        <x:v>call</x:v>
      </x:c>
      <x:c r="D313" s="11" t="n">
        <x:v>5200</x:v>
      </x:c>
      <x:c r="E313" s="11" t="n">
        <x:v>5400</x:v>
      </x:c>
      <x:c r="F313" s="11" t="n">
        <x:v>5600</x:v>
      </x:c>
      <x:c r="G313" s="11" t="n">
        <x:f>'Option source'!B113</x:f>
        <x:v>1998.09</x:v>
      </x:c>
      <x:c r="H313" s="11" t="n">
        <x:f>'Option source'!B132</x:f>
        <x:v>1801.16</x:v>
      </x:c>
      <x:c r="I313" s="11" t="n">
        <x:f>'Option source'!B150</x:f>
        <x:v>1490</x:v>
      </x:c>
      <x:c r="J313" s="11" t="n">
        <x:f>G313-2*H313+IF(B313="Butterfly",I313,0)</x:f>
        <x:v>-114.23000000000025</x:v>
      </x:c>
      <x:c r="K313" s="11" t="n">
        <x:f>ABS(E313-D313)</x:f>
        <x:v>200</x:v>
      </x:c>
      <x:c r="L313" s="11" t="n">
        <x:f>K313-J313</x:f>
        <x:v>314.23000000000025</x:v>
      </x:c>
      <x:c r="M313" s="11" t="n">
        <x:f>IF(B313="Butterfly",MAX(J313,0),IF(C313="call","Unlimited",MAX(2*E313-D313+J313,J313,0)))</x:f>
        <x:v>0</x:v>
      </x:c>
      <x:c r="N313" s="11" t="str">
        <x:f>IF(B313="Butterfly",IF(AND(J313&gt;0,J313&lt;K313),D313+J313,"n.a."),IF(C313="call",IF(AND(J313&gt;0,J313&lt;K313),D313+J313,"n.a."),IF(AND(K313&gt;J313,2*E313-D313+J313&gt;=0),2*E313-D313+J313,"n.a.")))</x:f>
        <x:v>n.a.</x:v>
      </x:c>
      <x:c r="O313" s="11" t="str">
        <x:f>IF(B313="Butterfly",IF(AND(J313&gt;0,J313&lt;K313),F313-J313,"n.a."),IF(C313="call",IF(K313&gt;J313,2*E313-D313-J313,"n.a."),IF(AND(J313&gt;0,J313&lt;K313),D313-J313,"n.a.")))</x:f>
        <x:v>n.a.</x:v>
      </x:c>
      <x:c r="P313" s="19" t="str">
        <x:f>IF(AND(B313="Butterfly",J313&gt;0,J313&lt;K313),L313/J313,"n.a.")</x:f>
        <x:v>n.a.</x:v>
      </x:c>
      <x:c r="Q313" s="11" t="n">
        <x:f>J313*'Model inputs'!$B$8</x:f>
        <x:v>-11423.000000000025</x:v>
      </x:c>
      <x:c r="R313" s="1" t="str">
        <x:v>Outside standard debit bounds</x:v>
      </x:c>
      <x:c r="S313" s="1" t="n">
        <x:v>108</x:v>
      </x:c>
      <x:c r="T313" s="1" t="n">
        <x:v>127</x:v>
      </x:c>
    </x:row>
    <x:row r="314" ht="21" customHeight="1">
      <x:c r="A314" s="12" t="n">
        <x:v>46276</x:v>
      </x:c>
      <x:c r="B314" s="1" t="str">
        <x:v>Butterfly</x:v>
      </x:c>
      <x:c r="C314" s="1" t="str">
        <x:v>put</x:v>
      </x:c>
      <x:c r="D314" s="11" t="n">
        <x:v>8300</x:v>
      </x:c>
      <x:c r="E314" s="11" t="n">
        <x:v>8600</x:v>
      </x:c>
      <x:c r="F314" s="11" t="n">
        <x:v>8900</x:v>
      </x:c>
      <x:c r="G314" s="11" t="n">
        <x:f>'Option source'!B882</x:f>
        <x:v>1264.67</x:v>
      </x:c>
      <x:c r="H314" s="11" t="n">
        <x:f>'Option source'!B901</x:f>
        <x:v>1600</x:v>
      </x:c>
      <x:c r="I314" s="11" t="n">
        <x:f>'Option source'!B916</x:f>
        <x:v>2022.5</x:v>
      </x:c>
      <x:c r="J314" s="11" t="n">
        <x:f>G314-2*H314+IF(B314="Butterfly",I314,0)</x:f>
        <x:v>87.17000000000007</x:v>
      </x:c>
      <x:c r="K314" s="11" t="n">
        <x:f>ABS(E314-D314)</x:f>
        <x:v>300</x:v>
      </x:c>
      <x:c r="L314" s="11" t="n">
        <x:f>K314-J314</x:f>
        <x:v>212.82999999999993</x:v>
      </x:c>
      <x:c r="M314" s="11" t="n">
        <x:f>IF(B314="Butterfly",MAX(J314,0),IF(C314="call","Unlimited",MAX(2*E314-D314+J314,J314,0)))</x:f>
        <x:v>87.17000000000007</x:v>
      </x:c>
      <x:c r="N314" s="11" t="n">
        <x:f>IF(B314="Butterfly",IF(AND(J314&gt;0,J314&lt;K314),D314+J314,"n.a."),IF(C314="call",IF(AND(J314&gt;0,J314&lt;K314),D314+J314,"n.a."),IF(AND(K314&gt;J314,2*E314-D314+J314&gt;=0),2*E314-D314+J314,"n.a.")))</x:f>
        <x:v>8387.17</x:v>
      </x:c>
      <x:c r="O314" s="11" t="n">
        <x:f>IF(B314="Butterfly",IF(AND(J314&gt;0,J314&lt;K314),F314-J314,"n.a."),IF(C314="call",IF(K314&gt;J314,2*E314-D314-J314,"n.a."),IF(AND(J314&gt;0,J314&lt;K314),D314-J314,"n.a.")))</x:f>
        <x:v>8812.83</x:v>
      </x:c>
      <x:c r="P314" s="19" t="n">
        <x:f>IF(AND(B314="Butterfly",J314&gt;0,J314&lt;K314),L314/J314,"n.a.")</x:f>
        <x:v>2.4415509923138665</x:v>
      </x:c>
      <x:c r="Q314" s="11" t="n">
        <x:f>J314*'Model inputs'!$B$8</x:f>
        <x:v>8717.000000000007</x:v>
      </x:c>
      <x:c r="R314" s="1" t="str">
        <x:v>Flagged leg data</x:v>
      </x:c>
      <x:c r="S314" s="1" t="n">
        <x:v>877</x:v>
      </x:c>
      <x:c r="T314" s="1" t="n">
        <x:v>896</x:v>
      </x:c>
    </x:row>
    <x:row r="315" ht="21" customHeight="1">
      <x:c r="A315" s="12" t="n">
        <x:v>46276</x:v>
      </x:c>
      <x:c r="B315" s="1" t="str">
        <x:v>Butterfly</x:v>
      </x:c>
      <x:c r="C315" s="1" t="str">
        <x:v>call</x:v>
      </x:c>
      <x:c r="D315" s="11" t="n">
        <x:v>5000</x:v>
      </x:c>
      <x:c r="E315" s="11" t="n">
        <x:v>5200</x:v>
      </x:c>
      <x:c r="F315" s="11" t="n">
        <x:v>5400</x:v>
      </x:c>
      <x:c r="G315" s="11" t="n">
        <x:f>'Option source'!B94</x:f>
        <x:v>2248.2</x:v>
      </x:c>
      <x:c r="H315" s="11" t="n">
        <x:f>'Option source'!B113</x:f>
        <x:v>1998.09</x:v>
      </x:c>
      <x:c r="I315" s="11" t="n">
        <x:f>'Option source'!B132</x:f>
        <x:v>1801.16</x:v>
      </x:c>
      <x:c r="J315" s="11" t="n">
        <x:f>G315-2*H315+IF(B315="Butterfly",I315,0)</x:f>
        <x:v>53.180000000000064</x:v>
      </x:c>
      <x:c r="K315" s="11" t="n">
        <x:f>ABS(E315-D315)</x:f>
        <x:v>200</x:v>
      </x:c>
      <x:c r="L315" s="11" t="n">
        <x:f>K315-J315</x:f>
        <x:v>146.81999999999994</x:v>
      </x:c>
      <x:c r="M315" s="11" t="n">
        <x:f>IF(B315="Butterfly",MAX(J315,0),IF(C315="call","Unlimited",MAX(2*E315-D315+J315,J315,0)))</x:f>
        <x:v>53.180000000000064</x:v>
      </x:c>
      <x:c r="N315" s="11" t="n">
        <x:f>IF(B315="Butterfly",IF(AND(J315&gt;0,J315&lt;K315),D315+J315,"n.a."),IF(C315="call",IF(AND(J315&gt;0,J315&lt;K315),D315+J315,"n.a."),IF(AND(K315&gt;J315,2*E315-D315+J315&gt;=0),2*E315-D315+J315,"n.a.")))</x:f>
        <x:v>5053.18</x:v>
      </x:c>
      <x:c r="O315" s="11" t="n">
        <x:f>IF(B315="Butterfly",IF(AND(J315&gt;0,J315&lt;K315),F315-J315,"n.a."),IF(C315="call",IF(K315&gt;J315,2*E315-D315-J315,"n.a."),IF(AND(J315&gt;0,J315&lt;K315),D315-J315,"n.a.")))</x:f>
        <x:v>5346.82</x:v>
      </x:c>
      <x:c r="P315" s="19" t="n">
        <x:f>IF(AND(B315="Butterfly",J315&gt;0,J315&lt;K315),L315/J315,"n.a.")</x:f>
        <x:v>2.760812335464456</x:v>
      </x:c>
      <x:c r="Q315" s="11" t="n">
        <x:f>J315*'Model inputs'!$B$8</x:f>
        <x:v>5318.000000000006</x:v>
      </x:c>
      <x:c r="R315" s="1" t="str">
        <x:v>Flagged leg data</x:v>
      </x:c>
      <x:c r="S315" s="1" t="n">
        <x:v>89</x:v>
      </x:c>
      <x:c r="T315" s="1" t="n">
        <x:v>108</x:v>
      </x:c>
    </x:row>
    <x:row r="316" ht="21" customHeight="1">
      <x:c r="A316" s="12" t="n">
        <x:v>46276</x:v>
      </x:c>
      <x:c r="B316" s="1" t="str">
        <x:v>Butterfly</x:v>
      </x:c>
      <x:c r="C316" s="1" t="str">
        <x:v>put</x:v>
      </x:c>
      <x:c r="D316" s="11" t="n">
        <x:v>8600</x:v>
      </x:c>
      <x:c r="E316" s="11" t="n">
        <x:v>8900</x:v>
      </x:c>
      <x:c r="F316" s="11" t="n">
        <x:v>9200</x:v>
      </x:c>
      <x:c r="G316" s="11" t="n">
        <x:f>'Option source'!B901</x:f>
        <x:v>1600</x:v>
      </x:c>
      <x:c r="H316" s="11" t="n">
        <x:f>'Option source'!B916</x:f>
        <x:v>2022.5</x:v>
      </x:c>
      <x:c r="I316" s="11" t="n">
        <x:f>'Option source'!B923</x:f>
        <x:v>1895</x:v>
      </x:c>
      <x:c r="J316" s="11" t="n">
        <x:f>G316-2*H316+IF(B316="Butterfly",I316,0)</x:f>
        <x:v>-550</x:v>
      </x:c>
      <x:c r="K316" s="11" t="n">
        <x:f>ABS(E316-D316)</x:f>
        <x:v>300</x:v>
      </x:c>
      <x:c r="L316" s="11" t="n">
        <x:f>K316-J316</x:f>
        <x:v>850</x:v>
      </x:c>
      <x:c r="M316" s="11" t="n">
        <x:f>IF(B316="Butterfly",MAX(J316,0),IF(C316="call","Unlimited",MAX(2*E316-D316+J316,J316,0)))</x:f>
        <x:v>0</x:v>
      </x:c>
      <x:c r="N316" s="11" t="str">
        <x:f>IF(B316="Butterfly",IF(AND(J316&gt;0,J316&lt;K316),D316+J316,"n.a."),IF(C316="call",IF(AND(J316&gt;0,J316&lt;K316),D316+J316,"n.a."),IF(AND(K316&gt;J316,2*E316-D316+J316&gt;=0),2*E316-D316+J316,"n.a.")))</x:f>
        <x:v>n.a.</x:v>
      </x:c>
      <x:c r="O316" s="11" t="str">
        <x:f>IF(B316="Butterfly",IF(AND(J316&gt;0,J316&lt;K316),F316-J316,"n.a."),IF(C316="call",IF(K316&gt;J316,2*E316-D316-J316,"n.a."),IF(AND(J316&gt;0,J316&lt;K316),D316-J316,"n.a.")))</x:f>
        <x:v>n.a.</x:v>
      </x:c>
      <x:c r="P316" s="19" t="str">
        <x:f>IF(AND(B316="Butterfly",J316&gt;0,J316&lt;K316),L316/J316,"n.a.")</x:f>
        <x:v>n.a.</x:v>
      </x:c>
      <x:c r="Q316" s="11" t="n">
        <x:f>J316*'Model inputs'!$B$8</x:f>
        <x:v>-55000</x:v>
      </x:c>
      <x:c r="R316" s="1" t="str">
        <x:v>Outside standard debit bounds</x:v>
      </x:c>
      <x:c r="S316" s="1" t="n">
        <x:v>896</x:v>
      </x:c>
      <x:c r="T316" s="1" t="n">
        <x:v>911</x:v>
      </x:c>
    </x:row>
    <x:row r="317" ht="21" customHeight="1">
      <x:c r="A317" s="12" t="n">
        <x:v>46276</x:v>
      </x:c>
      <x:c r="B317" s="1" t="str">
        <x:v>Butterfly</x:v>
      </x:c>
      <x:c r="C317" s="1" t="str">
        <x:v>call</x:v>
      </x:c>
      <x:c r="D317" s="11" t="n">
        <x:v>4800</x:v>
      </x:c>
      <x:c r="E317" s="11" t="n">
        <x:v>5000</x:v>
      </x:c>
      <x:c r="F317" s="11" t="n">
        <x:v>5200</x:v>
      </x:c>
      <x:c r="G317" s="11" t="n">
        <x:f>'Option source'!B77</x:f>
        <x:v>2425.74</x:v>
      </x:c>
      <x:c r="H317" s="11" t="n">
        <x:f>'Option source'!B94</x:f>
        <x:v>2248.2</x:v>
      </x:c>
      <x:c r="I317" s="11" t="n">
        <x:f>'Option source'!B113</x:f>
        <x:v>1998.09</x:v>
      </x:c>
      <x:c r="J317" s="11" t="n">
        <x:f>G317-2*H317+IF(B317="Butterfly",I317,0)</x:f>
        <x:v>-72.56999999999994</x:v>
      </x:c>
      <x:c r="K317" s="11" t="n">
        <x:f>ABS(E317-D317)</x:f>
        <x:v>200</x:v>
      </x:c>
      <x:c r="L317" s="11" t="n">
        <x:f>K317-J317</x:f>
        <x:v>272.56999999999994</x:v>
      </x:c>
      <x:c r="M317" s="11" t="n">
        <x:f>IF(B317="Butterfly",MAX(J317,0),IF(C317="call","Unlimited",MAX(2*E317-D317+J317,J317,0)))</x:f>
        <x:v>0</x:v>
      </x:c>
      <x:c r="N317" s="11" t="str">
        <x:f>IF(B317="Butterfly",IF(AND(J317&gt;0,J317&lt;K317),D317+J317,"n.a."),IF(C317="call",IF(AND(J317&gt;0,J317&lt;K317),D317+J317,"n.a."),IF(AND(K317&gt;J317,2*E317-D317+J317&gt;=0),2*E317-D317+J317,"n.a.")))</x:f>
        <x:v>n.a.</x:v>
      </x:c>
      <x:c r="O317" s="11" t="str">
        <x:f>IF(B317="Butterfly",IF(AND(J317&gt;0,J317&lt;K317),F317-J317,"n.a."),IF(C317="call",IF(K317&gt;J317,2*E317-D317-J317,"n.a."),IF(AND(J317&gt;0,J317&lt;K317),D317-J317,"n.a.")))</x:f>
        <x:v>n.a.</x:v>
      </x:c>
      <x:c r="P317" s="19" t="str">
        <x:f>IF(AND(B317="Butterfly",J317&gt;0,J317&lt;K317),L317/J317,"n.a.")</x:f>
        <x:v>n.a.</x:v>
      </x:c>
      <x:c r="Q317" s="11" t="n">
        <x:f>J317*'Model inputs'!$B$8</x:f>
        <x:v>-7256.999999999994</x:v>
      </x:c>
      <x:c r="R317" s="1" t="str">
        <x:v>Outside standard debit bounds</x:v>
      </x:c>
      <x:c r="S317" s="1" t="n">
        <x:v>72</x:v>
      </x:c>
      <x:c r="T317" s="1" t="n">
        <x:v>89</x:v>
      </x:c>
    </x:row>
    <x:row r="318" ht="21" customHeight="1">
      <x:c r="A318" s="12" t="n">
        <x:v>46276</x:v>
      </x:c>
      <x:c r="B318" s="1" t="str">
        <x:v>Butterfly</x:v>
      </x:c>
      <x:c r="C318" s="1" t="str">
        <x:v>call</x:v>
      </x:c>
      <x:c r="D318" s="11" t="n">
        <x:v>4600</x:v>
      </x:c>
      <x:c r="E318" s="11" t="n">
        <x:v>4800</x:v>
      </x:c>
      <x:c r="F318" s="11" t="n">
        <x:v>5000</x:v>
      </x:c>
      <x:c r="G318" s="11" t="n">
        <x:f>'Option source'!B60</x:f>
        <x:v>2650</x:v>
      </x:c>
      <x:c r="H318" s="11" t="n">
        <x:f>'Option source'!B77</x:f>
        <x:v>2425.74</x:v>
      </x:c>
      <x:c r="I318" s="11" t="n">
        <x:f>'Option source'!B94</x:f>
        <x:v>2248.2</x:v>
      </x:c>
      <x:c r="J318" s="11" t="n">
        <x:f>G318-2*H318+IF(B318="Butterfly",I318,0)</x:f>
        <x:v>46.720000000000255</x:v>
      </x:c>
      <x:c r="K318" s="11" t="n">
        <x:f>ABS(E318-D318)</x:f>
        <x:v>200</x:v>
      </x:c>
      <x:c r="L318" s="11" t="n">
        <x:f>K318-J318</x:f>
        <x:v>153.27999999999975</x:v>
      </x:c>
      <x:c r="M318" s="11" t="n">
        <x:f>IF(B318="Butterfly",MAX(J318,0),IF(C318="call","Unlimited",MAX(2*E318-D318+J318,J318,0)))</x:f>
        <x:v>46.720000000000255</x:v>
      </x:c>
      <x:c r="N318" s="11" t="n">
        <x:f>IF(B318="Butterfly",IF(AND(J318&gt;0,J318&lt;K318),D318+J318,"n.a."),IF(C318="call",IF(AND(J318&gt;0,J318&lt;K318),D318+J318,"n.a."),IF(AND(K318&gt;J318,2*E318-D318+J318&gt;=0),2*E318-D318+J318,"n.a.")))</x:f>
        <x:v>4646.72</x:v>
      </x:c>
      <x:c r="O318" s="11" t="n">
        <x:f>IF(B318="Butterfly",IF(AND(J318&gt;0,J318&lt;K318),F318-J318,"n.a."),IF(C318="call",IF(K318&gt;J318,2*E318-D318-J318,"n.a."),IF(AND(J318&gt;0,J318&lt;K318),D318-J318,"n.a.")))</x:f>
        <x:v>4953.28</x:v>
      </x:c>
      <x:c r="P318" s="19" t="n">
        <x:f>IF(AND(B318="Butterfly",J318&gt;0,J318&lt;K318),L318/J318,"n.a.")</x:f>
        <x:v>3.2808219178081957</x:v>
      </x:c>
      <x:c r="Q318" s="11" t="n">
        <x:f>J318*'Model inputs'!$B$8</x:f>
        <x:v>4672.0000000000255</x:v>
      </x:c>
      <x:c r="R318" s="1" t="str">
        <x:v>Flagged leg data</x:v>
      </x:c>
      <x:c r="S318" s="1" t="n">
        <x:v>55</x:v>
      </x:c>
      <x:c r="T318" s="1" t="n">
        <x:v>72</x:v>
      </x:c>
    </x:row>
    <x:row r="319" ht="21" customHeight="1">
      <x:c r="A319" s="12" t="n">
        <x:v>46276</x:v>
      </x:c>
      <x:c r="B319" s="1" t="str">
        <x:v>Butterfly</x:v>
      </x:c>
      <x:c r="C319" s="1" t="str">
        <x:v>call</x:v>
      </x:c>
      <x:c r="D319" s="11" t="n">
        <x:v>4400</x:v>
      </x:c>
      <x:c r="E319" s="11" t="n">
        <x:v>4600</x:v>
      </x:c>
      <x:c r="F319" s="11" t="n">
        <x:v>4800</x:v>
      </x:c>
      <x:c r="G319" s="11" t="n">
        <x:f>'Option source'!B41</x:f>
        <x:v>2799.47</x:v>
      </x:c>
      <x:c r="H319" s="11" t="n">
        <x:f>'Option source'!B60</x:f>
        <x:v>2650</x:v>
      </x:c>
      <x:c r="I319" s="11" t="n">
        <x:f>'Option source'!B77</x:f>
        <x:v>2425.74</x:v>
      </x:c>
      <x:c r="J319" s="11" t="n">
        <x:f>G319-2*H319+IF(B319="Butterfly",I319,0)</x:f>
        <x:v>-74.79000000000042</x:v>
      </x:c>
      <x:c r="K319" s="11" t="n">
        <x:f>ABS(E319-D319)</x:f>
        <x:v>200</x:v>
      </x:c>
      <x:c r="L319" s="11" t="n">
        <x:f>K319-J319</x:f>
        <x:v>274.7900000000004</x:v>
      </x:c>
      <x:c r="M319" s="11" t="n">
        <x:f>IF(B319="Butterfly",MAX(J319,0),IF(C319="call","Unlimited",MAX(2*E319-D319+J319,J319,0)))</x:f>
        <x:v>0</x:v>
      </x:c>
      <x:c r="N319" s="11" t="str">
        <x:f>IF(B319="Butterfly",IF(AND(J319&gt;0,J319&lt;K319),D319+J319,"n.a."),IF(C319="call",IF(AND(J319&gt;0,J319&lt;K319),D319+J319,"n.a."),IF(AND(K319&gt;J319,2*E319-D319+J319&gt;=0),2*E319-D319+J319,"n.a.")))</x:f>
        <x:v>n.a.</x:v>
      </x:c>
      <x:c r="O319" s="11" t="str">
        <x:f>IF(B319="Butterfly",IF(AND(J319&gt;0,J319&lt;K319),F319-J319,"n.a."),IF(C319="call",IF(K319&gt;J319,2*E319-D319-J319,"n.a."),IF(AND(J319&gt;0,J319&lt;K319),D319-J319,"n.a.")))</x:f>
        <x:v>n.a.</x:v>
      </x:c>
      <x:c r="P319" s="19" t="str">
        <x:f>IF(AND(B319="Butterfly",J319&gt;0,J319&lt;K319),L319/J319,"n.a.")</x:f>
        <x:v>n.a.</x:v>
      </x:c>
      <x:c r="Q319" s="11" t="n">
        <x:f>J319*'Model inputs'!$B$8</x:f>
        <x:v>-7479.000000000042</x:v>
      </x:c>
      <x:c r="R319" s="1" t="str">
        <x:v>Outside standard debit bounds</x:v>
      </x:c>
      <x:c r="S319" s="1" t="n">
        <x:v>36</x:v>
      </x:c>
      <x:c r="T319" s="1" t="n">
        <x:v>55</x:v>
      </x:c>
    </x:row>
    <x:row r="320" ht="21" customHeight="1">
      <x:c r="A320" s="12" t="n">
        <x:v>46276</x:v>
      </x:c>
      <x:c r="B320" s="1" t="str">
        <x:v>Butterfly</x:v>
      </x:c>
      <x:c r="C320" s="1" t="str">
        <x:v>put</x:v>
      </x:c>
      <x:c r="D320" s="11" t="n">
        <x:v>4400</x:v>
      </x:c>
      <x:c r="E320" s="11" t="n">
        <x:v>4600</x:v>
      </x:c>
      <x:c r="F320" s="11" t="n">
        <x:v>4800</x:v>
      </x:c>
      <x:c r="G320" s="11" t="n">
        <x:f>'Option source'!B521</x:f>
        <x:v>0.89</x:v>
      </x:c>
      <x:c r="H320" s="11" t="n">
        <x:f>'Option source'!B540</x:f>
        <x:v>1.13</x:v>
      </x:c>
      <x:c r="I320" s="11" t="n">
        <x:f>'Option source'!B559</x:f>
        <x:v>1.24</x:v>
      </x:c>
      <x:c r="J320" s="11" t="n">
        <x:f>G320-2*H320+IF(B320="Butterfly",I320,0)</x:f>
        <x:v>-0.12999999999999967</x:v>
      </x:c>
      <x:c r="K320" s="11" t="n">
        <x:f>ABS(E320-D320)</x:f>
        <x:v>200</x:v>
      </x:c>
      <x:c r="L320" s="11" t="n">
        <x:f>K320-J320</x:f>
        <x:v>200.13</x:v>
      </x:c>
      <x:c r="M320" s="11" t="n">
        <x:f>IF(B320="Butterfly",MAX(J320,0),IF(C320="call","Unlimited",MAX(2*E320-D320+J320,J320,0)))</x:f>
        <x:v>0</x:v>
      </x:c>
      <x:c r="N320" s="11" t="str">
        <x:f>IF(B320="Butterfly",IF(AND(J320&gt;0,J320&lt;K320),D320+J320,"n.a."),IF(C320="call",IF(AND(J320&gt;0,J320&lt;K320),D320+J320,"n.a."),IF(AND(K320&gt;J320,2*E320-D320+J320&gt;=0),2*E320-D320+J320,"n.a.")))</x:f>
        <x:v>n.a.</x:v>
      </x:c>
      <x:c r="O320" s="11" t="str">
        <x:f>IF(B320="Butterfly",IF(AND(J320&gt;0,J320&lt;K320),F320-J320,"n.a."),IF(C320="call",IF(K320&gt;J320,2*E320-D320-J320,"n.a."),IF(AND(J320&gt;0,J320&lt;K320),D320-J320,"n.a.")))</x:f>
        <x:v>n.a.</x:v>
      </x:c>
      <x:c r="P320" s="19" t="str">
        <x:f>IF(AND(B320="Butterfly",J320&gt;0,J320&lt;K320),L320/J320,"n.a.")</x:f>
        <x:v>n.a.</x:v>
      </x:c>
      <x:c r="Q320" s="11" t="n">
        <x:f>J320*'Model inputs'!$B$8</x:f>
        <x:v>-12.999999999999968</x:v>
      </x:c>
      <x:c r="R320" s="1" t="str">
        <x:v>Outside standard debit bounds</x:v>
      </x:c>
      <x:c r="S320" s="1" t="n">
        <x:v>516</x:v>
      </x:c>
      <x:c r="T320" s="1" t="n">
        <x:v>535</x:v>
      </x:c>
    </x:row>
    <x:row r="321" ht="21" customHeight="1">
      <x:c r="A321" s="12" t="n">
        <x:v>46276</x:v>
      </x:c>
      <x:c r="B321" s="1" t="str">
        <x:v>Butterfly</x:v>
      </x:c>
      <x:c r="C321" s="1" t="str">
        <x:v>call</x:v>
      </x:c>
      <x:c r="D321" s="11" t="n">
        <x:v>4200</x:v>
      </x:c>
      <x:c r="E321" s="11" t="n">
        <x:v>4400</x:v>
      </x:c>
      <x:c r="F321" s="11" t="n">
        <x:v>4600</x:v>
      </x:c>
      <x:c r="G321" s="11" t="n">
        <x:f>'Option source'!B22</x:f>
        <x:v>2956.52</x:v>
      </x:c>
      <x:c r="H321" s="11" t="n">
        <x:f>'Option source'!B41</x:f>
        <x:v>2799.47</x:v>
      </x:c>
      <x:c r="I321" s="11" t="n">
        <x:f>'Option source'!B60</x:f>
        <x:v>2650</x:v>
      </x:c>
      <x:c r="J321" s="11" t="n">
        <x:f>G321-2*H321+IF(B321="Butterfly",I321,0)</x:f>
        <x:v>7.580000000000382</x:v>
      </x:c>
      <x:c r="K321" s="11" t="n">
        <x:f>ABS(E321-D321)</x:f>
        <x:v>200</x:v>
      </x:c>
      <x:c r="L321" s="11" t="n">
        <x:f>K321-J321</x:f>
        <x:v>192.41999999999962</x:v>
      </x:c>
      <x:c r="M321" s="11" t="n">
        <x:f>IF(B321="Butterfly",MAX(J321,0),IF(C321="call","Unlimited",MAX(2*E321-D321+J321,J321,0)))</x:f>
        <x:v>7.580000000000382</x:v>
      </x:c>
      <x:c r="N321" s="11" t="n">
        <x:f>IF(B321="Butterfly",IF(AND(J321&gt;0,J321&lt;K321),D321+J321,"n.a."),IF(C321="call",IF(AND(J321&gt;0,J321&lt;K321),D321+J321,"n.a."),IF(AND(K321&gt;J321,2*E321-D321+J321&gt;=0),2*E321-D321+J321,"n.a.")))</x:f>
        <x:v>4207.58</x:v>
      </x:c>
      <x:c r="O321" s="11" t="n">
        <x:f>IF(B321="Butterfly",IF(AND(J321&gt;0,J321&lt;K321),F321-J321,"n.a."),IF(C321="call",IF(K321&gt;J321,2*E321-D321-J321,"n.a."),IF(AND(J321&gt;0,J321&lt;K321),D321-J321,"n.a.")))</x:f>
        <x:v>4592.42</x:v>
      </x:c>
      <x:c r="P321" s="19" t="n">
        <x:f>IF(AND(B321="Butterfly",J321&gt;0,J321&lt;K321),L321/J321,"n.a.")</x:f>
        <x:v>25.385224274405005</x:v>
      </x:c>
      <x:c r="Q321" s="11" t="n">
        <x:f>J321*'Model inputs'!$B$8</x:f>
        <x:v>758.0000000000382</x:v>
      </x:c>
      <x:c r="R321" s="1" t="str">
        <x:v>Flagged leg data</x:v>
      </x:c>
      <x:c r="S321" s="1" t="n">
        <x:v>17</x:v>
      </x:c>
      <x:c r="T321" s="1" t="n">
        <x:v>36</x:v>
      </x:c>
    </x:row>
    <x:row r="322" ht="21" customHeight="1">
      <x:c r="A322" s="12" t="n">
        <x:v>46276</x:v>
      </x:c>
      <x:c r="B322" s="1" t="str">
        <x:v>Butterfly</x:v>
      </x:c>
      <x:c r="C322" s="1" t="str">
        <x:v>put</x:v>
      </x:c>
      <x:c r="D322" s="11" t="n">
        <x:v>4200</x:v>
      </x:c>
      <x:c r="E322" s="11" t="n">
        <x:v>4400</x:v>
      </x:c>
      <x:c r="F322" s="11" t="n">
        <x:v>4600</x:v>
      </x:c>
      <x:c r="G322" s="11" t="n">
        <x:f>'Option source'!B502</x:f>
        <x:v>0.59</x:v>
      </x:c>
      <x:c r="H322" s="11" t="n">
        <x:f>'Option source'!B521</x:f>
        <x:v>0.89</x:v>
      </x:c>
      <x:c r="I322" s="11" t="n">
        <x:f>'Option source'!B540</x:f>
        <x:v>1.13</x:v>
      </x:c>
      <x:c r="J322" s="11" t="n">
        <x:f>G322-2*H322+IF(B322="Butterfly",I322,0)</x:f>
        <x:v>-0.06000000000000005</x:v>
      </x:c>
      <x:c r="K322" s="11" t="n">
        <x:f>ABS(E322-D322)</x:f>
        <x:v>200</x:v>
      </x:c>
      <x:c r="L322" s="11" t="n">
        <x:f>K322-J322</x:f>
        <x:v>200.06</x:v>
      </x:c>
      <x:c r="M322" s="11" t="n">
        <x:f>IF(B322="Butterfly",MAX(J322,0),IF(C322="call","Unlimited",MAX(2*E322-D322+J322,J322,0)))</x:f>
        <x:v>0</x:v>
      </x:c>
      <x:c r="N322" s="11" t="str">
        <x:f>IF(B322="Butterfly",IF(AND(J322&gt;0,J322&lt;K322),D322+J322,"n.a."),IF(C322="call",IF(AND(J322&gt;0,J322&lt;K322),D322+J322,"n.a."),IF(AND(K322&gt;J322,2*E322-D322+J322&gt;=0),2*E322-D322+J322,"n.a.")))</x:f>
        <x:v>n.a.</x:v>
      </x:c>
      <x:c r="O322" s="11" t="str">
        <x:f>IF(B322="Butterfly",IF(AND(J322&gt;0,J322&lt;K322),F322-J322,"n.a."),IF(C322="call",IF(K322&gt;J322,2*E322-D322-J322,"n.a."),IF(AND(J322&gt;0,J322&lt;K322),D322-J322,"n.a.")))</x:f>
        <x:v>n.a.</x:v>
      </x:c>
      <x:c r="P322" s="19" t="str">
        <x:f>IF(AND(B322="Butterfly",J322&gt;0,J322&lt;K322),L322/J322,"n.a.")</x:f>
        <x:v>n.a.</x:v>
      </x:c>
      <x:c r="Q322" s="11" t="n">
        <x:f>J322*'Model inputs'!$B$8</x:f>
        <x:v>-6.000000000000005</x:v>
      </x:c>
      <x:c r="R322" s="1" t="str">
        <x:v>Outside standard debit bounds</x:v>
      </x:c>
      <x:c r="S322" s="1" t="n">
        <x:v>497</x:v>
      </x:c>
      <x:c r="T322" s="1" t="n">
        <x:v>516</x:v>
      </x:c>
    </x:row>
    <x:row r="323" ht="21" customHeight="1">
      <x:c r="A323" s="12" t="n">
        <x:v>46276</x:v>
      </x:c>
      <x:c r="B323" s="1" t="str">
        <x:v>1x2 ratio</x:v>
      </x:c>
      <x:c r="C323" s="1" t="str">
        <x:v>call</x:v>
      </x:c>
      <x:c r="D323" s="11" t="n">
        <x:v>6800</x:v>
      </x:c>
      <x:c r="E323" s="11" t="n">
        <x:v>7000</x:v>
      </x:c>
      <x:c r="F323" s="11"/>
      <x:c r="G323" s="11" t="n">
        <x:f>'Option source'!B255</x:f>
        <x:v>544.29</x:v>
      </x:c>
      <x:c r="H323" s="11" t="n">
        <x:f>'Option source'!B274</x:f>
        <x:v>438.34</x:v>
      </x:c>
      <x:c r="I323" s="11"/>
      <x:c r="J323" s="11" t="n">
        <x:f>G323-2*H323+IF(B323="Butterfly",I323,0)</x:f>
        <x:v>-332.39</x:v>
      </x:c>
      <x:c r="K323" s="11" t="n">
        <x:f>ABS(E323-D323)</x:f>
        <x:v>200</x:v>
      </x:c>
      <x:c r="L323" s="11" t="n">
        <x:f>K323-J323</x:f>
        <x:v>532.39</x:v>
      </x:c>
      <x:c r="M323" s="11" t="str">
        <x:f>IF(B323="Butterfly",MAX(J323,0),IF(C323="call","Unlimited",MAX(2*E323-D323+J323,J323,0)))</x:f>
        <x:v>Unlimited</x:v>
      </x:c>
      <x:c r="N323" s="11" t="str">
        <x:f>IF(B323="Butterfly",IF(AND(J323&gt;0,J323&lt;K323),D323+J323,"n.a."),IF(C323="call",IF(AND(J323&gt;0,J323&lt;K323),D323+J323,"n.a."),IF(AND(K323&gt;J323,2*E323-D323+J323&gt;=0),2*E323-D323+J323,"n.a.")))</x:f>
        <x:v>n.a.</x:v>
      </x:c>
      <x:c r="O323" s="11" t="n">
        <x:f>IF(B323="Butterfly",IF(AND(J323&gt;0,J323&lt;K323),F323-J323,"n.a."),IF(C323="call",IF(K323&gt;J323,2*E323-D323-J323,"n.a."),IF(AND(J323&gt;0,J323&lt;K323),D323-J323,"n.a.")))</x:f>
        <x:v>7532.39</x:v>
      </x:c>
      <x:c r="P323" s="19" t="str">
        <x:f>IF(AND(B323="Butterfly",J323&gt;0,J323&lt;K323),L323/J323,"n.a.")</x:f>
        <x:v>n.a.</x:v>
      </x:c>
      <x:c r="Q323" s="11" t="n">
        <x:f>J323*'Model inputs'!$B$8</x:f>
        <x:v>-33239</x:v>
      </x:c>
      <x:c r="R323" s="1" t="str">
        <x:v>Indicative only</x:v>
      </x:c>
      <x:c r="S323" s="1" t="n">
        <x:v>250</x:v>
      </x:c>
      <x:c r="T323" s="1" t="n">
        <x:v>269</x:v>
      </x:c>
    </x:row>
    <x:row r="324" ht="21" customHeight="1">
      <x:c r="A324" s="12" t="n">
        <x:v>46276</x:v>
      </x:c>
      <x:c r="B324" s="1" t="str">
        <x:v>1x2 ratio</x:v>
      </x:c>
      <x:c r="C324" s="1" t="str">
        <x:v>put</x:v>
      </x:c>
      <x:c r="D324" s="11" t="n">
        <x:v>7200</x:v>
      </x:c>
      <x:c r="E324" s="11" t="n">
        <x:v>7000</x:v>
      </x:c>
      <x:c r="F324" s="11"/>
      <x:c r="G324" s="11" t="n">
        <x:f>'Option source'!B787</x:f>
        <x:v>409.22</x:v>
      </x:c>
      <x:c r="H324" s="11" t="n">
        <x:f>'Option source'!B768</x:f>
        <x:v>308.63</x:v>
      </x:c>
      <x:c r="I324" s="11"/>
      <x:c r="J324" s="11" t="n">
        <x:f>G324-2*H324+IF(B324="Butterfly",I324,0)</x:f>
        <x:v>-208.03999999999996</x:v>
      </x:c>
      <x:c r="K324" s="11" t="n">
        <x:f>ABS(E324-D324)</x:f>
        <x:v>200</x:v>
      </x:c>
      <x:c r="L324" s="11" t="n">
        <x:f>K324-J324</x:f>
        <x:v>408.03999999999996</x:v>
      </x:c>
      <x:c r="M324" s="11" t="n">
        <x:f>IF(B324="Butterfly",MAX(J324,0),IF(C324="call","Unlimited",MAX(2*E324-D324+J324,J324,0)))</x:f>
        <x:v>6591.96</x:v>
      </x:c>
      <x:c r="N324" s="11" t="n">
        <x:f>IF(B324="Butterfly",IF(AND(J324&gt;0,J324&lt;K324),D324+J324,"n.a."),IF(C324="call",IF(AND(J324&gt;0,J324&lt;K324),D324+J324,"n.a."),IF(AND(K324&gt;J324,2*E324-D324+J324&gt;=0),2*E324-D324+J324,"n.a.")))</x:f>
        <x:v>6591.96</x:v>
      </x:c>
      <x:c r="O324" s="11" t="str">
        <x:f>IF(B324="Butterfly",IF(AND(J324&gt;0,J324&lt;K324),F324-J324,"n.a."),IF(C324="call",IF(K324&gt;J324,2*E324-D324-J324,"n.a."),IF(AND(J324&gt;0,J324&lt;K324),D324-J324,"n.a.")))</x:f>
        <x:v>n.a.</x:v>
      </x:c>
      <x:c r="P324" s="19" t="str">
        <x:f>IF(AND(B324="Butterfly",J324&gt;0,J324&lt;K324),L324/J324,"n.a.")</x:f>
        <x:v>n.a.</x:v>
      </x:c>
      <x:c r="Q324" s="11" t="n">
        <x:f>J324*'Model inputs'!$B$8</x:f>
        <x:v>-20803.999999999996</x:v>
      </x:c>
      <x:c r="R324" s="1" t="str">
        <x:v>Indicative only</x:v>
      </x:c>
      <x:c r="S324" s="1" t="n">
        <x:v>782</x:v>
      </x:c>
      <x:c r="T324" s="1" t="n">
        <x:v>763</x:v>
      </x:c>
    </x:row>
    <x:row r="325" ht="21" customHeight="1">
      <x:c r="A325" s="12" t="n">
        <x:v>46276</x:v>
      </x:c>
      <x:c r="B325" s="1" t="str">
        <x:v>1x2 ratio</x:v>
      </x:c>
      <x:c r="C325" s="1" t="str">
        <x:v>call</x:v>
      </x:c>
      <x:c r="D325" s="11" t="n">
        <x:v>6600</x:v>
      </x:c>
      <x:c r="E325" s="11" t="n">
        <x:v>6800</x:v>
      </x:c>
      <x:c r="F325" s="11"/>
      <x:c r="G325" s="11" t="n">
        <x:f>'Option source'!B236</x:f>
        <x:v>663.81</x:v>
      </x:c>
      <x:c r="H325" s="11" t="n">
        <x:f>'Option source'!B255</x:f>
        <x:v>544.29</x:v>
      </x:c>
      <x:c r="I325" s="11"/>
      <x:c r="J325" s="11" t="n">
        <x:f>G325-2*H325+IF(B325="Butterfly",I325,0)</x:f>
        <x:v>-424.77</x:v>
      </x:c>
      <x:c r="K325" s="11" t="n">
        <x:f>ABS(E325-D325)</x:f>
        <x:v>200</x:v>
      </x:c>
      <x:c r="L325" s="11" t="n">
        <x:f>K325-J325</x:f>
        <x:v>624.77</x:v>
      </x:c>
      <x:c r="M325" s="11" t="str">
        <x:f>IF(B325="Butterfly",MAX(J325,0),IF(C325="call","Unlimited",MAX(2*E325-D325+J325,J325,0)))</x:f>
        <x:v>Unlimited</x:v>
      </x:c>
      <x:c r="N325" s="11" t="str">
        <x:f>IF(B325="Butterfly",IF(AND(J325&gt;0,J325&lt;K325),D325+J325,"n.a."),IF(C325="call",IF(AND(J325&gt;0,J325&lt;K325),D325+J325,"n.a."),IF(AND(K325&gt;J325,2*E325-D325+J325&gt;=0),2*E325-D325+J325,"n.a.")))</x:f>
        <x:v>n.a.</x:v>
      </x:c>
      <x:c r="O325" s="11" t="n">
        <x:f>IF(B325="Butterfly",IF(AND(J325&gt;0,J325&lt;K325),F325-J325,"n.a."),IF(C325="call",IF(K325&gt;J325,2*E325-D325-J325,"n.a."),IF(AND(J325&gt;0,J325&lt;K325),D325-J325,"n.a.")))</x:f>
        <x:v>7424.77</x:v>
      </x:c>
      <x:c r="P325" s="19" t="str">
        <x:f>IF(AND(B325="Butterfly",J325&gt;0,J325&lt;K325),L325/J325,"n.a.")</x:f>
        <x:v>n.a.</x:v>
      </x:c>
      <x:c r="Q325" s="11" t="n">
        <x:f>J325*'Model inputs'!$B$8</x:f>
        <x:v>-42477</x:v>
      </x:c>
      <x:c r="R325" s="1" t="str">
        <x:v>Indicative only</x:v>
      </x:c>
      <x:c r="S325" s="1" t="n">
        <x:v>231</x:v>
      </x:c>
      <x:c r="T325" s="1" t="n">
        <x:v>250</x:v>
      </x:c>
    </x:row>
    <x:row r="326" ht="21" customHeight="1">
      <x:c r="A326" s="12" t="n">
        <x:v>46276</x:v>
      </x:c>
      <x:c r="B326" s="1" t="str">
        <x:v>1x2 ratio</x:v>
      </x:c>
      <x:c r="C326" s="1" t="str">
        <x:v>call</x:v>
      </x:c>
      <x:c r="D326" s="11" t="n">
        <x:v>7000</x:v>
      </x:c>
      <x:c r="E326" s="11" t="n">
        <x:v>7200</x:v>
      </x:c>
      <x:c r="F326" s="11"/>
      <x:c r="G326" s="11" t="n">
        <x:f>'Option source'!B274</x:f>
        <x:v>438.34</x:v>
      </x:c>
      <x:c r="H326" s="11" t="n">
        <x:f>'Option source'!B293</x:f>
        <x:v>345.7</x:v>
      </x:c>
      <x:c r="I326" s="11"/>
      <x:c r="J326" s="11" t="n">
        <x:f>G326-2*H326+IF(B326="Butterfly",I326,0)</x:f>
        <x:v>-253.06</x:v>
      </x:c>
      <x:c r="K326" s="11" t="n">
        <x:f>ABS(E326-D326)</x:f>
        <x:v>200</x:v>
      </x:c>
      <x:c r="L326" s="11" t="n">
        <x:f>K326-J326</x:f>
        <x:v>453.06</x:v>
      </x:c>
      <x:c r="M326" s="11" t="str">
        <x:f>IF(B326="Butterfly",MAX(J326,0),IF(C326="call","Unlimited",MAX(2*E326-D326+J326,J326,0)))</x:f>
        <x:v>Unlimited</x:v>
      </x:c>
      <x:c r="N326" s="11" t="str">
        <x:f>IF(B326="Butterfly",IF(AND(J326&gt;0,J326&lt;K326),D326+J326,"n.a."),IF(C326="call",IF(AND(J326&gt;0,J326&lt;K326),D326+J326,"n.a."),IF(AND(K326&gt;J326,2*E326-D326+J326&gt;=0),2*E326-D326+J326,"n.a.")))</x:f>
        <x:v>n.a.</x:v>
      </x:c>
      <x:c r="O326" s="11" t="n">
        <x:f>IF(B326="Butterfly",IF(AND(J326&gt;0,J326&lt;K326),F326-J326,"n.a."),IF(C326="call",IF(K326&gt;J326,2*E326-D326-J326,"n.a."),IF(AND(J326&gt;0,J326&lt;K326),D326-J326,"n.a.")))</x:f>
        <x:v>7653.06</x:v>
      </x:c>
      <x:c r="P326" s="19" t="str">
        <x:f>IF(AND(B326="Butterfly",J326&gt;0,J326&lt;K326),L326/J326,"n.a.")</x:f>
        <x:v>n.a.</x:v>
      </x:c>
      <x:c r="Q326" s="11" t="n">
        <x:f>J326*'Model inputs'!$B$8</x:f>
        <x:v>-25306</x:v>
      </x:c>
      <x:c r="R326" s="1" t="str">
        <x:v>Indicative only</x:v>
      </x:c>
      <x:c r="S326" s="1" t="n">
        <x:v>269</x:v>
      </x:c>
      <x:c r="T326" s="1" t="n">
        <x:v>288</x:v>
      </x:c>
    </x:row>
    <x:row r="327" ht="21" customHeight="1">
      <x:c r="A327" s="12" t="n">
        <x:v>46276</x:v>
      </x:c>
      <x:c r="B327" s="1" t="str">
        <x:v>1x2 ratio</x:v>
      </x:c>
      <x:c r="C327" s="1" t="str">
        <x:v>put</x:v>
      </x:c>
      <x:c r="D327" s="11" t="n">
        <x:v>7000</x:v>
      </x:c>
      <x:c r="E327" s="11" t="n">
        <x:v>6800</x:v>
      </x:c>
      <x:c r="F327" s="11"/>
      <x:c r="G327" s="11" t="n">
        <x:f>'Option source'!B768</x:f>
        <x:v>308.63</x:v>
      </x:c>
      <x:c r="H327" s="11" t="n">
        <x:f>'Option source'!B749</x:f>
        <x:v>222.83</x:v>
      </x:c>
      <x:c r="I327" s="11"/>
      <x:c r="J327" s="11" t="n">
        <x:f>G327-2*H327+IF(B327="Butterfly",I327,0)</x:f>
        <x:v>-137.03000000000003</x:v>
      </x:c>
      <x:c r="K327" s="11" t="n">
        <x:f>ABS(E327-D327)</x:f>
        <x:v>200</x:v>
      </x:c>
      <x:c r="L327" s="11" t="n">
        <x:f>K327-J327</x:f>
        <x:v>337.03000000000003</x:v>
      </x:c>
      <x:c r="M327" s="11" t="n">
        <x:f>IF(B327="Butterfly",MAX(J327,0),IF(C327="call","Unlimited",MAX(2*E327-D327+J327,J327,0)))</x:f>
        <x:v>6462.97</x:v>
      </x:c>
      <x:c r="N327" s="11" t="n">
        <x:f>IF(B327="Butterfly",IF(AND(J327&gt;0,J327&lt;K327),D327+J327,"n.a."),IF(C327="call",IF(AND(J327&gt;0,J327&lt;K327),D327+J327,"n.a."),IF(AND(K327&gt;J327,2*E327-D327+J327&gt;=0),2*E327-D327+J327,"n.a.")))</x:f>
        <x:v>6462.97</x:v>
      </x:c>
      <x:c r="O327" s="11" t="str">
        <x:f>IF(B327="Butterfly",IF(AND(J327&gt;0,J327&lt;K327),F327-J327,"n.a."),IF(C327="call",IF(K327&gt;J327,2*E327-D327-J327,"n.a."),IF(AND(J327&gt;0,J327&lt;K327),D327-J327,"n.a.")))</x:f>
        <x:v>n.a.</x:v>
      </x:c>
      <x:c r="P327" s="19" t="str">
        <x:f>IF(AND(B327="Butterfly",J327&gt;0,J327&lt;K327),L327/J327,"n.a.")</x:f>
        <x:v>n.a.</x:v>
      </x:c>
      <x:c r="Q327" s="11" t="n">
        <x:f>J327*'Model inputs'!$B$8</x:f>
        <x:v>-13703.000000000004</x:v>
      </x:c>
      <x:c r="R327" s="1" t="str">
        <x:v>Indicative only</x:v>
      </x:c>
      <x:c r="S327" s="1" t="n">
        <x:v>763</x:v>
      </x:c>
      <x:c r="T327" s="1" t="n">
        <x:v>744</x:v>
      </x:c>
    </x:row>
    <x:row r="328" ht="21" customHeight="1">
      <x:c r="A328" s="12" t="n">
        <x:v>46276</x:v>
      </x:c>
      <x:c r="B328" s="1" t="str">
        <x:v>1x2 ratio</x:v>
      </x:c>
      <x:c r="C328" s="1" t="str">
        <x:v>put</x:v>
      </x:c>
      <x:c r="D328" s="11" t="n">
        <x:v>7400</x:v>
      </x:c>
      <x:c r="E328" s="11" t="n">
        <x:v>7200</x:v>
      </x:c>
      <x:c r="F328" s="11"/>
      <x:c r="G328" s="11" t="n">
        <x:f>'Option source'!B806</x:f>
        <x:v>528.03</x:v>
      </x:c>
      <x:c r="H328" s="11" t="n">
        <x:f>'Option source'!B787</x:f>
        <x:v>409.22</x:v>
      </x:c>
      <x:c r="I328" s="11"/>
      <x:c r="J328" s="11" t="n">
        <x:f>G328-2*H328+IF(B328="Butterfly",I328,0)</x:f>
        <x:v>-290.4100000000001</x:v>
      </x:c>
      <x:c r="K328" s="11" t="n">
        <x:f>ABS(E328-D328)</x:f>
        <x:v>200</x:v>
      </x:c>
      <x:c r="L328" s="11" t="n">
        <x:f>K328-J328</x:f>
        <x:v>490.4100000000001</x:v>
      </x:c>
      <x:c r="M328" s="11" t="n">
        <x:f>IF(B328="Butterfly",MAX(J328,0),IF(C328="call","Unlimited",MAX(2*E328-D328+J328,J328,0)))</x:f>
        <x:v>6709.59</x:v>
      </x:c>
      <x:c r="N328" s="11" t="n">
        <x:f>IF(B328="Butterfly",IF(AND(J328&gt;0,J328&lt;K328),D328+J328,"n.a."),IF(C328="call",IF(AND(J328&gt;0,J328&lt;K328),D328+J328,"n.a."),IF(AND(K328&gt;J328,2*E328-D328+J328&gt;=0),2*E328-D328+J328,"n.a.")))</x:f>
        <x:v>6709.59</x:v>
      </x:c>
      <x:c r="O328" s="11" t="str">
        <x:f>IF(B328="Butterfly",IF(AND(J328&gt;0,J328&lt;K328),F328-J328,"n.a."),IF(C328="call",IF(K328&gt;J328,2*E328-D328-J328,"n.a."),IF(AND(J328&gt;0,J328&lt;K328),D328-J328,"n.a.")))</x:f>
        <x:v>n.a.</x:v>
      </x:c>
      <x:c r="P328" s="19" t="str">
        <x:f>IF(AND(B328="Butterfly",J328&gt;0,J328&lt;K328),L328/J328,"n.a.")</x:f>
        <x:v>n.a.</x:v>
      </x:c>
      <x:c r="Q328" s="11" t="n">
        <x:f>J328*'Model inputs'!$B$8</x:f>
        <x:v>-29041.000000000007</x:v>
      </x:c>
      <x:c r="R328" s="1" t="str">
        <x:v>Indicative only</x:v>
      </x:c>
      <x:c r="S328" s="1" t="n">
        <x:v>801</x:v>
      </x:c>
      <x:c r="T328" s="1" t="n">
        <x:v>782</x:v>
      </x:c>
    </x:row>
    <x:row r="329" ht="21" customHeight="1">
      <x:c r="A329" s="12" t="n">
        <x:v>46276</x:v>
      </x:c>
      <x:c r="B329" s="1" t="str">
        <x:v>1x2 ratio</x:v>
      </x:c>
      <x:c r="C329" s="1" t="str">
        <x:v>call</x:v>
      </x:c>
      <x:c r="D329" s="11" t="n">
        <x:v>6400</x:v>
      </x:c>
      <x:c r="E329" s="11" t="n">
        <x:v>6600</x:v>
      </x:c>
      <x:c r="F329" s="11"/>
      <x:c r="G329" s="11" t="n">
        <x:f>'Option source'!B217</x:f>
        <x:v>830</x:v>
      </x:c>
      <x:c r="H329" s="11" t="n">
        <x:f>'Option source'!B236</x:f>
        <x:v>663.81</x:v>
      </x:c>
      <x:c r="I329" s="11"/>
      <x:c r="J329" s="11" t="n">
        <x:f>G329-2*H329+IF(B329="Butterfly",I329,0)</x:f>
        <x:v>-497.6199999999999</x:v>
      </x:c>
      <x:c r="K329" s="11" t="n">
        <x:f>ABS(E329-D329)</x:f>
        <x:v>200</x:v>
      </x:c>
      <x:c r="L329" s="11" t="n">
        <x:f>K329-J329</x:f>
        <x:v>697.6199999999999</x:v>
      </x:c>
      <x:c r="M329" s="11" t="str">
        <x:f>IF(B329="Butterfly",MAX(J329,0),IF(C329="call","Unlimited",MAX(2*E329-D329+J329,J329,0)))</x:f>
        <x:v>Unlimited</x:v>
      </x:c>
      <x:c r="N329" s="11" t="str">
        <x:f>IF(B329="Butterfly",IF(AND(J329&gt;0,J329&lt;K329),D329+J329,"n.a."),IF(C329="call",IF(AND(J329&gt;0,J329&lt;K329),D329+J329,"n.a."),IF(AND(K329&gt;J329,2*E329-D329+J329&gt;=0),2*E329-D329+J329,"n.a.")))</x:f>
        <x:v>n.a.</x:v>
      </x:c>
      <x:c r="O329" s="11" t="n">
        <x:f>IF(B329="Butterfly",IF(AND(J329&gt;0,J329&lt;K329),F329-J329,"n.a."),IF(C329="call",IF(K329&gt;J329,2*E329-D329-J329,"n.a."),IF(AND(J329&gt;0,J329&lt;K329),D329-J329,"n.a.")))</x:f>
        <x:v>7297.62</x:v>
      </x:c>
      <x:c r="P329" s="19" t="str">
        <x:f>IF(AND(B329="Butterfly",J329&gt;0,J329&lt;K329),L329/J329,"n.a.")</x:f>
        <x:v>n.a.</x:v>
      </x:c>
      <x:c r="Q329" s="11" t="n">
        <x:f>J329*'Model inputs'!$B$8</x:f>
        <x:v>-49761.999999999985</x:v>
      </x:c>
      <x:c r="R329" s="1" t="str">
        <x:v>Indicative only</x:v>
      </x:c>
      <x:c r="S329" s="1" t="n">
        <x:v>212</x:v>
      </x:c>
      <x:c r="T329" s="1" t="n">
        <x:v>231</x:v>
      </x:c>
    </x:row>
    <x:row r="330" ht="21" customHeight="1">
      <x:c r="A330" s="12" t="n">
        <x:v>46276</x:v>
      </x:c>
      <x:c r="B330" s="1" t="str">
        <x:v>1x2 ratio</x:v>
      </x:c>
      <x:c r="C330" s="1" t="str">
        <x:v>call</x:v>
      </x:c>
      <x:c r="D330" s="11" t="n">
        <x:v>7200</x:v>
      </x:c>
      <x:c r="E330" s="11" t="n">
        <x:v>7400</x:v>
      </x:c>
      <x:c r="F330" s="11"/>
      <x:c r="G330" s="11" t="n">
        <x:f>'Option source'!B293</x:f>
        <x:v>345.7</x:v>
      </x:c>
      <x:c r="H330" s="11" t="n">
        <x:f>'Option source'!B312</x:f>
        <x:v>262.49</x:v>
      </x:c>
      <x:c r="I330" s="11"/>
      <x:c r="J330" s="11" t="n">
        <x:f>G330-2*H330+IF(B330="Butterfly",I330,0)</x:f>
        <x:v>-179.28000000000003</x:v>
      </x:c>
      <x:c r="K330" s="11" t="n">
        <x:f>ABS(E330-D330)</x:f>
        <x:v>200</x:v>
      </x:c>
      <x:c r="L330" s="11" t="n">
        <x:f>K330-J330</x:f>
        <x:v>379.28000000000003</x:v>
      </x:c>
      <x:c r="M330" s="11" t="str">
        <x:f>IF(B330="Butterfly",MAX(J330,0),IF(C330="call","Unlimited",MAX(2*E330-D330+J330,J330,0)))</x:f>
        <x:v>Unlimited</x:v>
      </x:c>
      <x:c r="N330" s="11" t="str">
        <x:f>IF(B330="Butterfly",IF(AND(J330&gt;0,J330&lt;K330),D330+J330,"n.a."),IF(C330="call",IF(AND(J330&gt;0,J330&lt;K330),D330+J330,"n.a."),IF(AND(K330&gt;J330,2*E330-D330+J330&gt;=0),2*E330-D330+J330,"n.a.")))</x:f>
        <x:v>n.a.</x:v>
      </x:c>
      <x:c r="O330" s="11" t="n">
        <x:f>IF(B330="Butterfly",IF(AND(J330&gt;0,J330&lt;K330),F330-J330,"n.a."),IF(C330="call",IF(K330&gt;J330,2*E330-D330-J330,"n.a."),IF(AND(J330&gt;0,J330&lt;K330),D330-J330,"n.a.")))</x:f>
        <x:v>7779.28</x:v>
      </x:c>
      <x:c r="P330" s="19" t="str">
        <x:f>IF(AND(B330="Butterfly",J330&gt;0,J330&lt;K330),L330/J330,"n.a.")</x:f>
        <x:v>n.a.</x:v>
      </x:c>
      <x:c r="Q330" s="11" t="n">
        <x:f>J330*'Model inputs'!$B$8</x:f>
        <x:v>-17928.000000000004</x:v>
      </x:c>
      <x:c r="R330" s="1" t="str">
        <x:v>Indicative only</x:v>
      </x:c>
      <x:c r="S330" s="1" t="n">
        <x:v>288</x:v>
      </x:c>
      <x:c r="T330" s="1" t="n">
        <x:v>307</x:v>
      </x:c>
    </x:row>
    <x:row r="331" ht="21" customHeight="1">
      <x:c r="A331" s="12" t="n">
        <x:v>46276</x:v>
      </x:c>
      <x:c r="B331" s="1" t="str">
        <x:v>1x2 ratio</x:v>
      </x:c>
      <x:c r="C331" s="1" t="str">
        <x:v>put</x:v>
      </x:c>
      <x:c r="D331" s="11" t="n">
        <x:v>6800</x:v>
      </x:c>
      <x:c r="E331" s="11" t="n">
        <x:v>6600</x:v>
      </x:c>
      <x:c r="F331" s="11"/>
      <x:c r="G331" s="11" t="n">
        <x:f>'Option source'!B749</x:f>
        <x:v>222.83</x:v>
      </x:c>
      <x:c r="H331" s="11" t="n">
        <x:f>'Option source'!B730</x:f>
        <x:v>152.55</x:v>
      </x:c>
      <x:c r="I331" s="11"/>
      <x:c r="J331" s="11" t="n">
        <x:f>G331-2*H331+IF(B331="Butterfly",I331,0)</x:f>
        <x:v>-82.27000000000001</x:v>
      </x:c>
      <x:c r="K331" s="11" t="n">
        <x:f>ABS(E331-D331)</x:f>
        <x:v>200</x:v>
      </x:c>
      <x:c r="L331" s="11" t="n">
        <x:f>K331-J331</x:f>
        <x:v>282.27</x:v>
      </x:c>
      <x:c r="M331" s="11" t="n">
        <x:f>IF(B331="Butterfly",MAX(J331,0),IF(C331="call","Unlimited",MAX(2*E331-D331+J331,J331,0)))</x:f>
        <x:v>6317.73</x:v>
      </x:c>
      <x:c r="N331" s="11" t="n">
        <x:f>IF(B331="Butterfly",IF(AND(J331&gt;0,J331&lt;K331),D331+J331,"n.a."),IF(C331="call",IF(AND(J331&gt;0,J331&lt;K331),D331+J331,"n.a."),IF(AND(K331&gt;J331,2*E331-D331+J331&gt;=0),2*E331-D331+J331,"n.a.")))</x:f>
        <x:v>6317.73</x:v>
      </x:c>
      <x:c r="O331" s="11" t="str">
        <x:f>IF(B331="Butterfly",IF(AND(J331&gt;0,J331&lt;K331),F331-J331,"n.a."),IF(C331="call",IF(K331&gt;J331,2*E331-D331-J331,"n.a."),IF(AND(J331&gt;0,J331&lt;K331),D331-J331,"n.a.")))</x:f>
        <x:v>n.a.</x:v>
      </x:c>
      <x:c r="P331" s="19" t="str">
        <x:f>IF(AND(B331="Butterfly",J331&gt;0,J331&lt;K331),L331/J331,"n.a.")</x:f>
        <x:v>n.a.</x:v>
      </x:c>
      <x:c r="Q331" s="11" t="n">
        <x:f>J331*'Model inputs'!$B$8</x:f>
        <x:v>-8227.000000000002</x:v>
      </x:c>
      <x:c r="R331" s="1" t="str">
        <x:v>Indicative only</x:v>
      </x:c>
      <x:c r="S331" s="1" t="n">
        <x:v>744</x:v>
      </x:c>
      <x:c r="T331" s="1" t="n">
        <x:v>725</x:v>
      </x:c>
    </x:row>
    <x:row r="332" ht="21" customHeight="1">
      <x:c r="A332" s="12" t="n">
        <x:v>46276</x:v>
      </x:c>
      <x:c r="B332" s="1" t="str">
        <x:v>1x2 ratio</x:v>
      </x:c>
      <x:c r="C332" s="1" t="str">
        <x:v>put</x:v>
      </x:c>
      <x:c r="D332" s="11" t="n">
        <x:v>7600</x:v>
      </x:c>
      <x:c r="E332" s="11" t="n">
        <x:v>7400</x:v>
      </x:c>
      <x:c r="F332" s="11"/>
      <x:c r="G332" s="11" t="n">
        <x:f>'Option source'!B825</x:f>
        <x:v>658.65</x:v>
      </x:c>
      <x:c r="H332" s="11" t="n">
        <x:f>'Option source'!B806</x:f>
        <x:v>528.03</x:v>
      </x:c>
      <x:c r="I332" s="11"/>
      <x:c r="J332" s="11" t="n">
        <x:f>G332-2*H332+IF(B332="Butterfly",I332,0)</x:f>
        <x:v>-397.40999999999997</x:v>
      </x:c>
      <x:c r="K332" s="11" t="n">
        <x:f>ABS(E332-D332)</x:f>
        <x:v>200</x:v>
      </x:c>
      <x:c r="L332" s="11" t="n">
        <x:f>K332-J332</x:f>
        <x:v>597.41</x:v>
      </x:c>
      <x:c r="M332" s="11" t="n">
        <x:f>IF(B332="Butterfly",MAX(J332,0),IF(C332="call","Unlimited",MAX(2*E332-D332+J332,J332,0)))</x:f>
        <x:v>6802.59</x:v>
      </x:c>
      <x:c r="N332" s="11" t="n">
        <x:f>IF(B332="Butterfly",IF(AND(J332&gt;0,J332&lt;K332),D332+J332,"n.a."),IF(C332="call",IF(AND(J332&gt;0,J332&lt;K332),D332+J332,"n.a."),IF(AND(K332&gt;J332,2*E332-D332+J332&gt;=0),2*E332-D332+J332,"n.a.")))</x:f>
        <x:v>6802.59</x:v>
      </x:c>
      <x:c r="O332" s="11" t="str">
        <x:f>IF(B332="Butterfly",IF(AND(J332&gt;0,J332&lt;K332),F332-J332,"n.a."),IF(C332="call",IF(K332&gt;J332,2*E332-D332-J332,"n.a."),IF(AND(J332&gt;0,J332&lt;K332),D332-J332,"n.a.")))</x:f>
        <x:v>n.a.</x:v>
      </x:c>
      <x:c r="P332" s="19" t="str">
        <x:f>IF(AND(B332="Butterfly",J332&gt;0,J332&lt;K332),L332/J332,"n.a.")</x:f>
        <x:v>n.a.</x:v>
      </x:c>
      <x:c r="Q332" s="11" t="n">
        <x:f>J332*'Model inputs'!$B$8</x:f>
        <x:v>-39741</x:v>
      </x:c>
      <x:c r="R332" s="1" t="str">
        <x:v>Indicative only</x:v>
      </x:c>
      <x:c r="S332" s="1" t="n">
        <x:v>820</x:v>
      </x:c>
      <x:c r="T332" s="1" t="n">
        <x:v>801</x:v>
      </x:c>
    </x:row>
    <x:row r="333" ht="21" customHeight="1">
      <x:c r="A333" s="12" t="n">
        <x:v>46276</x:v>
      </x:c>
      <x:c r="B333" s="1" t="str">
        <x:v>1x2 ratio</x:v>
      </x:c>
      <x:c r="C333" s="1" t="str">
        <x:v>call</x:v>
      </x:c>
      <x:c r="D333" s="11" t="n">
        <x:v>7400</x:v>
      </x:c>
      <x:c r="E333" s="11" t="n">
        <x:v>7600</x:v>
      </x:c>
      <x:c r="F333" s="11"/>
      <x:c r="G333" s="11" t="n">
        <x:f>'Option source'!B312</x:f>
        <x:v>262.49</x:v>
      </x:c>
      <x:c r="H333" s="11" t="n">
        <x:f>'Option source'!B331</x:f>
        <x:v>198.58</x:v>
      </x:c>
      <x:c r="I333" s="11"/>
      <x:c r="J333" s="11" t="n">
        <x:f>G333-2*H333+IF(B333="Butterfly",I333,0)</x:f>
        <x:v>-134.67000000000002</x:v>
      </x:c>
      <x:c r="K333" s="11" t="n">
        <x:f>ABS(E333-D333)</x:f>
        <x:v>200</x:v>
      </x:c>
      <x:c r="L333" s="11" t="n">
        <x:f>K333-J333</x:f>
        <x:v>334.67</x:v>
      </x:c>
      <x:c r="M333" s="11" t="str">
        <x:f>IF(B333="Butterfly",MAX(J333,0),IF(C333="call","Unlimited",MAX(2*E333-D333+J333,J333,0)))</x:f>
        <x:v>Unlimited</x:v>
      </x:c>
      <x:c r="N333" s="11" t="str">
        <x:f>IF(B333="Butterfly",IF(AND(J333&gt;0,J333&lt;K333),D333+J333,"n.a."),IF(C333="call",IF(AND(J333&gt;0,J333&lt;K333),D333+J333,"n.a."),IF(AND(K333&gt;J333,2*E333-D333+J333&gt;=0),2*E333-D333+J333,"n.a.")))</x:f>
        <x:v>n.a.</x:v>
      </x:c>
      <x:c r="O333" s="11" t="n">
        <x:f>IF(B333="Butterfly",IF(AND(J333&gt;0,J333&lt;K333),F333-J333,"n.a."),IF(C333="call",IF(K333&gt;J333,2*E333-D333-J333,"n.a."),IF(AND(J333&gt;0,J333&lt;K333),D333-J333,"n.a.")))</x:f>
        <x:v>7934.67</x:v>
      </x:c>
      <x:c r="P333" s="19" t="str">
        <x:f>IF(AND(B333="Butterfly",J333&gt;0,J333&lt;K333),L333/J333,"n.a.")</x:f>
        <x:v>n.a.</x:v>
      </x:c>
      <x:c r="Q333" s="11" t="n">
        <x:f>J333*'Model inputs'!$B$8</x:f>
        <x:v>-13467.000000000002</x:v>
      </x:c>
      <x:c r="R333" s="1" t="str">
        <x:v>Indicative only</x:v>
      </x:c>
      <x:c r="S333" s="1" t="n">
        <x:v>307</x:v>
      </x:c>
      <x:c r="T333" s="1" t="n">
        <x:v>326</x:v>
      </x:c>
    </x:row>
    <x:row r="334" ht="21" customHeight="1">
      <x:c r="A334" s="12" t="n">
        <x:v>46276</x:v>
      </x:c>
      <x:c r="B334" s="1" t="str">
        <x:v>1x2 ratio</x:v>
      </x:c>
      <x:c r="C334" s="1" t="str">
        <x:v>put</x:v>
      </x:c>
      <x:c r="D334" s="11" t="n">
        <x:v>6600</x:v>
      </x:c>
      <x:c r="E334" s="11" t="n">
        <x:v>6400</x:v>
      </x:c>
      <x:c r="F334" s="11"/>
      <x:c r="G334" s="11" t="n">
        <x:f>'Option source'!B730</x:f>
        <x:v>152.55</x:v>
      </x:c>
      <x:c r="H334" s="11" t="n">
        <x:f>'Option source'!B711</x:f>
        <x:v>95.07</x:v>
      </x:c>
      <x:c r="I334" s="11"/>
      <x:c r="J334" s="11" t="n">
        <x:f>G334-2*H334+IF(B334="Butterfly",I334,0)</x:f>
        <x:v>-37.589999999999975</x:v>
      </x:c>
      <x:c r="K334" s="11" t="n">
        <x:f>ABS(E334-D334)</x:f>
        <x:v>200</x:v>
      </x:c>
      <x:c r="L334" s="11" t="n">
        <x:f>K334-J334</x:f>
        <x:v>237.58999999999997</x:v>
      </x:c>
      <x:c r="M334" s="11" t="n">
        <x:f>IF(B334="Butterfly",MAX(J334,0),IF(C334="call","Unlimited",MAX(2*E334-D334+J334,J334,0)))</x:f>
        <x:v>6162.41</x:v>
      </x:c>
      <x:c r="N334" s="11" t="n">
        <x:f>IF(B334="Butterfly",IF(AND(J334&gt;0,J334&lt;K334),D334+J334,"n.a."),IF(C334="call",IF(AND(J334&gt;0,J334&lt;K334),D334+J334,"n.a."),IF(AND(K334&gt;J334,2*E334-D334+J334&gt;=0),2*E334-D334+J334,"n.a.")))</x:f>
        <x:v>6162.41</x:v>
      </x:c>
      <x:c r="O334" s="11" t="str">
        <x:f>IF(B334="Butterfly",IF(AND(J334&gt;0,J334&lt;K334),F334-J334,"n.a."),IF(C334="call",IF(K334&gt;J334,2*E334-D334-J334,"n.a."),IF(AND(J334&gt;0,J334&lt;K334),D334-J334,"n.a.")))</x:f>
        <x:v>n.a.</x:v>
      </x:c>
      <x:c r="P334" s="19" t="str">
        <x:f>IF(AND(B334="Butterfly",J334&gt;0,J334&lt;K334),L334/J334,"n.a.")</x:f>
        <x:v>n.a.</x:v>
      </x:c>
      <x:c r="Q334" s="11" t="n">
        <x:f>J334*'Model inputs'!$B$8</x:f>
        <x:v>-3758.9999999999973</x:v>
      </x:c>
      <x:c r="R334" s="1" t="str">
        <x:v>Indicative only</x:v>
      </x:c>
      <x:c r="S334" s="1" t="n">
        <x:v>725</x:v>
      </x:c>
      <x:c r="T334" s="1" t="n">
        <x:v>706</x:v>
      </x:c>
    </x:row>
    <x:row r="335" ht="21" customHeight="1">
      <x:c r="A335" s="12" t="n">
        <x:v>46276</x:v>
      </x:c>
      <x:c r="B335" s="1" t="str">
        <x:v>1x2 ratio</x:v>
      </x:c>
      <x:c r="C335" s="1" t="str">
        <x:v>call</x:v>
      </x:c>
      <x:c r="D335" s="11" t="n">
        <x:v>7600</x:v>
      </x:c>
      <x:c r="E335" s="11" t="n">
        <x:v>7800</x:v>
      </x:c>
      <x:c r="F335" s="11"/>
      <x:c r="G335" s="11" t="n">
        <x:f>'Option source'!B331</x:f>
        <x:v>198.58</x:v>
      </x:c>
      <x:c r="H335" s="11" t="n">
        <x:f>'Option source'!B350</x:f>
        <x:v>147.07</x:v>
      </x:c>
      <x:c r="I335" s="11"/>
      <x:c r="J335" s="11" t="n">
        <x:f>G335-2*H335+IF(B335="Butterfly",I335,0)</x:f>
        <x:v>-95.55999999999997</x:v>
      </x:c>
      <x:c r="K335" s="11" t="n">
        <x:f>ABS(E335-D335)</x:f>
        <x:v>200</x:v>
      </x:c>
      <x:c r="L335" s="11" t="n">
        <x:f>K335-J335</x:f>
        <x:v>295.55999999999995</x:v>
      </x:c>
      <x:c r="M335" s="11" t="str">
        <x:f>IF(B335="Butterfly",MAX(J335,0),IF(C335="call","Unlimited",MAX(2*E335-D335+J335,J335,0)))</x:f>
        <x:v>Unlimited</x:v>
      </x:c>
      <x:c r="N335" s="11" t="str">
        <x:f>IF(B335="Butterfly",IF(AND(J335&gt;0,J335&lt;K335),D335+J335,"n.a."),IF(C335="call",IF(AND(J335&gt;0,J335&lt;K335),D335+J335,"n.a."),IF(AND(K335&gt;J335,2*E335-D335+J335&gt;=0),2*E335-D335+J335,"n.a.")))</x:f>
        <x:v>n.a.</x:v>
      </x:c>
      <x:c r="O335" s="11" t="n">
        <x:f>IF(B335="Butterfly",IF(AND(J335&gt;0,J335&lt;K335),F335-J335,"n.a."),IF(C335="call",IF(K335&gt;J335,2*E335-D335-J335,"n.a."),IF(AND(J335&gt;0,J335&lt;K335),D335-J335,"n.a.")))</x:f>
        <x:v>8095.56</x:v>
      </x:c>
      <x:c r="P335" s="19" t="str">
        <x:f>IF(AND(B335="Butterfly",J335&gt;0,J335&lt;K335),L335/J335,"n.a.")</x:f>
        <x:v>n.a.</x:v>
      </x:c>
      <x:c r="Q335" s="11" t="n">
        <x:f>J335*'Model inputs'!$B$8</x:f>
        <x:v>-9555.999999999998</x:v>
      </x:c>
      <x:c r="R335" s="1" t="str">
        <x:v>Indicative only</x:v>
      </x:c>
      <x:c r="S335" s="1" t="n">
        <x:v>326</x:v>
      </x:c>
      <x:c r="T335" s="1" t="n">
        <x:v>345</x:v>
      </x:c>
    </x:row>
    <x:row r="336" ht="21" customHeight="1">
      <x:c r="A336" s="12" t="n">
        <x:v>46276</x:v>
      </x:c>
      <x:c r="B336" s="1" t="str">
        <x:v>1x2 ratio</x:v>
      </x:c>
      <x:c r="C336" s="1" t="str">
        <x:v>put</x:v>
      </x:c>
      <x:c r="D336" s="11" t="n">
        <x:v>6400</x:v>
      </x:c>
      <x:c r="E336" s="11" t="n">
        <x:v>6200</x:v>
      </x:c>
      <x:c r="F336" s="11"/>
      <x:c r="G336" s="11" t="n">
        <x:f>'Option source'!B711</x:f>
        <x:v>95.07</x:v>
      </x:c>
      <x:c r="H336" s="11" t="n">
        <x:f>'Option source'!B692</x:f>
        <x:v>62.2</x:v>
      </x:c>
      <x:c r="I336" s="11"/>
      <x:c r="J336" s="11" t="n">
        <x:f>G336-2*H336+IF(B336="Butterfly",I336,0)</x:f>
        <x:v>-29.330000000000013</x:v>
      </x:c>
      <x:c r="K336" s="11" t="n">
        <x:f>ABS(E336-D336)</x:f>
        <x:v>200</x:v>
      </x:c>
      <x:c r="L336" s="11" t="n">
        <x:f>K336-J336</x:f>
        <x:v>229.33</x:v>
      </x:c>
      <x:c r="M336" s="11" t="n">
        <x:f>IF(B336="Butterfly",MAX(J336,0),IF(C336="call","Unlimited",MAX(2*E336-D336+J336,J336,0)))</x:f>
        <x:v>5970.67</x:v>
      </x:c>
      <x:c r="N336" s="11" t="n">
        <x:f>IF(B336="Butterfly",IF(AND(J336&gt;0,J336&lt;K336),D336+J336,"n.a."),IF(C336="call",IF(AND(J336&gt;0,J336&lt;K336),D336+J336,"n.a."),IF(AND(K336&gt;J336,2*E336-D336+J336&gt;=0),2*E336-D336+J336,"n.a.")))</x:f>
        <x:v>5970.67</x:v>
      </x:c>
      <x:c r="O336" s="11" t="str">
        <x:f>IF(B336="Butterfly",IF(AND(J336&gt;0,J336&lt;K336),F336-J336,"n.a."),IF(C336="call",IF(K336&gt;J336,2*E336-D336-J336,"n.a."),IF(AND(J336&gt;0,J336&lt;K336),D336-J336,"n.a.")))</x:f>
        <x:v>n.a.</x:v>
      </x:c>
      <x:c r="P336" s="19" t="str">
        <x:f>IF(AND(B336="Butterfly",J336&gt;0,J336&lt;K336),L336/J336,"n.a.")</x:f>
        <x:v>n.a.</x:v>
      </x:c>
      <x:c r="Q336" s="11" t="n">
        <x:f>J336*'Model inputs'!$B$8</x:f>
        <x:v>-2933.0000000000014</x:v>
      </x:c>
      <x:c r="R336" s="1" t="str">
        <x:v>Indicative only</x:v>
      </x:c>
      <x:c r="S336" s="1" t="n">
        <x:v>706</x:v>
      </x:c>
      <x:c r="T336" s="1" t="n">
        <x:v>687</x:v>
      </x:c>
    </x:row>
    <x:row r="337" ht="21" customHeight="1">
      <x:c r="A337" s="12" t="n">
        <x:v>46276</x:v>
      </x:c>
      <x:c r="B337" s="1" t="str">
        <x:v>1x2 ratio</x:v>
      </x:c>
      <x:c r="C337" s="1" t="str">
        <x:v>call</x:v>
      </x:c>
      <x:c r="D337" s="11" t="n">
        <x:v>7800</x:v>
      </x:c>
      <x:c r="E337" s="11" t="n">
        <x:v>8000</x:v>
      </x:c>
      <x:c r="F337" s="11"/>
      <x:c r="G337" s="11" t="n">
        <x:f>'Option source'!B350</x:f>
        <x:v>147.07</x:v>
      </x:c>
      <x:c r="H337" s="11" t="n">
        <x:f>'Option source'!B369</x:f>
        <x:v>109.14</x:v>
      </x:c>
      <x:c r="I337" s="11"/>
      <x:c r="J337" s="11" t="n">
        <x:f>G337-2*H337+IF(B337="Butterfly",I337,0)</x:f>
        <x:v>-71.21000000000001</x:v>
      </x:c>
      <x:c r="K337" s="11" t="n">
        <x:f>ABS(E337-D337)</x:f>
        <x:v>200</x:v>
      </x:c>
      <x:c r="L337" s="11" t="n">
        <x:f>K337-J337</x:f>
        <x:v>271.21000000000004</x:v>
      </x:c>
      <x:c r="M337" s="11" t="str">
        <x:f>IF(B337="Butterfly",MAX(J337,0),IF(C337="call","Unlimited",MAX(2*E337-D337+J337,J337,0)))</x:f>
        <x:v>Unlimited</x:v>
      </x:c>
      <x:c r="N337" s="11" t="str">
        <x:f>IF(B337="Butterfly",IF(AND(J337&gt;0,J337&lt;K337),D337+J337,"n.a."),IF(C337="call",IF(AND(J337&gt;0,J337&lt;K337),D337+J337,"n.a."),IF(AND(K337&gt;J337,2*E337-D337+J337&gt;=0),2*E337-D337+J337,"n.a.")))</x:f>
        <x:v>n.a.</x:v>
      </x:c>
      <x:c r="O337" s="11" t="n">
        <x:f>IF(B337="Butterfly",IF(AND(J337&gt;0,J337&lt;K337),F337-J337,"n.a."),IF(C337="call",IF(K337&gt;J337,2*E337-D337-J337,"n.a."),IF(AND(J337&gt;0,J337&lt;K337),D337-J337,"n.a.")))</x:f>
        <x:v>8271.21</x:v>
      </x:c>
      <x:c r="P337" s="19" t="str">
        <x:f>IF(AND(B337="Butterfly",J337&gt;0,J337&lt;K337),L337/J337,"n.a.")</x:f>
        <x:v>n.a.</x:v>
      </x:c>
      <x:c r="Q337" s="11" t="n">
        <x:f>J337*'Model inputs'!$B$8</x:f>
        <x:v>-7121.000000000001</x:v>
      </x:c>
      <x:c r="R337" s="1" t="str">
        <x:v>Indicative only</x:v>
      </x:c>
      <x:c r="S337" s="1" t="n">
        <x:v>345</x:v>
      </x:c>
      <x:c r="T337" s="1" t="n">
        <x:v>364</x:v>
      </x:c>
    </x:row>
    <x:row r="338" ht="21" customHeight="1">
      <x:c r="A338" s="12" t="n">
        <x:v>46276</x:v>
      </x:c>
      <x:c r="B338" s="1" t="str">
        <x:v>1x2 ratio</x:v>
      </x:c>
      <x:c r="C338" s="1" t="str">
        <x:v>put</x:v>
      </x:c>
      <x:c r="D338" s="11" t="n">
        <x:v>6200</x:v>
      </x:c>
      <x:c r="E338" s="11" t="n">
        <x:v>6000</x:v>
      </x:c>
      <x:c r="F338" s="11"/>
      <x:c r="G338" s="11" t="n">
        <x:f>'Option source'!B692</x:f>
        <x:v>62.2</x:v>
      </x:c>
      <x:c r="H338" s="11" t="n">
        <x:f>'Option source'!B673</x:f>
        <x:v>35.59</x:v>
      </x:c>
      <x:c r="I338" s="11"/>
      <x:c r="J338" s="11" t="n">
        <x:f>G338-2*H338+IF(B338="Butterfly",I338,0)</x:f>
        <x:v>-8.980000000000004</x:v>
      </x:c>
      <x:c r="K338" s="11" t="n">
        <x:f>ABS(E338-D338)</x:f>
        <x:v>200</x:v>
      </x:c>
      <x:c r="L338" s="11" t="n">
        <x:f>K338-J338</x:f>
        <x:v>208.98000000000002</x:v>
      </x:c>
      <x:c r="M338" s="11" t="n">
        <x:f>IF(B338="Butterfly",MAX(J338,0),IF(C338="call","Unlimited",MAX(2*E338-D338+J338,J338,0)))</x:f>
        <x:v>5791.02</x:v>
      </x:c>
      <x:c r="N338" s="11" t="n">
        <x:f>IF(B338="Butterfly",IF(AND(J338&gt;0,J338&lt;K338),D338+J338,"n.a."),IF(C338="call",IF(AND(J338&gt;0,J338&lt;K338),D338+J338,"n.a."),IF(AND(K338&gt;J338,2*E338-D338+J338&gt;=0),2*E338-D338+J338,"n.a.")))</x:f>
        <x:v>5791.02</x:v>
      </x:c>
      <x:c r="O338" s="11" t="str">
        <x:f>IF(B338="Butterfly",IF(AND(J338&gt;0,J338&lt;K338),F338-J338,"n.a."),IF(C338="call",IF(K338&gt;J338,2*E338-D338-J338,"n.a."),IF(AND(J338&gt;0,J338&lt;K338),D338-J338,"n.a.")))</x:f>
        <x:v>n.a.</x:v>
      </x:c>
      <x:c r="P338" s="19" t="str">
        <x:f>IF(AND(B338="Butterfly",J338&gt;0,J338&lt;K338),L338/J338,"n.a.")</x:f>
        <x:v>n.a.</x:v>
      </x:c>
      <x:c r="Q338" s="11" t="n">
        <x:f>J338*'Model inputs'!$B$8</x:f>
        <x:v>-898.0000000000005</x:v>
      </x:c>
      <x:c r="R338" s="1" t="str">
        <x:v>Indicative only</x:v>
      </x:c>
      <x:c r="S338" s="1" t="n">
        <x:v>687</x:v>
      </x:c>
      <x:c r="T338" s="1" t="n">
        <x:v>668</x:v>
      </x:c>
    </x:row>
    <x:row r="339" ht="21" customHeight="1">
      <x:c r="A339" s="12" t="n">
        <x:v>46276</x:v>
      </x:c>
      <x:c r="B339" s="1" t="str">
        <x:v>1x2 ratio</x:v>
      </x:c>
      <x:c r="C339" s="1" t="str">
        <x:v>put</x:v>
      </x:c>
      <x:c r="D339" s="11" t="n">
        <x:v>6000</x:v>
      </x:c>
      <x:c r="E339" s="11" t="n">
        <x:v>5800</x:v>
      </x:c>
      <x:c r="F339" s="11"/>
      <x:c r="G339" s="11" t="n">
        <x:f>'Option source'!B673</x:f>
        <x:v>35.59</x:v>
      </x:c>
      <x:c r="H339" s="11" t="n">
        <x:f>'Option source'!B654</x:f>
        <x:v>20.5</x:v>
      </x:c>
      <x:c r="I339" s="11"/>
      <x:c r="J339" s="11" t="n">
        <x:f>G339-2*H339+IF(B339="Butterfly",I339,0)</x:f>
        <x:v>-5.409999999999997</x:v>
      </x:c>
      <x:c r="K339" s="11" t="n">
        <x:f>ABS(E339-D339)</x:f>
        <x:v>200</x:v>
      </x:c>
      <x:c r="L339" s="11" t="n">
        <x:f>K339-J339</x:f>
        <x:v>205.41</x:v>
      </x:c>
      <x:c r="M339" s="11" t="n">
        <x:f>IF(B339="Butterfly",MAX(J339,0),IF(C339="call","Unlimited",MAX(2*E339-D339+J339,J339,0)))</x:f>
        <x:v>5594.59</x:v>
      </x:c>
      <x:c r="N339" s="11" t="n">
        <x:f>IF(B339="Butterfly",IF(AND(J339&gt;0,J339&lt;K339),D339+J339,"n.a."),IF(C339="call",IF(AND(J339&gt;0,J339&lt;K339),D339+J339,"n.a."),IF(AND(K339&gt;J339,2*E339-D339+J339&gt;=0),2*E339-D339+J339,"n.a.")))</x:f>
        <x:v>5594.59</x:v>
      </x:c>
      <x:c r="O339" s="11" t="str">
        <x:f>IF(B339="Butterfly",IF(AND(J339&gt;0,J339&lt;K339),F339-J339,"n.a."),IF(C339="call",IF(K339&gt;J339,2*E339-D339-J339,"n.a."),IF(AND(J339&gt;0,J339&lt;K339),D339-J339,"n.a.")))</x:f>
        <x:v>n.a.</x:v>
      </x:c>
      <x:c r="P339" s="19" t="str">
        <x:f>IF(AND(B339="Butterfly",J339&gt;0,J339&lt;K339),L339/J339,"n.a.")</x:f>
        <x:v>n.a.</x:v>
      </x:c>
      <x:c r="Q339" s="11" t="n">
        <x:f>J339*'Model inputs'!$B$8</x:f>
        <x:v>-540.9999999999997</x:v>
      </x:c>
      <x:c r="R339" s="1" t="str">
        <x:v>Indicative only</x:v>
      </x:c>
      <x:c r="S339" s="1" t="n">
        <x:v>668</x:v>
      </x:c>
      <x:c r="T339" s="1" t="n">
        <x:v>649</x:v>
      </x:c>
    </x:row>
    <x:row r="340" ht="21" customHeight="1">
      <x:c r="A340" s="12" t="n">
        <x:v>46276</x:v>
      </x:c>
      <x:c r="B340" s="1" t="str">
        <x:v>1x2 ratio</x:v>
      </x:c>
      <x:c r="C340" s="1" t="str">
        <x:v>call</x:v>
      </x:c>
      <x:c r="D340" s="11" t="n">
        <x:v>8000</x:v>
      </x:c>
      <x:c r="E340" s="11" t="n">
        <x:v>8300</x:v>
      </x:c>
      <x:c r="F340" s="11"/>
      <x:c r="G340" s="11" t="n">
        <x:f>'Option source'!B369</x:f>
        <x:v>109.14</x:v>
      </x:c>
      <x:c r="H340" s="11" t="n">
        <x:f>'Option source'!B388</x:f>
        <x:v>66.81</x:v>
      </x:c>
      <x:c r="I340" s="11"/>
      <x:c r="J340" s="11" t="n">
        <x:f>G340-2*H340+IF(B340="Butterfly",I340,0)</x:f>
        <x:v>-24.480000000000004</x:v>
      </x:c>
      <x:c r="K340" s="11" t="n">
        <x:f>ABS(E340-D340)</x:f>
        <x:v>300</x:v>
      </x:c>
      <x:c r="L340" s="11" t="n">
        <x:f>K340-J340</x:f>
        <x:v>324.48</x:v>
      </x:c>
      <x:c r="M340" s="11" t="str">
        <x:f>IF(B340="Butterfly",MAX(J340,0),IF(C340="call","Unlimited",MAX(2*E340-D340+J340,J340,0)))</x:f>
        <x:v>Unlimited</x:v>
      </x:c>
      <x:c r="N340" s="11" t="str">
        <x:f>IF(B340="Butterfly",IF(AND(J340&gt;0,J340&lt;K340),D340+J340,"n.a."),IF(C340="call",IF(AND(J340&gt;0,J340&lt;K340),D340+J340,"n.a."),IF(AND(K340&gt;J340,2*E340-D340+J340&gt;=0),2*E340-D340+J340,"n.a.")))</x:f>
        <x:v>n.a.</x:v>
      </x:c>
      <x:c r="O340" s="11" t="n">
        <x:f>IF(B340="Butterfly",IF(AND(J340&gt;0,J340&lt;K340),F340-J340,"n.a."),IF(C340="call",IF(K340&gt;J340,2*E340-D340-J340,"n.a."),IF(AND(J340&gt;0,J340&lt;K340),D340-J340,"n.a.")))</x:f>
        <x:v>8624.48</x:v>
      </x:c>
      <x:c r="P340" s="19" t="str">
        <x:f>IF(AND(B340="Butterfly",J340&gt;0,J340&lt;K340),L340/J340,"n.a.")</x:f>
        <x:v>n.a.</x:v>
      </x:c>
      <x:c r="Q340" s="11" t="n">
        <x:f>J340*'Model inputs'!$B$8</x:f>
        <x:v>-2448.0000000000005</x:v>
      </x:c>
      <x:c r="R340" s="1" t="str">
        <x:v>Indicative only</x:v>
      </x:c>
      <x:c r="S340" s="1" t="n">
        <x:v>364</x:v>
      </x:c>
      <x:c r="T340" s="1" t="n">
        <x:v>383</x:v>
      </x:c>
    </x:row>
    <x:row r="341" ht="21" customHeight="1">
      <x:c r="A341" s="12" t="n">
        <x:v>46276</x:v>
      </x:c>
      <x:c r="B341" s="1" t="str">
        <x:v>1x2 ratio</x:v>
      </x:c>
      <x:c r="C341" s="1" t="str">
        <x:v>put</x:v>
      </x:c>
      <x:c r="D341" s="11" t="n">
        <x:v>5800</x:v>
      </x:c>
      <x:c r="E341" s="11" t="n">
        <x:v>5600</x:v>
      </x:c>
      <x:c r="F341" s="11"/>
      <x:c r="G341" s="11" t="n">
        <x:f>'Option source'!B654</x:f>
        <x:v>20.5</x:v>
      </x:c>
      <x:c r="H341" s="11" t="n">
        <x:f>'Option source'!B635</x:f>
        <x:v>10.74</x:v>
      </x:c>
      <x:c r="I341" s="11"/>
      <x:c r="J341" s="11" t="n">
        <x:f>G341-2*H341+IF(B341="Butterfly",I341,0)</x:f>
        <x:v>-0.9800000000000004</x:v>
      </x:c>
      <x:c r="K341" s="11" t="n">
        <x:f>ABS(E341-D341)</x:f>
        <x:v>200</x:v>
      </x:c>
      <x:c r="L341" s="11" t="n">
        <x:f>K341-J341</x:f>
        <x:v>200.98</x:v>
      </x:c>
      <x:c r="M341" s="11" t="n">
        <x:f>IF(B341="Butterfly",MAX(J341,0),IF(C341="call","Unlimited",MAX(2*E341-D341+J341,J341,0)))</x:f>
        <x:v>5399.02</x:v>
      </x:c>
      <x:c r="N341" s="11" t="n">
        <x:f>IF(B341="Butterfly",IF(AND(J341&gt;0,J341&lt;K341),D341+J341,"n.a."),IF(C341="call",IF(AND(J341&gt;0,J341&lt;K341),D341+J341,"n.a."),IF(AND(K341&gt;J341,2*E341-D341+J341&gt;=0),2*E341-D341+J341,"n.a.")))</x:f>
        <x:v>5399.02</x:v>
      </x:c>
      <x:c r="O341" s="11" t="str">
        <x:f>IF(B341="Butterfly",IF(AND(J341&gt;0,J341&lt;K341),F341-J341,"n.a."),IF(C341="call",IF(K341&gt;J341,2*E341-D341-J341,"n.a."),IF(AND(J341&gt;0,J341&lt;K341),D341-J341,"n.a.")))</x:f>
        <x:v>n.a.</x:v>
      </x:c>
      <x:c r="P341" s="19" t="str">
        <x:f>IF(AND(B341="Butterfly",J341&gt;0,J341&lt;K341),L341/J341,"n.a.")</x:f>
        <x:v>n.a.</x:v>
      </x:c>
      <x:c r="Q341" s="11" t="n">
        <x:f>J341*'Model inputs'!$B$8</x:f>
        <x:v>-98.00000000000004</x:v>
      </x:c>
      <x:c r="R341" s="1" t="str">
        <x:v>Indicative only</x:v>
      </x:c>
      <x:c r="S341" s="1" t="n">
        <x:v>649</x:v>
      </x:c>
      <x:c r="T341" s="1" t="n">
        <x:v>630</x:v>
      </x:c>
    </x:row>
    <x:row r="342" ht="21" customHeight="1">
      <x:c r="A342" s="12" t="n">
        <x:v>46276</x:v>
      </x:c>
      <x:c r="B342" s="1" t="str">
        <x:v>1x2 ratio</x:v>
      </x:c>
      <x:c r="C342" s="1" t="str">
        <x:v>call</x:v>
      </x:c>
      <x:c r="D342" s="11" t="n">
        <x:v>8300</x:v>
      </x:c>
      <x:c r="E342" s="11" t="n">
        <x:v>8600</x:v>
      </x:c>
      <x:c r="F342" s="11"/>
      <x:c r="G342" s="11" t="n">
        <x:f>'Option source'!B388</x:f>
        <x:v>66.81</x:v>
      </x:c>
      <x:c r="H342" s="11" t="n">
        <x:f>'Option source'!B407</x:f>
        <x:v>38.76</x:v>
      </x:c>
      <x:c r="I342" s="11"/>
      <x:c r="J342" s="11" t="n">
        <x:f>G342-2*H342+IF(B342="Butterfly",I342,0)</x:f>
        <x:v>-10.709999999999994</x:v>
      </x:c>
      <x:c r="K342" s="11" t="n">
        <x:f>ABS(E342-D342)</x:f>
        <x:v>300</x:v>
      </x:c>
      <x:c r="L342" s="11" t="n">
        <x:f>K342-J342</x:f>
        <x:v>310.71</x:v>
      </x:c>
      <x:c r="M342" s="11" t="str">
        <x:f>IF(B342="Butterfly",MAX(J342,0),IF(C342="call","Unlimited",MAX(2*E342-D342+J342,J342,0)))</x:f>
        <x:v>Unlimited</x:v>
      </x:c>
      <x:c r="N342" s="11" t="str">
        <x:f>IF(B342="Butterfly",IF(AND(J342&gt;0,J342&lt;K342),D342+J342,"n.a."),IF(C342="call",IF(AND(J342&gt;0,J342&lt;K342),D342+J342,"n.a."),IF(AND(K342&gt;J342,2*E342-D342+J342&gt;=0),2*E342-D342+J342,"n.a.")))</x:f>
        <x:v>n.a.</x:v>
      </x:c>
      <x:c r="O342" s="11" t="n">
        <x:f>IF(B342="Butterfly",IF(AND(J342&gt;0,J342&lt;K342),F342-J342,"n.a."),IF(C342="call",IF(K342&gt;J342,2*E342-D342-J342,"n.a."),IF(AND(J342&gt;0,J342&lt;K342),D342-J342,"n.a.")))</x:f>
        <x:v>8910.71</x:v>
      </x:c>
      <x:c r="P342" s="19" t="str">
        <x:f>IF(AND(B342="Butterfly",J342&gt;0,J342&lt;K342),L342/J342,"n.a.")</x:f>
        <x:v>n.a.</x:v>
      </x:c>
      <x:c r="Q342" s="11" t="n">
        <x:f>J342*'Model inputs'!$B$8</x:f>
        <x:v>-1070.9999999999993</x:v>
      </x:c>
      <x:c r="R342" s="1" t="str">
        <x:v>Indicative only</x:v>
      </x:c>
      <x:c r="S342" s="1" t="n">
        <x:v>383</x:v>
      </x:c>
      <x:c r="T342" s="1" t="n">
        <x:v>402</x:v>
      </x:c>
    </x:row>
    <x:row r="343" ht="21" customHeight="1">
      <x:c r="A343" s="12" t="n">
        <x:v>46276</x:v>
      </x:c>
      <x:c r="B343" s="1" t="str">
        <x:v>1x2 ratio</x:v>
      </x:c>
      <x:c r="C343" s="1" t="str">
        <x:v>put</x:v>
      </x:c>
      <x:c r="D343" s="11" t="n">
        <x:v>5600</x:v>
      </x:c>
      <x:c r="E343" s="11" t="n">
        <x:v>5400</x:v>
      </x:c>
      <x:c r="F343" s="11"/>
      <x:c r="G343" s="11" t="n">
        <x:f>'Option source'!B635</x:f>
        <x:v>10.74</x:v>
      </x:c>
      <x:c r="H343" s="11" t="n">
        <x:f>'Option source'!B616</x:f>
        <x:v>5.84</x:v>
      </x:c>
      <x:c r="I343" s="11"/>
      <x:c r="J343" s="11" t="n">
        <x:f>G343-2*H343+IF(B343="Butterfly",I343,0)</x:f>
        <x:v>-0.9399999999999995</x:v>
      </x:c>
      <x:c r="K343" s="11" t="n">
        <x:f>ABS(E343-D343)</x:f>
        <x:v>200</x:v>
      </x:c>
      <x:c r="L343" s="11" t="n">
        <x:f>K343-J343</x:f>
        <x:v>200.94</x:v>
      </x:c>
      <x:c r="M343" s="11" t="n">
        <x:f>IF(B343="Butterfly",MAX(J343,0),IF(C343="call","Unlimited",MAX(2*E343-D343+J343,J343,0)))</x:f>
        <x:v>5199.06</x:v>
      </x:c>
      <x:c r="N343" s="11" t="n">
        <x:f>IF(B343="Butterfly",IF(AND(J343&gt;0,J343&lt;K343),D343+J343,"n.a."),IF(C343="call",IF(AND(J343&gt;0,J343&lt;K343),D343+J343,"n.a."),IF(AND(K343&gt;J343,2*E343-D343+J343&gt;=0),2*E343-D343+J343,"n.a.")))</x:f>
        <x:v>5199.06</x:v>
      </x:c>
      <x:c r="O343" s="11" t="str">
        <x:f>IF(B343="Butterfly",IF(AND(J343&gt;0,J343&lt;K343),F343-J343,"n.a."),IF(C343="call",IF(K343&gt;J343,2*E343-D343-J343,"n.a."),IF(AND(J343&gt;0,J343&lt;K343),D343-J343,"n.a.")))</x:f>
        <x:v>n.a.</x:v>
      </x:c>
      <x:c r="P343" s="19" t="str">
        <x:f>IF(AND(B343="Butterfly",J343&gt;0,J343&lt;K343),L343/J343,"n.a.")</x:f>
        <x:v>n.a.</x:v>
      </x:c>
      <x:c r="Q343" s="11" t="n">
        <x:f>J343*'Model inputs'!$B$8</x:f>
        <x:v>-93.99999999999994</x:v>
      </x:c>
      <x:c r="R343" s="1" t="str">
        <x:v>Indicative only</x:v>
      </x:c>
      <x:c r="S343" s="1" t="n">
        <x:v>630</x:v>
      </x:c>
      <x:c r="T343" s="1" t="n">
        <x:v>611</x:v>
      </x:c>
    </x:row>
    <x:row r="344" ht="21" customHeight="1">
      <x:c r="A344" s="12" t="n">
        <x:v>46276</x:v>
      </x:c>
      <x:c r="B344" s="1" t="str">
        <x:v>1x2 ratio</x:v>
      </x:c>
      <x:c r="C344" s="1" t="str">
        <x:v>put</x:v>
      </x:c>
      <x:c r="D344" s="11" t="n">
        <x:v>5400</x:v>
      </x:c>
      <x:c r="E344" s="11" t="n">
        <x:v>5200</x:v>
      </x:c>
      <x:c r="F344" s="11"/>
      <x:c r="G344" s="11" t="n">
        <x:f>'Option source'!B616</x:f>
        <x:v>5.84</x:v>
      </x:c>
      <x:c r="H344" s="11" t="n">
        <x:f>'Option source'!B597</x:f>
        <x:v>3.1</x:v>
      </x:c>
      <x:c r="I344" s="11"/>
      <x:c r="J344" s="11" t="n">
        <x:f>G344-2*H344+IF(B344="Butterfly",I344,0)</x:f>
        <x:v>-0.3600000000000003</x:v>
      </x:c>
      <x:c r="K344" s="11" t="n">
        <x:f>ABS(E344-D344)</x:f>
        <x:v>200</x:v>
      </x:c>
      <x:c r="L344" s="11" t="n">
        <x:f>K344-J344</x:f>
        <x:v>200.36</x:v>
      </x:c>
      <x:c r="M344" s="11" t="n">
        <x:f>IF(B344="Butterfly",MAX(J344,0),IF(C344="call","Unlimited",MAX(2*E344-D344+J344,J344,0)))</x:f>
        <x:v>4999.64</x:v>
      </x:c>
      <x:c r="N344" s="11" t="n">
        <x:f>IF(B344="Butterfly",IF(AND(J344&gt;0,J344&lt;K344),D344+J344,"n.a."),IF(C344="call",IF(AND(J344&gt;0,J344&lt;K344),D344+J344,"n.a."),IF(AND(K344&gt;J344,2*E344-D344+J344&gt;=0),2*E344-D344+J344,"n.a.")))</x:f>
        <x:v>4999.64</x:v>
      </x:c>
      <x:c r="O344" s="11" t="str">
        <x:f>IF(B344="Butterfly",IF(AND(J344&gt;0,J344&lt;K344),F344-J344,"n.a."),IF(C344="call",IF(K344&gt;J344,2*E344-D344-J344,"n.a."),IF(AND(J344&gt;0,J344&lt;K344),D344-J344,"n.a.")))</x:f>
        <x:v>n.a.</x:v>
      </x:c>
      <x:c r="P344" s="19" t="str">
        <x:f>IF(AND(B344="Butterfly",J344&gt;0,J344&lt;K344),L344/J344,"n.a.")</x:f>
        <x:v>n.a.</x:v>
      </x:c>
      <x:c r="Q344" s="11" t="n">
        <x:f>J344*'Model inputs'!$B$8</x:f>
        <x:v>-36.00000000000003</x:v>
      </x:c>
      <x:c r="R344" s="1" t="str">
        <x:v>Indicative only</x:v>
      </x:c>
      <x:c r="S344" s="1" t="n">
        <x:v>611</x:v>
      </x:c>
      <x:c r="T344" s="1" t="n">
        <x:v>592</x:v>
      </x:c>
    </x:row>
    <x:row r="345" ht="21" customHeight="1">
      <x:c r="A345" s="12" t="n">
        <x:v>46276</x:v>
      </x:c>
      <x:c r="B345" s="1" t="str">
        <x:v>1x2 ratio</x:v>
      </x:c>
      <x:c r="C345" s="1" t="str">
        <x:v>call</x:v>
      </x:c>
      <x:c r="D345" s="11" t="n">
        <x:v>8600</x:v>
      </x:c>
      <x:c r="E345" s="11" t="n">
        <x:v>8900</x:v>
      </x:c>
      <x:c r="F345" s="11"/>
      <x:c r="G345" s="11" t="n">
        <x:f>'Option source'!B407</x:f>
        <x:v>38.76</x:v>
      </x:c>
      <x:c r="H345" s="11" t="n">
        <x:f>'Option source'!B426</x:f>
        <x:v>22.19</x:v>
      </x:c>
      <x:c r="I345" s="11"/>
      <x:c r="J345" s="11" t="n">
        <x:f>G345-2*H345+IF(B345="Butterfly",I345,0)</x:f>
        <x:v>-5.6200000000000045</x:v>
      </x:c>
      <x:c r="K345" s="11" t="n">
        <x:f>ABS(E345-D345)</x:f>
        <x:v>300</x:v>
      </x:c>
      <x:c r="L345" s="11" t="n">
        <x:f>K345-J345</x:f>
        <x:v>305.62</x:v>
      </x:c>
      <x:c r="M345" s="11" t="str">
        <x:f>IF(B345="Butterfly",MAX(J345,0),IF(C345="call","Unlimited",MAX(2*E345-D345+J345,J345,0)))</x:f>
        <x:v>Unlimited</x:v>
      </x:c>
      <x:c r="N345" s="11" t="str">
        <x:f>IF(B345="Butterfly",IF(AND(J345&gt;0,J345&lt;K345),D345+J345,"n.a."),IF(C345="call",IF(AND(J345&gt;0,J345&lt;K345),D345+J345,"n.a."),IF(AND(K345&gt;J345,2*E345-D345+J345&gt;=0),2*E345-D345+J345,"n.a.")))</x:f>
        <x:v>n.a.</x:v>
      </x:c>
      <x:c r="O345" s="11" t="n">
        <x:f>IF(B345="Butterfly",IF(AND(J345&gt;0,J345&lt;K345),F345-J345,"n.a."),IF(C345="call",IF(K345&gt;J345,2*E345-D345-J345,"n.a."),IF(AND(J345&gt;0,J345&lt;K345),D345-J345,"n.a.")))</x:f>
        <x:v>9205.62</x:v>
      </x:c>
      <x:c r="P345" s="19" t="str">
        <x:f>IF(AND(B345="Butterfly",J345&gt;0,J345&lt;K345),L345/J345,"n.a.")</x:f>
        <x:v>n.a.</x:v>
      </x:c>
      <x:c r="Q345" s="11" t="n">
        <x:f>J345*'Model inputs'!$B$8</x:f>
        <x:v>-562.0000000000005</x:v>
      </x:c>
      <x:c r="R345" s="1" t="str">
        <x:v>Indicative only</x:v>
      </x:c>
      <x:c r="S345" s="1" t="n">
        <x:v>402</x:v>
      </x:c>
      <x:c r="T345" s="1" t="n">
        <x:v>421</x:v>
      </x:c>
    </x:row>
    <x:row r="346" ht="21" customHeight="1">
      <x:c r="A346" s="12" t="n">
        <x:v>46276</x:v>
      </x:c>
      <x:c r="B346" s="1" t="str">
        <x:v>1x2 ratio</x:v>
      </x:c>
      <x:c r="C346" s="1" t="str">
        <x:v>put</x:v>
      </x:c>
      <x:c r="D346" s="11" t="n">
        <x:v>5200</x:v>
      </x:c>
      <x:c r="E346" s="11" t="n">
        <x:v>5000</x:v>
      </x:c>
      <x:c r="F346" s="11"/>
      <x:c r="G346" s="11" t="n">
        <x:f>'Option source'!B597</x:f>
        <x:v>3.1</x:v>
      </x:c>
      <x:c r="H346" s="11" t="n">
        <x:f>'Option source'!B578</x:f>
        <x:v>2.15</x:v>
      </x:c>
      <x:c r="I346" s="11"/>
      <x:c r="J346" s="11" t="n">
        <x:f>G346-2*H346+IF(B346="Butterfly",I346,0)</x:f>
        <x:v>-1.1999999999999997</x:v>
      </x:c>
      <x:c r="K346" s="11" t="n">
        <x:f>ABS(E346-D346)</x:f>
        <x:v>200</x:v>
      </x:c>
      <x:c r="L346" s="11" t="n">
        <x:f>K346-J346</x:f>
        <x:v>201.2</x:v>
      </x:c>
      <x:c r="M346" s="11" t="n">
        <x:f>IF(B346="Butterfly",MAX(J346,0),IF(C346="call","Unlimited",MAX(2*E346-D346+J346,J346,0)))</x:f>
        <x:v>4798.8</x:v>
      </x:c>
      <x:c r="N346" s="11" t="n">
        <x:f>IF(B346="Butterfly",IF(AND(J346&gt;0,J346&lt;K346),D346+J346,"n.a."),IF(C346="call",IF(AND(J346&gt;0,J346&lt;K346),D346+J346,"n.a."),IF(AND(K346&gt;J346,2*E346-D346+J346&gt;=0),2*E346-D346+J346,"n.a.")))</x:f>
        <x:v>4798.8</x:v>
      </x:c>
      <x:c r="O346" s="11" t="str">
        <x:f>IF(B346="Butterfly",IF(AND(J346&gt;0,J346&lt;K346),F346-J346,"n.a."),IF(C346="call",IF(K346&gt;J346,2*E346-D346-J346,"n.a."),IF(AND(J346&gt;0,J346&lt;K346),D346-J346,"n.a.")))</x:f>
        <x:v>n.a.</x:v>
      </x:c>
      <x:c r="P346" s="19" t="str">
        <x:f>IF(AND(B346="Butterfly",J346&gt;0,J346&lt;K346),L346/J346,"n.a.")</x:f>
        <x:v>n.a.</x:v>
      </x:c>
      <x:c r="Q346" s="11" t="n">
        <x:f>J346*'Model inputs'!$B$8</x:f>
        <x:v>-119.99999999999997</x:v>
      </x:c>
      <x:c r="R346" s="1" t="str">
        <x:v>Indicative only</x:v>
      </x:c>
      <x:c r="S346" s="1" t="n">
        <x:v>592</x:v>
      </x:c>
      <x:c r="T346" s="1" t="n">
        <x:v>573</x:v>
      </x:c>
    </x:row>
    <x:row r="347" ht="21" customHeight="1">
      <x:c r="A347" s="12" t="n">
        <x:v>46276</x:v>
      </x:c>
      <x:c r="B347" s="1" t="str">
        <x:v>1x2 ratio</x:v>
      </x:c>
      <x:c r="C347" s="1" t="str">
        <x:v>call</x:v>
      </x:c>
      <x:c r="D347" s="11" t="n">
        <x:v>8900</x:v>
      </x:c>
      <x:c r="E347" s="11" t="n">
        <x:v>9200</x:v>
      </x:c>
      <x:c r="F347" s="11"/>
      <x:c r="G347" s="11" t="n">
        <x:f>'Option source'!B426</x:f>
        <x:v>22.19</x:v>
      </x:c>
      <x:c r="H347" s="11" t="n">
        <x:f>'Option source'!B445</x:f>
        <x:v>13.01</x:v>
      </x:c>
      <x:c r="I347" s="11"/>
      <x:c r="J347" s="11" t="n">
        <x:f>G347-2*H347+IF(B347="Butterfly",I347,0)</x:f>
        <x:v>-3.8299999999999983</x:v>
      </x:c>
      <x:c r="K347" s="11" t="n">
        <x:f>ABS(E347-D347)</x:f>
        <x:v>300</x:v>
      </x:c>
      <x:c r="L347" s="11" t="n">
        <x:f>K347-J347</x:f>
        <x:v>303.83</x:v>
      </x:c>
      <x:c r="M347" s="11" t="str">
        <x:f>IF(B347="Butterfly",MAX(J347,0),IF(C347="call","Unlimited",MAX(2*E347-D347+J347,J347,0)))</x:f>
        <x:v>Unlimited</x:v>
      </x:c>
      <x:c r="N347" s="11" t="str">
        <x:f>IF(B347="Butterfly",IF(AND(J347&gt;0,J347&lt;K347),D347+J347,"n.a."),IF(C347="call",IF(AND(J347&gt;0,J347&lt;K347),D347+J347,"n.a."),IF(AND(K347&gt;J347,2*E347-D347+J347&gt;=0),2*E347-D347+J347,"n.a.")))</x:f>
        <x:v>n.a.</x:v>
      </x:c>
      <x:c r="O347" s="11" t="n">
        <x:f>IF(B347="Butterfly",IF(AND(J347&gt;0,J347&lt;K347),F347-J347,"n.a."),IF(C347="call",IF(K347&gt;J347,2*E347-D347-J347,"n.a."),IF(AND(J347&gt;0,J347&lt;K347),D347-J347,"n.a.")))</x:f>
        <x:v>9503.83</x:v>
      </x:c>
      <x:c r="P347" s="19" t="str">
        <x:f>IF(AND(B347="Butterfly",J347&gt;0,J347&lt;K347),L347/J347,"n.a.")</x:f>
        <x:v>n.a.</x:v>
      </x:c>
      <x:c r="Q347" s="11" t="n">
        <x:f>J347*'Model inputs'!$B$8</x:f>
        <x:v>-382.99999999999983</x:v>
      </x:c>
      <x:c r="R347" s="1" t="str">
        <x:v>Indicative only</x:v>
      </x:c>
      <x:c r="S347" s="1" t="n">
        <x:v>421</x:v>
      </x:c>
      <x:c r="T347" s="1" t="n">
        <x:v>440</x:v>
      </x:c>
    </x:row>
    <x:row r="348" ht="21" customHeight="1">
      <x:c r="A348" s="12" t="n">
        <x:v>46276</x:v>
      </x:c>
      <x:c r="B348" s="1" t="str">
        <x:v>1x2 ratio</x:v>
      </x:c>
      <x:c r="C348" s="1" t="str">
        <x:v>put</x:v>
      </x:c>
      <x:c r="D348" s="11" t="n">
        <x:v>5000</x:v>
      </x:c>
      <x:c r="E348" s="11" t="n">
        <x:v>4800</x:v>
      </x:c>
      <x:c r="F348" s="11"/>
      <x:c r="G348" s="11" t="n">
        <x:f>'Option source'!B578</x:f>
        <x:v>2.15</x:v>
      </x:c>
      <x:c r="H348" s="11" t="n">
        <x:f>'Option source'!B559</x:f>
        <x:v>1.24</x:v>
      </x:c>
      <x:c r="I348" s="11"/>
      <x:c r="J348" s="11" t="n">
        <x:f>G348-2*H348+IF(B348="Butterfly",I348,0)</x:f>
        <x:v>-0.33000000000000007</x:v>
      </x:c>
      <x:c r="K348" s="11" t="n">
        <x:f>ABS(E348-D348)</x:f>
        <x:v>200</x:v>
      </x:c>
      <x:c r="L348" s="11" t="n">
        <x:f>K348-J348</x:f>
        <x:v>200.33</x:v>
      </x:c>
      <x:c r="M348" s="11" t="n">
        <x:f>IF(B348="Butterfly",MAX(J348,0),IF(C348="call","Unlimited",MAX(2*E348-D348+J348,J348,0)))</x:f>
        <x:v>4599.67</x:v>
      </x:c>
      <x:c r="N348" s="11" t="n">
        <x:f>IF(B348="Butterfly",IF(AND(J348&gt;0,J348&lt;K348),D348+J348,"n.a."),IF(C348="call",IF(AND(J348&gt;0,J348&lt;K348),D348+J348,"n.a."),IF(AND(K348&gt;J348,2*E348-D348+J348&gt;=0),2*E348-D348+J348,"n.a.")))</x:f>
        <x:v>4599.67</x:v>
      </x:c>
      <x:c r="O348" s="11" t="str">
        <x:f>IF(B348="Butterfly",IF(AND(J348&gt;0,J348&lt;K348),F348-J348,"n.a."),IF(C348="call",IF(K348&gt;J348,2*E348-D348-J348,"n.a."),IF(AND(J348&gt;0,J348&lt;K348),D348-J348,"n.a.")))</x:f>
        <x:v>n.a.</x:v>
      </x:c>
      <x:c r="P348" s="19" t="str">
        <x:f>IF(AND(B348="Butterfly",J348&gt;0,J348&lt;K348),L348/J348,"n.a.")</x:f>
        <x:v>n.a.</x:v>
      </x:c>
      <x:c r="Q348" s="11" t="n">
        <x:f>J348*'Model inputs'!$B$8</x:f>
        <x:v>-33.00000000000001</x:v>
      </x:c>
      <x:c r="R348" s="1" t="str">
        <x:v>Indicative only</x:v>
      </x:c>
      <x:c r="S348" s="1" t="n">
        <x:v>573</x:v>
      </x:c>
      <x:c r="T348" s="1" t="n">
        <x:v>554</x:v>
      </x:c>
    </x:row>
    <x:row r="349" ht="21" customHeight="1">
      <x:c r="A349" s="12" t="n">
        <x:v>46276</x:v>
      </x:c>
      <x:c r="B349" s="1" t="str">
        <x:v>1x2 ratio</x:v>
      </x:c>
      <x:c r="C349" s="1" t="str">
        <x:v>put</x:v>
      </x:c>
      <x:c r="D349" s="11" t="n">
        <x:v>4800</x:v>
      </x:c>
      <x:c r="E349" s="11" t="n">
        <x:v>4600</x:v>
      </x:c>
      <x:c r="F349" s="11"/>
      <x:c r="G349" s="11" t="n">
        <x:f>'Option source'!B559</x:f>
        <x:v>1.24</x:v>
      </x:c>
      <x:c r="H349" s="11" t="n">
        <x:f>'Option source'!B540</x:f>
        <x:v>1.13</x:v>
      </x:c>
      <x:c r="I349" s="11"/>
      <x:c r="J349" s="11" t="n">
        <x:f>G349-2*H349+IF(B349="Butterfly",I349,0)</x:f>
        <x:v>-1.0199999999999998</x:v>
      </x:c>
      <x:c r="K349" s="11" t="n">
        <x:f>ABS(E349-D349)</x:f>
        <x:v>200</x:v>
      </x:c>
      <x:c r="L349" s="11" t="n">
        <x:f>K349-J349</x:f>
        <x:v>201.02</x:v>
      </x:c>
      <x:c r="M349" s="11" t="n">
        <x:f>IF(B349="Butterfly",MAX(J349,0),IF(C349="call","Unlimited",MAX(2*E349-D349+J349,J349,0)))</x:f>
        <x:v>4398.98</x:v>
      </x:c>
      <x:c r="N349" s="11" t="n">
        <x:f>IF(B349="Butterfly",IF(AND(J349&gt;0,J349&lt;K349),D349+J349,"n.a."),IF(C349="call",IF(AND(J349&gt;0,J349&lt;K349),D349+J349,"n.a."),IF(AND(K349&gt;J349,2*E349-D349+J349&gt;=0),2*E349-D349+J349,"n.a.")))</x:f>
        <x:v>4398.98</x:v>
      </x:c>
      <x:c r="O349" s="11" t="str">
        <x:f>IF(B349="Butterfly",IF(AND(J349&gt;0,J349&lt;K349),F349-J349,"n.a."),IF(C349="call",IF(K349&gt;J349,2*E349-D349-J349,"n.a."),IF(AND(J349&gt;0,J349&lt;K349),D349-J349,"n.a.")))</x:f>
        <x:v>n.a.</x:v>
      </x:c>
      <x:c r="P349" s="19" t="str">
        <x:f>IF(AND(B349="Butterfly",J349&gt;0,J349&lt;K349),L349/J349,"n.a.")</x:f>
        <x:v>n.a.</x:v>
      </x:c>
      <x:c r="Q349" s="11" t="n">
        <x:f>J349*'Model inputs'!$B$8</x:f>
        <x:v>-101.99999999999999</x:v>
      </x:c>
      <x:c r="R349" s="1" t="str">
        <x:v>Indicative only</x:v>
      </x:c>
      <x:c r="S349" s="1" t="n">
        <x:v>554</x:v>
      </x:c>
      <x:c r="T349" s="1" t="n">
        <x:v>535</x:v>
      </x:c>
    </x:row>
    <x:row r="350" ht="21" customHeight="1">
      <x:c r="A350" s="12" t="n">
        <x:v>46276</x:v>
      </x:c>
      <x:c r="B350" s="1" t="str">
        <x:v>1x2 ratio</x:v>
      </x:c>
      <x:c r="C350" s="1" t="str">
        <x:v>call</x:v>
      </x:c>
      <x:c r="D350" s="11" t="n">
        <x:v>9200</x:v>
      </x:c>
      <x:c r="E350" s="11" t="n">
        <x:v>9500</x:v>
      </x:c>
      <x:c r="F350" s="11"/>
      <x:c r="G350" s="11" t="n">
        <x:f>'Option source'!B445</x:f>
        <x:v>13.01</x:v>
      </x:c>
      <x:c r="H350" s="11" t="n">
        <x:f>'Option source'!B464</x:f>
        <x:v>7.92</x:v>
      </x:c>
      <x:c r="I350" s="11"/>
      <x:c r="J350" s="11" t="n">
        <x:f>G350-2*H350+IF(B350="Butterfly",I350,0)</x:f>
        <x:v>-2.83</x:v>
      </x:c>
      <x:c r="K350" s="11" t="n">
        <x:f>ABS(E350-D350)</x:f>
        <x:v>300</x:v>
      </x:c>
      <x:c r="L350" s="11" t="n">
        <x:f>K350-J350</x:f>
        <x:v>302.83</x:v>
      </x:c>
      <x:c r="M350" s="11" t="str">
        <x:f>IF(B350="Butterfly",MAX(J350,0),IF(C350="call","Unlimited",MAX(2*E350-D350+J350,J350,0)))</x:f>
        <x:v>Unlimited</x:v>
      </x:c>
      <x:c r="N350" s="11" t="str">
        <x:f>IF(B350="Butterfly",IF(AND(J350&gt;0,J350&lt;K350),D350+J350,"n.a."),IF(C350="call",IF(AND(J350&gt;0,J350&lt;K350),D350+J350,"n.a."),IF(AND(K350&gt;J350,2*E350-D350+J350&gt;=0),2*E350-D350+J350,"n.a.")))</x:f>
        <x:v>n.a.</x:v>
      </x:c>
      <x:c r="O350" s="11" t="n">
        <x:f>IF(B350="Butterfly",IF(AND(J350&gt;0,J350&lt;K350),F350-J350,"n.a."),IF(C350="call",IF(K350&gt;J350,2*E350-D350-J350,"n.a."),IF(AND(J350&gt;0,J350&lt;K350),D350-J350,"n.a.")))</x:f>
        <x:v>9802.83</x:v>
      </x:c>
      <x:c r="P350" s="19" t="str">
        <x:f>IF(AND(B350="Butterfly",J350&gt;0,J350&lt;K350),L350/J350,"n.a.")</x:f>
        <x:v>n.a.</x:v>
      </x:c>
      <x:c r="Q350" s="11" t="n">
        <x:f>J350*'Model inputs'!$B$8</x:f>
        <x:v>-283</x:v>
      </x:c>
      <x:c r="R350" s="1" t="str">
        <x:v>Indicative only</x:v>
      </x:c>
      <x:c r="S350" s="1" t="n">
        <x:v>440</x:v>
      </x:c>
      <x:c r="T350" s="1" t="n">
        <x:v>459</x:v>
      </x:c>
    </x:row>
    <x:row r="351" ht="21" customHeight="1">
      <x:c r="A351" s="12" t="n">
        <x:v>46276</x:v>
      </x:c>
      <x:c r="B351" s="1" t="str">
        <x:v>1x2 ratio</x:v>
      </x:c>
      <x:c r="C351" s="1" t="str">
        <x:v>put</x:v>
      </x:c>
      <x:c r="D351" s="11" t="n">
        <x:v>4600</x:v>
      </x:c>
      <x:c r="E351" s="11" t="n">
        <x:v>4400</x:v>
      </x:c>
      <x:c r="F351" s="11"/>
      <x:c r="G351" s="11" t="n">
        <x:f>'Option source'!B540</x:f>
        <x:v>1.13</x:v>
      </x:c>
      <x:c r="H351" s="11" t="n">
        <x:f>'Option source'!B521</x:f>
        <x:v>0.89</x:v>
      </x:c>
      <x:c r="I351" s="11"/>
      <x:c r="J351" s="11" t="n">
        <x:f>G351-2*H351+IF(B351="Butterfly",I351,0)</x:f>
        <x:v>-0.6500000000000001</x:v>
      </x:c>
      <x:c r="K351" s="11" t="n">
        <x:f>ABS(E351-D351)</x:f>
        <x:v>200</x:v>
      </x:c>
      <x:c r="L351" s="11" t="n">
        <x:f>K351-J351</x:f>
        <x:v>200.65</x:v>
      </x:c>
      <x:c r="M351" s="11" t="n">
        <x:f>IF(B351="Butterfly",MAX(J351,0),IF(C351="call","Unlimited",MAX(2*E351-D351+J351,J351,0)))</x:f>
        <x:v>4199.35</x:v>
      </x:c>
      <x:c r="N351" s="11" t="n">
        <x:f>IF(B351="Butterfly",IF(AND(J351&gt;0,J351&lt;K351),D351+J351,"n.a."),IF(C351="call",IF(AND(J351&gt;0,J351&lt;K351),D351+J351,"n.a."),IF(AND(K351&gt;J351,2*E351-D351+J351&gt;=0),2*E351-D351+J351,"n.a.")))</x:f>
        <x:v>4199.35</x:v>
      </x:c>
      <x:c r="O351" s="11" t="str">
        <x:f>IF(B351="Butterfly",IF(AND(J351&gt;0,J351&lt;K351),F351-J351,"n.a."),IF(C351="call",IF(K351&gt;J351,2*E351-D351-J351,"n.a."),IF(AND(J351&gt;0,J351&lt;K351),D351-J351,"n.a.")))</x:f>
        <x:v>n.a.</x:v>
      </x:c>
      <x:c r="P351" s="19" t="str">
        <x:f>IF(AND(B351="Butterfly",J351&gt;0,J351&lt;K351),L351/J351,"n.a.")</x:f>
        <x:v>n.a.</x:v>
      </x:c>
      <x:c r="Q351" s="11" t="n">
        <x:f>J351*'Model inputs'!$B$8</x:f>
        <x:v>-65.00000000000001</x:v>
      </x:c>
      <x:c r="R351" s="1" t="str">
        <x:v>Indicative only</x:v>
      </x:c>
      <x:c r="S351" s="1" t="n">
        <x:v>535</x:v>
      </x:c>
      <x:c r="T351" s="1" t="n">
        <x:v>516</x:v>
      </x:c>
    </x:row>
    <x:row r="352" ht="21" customHeight="1">
      <x:c r="A352" s="12" t="n">
        <x:v>46276</x:v>
      </x:c>
      <x:c r="B352" s="1" t="str">
        <x:v>1x2 ratio</x:v>
      </x:c>
      <x:c r="C352" s="1" t="str">
        <x:v>put</x:v>
      </x:c>
      <x:c r="D352" s="11" t="n">
        <x:v>4400</x:v>
      </x:c>
      <x:c r="E352" s="11" t="n">
        <x:v>4200</x:v>
      </x:c>
      <x:c r="F352" s="11"/>
      <x:c r="G352" s="11" t="n">
        <x:f>'Option source'!B521</x:f>
        <x:v>0.89</x:v>
      </x:c>
      <x:c r="H352" s="11" t="n">
        <x:f>'Option source'!B502</x:f>
        <x:v>0.59</x:v>
      </x:c>
      <x:c r="I352" s="11"/>
      <x:c r="J352" s="11" t="n">
        <x:f>G352-2*H352+IF(B352="Butterfly",I352,0)</x:f>
        <x:v>-0.2899999999999999</x:v>
      </x:c>
      <x:c r="K352" s="11" t="n">
        <x:f>ABS(E352-D352)</x:f>
        <x:v>200</x:v>
      </x:c>
      <x:c r="L352" s="11" t="n">
        <x:f>K352-J352</x:f>
        <x:v>200.29</x:v>
      </x:c>
      <x:c r="M352" s="11" t="n">
        <x:f>IF(B352="Butterfly",MAX(J352,0),IF(C352="call","Unlimited",MAX(2*E352-D352+J352,J352,0)))</x:f>
        <x:v>3999.71</x:v>
      </x:c>
      <x:c r="N352" s="11" t="n">
        <x:f>IF(B352="Butterfly",IF(AND(J352&gt;0,J352&lt;K352),D352+J352,"n.a."),IF(C352="call",IF(AND(J352&gt;0,J352&lt;K352),D352+J352,"n.a."),IF(AND(K352&gt;J352,2*E352-D352+J352&gt;=0),2*E352-D352+J352,"n.a.")))</x:f>
        <x:v>3999.71</x:v>
      </x:c>
      <x:c r="O352" s="11" t="str">
        <x:f>IF(B352="Butterfly",IF(AND(J352&gt;0,J352&lt;K352),F352-J352,"n.a."),IF(C352="call",IF(K352&gt;J352,2*E352-D352-J352,"n.a."),IF(AND(J352&gt;0,J352&lt;K352),D352-J352,"n.a.")))</x:f>
        <x:v>n.a.</x:v>
      </x:c>
      <x:c r="P352" s="19" t="str">
        <x:f>IF(AND(B352="Butterfly",J352&gt;0,J352&lt;K352),L352/J352,"n.a.")</x:f>
        <x:v>n.a.</x:v>
      </x:c>
      <x:c r="Q352" s="11" t="n">
        <x:f>J352*'Model inputs'!$B$8</x:f>
        <x:v>-28.999999999999993</x:v>
      </x:c>
      <x:c r="R352" s="1" t="str">
        <x:v>Indicative only</x:v>
      </x:c>
      <x:c r="S352" s="1" t="n">
        <x:v>516</x:v>
      </x:c>
      <x:c r="T352" s="1" t="n">
        <x:v>497</x:v>
      </x:c>
    </x:row>
    <x:row r="353" ht="21" customHeight="1">
      <x:c r="A353" s="12" t="n">
        <x:v>46276</x:v>
      </x:c>
      <x:c r="B353" s="1" t="str">
        <x:v>1x2 ratio</x:v>
      </x:c>
      <x:c r="C353" s="1" t="str">
        <x:v>call</x:v>
      </x:c>
      <x:c r="D353" s="11" t="n">
        <x:v>9500</x:v>
      </x:c>
      <x:c r="E353" s="11" t="n">
        <x:v>9900</x:v>
      </x:c>
      <x:c r="F353" s="11"/>
      <x:c r="G353" s="11" t="n">
        <x:f>'Option source'!B464</x:f>
        <x:v>7.92</x:v>
      </x:c>
      <x:c r="H353" s="11" t="n">
        <x:f>'Option source'!B483</x:f>
        <x:v>4.41</x:v>
      </x:c>
      <x:c r="I353" s="11"/>
      <x:c r="J353" s="11" t="n">
        <x:f>G353-2*H353+IF(B353="Butterfly",I353,0)</x:f>
        <x:v>-0.9000000000000004</x:v>
      </x:c>
      <x:c r="K353" s="11" t="n">
        <x:f>ABS(E353-D353)</x:f>
        <x:v>400</x:v>
      </x:c>
      <x:c r="L353" s="11" t="n">
        <x:f>K353-J353</x:f>
        <x:v>400.9</x:v>
      </x:c>
      <x:c r="M353" s="11" t="str">
        <x:f>IF(B353="Butterfly",MAX(J353,0),IF(C353="call","Unlimited",MAX(2*E353-D353+J353,J353,0)))</x:f>
        <x:v>Unlimited</x:v>
      </x:c>
      <x:c r="N353" s="11" t="str">
        <x:f>IF(B353="Butterfly",IF(AND(J353&gt;0,J353&lt;K353),D353+J353,"n.a."),IF(C353="call",IF(AND(J353&gt;0,J353&lt;K353),D353+J353,"n.a."),IF(AND(K353&gt;J353,2*E353-D353+J353&gt;=0),2*E353-D353+J353,"n.a.")))</x:f>
        <x:v>n.a.</x:v>
      </x:c>
      <x:c r="O353" s="11" t="n">
        <x:f>IF(B353="Butterfly",IF(AND(J353&gt;0,J353&lt;K353),F353-J353,"n.a."),IF(C353="call",IF(K353&gt;J353,2*E353-D353-J353,"n.a."),IF(AND(J353&gt;0,J353&lt;K353),D353-J353,"n.a.")))</x:f>
        <x:v>10300.9</x:v>
      </x:c>
      <x:c r="P353" s="19" t="str">
        <x:f>IF(AND(B353="Butterfly",J353&gt;0,J353&lt;K353),L353/J353,"n.a.")</x:f>
        <x:v>n.a.</x:v>
      </x:c>
      <x:c r="Q353" s="11" t="n">
        <x:f>J353*'Model inputs'!$B$8</x:f>
        <x:v>-90.00000000000003</x:v>
      </x:c>
      <x:c r="R353" s="1" t="str">
        <x:v>Indicative only</x:v>
      </x:c>
      <x:c r="S353" s="1" t="n">
        <x:v>459</x:v>
      </x:c>
      <x:c r="T353" s="1" t="n">
        <x:v>478</x:v>
      </x:c>
    </x:row>
    <x:row r="354" ht="21" customHeight="1">
      <x:c r="A354" s="12" t="n">
        <x:v>46276</x:v>
      </x:c>
      <x:c r="B354" s="1" t="str">
        <x:v>1x2 ratio</x:v>
      </x:c>
      <x:c r="C354" s="1" t="str">
        <x:v>call</x:v>
      </x:c>
      <x:c r="D354" s="11" t="n">
        <x:v>6200</x:v>
      </x:c>
      <x:c r="E354" s="11" t="n">
        <x:v>6400</x:v>
      </x:c>
      <x:c r="F354" s="11"/>
      <x:c r="G354" s="11" t="n">
        <x:f>'Option source'!B198</x:f>
        <x:v>941.05</x:v>
      </x:c>
      <x:c r="H354" s="11" t="n">
        <x:f>'Option source'!B217</x:f>
        <x:v>830</x:v>
      </x:c>
      <x:c r="I354" s="11"/>
      <x:c r="J354" s="11" t="n">
        <x:f>G354-2*H354+IF(B354="Butterfly",I354,0)</x:f>
        <x:v>-718.95</x:v>
      </x:c>
      <x:c r="K354" s="11" t="n">
        <x:f>ABS(E354-D354)</x:f>
        <x:v>200</x:v>
      </x:c>
      <x:c r="L354" s="11" t="n">
        <x:f>K354-J354</x:f>
        <x:v>918.95</x:v>
      </x:c>
      <x:c r="M354" s="11" t="str">
        <x:f>IF(B354="Butterfly",MAX(J354,0),IF(C354="call","Unlimited",MAX(2*E354-D354+J354,J354,0)))</x:f>
        <x:v>Unlimited</x:v>
      </x:c>
      <x:c r="N354" s="11" t="str">
        <x:f>IF(B354="Butterfly",IF(AND(J354&gt;0,J354&lt;K354),D354+J354,"n.a."),IF(C354="call",IF(AND(J354&gt;0,J354&lt;K354),D354+J354,"n.a."),IF(AND(K354&gt;J354,2*E354-D354+J354&gt;=0),2*E354-D354+J354,"n.a.")))</x:f>
        <x:v>n.a.</x:v>
      </x:c>
      <x:c r="O354" s="11" t="n">
        <x:f>IF(B354="Butterfly",IF(AND(J354&gt;0,J354&lt;K354),F354-J354,"n.a."),IF(C354="call",IF(K354&gt;J354,2*E354-D354-J354,"n.a."),IF(AND(J354&gt;0,J354&lt;K354),D354-J354,"n.a.")))</x:f>
        <x:v>7318.95</x:v>
      </x:c>
      <x:c r="P354" s="19" t="str">
        <x:f>IF(AND(B354="Butterfly",J354&gt;0,J354&lt;K354),L354/J354,"n.a.")</x:f>
        <x:v>n.a.</x:v>
      </x:c>
      <x:c r="Q354" s="11" t="n">
        <x:f>J354*'Model inputs'!$B$8</x:f>
        <x:v>-71895</x:v>
      </x:c>
      <x:c r="R354" s="1" t="str">
        <x:v>Flagged leg data</x:v>
      </x:c>
      <x:c r="S354" s="1" t="n">
        <x:v>193</x:v>
      </x:c>
      <x:c r="T354" s="1" t="n">
        <x:v>212</x:v>
      </x:c>
    </x:row>
    <x:row r="355" ht="21" customHeight="1">
      <x:c r="A355" s="12" t="n">
        <x:v>46276</x:v>
      </x:c>
      <x:c r="B355" s="1" t="str">
        <x:v>1x2 ratio</x:v>
      </x:c>
      <x:c r="C355" s="1" t="str">
        <x:v>put</x:v>
      </x:c>
      <x:c r="D355" s="11" t="n">
        <x:v>7800</x:v>
      </x:c>
      <x:c r="E355" s="11" t="n">
        <x:v>7600</x:v>
      </x:c>
      <x:c r="F355" s="11"/>
      <x:c r="G355" s="11" t="n">
        <x:f>'Option source'!B844</x:f>
        <x:v>720</x:v>
      </x:c>
      <x:c r="H355" s="11" t="n">
        <x:f>'Option source'!B825</x:f>
        <x:v>658.65</x:v>
      </x:c>
      <x:c r="I355" s="11"/>
      <x:c r="J355" s="11" t="n">
        <x:f>G355-2*H355+IF(B355="Butterfly",I355,0)</x:f>
        <x:v>-597.3</x:v>
      </x:c>
      <x:c r="K355" s="11" t="n">
        <x:f>ABS(E355-D355)</x:f>
        <x:v>200</x:v>
      </x:c>
      <x:c r="L355" s="11" t="n">
        <x:f>K355-J355</x:f>
        <x:v>797.3</x:v>
      </x:c>
      <x:c r="M355" s="11" t="n">
        <x:f>IF(B355="Butterfly",MAX(J355,0),IF(C355="call","Unlimited",MAX(2*E355-D355+J355,J355,0)))</x:f>
        <x:v>6802.7</x:v>
      </x:c>
      <x:c r="N355" s="11" t="n">
        <x:f>IF(B355="Butterfly",IF(AND(J355&gt;0,J355&lt;K355),D355+J355,"n.a."),IF(C355="call",IF(AND(J355&gt;0,J355&lt;K355),D355+J355,"n.a."),IF(AND(K355&gt;J355,2*E355-D355+J355&gt;=0),2*E355-D355+J355,"n.a.")))</x:f>
        <x:v>6802.7</x:v>
      </x:c>
      <x:c r="O355" s="11" t="str">
        <x:f>IF(B355="Butterfly",IF(AND(J355&gt;0,J355&lt;K355),F355-J355,"n.a."),IF(C355="call",IF(K355&gt;J355,2*E355-D355-J355,"n.a."),IF(AND(J355&gt;0,J355&lt;K355),D355-J355,"n.a.")))</x:f>
        <x:v>n.a.</x:v>
      </x:c>
      <x:c r="P355" s="19" t="str">
        <x:f>IF(AND(B355="Butterfly",J355&gt;0,J355&lt;K355),L355/J355,"n.a.")</x:f>
        <x:v>n.a.</x:v>
      </x:c>
      <x:c r="Q355" s="11" t="n">
        <x:f>J355*'Model inputs'!$B$8</x:f>
        <x:v>-59729.99999999999</x:v>
      </x:c>
      <x:c r="R355" s="1" t="str">
        <x:v>Flagged leg data</x:v>
      </x:c>
      <x:c r="S355" s="1" t="n">
        <x:v>839</x:v>
      </x:c>
      <x:c r="T355" s="1" t="n">
        <x:v>820</x:v>
      </x:c>
    </x:row>
    <x:row r="356" ht="21" customHeight="1">
      <x:c r="A356" s="12" t="n">
        <x:v>46276</x:v>
      </x:c>
      <x:c r="B356" s="1" t="str">
        <x:v>1x2 ratio</x:v>
      </x:c>
      <x:c r="C356" s="1" t="str">
        <x:v>call</x:v>
      </x:c>
      <x:c r="D356" s="11" t="n">
        <x:v>6000</x:v>
      </x:c>
      <x:c r="E356" s="11" t="n">
        <x:v>6200</x:v>
      </x:c>
      <x:c r="F356" s="11"/>
      <x:c r="G356" s="11" t="n">
        <x:f>'Option source'!B179</x:f>
        <x:v>1130</x:v>
      </x:c>
      <x:c r="H356" s="11" t="n">
        <x:f>'Option source'!B198</x:f>
        <x:v>941.05</x:v>
      </x:c>
      <x:c r="I356" s="11"/>
      <x:c r="J356" s="11" t="n">
        <x:f>G356-2*H356+IF(B356="Butterfly",I356,0)</x:f>
        <x:v>-752.0999999999999</x:v>
      </x:c>
      <x:c r="K356" s="11" t="n">
        <x:f>ABS(E356-D356)</x:f>
        <x:v>200</x:v>
      </x:c>
      <x:c r="L356" s="11" t="n">
        <x:f>K356-J356</x:f>
        <x:v>952.0999999999999</x:v>
      </x:c>
      <x:c r="M356" s="11" t="str">
        <x:f>IF(B356="Butterfly",MAX(J356,0),IF(C356="call","Unlimited",MAX(2*E356-D356+J356,J356,0)))</x:f>
        <x:v>Unlimited</x:v>
      </x:c>
      <x:c r="N356" s="11" t="str">
        <x:f>IF(B356="Butterfly",IF(AND(J356&gt;0,J356&lt;K356),D356+J356,"n.a."),IF(C356="call",IF(AND(J356&gt;0,J356&lt;K356),D356+J356,"n.a."),IF(AND(K356&gt;J356,2*E356-D356+J356&gt;=0),2*E356-D356+J356,"n.a.")))</x:f>
        <x:v>n.a.</x:v>
      </x:c>
      <x:c r="O356" s="11" t="n">
        <x:f>IF(B356="Butterfly",IF(AND(J356&gt;0,J356&lt;K356),F356-J356,"n.a."),IF(C356="call",IF(K356&gt;J356,2*E356-D356-J356,"n.a."),IF(AND(J356&gt;0,J356&lt;K356),D356-J356,"n.a.")))</x:f>
        <x:v>7152.1</x:v>
      </x:c>
      <x:c r="P356" s="19" t="str">
        <x:f>IF(AND(B356="Butterfly",J356&gt;0,J356&lt;K356),L356/J356,"n.a.")</x:f>
        <x:v>n.a.</x:v>
      </x:c>
      <x:c r="Q356" s="11" t="n">
        <x:f>J356*'Model inputs'!$B$8</x:f>
        <x:v>-75209.99999999999</x:v>
      </x:c>
      <x:c r="R356" s="1" t="str">
        <x:v>Flagged leg data</x:v>
      </x:c>
      <x:c r="S356" s="1" t="n">
        <x:v>174</x:v>
      </x:c>
      <x:c r="T356" s="1" t="n">
        <x:v>193</x:v>
      </x:c>
    </x:row>
    <x:row r="357" ht="21" customHeight="1">
      <x:c r="A357" s="12" t="n">
        <x:v>46276</x:v>
      </x:c>
      <x:c r="B357" s="1" t="str">
        <x:v>1x2 ratio</x:v>
      </x:c>
      <x:c r="C357" s="1" t="str">
        <x:v>put</x:v>
      </x:c>
      <x:c r="D357" s="11" t="n">
        <x:v>8000</x:v>
      </x:c>
      <x:c r="E357" s="11" t="n">
        <x:v>7800</x:v>
      </x:c>
      <x:c r="F357" s="11"/>
      <x:c r="G357" s="11" t="n">
        <x:f>'Option source'!B863</x:f>
        <x:v>1017.5</x:v>
      </x:c>
      <x:c r="H357" s="11" t="n">
        <x:f>'Option source'!B844</x:f>
        <x:v>720</x:v>
      </x:c>
      <x:c r="I357" s="11"/>
      <x:c r="J357" s="11" t="n">
        <x:f>G357-2*H357+IF(B357="Butterfly",I357,0)</x:f>
        <x:v>-422.5</x:v>
      </x:c>
      <x:c r="K357" s="11" t="n">
        <x:f>ABS(E357-D357)</x:f>
        <x:v>200</x:v>
      </x:c>
      <x:c r="L357" s="11" t="n">
        <x:f>K357-J357</x:f>
        <x:v>622.5</x:v>
      </x:c>
      <x:c r="M357" s="11" t="n">
        <x:f>IF(B357="Butterfly",MAX(J357,0),IF(C357="call","Unlimited",MAX(2*E357-D357+J357,J357,0)))</x:f>
        <x:v>7177.5</x:v>
      </x:c>
      <x:c r="N357" s="11" t="n">
        <x:f>IF(B357="Butterfly",IF(AND(J357&gt;0,J357&lt;K357),D357+J357,"n.a."),IF(C357="call",IF(AND(J357&gt;0,J357&lt;K357),D357+J357,"n.a."),IF(AND(K357&gt;J357,2*E357-D357+J357&gt;=0),2*E357-D357+J357,"n.a.")))</x:f>
        <x:v>7177.5</x:v>
      </x:c>
      <x:c r="O357" s="11" t="str">
        <x:f>IF(B357="Butterfly",IF(AND(J357&gt;0,J357&lt;K357),F357-J357,"n.a."),IF(C357="call",IF(K357&gt;J357,2*E357-D357-J357,"n.a."),IF(AND(J357&gt;0,J357&lt;K357),D357-J357,"n.a.")))</x:f>
        <x:v>n.a.</x:v>
      </x:c>
      <x:c r="P357" s="19" t="str">
        <x:f>IF(AND(B357="Butterfly",J357&gt;0,J357&lt;K357),L357/J357,"n.a.")</x:f>
        <x:v>n.a.</x:v>
      </x:c>
      <x:c r="Q357" s="11" t="n">
        <x:f>J357*'Model inputs'!$B$8</x:f>
        <x:v>-42250</x:v>
      </x:c>
      <x:c r="R357" s="1" t="str">
        <x:v>Flagged leg data</x:v>
      </x:c>
      <x:c r="S357" s="1" t="n">
        <x:v>858</x:v>
      </x:c>
      <x:c r="T357" s="1" t="n">
        <x:v>839</x:v>
      </x:c>
    </x:row>
    <x:row r="358" ht="21" customHeight="1">
      <x:c r="A358" s="12" t="n">
        <x:v>46276</x:v>
      </x:c>
      <x:c r="B358" s="1" t="str">
        <x:v>1x2 ratio</x:v>
      </x:c>
      <x:c r="C358" s="1" t="str">
        <x:v>call</x:v>
      </x:c>
      <x:c r="D358" s="11" t="n">
        <x:v>5800</x:v>
      </x:c>
      <x:c r="E358" s="11" t="n">
        <x:v>6000</x:v>
      </x:c>
      <x:c r="F358" s="11"/>
      <x:c r="G358" s="11" t="n">
        <x:f>'Option source'!B160</x:f>
        <x:v>1343.33</x:v>
      </x:c>
      <x:c r="H358" s="11" t="n">
        <x:f>'Option source'!B179</x:f>
        <x:v>1130</x:v>
      </x:c>
      <x:c r="I358" s="11"/>
      <x:c r="J358" s="11" t="n">
        <x:f>G358-2*H358+IF(B358="Butterfly",I358,0)</x:f>
        <x:v>-916.6700000000001</x:v>
      </x:c>
      <x:c r="K358" s="11" t="n">
        <x:f>ABS(E358-D358)</x:f>
        <x:v>200</x:v>
      </x:c>
      <x:c r="L358" s="11" t="n">
        <x:f>K358-J358</x:f>
        <x:v>1116.67</x:v>
      </x:c>
      <x:c r="M358" s="11" t="str">
        <x:f>IF(B358="Butterfly",MAX(J358,0),IF(C358="call","Unlimited",MAX(2*E358-D358+J358,J358,0)))</x:f>
        <x:v>Unlimited</x:v>
      </x:c>
      <x:c r="N358" s="11" t="str">
        <x:f>IF(B358="Butterfly",IF(AND(J358&gt;0,J358&lt;K358),D358+J358,"n.a."),IF(C358="call",IF(AND(J358&gt;0,J358&lt;K358),D358+J358,"n.a."),IF(AND(K358&gt;J358,2*E358-D358+J358&gt;=0),2*E358-D358+J358,"n.a.")))</x:f>
        <x:v>n.a.</x:v>
      </x:c>
      <x:c r="O358" s="11" t="n">
        <x:f>IF(B358="Butterfly",IF(AND(J358&gt;0,J358&lt;K358),F358-J358,"n.a."),IF(C358="call",IF(K358&gt;J358,2*E358-D358-J358,"n.a."),IF(AND(J358&gt;0,J358&lt;K358),D358-J358,"n.a.")))</x:f>
        <x:v>7116.67</x:v>
      </x:c>
      <x:c r="P358" s="19" t="str">
        <x:f>IF(AND(B358="Butterfly",J358&gt;0,J358&lt;K358),L358/J358,"n.a.")</x:f>
        <x:v>n.a.</x:v>
      </x:c>
      <x:c r="Q358" s="11" t="n">
        <x:f>J358*'Model inputs'!$B$8</x:f>
        <x:v>-91667</x:v>
      </x:c>
      <x:c r="R358" s="1" t="str">
        <x:v>Flagged leg data</x:v>
      </x:c>
      <x:c r="S358" s="1" t="n">
        <x:v>155</x:v>
      </x:c>
      <x:c r="T358" s="1" t="n">
        <x:v>174</x:v>
      </x:c>
    </x:row>
    <x:row r="359" ht="21" customHeight="1">
      <x:c r="A359" s="12" t="n">
        <x:v>46276</x:v>
      </x:c>
      <x:c r="B359" s="1" t="str">
        <x:v>1x2 ratio</x:v>
      </x:c>
      <x:c r="C359" s="1" t="str">
        <x:v>put</x:v>
      </x:c>
      <x:c r="D359" s="11" t="n">
        <x:v>8300</x:v>
      </x:c>
      <x:c r="E359" s="11" t="n">
        <x:v>8000</x:v>
      </x:c>
      <x:c r="F359" s="11"/>
      <x:c r="G359" s="11" t="n">
        <x:f>'Option source'!B882</x:f>
        <x:v>1264.67</x:v>
      </x:c>
      <x:c r="H359" s="11" t="n">
        <x:f>'Option source'!B863</x:f>
        <x:v>1017.5</x:v>
      </x:c>
      <x:c r="I359" s="11"/>
      <x:c r="J359" s="11" t="n">
        <x:f>G359-2*H359+IF(B359="Butterfly",I359,0)</x:f>
        <x:v>-770.3299999999999</x:v>
      </x:c>
      <x:c r="K359" s="11" t="n">
        <x:f>ABS(E359-D359)</x:f>
        <x:v>300</x:v>
      </x:c>
      <x:c r="L359" s="11" t="n">
        <x:f>K359-J359</x:f>
        <x:v>1070.33</x:v>
      </x:c>
      <x:c r="M359" s="11" t="n">
        <x:f>IF(B359="Butterfly",MAX(J359,0),IF(C359="call","Unlimited",MAX(2*E359-D359+J359,J359,0)))</x:f>
        <x:v>6929.67</x:v>
      </x:c>
      <x:c r="N359" s="11" t="n">
        <x:f>IF(B359="Butterfly",IF(AND(J359&gt;0,J359&lt;K359),D359+J359,"n.a."),IF(C359="call",IF(AND(J359&gt;0,J359&lt;K359),D359+J359,"n.a."),IF(AND(K359&gt;J359,2*E359-D359+J359&gt;=0),2*E359-D359+J359,"n.a.")))</x:f>
        <x:v>6929.67</x:v>
      </x:c>
      <x:c r="O359" s="11" t="str">
        <x:f>IF(B359="Butterfly",IF(AND(J359&gt;0,J359&lt;K359),F359-J359,"n.a."),IF(C359="call",IF(K359&gt;J359,2*E359-D359-J359,"n.a."),IF(AND(J359&gt;0,J359&lt;K359),D359-J359,"n.a.")))</x:f>
        <x:v>n.a.</x:v>
      </x:c>
      <x:c r="P359" s="19" t="str">
        <x:f>IF(AND(B359="Butterfly",J359&gt;0,J359&lt;K359),L359/J359,"n.a.")</x:f>
        <x:v>n.a.</x:v>
      </x:c>
      <x:c r="Q359" s="11" t="n">
        <x:f>J359*'Model inputs'!$B$8</x:f>
        <x:v>-77033</x:v>
      </x:c>
      <x:c r="R359" s="1" t="str">
        <x:v>Flagged leg data</x:v>
      </x:c>
      <x:c r="S359" s="1" t="n">
        <x:v>877</x:v>
      </x:c>
      <x:c r="T359" s="1" t="n">
        <x:v>858</x:v>
      </x:c>
    </x:row>
    <x:row r="360" ht="21" customHeight="1">
      <x:c r="A360" s="12" t="n">
        <x:v>46276</x:v>
      </x:c>
      <x:c r="B360" s="1" t="str">
        <x:v>1x2 ratio</x:v>
      </x:c>
      <x:c r="C360" s="1" t="str">
        <x:v>call</x:v>
      </x:c>
      <x:c r="D360" s="11" t="n">
        <x:v>5600</x:v>
      </x:c>
      <x:c r="E360" s="11" t="n">
        <x:v>5800</x:v>
      </x:c>
      <x:c r="F360" s="11"/>
      <x:c r="G360" s="11" t="n">
        <x:f>'Option source'!B150</x:f>
        <x:v>1490</x:v>
      </x:c>
      <x:c r="H360" s="11" t="n">
        <x:f>'Option source'!B160</x:f>
        <x:v>1343.33</x:v>
      </x:c>
      <x:c r="I360" s="11"/>
      <x:c r="J360" s="11" t="n">
        <x:f>G360-2*H360+IF(B360="Butterfly",I360,0)</x:f>
        <x:v>-1196.6599999999999</x:v>
      </x:c>
      <x:c r="K360" s="11" t="n">
        <x:f>ABS(E360-D360)</x:f>
        <x:v>200</x:v>
      </x:c>
      <x:c r="L360" s="11" t="n">
        <x:f>K360-J360</x:f>
        <x:v>1396.6599999999999</x:v>
      </x:c>
      <x:c r="M360" s="11" t="str">
        <x:f>IF(B360="Butterfly",MAX(J360,0),IF(C360="call","Unlimited",MAX(2*E360-D360+J360,J360,0)))</x:f>
        <x:v>Unlimited</x:v>
      </x:c>
      <x:c r="N360" s="11" t="str">
        <x:f>IF(B360="Butterfly",IF(AND(J360&gt;0,J360&lt;K360),D360+J360,"n.a."),IF(C360="call",IF(AND(J360&gt;0,J360&lt;K360),D360+J360,"n.a."),IF(AND(K360&gt;J360,2*E360-D360+J360&gt;=0),2*E360-D360+J360,"n.a.")))</x:f>
        <x:v>n.a.</x:v>
      </x:c>
      <x:c r="O360" s="11" t="n">
        <x:f>IF(B360="Butterfly",IF(AND(J360&gt;0,J360&lt;K360),F360-J360,"n.a."),IF(C360="call",IF(K360&gt;J360,2*E360-D360-J360,"n.a."),IF(AND(J360&gt;0,J360&lt;K360),D360-J360,"n.a.")))</x:f>
        <x:v>7196.66</x:v>
      </x:c>
      <x:c r="P360" s="19" t="str">
        <x:f>IF(AND(B360="Butterfly",J360&gt;0,J360&lt;K360),L360/J360,"n.a.")</x:f>
        <x:v>n.a.</x:v>
      </x:c>
      <x:c r="Q360" s="11" t="n">
        <x:f>J360*'Model inputs'!$B$8</x:f>
        <x:v>-119665.99999999999</x:v>
      </x:c>
      <x:c r="R360" s="1" t="str">
        <x:v>Flagged leg data</x:v>
      </x:c>
      <x:c r="S360" s="1" t="n">
        <x:v>145</x:v>
      </x:c>
      <x:c r="T360" s="1" t="n">
        <x:v>155</x:v>
      </x:c>
    </x:row>
    <x:row r="361" ht="21" customHeight="1">
      <x:c r="A361" s="12" t="n">
        <x:v>46276</x:v>
      </x:c>
      <x:c r="B361" s="1" t="str">
        <x:v>1x2 ratio</x:v>
      </x:c>
      <x:c r="C361" s="1" t="str">
        <x:v>put</x:v>
      </x:c>
      <x:c r="D361" s="11" t="n">
        <x:v>8600</x:v>
      </x:c>
      <x:c r="E361" s="11" t="n">
        <x:v>8300</x:v>
      </x:c>
      <x:c r="F361" s="11"/>
      <x:c r="G361" s="11" t="n">
        <x:f>'Option source'!B901</x:f>
        <x:v>1600</x:v>
      </x:c>
      <x:c r="H361" s="11" t="n">
        <x:f>'Option source'!B882</x:f>
        <x:v>1264.67</x:v>
      </x:c>
      <x:c r="I361" s="11"/>
      <x:c r="J361" s="11" t="n">
        <x:f>G361-2*H361+IF(B361="Butterfly",I361,0)</x:f>
        <x:v>-929.3400000000001</x:v>
      </x:c>
      <x:c r="K361" s="11" t="n">
        <x:f>ABS(E361-D361)</x:f>
        <x:v>300</x:v>
      </x:c>
      <x:c r="L361" s="11" t="n">
        <x:f>K361-J361</x:f>
        <x:v>1229.3400000000001</x:v>
      </x:c>
      <x:c r="M361" s="11" t="n">
        <x:f>IF(B361="Butterfly",MAX(J361,0),IF(C361="call","Unlimited",MAX(2*E361-D361+J361,J361,0)))</x:f>
        <x:v>7070.66</x:v>
      </x:c>
      <x:c r="N361" s="11" t="n">
        <x:f>IF(B361="Butterfly",IF(AND(J361&gt;0,J361&lt;K361),D361+J361,"n.a."),IF(C361="call",IF(AND(J361&gt;0,J361&lt;K361),D361+J361,"n.a."),IF(AND(K361&gt;J361,2*E361-D361+J361&gt;=0),2*E361-D361+J361,"n.a.")))</x:f>
        <x:v>7070.66</x:v>
      </x:c>
      <x:c r="O361" s="11" t="str">
        <x:f>IF(B361="Butterfly",IF(AND(J361&gt;0,J361&lt;K361),F361-J361,"n.a."),IF(C361="call",IF(K361&gt;J361,2*E361-D361-J361,"n.a."),IF(AND(J361&gt;0,J361&lt;K361),D361-J361,"n.a.")))</x:f>
        <x:v>n.a.</x:v>
      </x:c>
      <x:c r="P361" s="19" t="str">
        <x:f>IF(AND(B361="Butterfly",J361&gt;0,J361&lt;K361),L361/J361,"n.a.")</x:f>
        <x:v>n.a.</x:v>
      </x:c>
      <x:c r="Q361" s="11" t="n">
        <x:f>J361*'Model inputs'!$B$8</x:f>
        <x:v>-92934.00000000001</x:v>
      </x:c>
      <x:c r="R361" s="1" t="str">
        <x:v>Flagged leg data</x:v>
      </x:c>
      <x:c r="S361" s="1" t="n">
        <x:v>896</x:v>
      </x:c>
      <x:c r="T361" s="1" t="n">
        <x:v>877</x:v>
      </x:c>
    </x:row>
    <x:row r="362" ht="21" customHeight="1">
      <x:c r="A362" s="12" t="n">
        <x:v>46276</x:v>
      </x:c>
      <x:c r="B362" s="1" t="str">
        <x:v>1x2 ratio</x:v>
      </x:c>
      <x:c r="C362" s="1" t="str">
        <x:v>call</x:v>
      </x:c>
      <x:c r="D362" s="11" t="n">
        <x:v>5400</x:v>
      </x:c>
      <x:c r="E362" s="11" t="n">
        <x:v>5600</x:v>
      </x:c>
      <x:c r="F362" s="11"/>
      <x:c r="G362" s="11" t="n">
        <x:f>'Option source'!B132</x:f>
        <x:v>1801.16</x:v>
      </x:c>
      <x:c r="H362" s="11" t="n">
        <x:f>'Option source'!B150</x:f>
        <x:v>1490</x:v>
      </x:c>
      <x:c r="I362" s="11"/>
      <x:c r="J362" s="11" t="n">
        <x:f>G362-2*H362+IF(B362="Butterfly",I362,0)</x:f>
        <x:v>-1178.84</x:v>
      </x:c>
      <x:c r="K362" s="11" t="n">
        <x:f>ABS(E362-D362)</x:f>
        <x:v>200</x:v>
      </x:c>
      <x:c r="L362" s="11" t="n">
        <x:f>K362-J362</x:f>
        <x:v>1378.84</x:v>
      </x:c>
      <x:c r="M362" s="11" t="str">
        <x:f>IF(B362="Butterfly",MAX(J362,0),IF(C362="call","Unlimited",MAX(2*E362-D362+J362,J362,0)))</x:f>
        <x:v>Unlimited</x:v>
      </x:c>
      <x:c r="N362" s="11" t="str">
        <x:f>IF(B362="Butterfly",IF(AND(J362&gt;0,J362&lt;K362),D362+J362,"n.a."),IF(C362="call",IF(AND(J362&gt;0,J362&lt;K362),D362+J362,"n.a."),IF(AND(K362&gt;J362,2*E362-D362+J362&gt;=0),2*E362-D362+J362,"n.a.")))</x:f>
        <x:v>n.a.</x:v>
      </x:c>
      <x:c r="O362" s="11" t="n">
        <x:f>IF(B362="Butterfly",IF(AND(J362&gt;0,J362&lt;K362),F362-J362,"n.a."),IF(C362="call",IF(K362&gt;J362,2*E362-D362-J362,"n.a."),IF(AND(J362&gt;0,J362&lt;K362),D362-J362,"n.a.")))</x:f>
        <x:v>6978.84</x:v>
      </x:c>
      <x:c r="P362" s="19" t="str">
        <x:f>IF(AND(B362="Butterfly",J362&gt;0,J362&lt;K362),L362/J362,"n.a.")</x:f>
        <x:v>n.a.</x:v>
      </x:c>
      <x:c r="Q362" s="11" t="n">
        <x:f>J362*'Model inputs'!$B$8</x:f>
        <x:v>-117883.99999999999</x:v>
      </x:c>
      <x:c r="R362" s="1" t="str">
        <x:v>Flagged leg data</x:v>
      </x:c>
      <x:c r="S362" s="1" t="n">
        <x:v>127</x:v>
      </x:c>
      <x:c r="T362" s="1" t="n">
        <x:v>145</x:v>
      </x:c>
    </x:row>
    <x:row r="363" ht="21" customHeight="1">
      <x:c r="A363" s="12" t="n">
        <x:v>46276</x:v>
      </x:c>
      <x:c r="B363" s="1" t="str">
        <x:v>1x2 ratio</x:v>
      </x:c>
      <x:c r="C363" s="1" t="str">
        <x:v>call</x:v>
      </x:c>
      <x:c r="D363" s="11" t="n">
        <x:v>5200</x:v>
      </x:c>
      <x:c r="E363" s="11" t="n">
        <x:v>5400</x:v>
      </x:c>
      <x:c r="F363" s="11"/>
      <x:c r="G363" s="11" t="n">
        <x:f>'Option source'!B113</x:f>
        <x:v>1998.09</x:v>
      </x:c>
      <x:c r="H363" s="11" t="n">
        <x:f>'Option source'!B132</x:f>
        <x:v>1801.16</x:v>
      </x:c>
      <x:c r="I363" s="11"/>
      <x:c r="J363" s="11" t="n">
        <x:f>G363-2*H363+IF(B363="Butterfly",I363,0)</x:f>
        <x:v>-1604.2300000000002</x:v>
      </x:c>
      <x:c r="K363" s="11" t="n">
        <x:f>ABS(E363-D363)</x:f>
        <x:v>200</x:v>
      </x:c>
      <x:c r="L363" s="11" t="n">
        <x:f>K363-J363</x:f>
        <x:v>1804.2300000000002</x:v>
      </x:c>
      <x:c r="M363" s="11" t="str">
        <x:f>IF(B363="Butterfly",MAX(J363,0),IF(C363="call","Unlimited",MAX(2*E363-D363+J363,J363,0)))</x:f>
        <x:v>Unlimited</x:v>
      </x:c>
      <x:c r="N363" s="11" t="str">
        <x:f>IF(B363="Butterfly",IF(AND(J363&gt;0,J363&lt;K363),D363+J363,"n.a."),IF(C363="call",IF(AND(J363&gt;0,J363&lt;K363),D363+J363,"n.a."),IF(AND(K363&gt;J363,2*E363-D363+J363&gt;=0),2*E363-D363+J363,"n.a.")))</x:f>
        <x:v>n.a.</x:v>
      </x:c>
      <x:c r="O363" s="11" t="n">
        <x:f>IF(B363="Butterfly",IF(AND(J363&gt;0,J363&lt;K363),F363-J363,"n.a."),IF(C363="call",IF(K363&gt;J363,2*E363-D363-J363,"n.a."),IF(AND(J363&gt;0,J363&lt;K363),D363-J363,"n.a.")))</x:f>
        <x:v>7204.2300000000005</x:v>
      </x:c>
      <x:c r="P363" s="19" t="str">
        <x:f>IF(AND(B363="Butterfly",J363&gt;0,J363&lt;K363),L363/J363,"n.a.")</x:f>
        <x:v>n.a.</x:v>
      </x:c>
      <x:c r="Q363" s="11" t="n">
        <x:f>J363*'Model inputs'!$B$8</x:f>
        <x:v>-160423.00000000003</x:v>
      </x:c>
      <x:c r="R363" s="1" t="str">
        <x:v>Flagged leg data</x:v>
      </x:c>
      <x:c r="S363" s="1" t="n">
        <x:v>108</x:v>
      </x:c>
      <x:c r="T363" s="1" t="n">
        <x:v>127</x:v>
      </x:c>
    </x:row>
    <x:row r="364" ht="21" customHeight="1">
      <x:c r="A364" s="12" t="n">
        <x:v>46276</x:v>
      </x:c>
      <x:c r="B364" s="1" t="str">
        <x:v>1x2 ratio</x:v>
      </x:c>
      <x:c r="C364" s="1" t="str">
        <x:v>put</x:v>
      </x:c>
      <x:c r="D364" s="11" t="n">
        <x:v>8900</x:v>
      </x:c>
      <x:c r="E364" s="11" t="n">
        <x:v>8600</x:v>
      </x:c>
      <x:c r="F364" s="11"/>
      <x:c r="G364" s="11" t="n">
        <x:f>'Option source'!B916</x:f>
        <x:v>2022.5</x:v>
      </x:c>
      <x:c r="H364" s="11" t="n">
        <x:f>'Option source'!B901</x:f>
        <x:v>1600</x:v>
      </x:c>
      <x:c r="I364" s="11"/>
      <x:c r="J364" s="11" t="n">
        <x:f>G364-2*H364+IF(B364="Butterfly",I364,0)</x:f>
        <x:v>-1177.5</x:v>
      </x:c>
      <x:c r="K364" s="11" t="n">
        <x:f>ABS(E364-D364)</x:f>
        <x:v>300</x:v>
      </x:c>
      <x:c r="L364" s="11" t="n">
        <x:f>K364-J364</x:f>
        <x:v>1477.5</x:v>
      </x:c>
      <x:c r="M364" s="11" t="n">
        <x:f>IF(B364="Butterfly",MAX(J364,0),IF(C364="call","Unlimited",MAX(2*E364-D364+J364,J364,0)))</x:f>
        <x:v>7122.5</x:v>
      </x:c>
      <x:c r="N364" s="11" t="n">
        <x:f>IF(B364="Butterfly",IF(AND(J364&gt;0,J364&lt;K364),D364+J364,"n.a."),IF(C364="call",IF(AND(J364&gt;0,J364&lt;K364),D364+J364,"n.a."),IF(AND(K364&gt;J364,2*E364-D364+J364&gt;=0),2*E364-D364+J364,"n.a.")))</x:f>
        <x:v>7122.5</x:v>
      </x:c>
      <x:c r="O364" s="11" t="str">
        <x:f>IF(B364="Butterfly",IF(AND(J364&gt;0,J364&lt;K364),F364-J364,"n.a."),IF(C364="call",IF(K364&gt;J364,2*E364-D364-J364,"n.a."),IF(AND(J364&gt;0,J364&lt;K364),D364-J364,"n.a.")))</x:f>
        <x:v>n.a.</x:v>
      </x:c>
      <x:c r="P364" s="19" t="str">
        <x:f>IF(AND(B364="Butterfly",J364&gt;0,J364&lt;K364),L364/J364,"n.a.")</x:f>
        <x:v>n.a.</x:v>
      </x:c>
      <x:c r="Q364" s="11" t="n">
        <x:f>J364*'Model inputs'!$B$8</x:f>
        <x:v>-117750</x:v>
      </x:c>
      <x:c r="R364" s="1" t="str">
        <x:v>Flagged leg data</x:v>
      </x:c>
      <x:c r="S364" s="1" t="n">
        <x:v>911</x:v>
      </x:c>
      <x:c r="T364" s="1" t="n">
        <x:v>896</x:v>
      </x:c>
    </x:row>
    <x:row r="365" ht="21" customHeight="1">
      <x:c r="A365" s="12" t="n">
        <x:v>46276</x:v>
      </x:c>
      <x:c r="B365" s="1" t="str">
        <x:v>1x2 ratio</x:v>
      </x:c>
      <x:c r="C365" s="1" t="str">
        <x:v>call</x:v>
      </x:c>
      <x:c r="D365" s="11" t="n">
        <x:v>5000</x:v>
      </x:c>
      <x:c r="E365" s="11" t="n">
        <x:v>5200</x:v>
      </x:c>
      <x:c r="F365" s="11"/>
      <x:c r="G365" s="11" t="n">
        <x:f>'Option source'!B94</x:f>
        <x:v>2248.2</x:v>
      </x:c>
      <x:c r="H365" s="11" t="n">
        <x:f>'Option source'!B113</x:f>
        <x:v>1998.09</x:v>
      </x:c>
      <x:c r="I365" s="11"/>
      <x:c r="J365" s="11" t="n">
        <x:f>G365-2*H365+IF(B365="Butterfly",I365,0)</x:f>
        <x:v>-1747.98</x:v>
      </x:c>
      <x:c r="K365" s="11" t="n">
        <x:f>ABS(E365-D365)</x:f>
        <x:v>200</x:v>
      </x:c>
      <x:c r="L365" s="11" t="n">
        <x:f>K365-J365</x:f>
        <x:v>1947.98</x:v>
      </x:c>
      <x:c r="M365" s="11" t="str">
        <x:f>IF(B365="Butterfly",MAX(J365,0),IF(C365="call","Unlimited",MAX(2*E365-D365+J365,J365,0)))</x:f>
        <x:v>Unlimited</x:v>
      </x:c>
      <x:c r="N365" s="11" t="str">
        <x:f>IF(B365="Butterfly",IF(AND(J365&gt;0,J365&lt;K365),D365+J365,"n.a."),IF(C365="call",IF(AND(J365&gt;0,J365&lt;K365),D365+J365,"n.a."),IF(AND(K365&gt;J365,2*E365-D365+J365&gt;=0),2*E365-D365+J365,"n.a.")))</x:f>
        <x:v>n.a.</x:v>
      </x:c>
      <x:c r="O365" s="11" t="n">
        <x:f>IF(B365="Butterfly",IF(AND(J365&gt;0,J365&lt;K365),F365-J365,"n.a."),IF(C365="call",IF(K365&gt;J365,2*E365-D365-J365,"n.a."),IF(AND(J365&gt;0,J365&lt;K365),D365-J365,"n.a.")))</x:f>
        <x:v>7147.98</x:v>
      </x:c>
      <x:c r="P365" s="19" t="str">
        <x:f>IF(AND(B365="Butterfly",J365&gt;0,J365&lt;K365),L365/J365,"n.a.")</x:f>
        <x:v>n.a.</x:v>
      </x:c>
      <x:c r="Q365" s="11" t="n">
        <x:f>J365*'Model inputs'!$B$8</x:f>
        <x:v>-174798</x:v>
      </x:c>
      <x:c r="R365" s="1" t="str">
        <x:v>Flagged leg data</x:v>
      </x:c>
      <x:c r="S365" s="1" t="n">
        <x:v>89</x:v>
      </x:c>
      <x:c r="T365" s="1" t="n">
        <x:v>108</x:v>
      </x:c>
    </x:row>
    <x:row r="366" ht="21" customHeight="1">
      <x:c r="A366" s="12" t="n">
        <x:v>46276</x:v>
      </x:c>
      <x:c r="B366" s="1" t="str">
        <x:v>1x2 ratio</x:v>
      </x:c>
      <x:c r="C366" s="1" t="str">
        <x:v>put</x:v>
      </x:c>
      <x:c r="D366" s="11" t="n">
        <x:v>9200</x:v>
      </x:c>
      <x:c r="E366" s="11" t="n">
        <x:v>8900</x:v>
      </x:c>
      <x:c r="F366" s="11"/>
      <x:c r="G366" s="11" t="n">
        <x:f>'Option source'!B923</x:f>
        <x:v>1895</x:v>
      </x:c>
      <x:c r="H366" s="11" t="n">
        <x:f>'Option source'!B916</x:f>
        <x:v>2022.5</x:v>
      </x:c>
      <x:c r="I366" s="11"/>
      <x:c r="J366" s="11" t="n">
        <x:f>G366-2*H366+IF(B366="Butterfly",I366,0)</x:f>
        <x:v>-2150</x:v>
      </x:c>
      <x:c r="K366" s="11" t="n">
        <x:f>ABS(E366-D366)</x:f>
        <x:v>300</x:v>
      </x:c>
      <x:c r="L366" s="11" t="n">
        <x:f>K366-J366</x:f>
        <x:v>2450</x:v>
      </x:c>
      <x:c r="M366" s="11" t="n">
        <x:f>IF(B366="Butterfly",MAX(J366,0),IF(C366="call","Unlimited",MAX(2*E366-D366+J366,J366,0)))</x:f>
        <x:v>6450</x:v>
      </x:c>
      <x:c r="N366" s="11" t="n">
        <x:f>IF(B366="Butterfly",IF(AND(J366&gt;0,J366&lt;K366),D366+J366,"n.a."),IF(C366="call",IF(AND(J366&gt;0,J366&lt;K366),D366+J366,"n.a."),IF(AND(K366&gt;J366,2*E366-D366+J366&gt;=0),2*E366-D366+J366,"n.a.")))</x:f>
        <x:v>6450</x:v>
      </x:c>
      <x:c r="O366" s="11" t="str">
        <x:f>IF(B366="Butterfly",IF(AND(J366&gt;0,J366&lt;K366),F366-J366,"n.a."),IF(C366="call",IF(K366&gt;J366,2*E366-D366-J366,"n.a."),IF(AND(J366&gt;0,J366&lt;K366),D366-J366,"n.a.")))</x:f>
        <x:v>n.a.</x:v>
      </x:c>
      <x:c r="P366" s="19" t="str">
        <x:f>IF(AND(B366="Butterfly",J366&gt;0,J366&lt;K366),L366/J366,"n.a.")</x:f>
        <x:v>n.a.</x:v>
      </x:c>
      <x:c r="Q366" s="11" t="n">
        <x:f>J366*'Model inputs'!$B$8</x:f>
        <x:v>-215000</x:v>
      </x:c>
      <x:c r="R366" s="1" t="str">
        <x:v>Flagged leg data</x:v>
      </x:c>
      <x:c r="S366" s="1" t="n">
        <x:v>918</x:v>
      </x:c>
      <x:c r="T366" s="1" t="n">
        <x:v>911</x:v>
      </x:c>
    </x:row>
    <x:row r="367" ht="21" customHeight="1">
      <x:c r="A367" s="12" t="n">
        <x:v>46276</x:v>
      </x:c>
      <x:c r="B367" s="1" t="str">
        <x:v>1x2 ratio</x:v>
      </x:c>
      <x:c r="C367" s="1" t="str">
        <x:v>call</x:v>
      </x:c>
      <x:c r="D367" s="11" t="n">
        <x:v>4800</x:v>
      </x:c>
      <x:c r="E367" s="11" t="n">
        <x:v>5000</x:v>
      </x:c>
      <x:c r="F367" s="11"/>
      <x:c r="G367" s="11" t="n">
        <x:f>'Option source'!B77</x:f>
        <x:v>2425.74</x:v>
      </x:c>
      <x:c r="H367" s="11" t="n">
        <x:f>'Option source'!B94</x:f>
        <x:v>2248.2</x:v>
      </x:c>
      <x:c r="I367" s="11"/>
      <x:c r="J367" s="11" t="n">
        <x:f>G367-2*H367+IF(B367="Butterfly",I367,0)</x:f>
        <x:v>-2070.66</x:v>
      </x:c>
      <x:c r="K367" s="11" t="n">
        <x:f>ABS(E367-D367)</x:f>
        <x:v>200</x:v>
      </x:c>
      <x:c r="L367" s="11" t="n">
        <x:f>K367-J367</x:f>
        <x:v>2270.66</x:v>
      </x:c>
      <x:c r="M367" s="11" t="str">
        <x:f>IF(B367="Butterfly",MAX(J367,0),IF(C367="call","Unlimited",MAX(2*E367-D367+J367,J367,0)))</x:f>
        <x:v>Unlimited</x:v>
      </x:c>
      <x:c r="N367" s="11" t="str">
        <x:f>IF(B367="Butterfly",IF(AND(J367&gt;0,J367&lt;K367),D367+J367,"n.a."),IF(C367="call",IF(AND(J367&gt;0,J367&lt;K367),D367+J367,"n.a."),IF(AND(K367&gt;J367,2*E367-D367+J367&gt;=0),2*E367-D367+J367,"n.a.")))</x:f>
        <x:v>n.a.</x:v>
      </x:c>
      <x:c r="O367" s="11" t="n">
        <x:f>IF(B367="Butterfly",IF(AND(J367&gt;0,J367&lt;K367),F367-J367,"n.a."),IF(C367="call",IF(K367&gt;J367,2*E367-D367-J367,"n.a."),IF(AND(J367&gt;0,J367&lt;K367),D367-J367,"n.a.")))</x:f>
        <x:v>7270.66</x:v>
      </x:c>
      <x:c r="P367" s="19" t="str">
        <x:f>IF(AND(B367="Butterfly",J367&gt;0,J367&lt;K367),L367/J367,"n.a.")</x:f>
        <x:v>n.a.</x:v>
      </x:c>
      <x:c r="Q367" s="11" t="n">
        <x:f>J367*'Model inputs'!$B$8</x:f>
        <x:v>-207066</x:v>
      </x:c>
      <x:c r="R367" s="1" t="str">
        <x:v>Flagged leg data</x:v>
      </x:c>
      <x:c r="S367" s="1" t="n">
        <x:v>72</x:v>
      </x:c>
      <x:c r="T367" s="1" t="n">
        <x:v>89</x:v>
      </x:c>
    </x:row>
    <x:row r="368" ht="21" customHeight="1">
      <x:c r="A368" s="12" t="n">
        <x:v>46276</x:v>
      </x:c>
      <x:c r="B368" s="1" t="str">
        <x:v>1x2 ratio</x:v>
      </x:c>
      <x:c r="C368" s="1" t="str">
        <x:v>call</x:v>
      </x:c>
      <x:c r="D368" s="11" t="n">
        <x:v>4600</x:v>
      </x:c>
      <x:c r="E368" s="11" t="n">
        <x:v>4800</x:v>
      </x:c>
      <x:c r="F368" s="11"/>
      <x:c r="G368" s="11" t="n">
        <x:f>'Option source'!B60</x:f>
        <x:v>2650</x:v>
      </x:c>
      <x:c r="H368" s="11" t="n">
        <x:f>'Option source'!B77</x:f>
        <x:v>2425.74</x:v>
      </x:c>
      <x:c r="I368" s="11"/>
      <x:c r="J368" s="11" t="n">
        <x:f>G368-2*H368+IF(B368="Butterfly",I368,0)</x:f>
        <x:v>-2201.4799999999996</x:v>
      </x:c>
      <x:c r="K368" s="11" t="n">
        <x:f>ABS(E368-D368)</x:f>
        <x:v>200</x:v>
      </x:c>
      <x:c r="L368" s="11" t="n">
        <x:f>K368-J368</x:f>
        <x:v>2401.4799999999996</x:v>
      </x:c>
      <x:c r="M368" s="11" t="str">
        <x:f>IF(B368="Butterfly",MAX(J368,0),IF(C368="call","Unlimited",MAX(2*E368-D368+J368,J368,0)))</x:f>
        <x:v>Unlimited</x:v>
      </x:c>
      <x:c r="N368" s="11" t="str">
        <x:f>IF(B368="Butterfly",IF(AND(J368&gt;0,J368&lt;K368),D368+J368,"n.a."),IF(C368="call",IF(AND(J368&gt;0,J368&lt;K368),D368+J368,"n.a."),IF(AND(K368&gt;J368,2*E368-D368+J368&gt;=0),2*E368-D368+J368,"n.a.")))</x:f>
        <x:v>n.a.</x:v>
      </x:c>
      <x:c r="O368" s="11" t="n">
        <x:f>IF(B368="Butterfly",IF(AND(J368&gt;0,J368&lt;K368),F368-J368,"n.a."),IF(C368="call",IF(K368&gt;J368,2*E368-D368-J368,"n.a."),IF(AND(J368&gt;0,J368&lt;K368),D368-J368,"n.a.")))</x:f>
        <x:v>7201.48</x:v>
      </x:c>
      <x:c r="P368" s="19" t="str">
        <x:f>IF(AND(B368="Butterfly",J368&gt;0,J368&lt;K368),L368/J368,"n.a.")</x:f>
        <x:v>n.a.</x:v>
      </x:c>
      <x:c r="Q368" s="11" t="n">
        <x:f>J368*'Model inputs'!$B$8</x:f>
        <x:v>-220147.99999999994</x:v>
      </x:c>
      <x:c r="R368" s="1" t="str">
        <x:v>Flagged leg data</x:v>
      </x:c>
      <x:c r="S368" s="1" t="n">
        <x:v>55</x:v>
      </x:c>
      <x:c r="T368" s="1" t="n">
        <x:v>72</x:v>
      </x:c>
    </x:row>
    <x:row r="369" ht="21" customHeight="1">
      <x:c r="A369" s="12" t="n">
        <x:v>46276</x:v>
      </x:c>
      <x:c r="B369" s="1" t="str">
        <x:v>1x2 ratio</x:v>
      </x:c>
      <x:c r="C369" s="1" t="str">
        <x:v>call</x:v>
      </x:c>
      <x:c r="D369" s="11" t="n">
        <x:v>4400</x:v>
      </x:c>
      <x:c r="E369" s="11" t="n">
        <x:v>4600</x:v>
      </x:c>
      <x:c r="F369" s="11"/>
      <x:c r="G369" s="11" t="n">
        <x:f>'Option source'!B41</x:f>
        <x:v>2799.47</x:v>
      </x:c>
      <x:c r="H369" s="11" t="n">
        <x:f>'Option source'!B60</x:f>
        <x:v>2650</x:v>
      </x:c>
      <x:c r="I369" s="11"/>
      <x:c r="J369" s="11" t="n">
        <x:f>G369-2*H369+IF(B369="Butterfly",I369,0)</x:f>
        <x:v>-2500.53</x:v>
      </x:c>
      <x:c r="K369" s="11" t="n">
        <x:f>ABS(E369-D369)</x:f>
        <x:v>200</x:v>
      </x:c>
      <x:c r="L369" s="11" t="n">
        <x:f>K369-J369</x:f>
        <x:v>2700.53</x:v>
      </x:c>
      <x:c r="M369" s="11" t="str">
        <x:f>IF(B369="Butterfly",MAX(J369,0),IF(C369="call","Unlimited",MAX(2*E369-D369+J369,J369,0)))</x:f>
        <x:v>Unlimited</x:v>
      </x:c>
      <x:c r="N369" s="11" t="str">
        <x:f>IF(B369="Butterfly",IF(AND(J369&gt;0,J369&lt;K369),D369+J369,"n.a."),IF(C369="call",IF(AND(J369&gt;0,J369&lt;K369),D369+J369,"n.a."),IF(AND(K369&gt;J369,2*E369-D369+J369&gt;=0),2*E369-D369+J369,"n.a.")))</x:f>
        <x:v>n.a.</x:v>
      </x:c>
      <x:c r="O369" s="11" t="n">
        <x:f>IF(B369="Butterfly",IF(AND(J369&gt;0,J369&lt;K369),F369-J369,"n.a."),IF(C369="call",IF(K369&gt;J369,2*E369-D369-J369,"n.a."),IF(AND(J369&gt;0,J369&lt;K369),D369-J369,"n.a.")))</x:f>
        <x:v>7300.530000000001</x:v>
      </x:c>
      <x:c r="P369" s="19" t="str">
        <x:f>IF(AND(B369="Butterfly",J369&gt;0,J369&lt;K369),L369/J369,"n.a.")</x:f>
        <x:v>n.a.</x:v>
      </x:c>
      <x:c r="Q369" s="11" t="n">
        <x:f>J369*'Model inputs'!$B$8</x:f>
        <x:v>-250053.00000000003</x:v>
      </x:c>
      <x:c r="R369" s="1" t="str">
        <x:v>Flagged leg data</x:v>
      </x:c>
      <x:c r="S369" s="1" t="n">
        <x:v>36</x:v>
      </x:c>
      <x:c r="T369" s="1" t="n">
        <x:v>55</x:v>
      </x:c>
    </x:row>
    <x:row r="370" ht="21" customHeight="1">
      <x:c r="A370" s="12" t="n">
        <x:v>46276</x:v>
      </x:c>
      <x:c r="B370" s="1" t="str">
        <x:v>1x2 ratio</x:v>
      </x:c>
      <x:c r="C370" s="1" t="str">
        <x:v>call</x:v>
      </x:c>
      <x:c r="D370" s="11" t="n">
        <x:v>4200</x:v>
      </x:c>
      <x:c r="E370" s="11" t="n">
        <x:v>4400</x:v>
      </x:c>
      <x:c r="F370" s="11"/>
      <x:c r="G370" s="11" t="n">
        <x:f>'Option source'!B22</x:f>
        <x:v>2956.52</x:v>
      </x:c>
      <x:c r="H370" s="11" t="n">
        <x:f>'Option source'!B41</x:f>
        <x:v>2799.47</x:v>
      </x:c>
      <x:c r="I370" s="11"/>
      <x:c r="J370" s="11" t="n">
        <x:f>G370-2*H370+IF(B370="Butterfly",I370,0)</x:f>
        <x:v>-2642.4199999999996</x:v>
      </x:c>
      <x:c r="K370" s="11" t="n">
        <x:f>ABS(E370-D370)</x:f>
        <x:v>200</x:v>
      </x:c>
      <x:c r="L370" s="11" t="n">
        <x:f>K370-J370</x:f>
        <x:v>2842.4199999999996</x:v>
      </x:c>
      <x:c r="M370" s="11" t="str">
        <x:f>IF(B370="Butterfly",MAX(J370,0),IF(C370="call","Unlimited",MAX(2*E370-D370+J370,J370,0)))</x:f>
        <x:v>Unlimited</x:v>
      </x:c>
      <x:c r="N370" s="11" t="str">
        <x:f>IF(B370="Butterfly",IF(AND(J370&gt;0,J370&lt;K370),D370+J370,"n.a."),IF(C370="call",IF(AND(J370&gt;0,J370&lt;K370),D370+J370,"n.a."),IF(AND(K370&gt;J370,2*E370-D370+J370&gt;=0),2*E370-D370+J370,"n.a.")))</x:f>
        <x:v>n.a.</x:v>
      </x:c>
      <x:c r="O370" s="11" t="n">
        <x:f>IF(B370="Butterfly",IF(AND(J370&gt;0,J370&lt;K370),F370-J370,"n.a."),IF(C370="call",IF(K370&gt;J370,2*E370-D370-J370,"n.a."),IF(AND(J370&gt;0,J370&lt;K370),D370-J370,"n.a.")))</x:f>
        <x:v>7242.42</x:v>
      </x:c>
      <x:c r="P370" s="19" t="str">
        <x:f>IF(AND(B370="Butterfly",J370&gt;0,J370&lt;K370),L370/J370,"n.a.")</x:f>
        <x:v>n.a.</x:v>
      </x:c>
      <x:c r="Q370" s="11" t="n">
        <x:f>J370*'Model inputs'!$B$8</x:f>
        <x:v>-264241.99999999994</x:v>
      </x:c>
      <x:c r="R370" s="1" t="str">
        <x:v>Flagged leg data</x:v>
      </x:c>
      <x:c r="S370" s="1" t="n">
        <x:v>17</x:v>
      </x:c>
      <x:c r="T370" s="1" t="n">
        <x:v>36</x:v>
      </x:c>
    </x:row>
    <x:row r="371" ht="21" customHeight="1">
      <x:c r="A371" s="12" t="n">
        <x:v>46275</x:v>
      </x:c>
      <x:c r="B371" s="1" t="str">
        <x:v>Butterfly</x:v>
      </x:c>
      <x:c r="C371" s="1" t="str">
        <x:v>call</x:v>
      </x:c>
      <x:c r="D371" s="11" t="n">
        <x:v>7000</x:v>
      </x:c>
      <x:c r="E371" s="11" t="n">
        <x:v>7200</x:v>
      </x:c>
      <x:c r="F371" s="11" t="n">
        <x:v>7400</x:v>
      </x:c>
      <x:c r="G371" s="11" t="n">
        <x:f>'Option source'!B273</x:f>
        <x:v>523.63</x:v>
      </x:c>
      <x:c r="H371" s="11" t="n">
        <x:f>'Option source'!B292</x:f>
        <x:v>423.4</x:v>
      </x:c>
      <x:c r="I371" s="11" t="n">
        <x:f>'Option source'!B311</x:f>
        <x:v>328.35</x:v>
      </x:c>
      <x:c r="J371" s="11" t="n">
        <x:f>G371-2*H371+IF(B371="Butterfly",I371,0)</x:f>
        <x:v>5.180000000000064</x:v>
      </x:c>
      <x:c r="K371" s="11" t="n">
        <x:f>ABS(E371-D371)</x:f>
        <x:v>200</x:v>
      </x:c>
      <x:c r="L371" s="11" t="n">
        <x:f>K371-J371</x:f>
        <x:v>194.81999999999994</x:v>
      </x:c>
      <x:c r="M371" s="11" t="n">
        <x:f>IF(B371="Butterfly",MAX(J371,0),IF(C371="call","Unlimited",MAX(2*E371-D371+J371,J371,0)))</x:f>
        <x:v>5.180000000000064</x:v>
      </x:c>
      <x:c r="N371" s="11" t="n">
        <x:f>IF(B371="Butterfly",IF(AND(J371&gt;0,J371&lt;K371),D371+J371,"n.a."),IF(C371="call",IF(AND(J371&gt;0,J371&lt;K371),D371+J371,"n.a."),IF(AND(K371&gt;J371,2*E371-D371+J371&gt;=0),2*E371-D371+J371,"n.a.")))</x:f>
        <x:v>7005.18</x:v>
      </x:c>
      <x:c r="O371" s="11" t="n">
        <x:f>IF(B371="Butterfly",IF(AND(J371&gt;0,J371&lt;K371),F371-J371,"n.a."),IF(C371="call",IF(K371&gt;J371,2*E371-D371-J371,"n.a."),IF(AND(J371&gt;0,J371&lt;K371),D371-J371,"n.a.")))</x:f>
        <x:v>7394.82</x:v>
      </x:c>
      <x:c r="P371" s="19" t="n">
        <x:f>IF(AND(B371="Butterfly",J371&gt;0,J371&lt;K371),L371/J371,"n.a.")</x:f>
        <x:v>37.61003861003814</x:v>
      </x:c>
      <x:c r="Q371" s="11" t="n">
        <x:f>J371*'Model inputs'!$B$8</x:f>
        <x:v>518.0000000000064</x:v>
      </x:c>
      <x:c r="R371" s="1" t="str">
        <x:v>Indicative only</x:v>
      </x:c>
      <x:c r="S371" s="1" t="n">
        <x:v>268</x:v>
      </x:c>
      <x:c r="T371" s="1" t="n">
        <x:v>287</x:v>
      </x:c>
    </x:row>
    <x:row r="372" ht="21" customHeight="1">
      <x:c r="A372" s="12" t="n">
        <x:v>46275</x:v>
      </x:c>
      <x:c r="B372" s="1" t="str">
        <x:v>Butterfly</x:v>
      </x:c>
      <x:c r="C372" s="1" t="str">
        <x:v>put</x:v>
      </x:c>
      <x:c r="D372" s="11" t="n">
        <x:v>7000</x:v>
      </x:c>
      <x:c r="E372" s="11" t="n">
        <x:v>7200</x:v>
      </x:c>
      <x:c r="F372" s="11" t="n">
        <x:v>7400</x:v>
      </x:c>
      <x:c r="G372" s="11" t="n">
        <x:f>'Option source'!B767</x:f>
        <x:v>250.22</x:v>
      </x:c>
      <x:c r="H372" s="11" t="n">
        <x:f>'Option source'!B786</x:f>
        <x:v>344.11</x:v>
      </x:c>
      <x:c r="I372" s="11" t="n">
        <x:f>'Option source'!B805</x:f>
        <x:v>451.44</x:v>
      </x:c>
      <x:c r="J372" s="11" t="n">
        <x:f>G372-2*H372+IF(B372="Butterfly",I372,0)</x:f>
        <x:v>13.439999999999998</x:v>
      </x:c>
      <x:c r="K372" s="11" t="n">
        <x:f>ABS(E372-D372)</x:f>
        <x:v>200</x:v>
      </x:c>
      <x:c r="L372" s="11" t="n">
        <x:f>K372-J372</x:f>
        <x:v>186.56</x:v>
      </x:c>
      <x:c r="M372" s="11" t="n">
        <x:f>IF(B372="Butterfly",MAX(J372,0),IF(C372="call","Unlimited",MAX(2*E372-D372+J372,J372,0)))</x:f>
        <x:v>13.439999999999998</x:v>
      </x:c>
      <x:c r="N372" s="11" t="n">
        <x:f>IF(B372="Butterfly",IF(AND(J372&gt;0,J372&lt;K372),D372+J372,"n.a."),IF(C372="call",IF(AND(J372&gt;0,J372&lt;K372),D372+J372,"n.a."),IF(AND(K372&gt;J372,2*E372-D372+J372&gt;=0),2*E372-D372+J372,"n.a.")))</x:f>
        <x:v>7013.44</x:v>
      </x:c>
      <x:c r="O372" s="11" t="n">
        <x:f>IF(B372="Butterfly",IF(AND(J372&gt;0,J372&lt;K372),F372-J372,"n.a."),IF(C372="call",IF(K372&gt;J372,2*E372-D372-J372,"n.a."),IF(AND(J372&gt;0,J372&lt;K372),D372-J372,"n.a.")))</x:f>
        <x:v>7386.56</x:v>
      </x:c>
      <x:c r="P372" s="19" t="n">
        <x:f>IF(AND(B372="Butterfly",J372&gt;0,J372&lt;K372),L372/J372,"n.a.")</x:f>
        <x:v>13.880952380952383</x:v>
      </x:c>
      <x:c r="Q372" s="11" t="n">
        <x:f>J372*'Model inputs'!$B$8</x:f>
        <x:v>1343.9999999999998</x:v>
      </x:c>
      <x:c r="R372" s="1" t="str">
        <x:v>Indicative only</x:v>
      </x:c>
      <x:c r="S372" s="1" t="n">
        <x:v>762</x:v>
      </x:c>
      <x:c r="T372" s="1" t="n">
        <x:v>781</x:v>
      </x:c>
    </x:row>
    <x:row r="373" ht="21" customHeight="1">
      <x:c r="A373" s="12" t="n">
        <x:v>46275</x:v>
      </x:c>
      <x:c r="B373" s="1" t="str">
        <x:v>Butterfly</x:v>
      </x:c>
      <x:c r="C373" s="1" t="str">
        <x:v>call</x:v>
      </x:c>
      <x:c r="D373" s="11" t="n">
        <x:v>6800</x:v>
      </x:c>
      <x:c r="E373" s="11" t="n">
        <x:v>7000</x:v>
      </x:c>
      <x:c r="F373" s="11" t="n">
        <x:v>7200</x:v>
      </x:c>
      <x:c r="G373" s="11" t="n">
        <x:f>'Option source'!B254</x:f>
        <x:v>648.79</x:v>
      </x:c>
      <x:c r="H373" s="11" t="n">
        <x:f>'Option source'!B273</x:f>
        <x:v>523.63</x:v>
      </x:c>
      <x:c r="I373" s="11" t="n">
        <x:f>'Option source'!B292</x:f>
        <x:v>423.4</x:v>
      </x:c>
      <x:c r="J373" s="11" t="n">
        <x:f>G373-2*H373+IF(B373="Butterfly",I373,0)</x:f>
        <x:v>24.92999999999995</x:v>
      </x:c>
      <x:c r="K373" s="11" t="n">
        <x:f>ABS(E373-D373)</x:f>
        <x:v>200</x:v>
      </x:c>
      <x:c r="L373" s="11" t="n">
        <x:f>K373-J373</x:f>
        <x:v>175.07000000000005</x:v>
      </x:c>
      <x:c r="M373" s="11" t="n">
        <x:f>IF(B373="Butterfly",MAX(J373,0),IF(C373="call","Unlimited",MAX(2*E373-D373+J373,J373,0)))</x:f>
        <x:v>24.92999999999995</x:v>
      </x:c>
      <x:c r="N373" s="11" t="n">
        <x:f>IF(B373="Butterfly",IF(AND(J373&gt;0,J373&lt;K373),D373+J373,"n.a."),IF(C373="call",IF(AND(J373&gt;0,J373&lt;K373),D373+J373,"n.a."),IF(AND(K373&gt;J373,2*E373-D373+J373&gt;=0),2*E373-D373+J373,"n.a.")))</x:f>
        <x:v>6824.93</x:v>
      </x:c>
      <x:c r="O373" s="11" t="n">
        <x:f>IF(B373="Butterfly",IF(AND(J373&gt;0,J373&lt;K373),F373-J373,"n.a."),IF(C373="call",IF(K373&gt;J373,2*E373-D373-J373,"n.a."),IF(AND(J373&gt;0,J373&lt;K373),D373-J373,"n.a.")))</x:f>
        <x:v>7175.07</x:v>
      </x:c>
      <x:c r="P373" s="19" t="n">
        <x:f>IF(AND(B373="Butterfly",J373&gt;0,J373&lt;K373),L373/J373,"n.a.")</x:f>
        <x:v>7.022462896109122</x:v>
      </x:c>
      <x:c r="Q373" s="11" t="n">
        <x:f>J373*'Model inputs'!$B$8</x:f>
        <x:v>2492.999999999995</x:v>
      </x:c>
      <x:c r="R373" s="1" t="str">
        <x:v>Indicative only</x:v>
      </x:c>
      <x:c r="S373" s="1" t="n">
        <x:v>249</x:v>
      </x:c>
      <x:c r="T373" s="1" t="n">
        <x:v>268</x:v>
      </x:c>
    </x:row>
    <x:row r="374" ht="21" customHeight="1">
      <x:c r="A374" s="12" t="n">
        <x:v>46275</x:v>
      </x:c>
      <x:c r="B374" s="1" t="str">
        <x:v>Butterfly</x:v>
      </x:c>
      <x:c r="C374" s="1" t="str">
        <x:v>put</x:v>
      </x:c>
      <x:c r="D374" s="11" t="n">
        <x:v>6800</x:v>
      </x:c>
      <x:c r="E374" s="11" t="n">
        <x:v>7000</x:v>
      </x:c>
      <x:c r="F374" s="11" t="n">
        <x:v>7200</x:v>
      </x:c>
      <x:c r="G374" s="11" t="n">
        <x:f>'Option source'!B748</x:f>
        <x:v>180.26</x:v>
      </x:c>
      <x:c r="H374" s="11" t="n">
        <x:f>'Option source'!B767</x:f>
        <x:v>250.22</x:v>
      </x:c>
      <x:c r="I374" s="11" t="n">
        <x:f>'Option source'!B786</x:f>
        <x:v>344.11</x:v>
      </x:c>
      <x:c r="J374" s="11" t="n">
        <x:f>G374-2*H374+IF(B374="Butterfly",I374,0)</x:f>
        <x:v>23.930000000000007</x:v>
      </x:c>
      <x:c r="K374" s="11" t="n">
        <x:f>ABS(E374-D374)</x:f>
        <x:v>200</x:v>
      </x:c>
      <x:c r="L374" s="11" t="n">
        <x:f>K374-J374</x:f>
        <x:v>176.07</x:v>
      </x:c>
      <x:c r="M374" s="11" t="n">
        <x:f>IF(B374="Butterfly",MAX(J374,0),IF(C374="call","Unlimited",MAX(2*E374-D374+J374,J374,0)))</x:f>
        <x:v>23.930000000000007</x:v>
      </x:c>
      <x:c r="N374" s="11" t="n">
        <x:f>IF(B374="Butterfly",IF(AND(J374&gt;0,J374&lt;K374),D374+J374,"n.a."),IF(C374="call",IF(AND(J374&gt;0,J374&lt;K374),D374+J374,"n.a."),IF(AND(K374&gt;J374,2*E374-D374+J374&gt;=0),2*E374-D374+J374,"n.a.")))</x:f>
        <x:v>6823.93</x:v>
      </x:c>
      <x:c r="O374" s="11" t="n">
        <x:f>IF(B374="Butterfly",IF(AND(J374&gt;0,J374&lt;K374),F374-J374,"n.a."),IF(C374="call",IF(K374&gt;J374,2*E374-D374-J374,"n.a."),IF(AND(J374&gt;0,J374&lt;K374),D374-J374,"n.a.")))</x:f>
        <x:v>7176.07</x:v>
      </x:c>
      <x:c r="P374" s="19" t="n">
        <x:f>IF(AND(B374="Butterfly",J374&gt;0,J374&lt;K374),L374/J374,"n.a.")</x:f>
        <x:v>7.357709987463433</x:v>
      </x:c>
      <x:c r="Q374" s="11" t="n">
        <x:f>J374*'Model inputs'!$B$8</x:f>
        <x:v>2393.000000000001</x:v>
      </x:c>
      <x:c r="R374" s="1" t="str">
        <x:v>Indicative only</x:v>
      </x:c>
      <x:c r="S374" s="1" t="n">
        <x:v>743</x:v>
      </x:c>
      <x:c r="T374" s="1" t="n">
        <x:v>762</x:v>
      </x:c>
    </x:row>
    <x:row r="375" ht="21" customHeight="1">
      <x:c r="A375" s="12" t="n">
        <x:v>46275</x:v>
      </x:c>
      <x:c r="B375" s="1" t="str">
        <x:v>Butterfly</x:v>
      </x:c>
      <x:c r="C375" s="1" t="str">
        <x:v>call</x:v>
      </x:c>
      <x:c r="D375" s="11" t="n">
        <x:v>7200</x:v>
      </x:c>
      <x:c r="E375" s="11" t="n">
        <x:v>7400</x:v>
      </x:c>
      <x:c r="F375" s="11" t="n">
        <x:v>7600</x:v>
      </x:c>
      <x:c r="G375" s="11" t="n">
        <x:f>'Option source'!B292</x:f>
        <x:v>423.4</x:v>
      </x:c>
      <x:c r="H375" s="11" t="n">
        <x:f>'Option source'!B311</x:f>
        <x:v>328.35</x:v>
      </x:c>
      <x:c r="I375" s="11" t="n">
        <x:f>'Option source'!B330</x:f>
        <x:v>254.8</x:v>
      </x:c>
      <x:c r="J375" s="11" t="n">
        <x:f>G375-2*H375+IF(B375="Butterfly",I375,0)</x:f>
        <x:v>21.499999999999943</x:v>
      </x:c>
      <x:c r="K375" s="11" t="n">
        <x:f>ABS(E375-D375)</x:f>
        <x:v>200</x:v>
      </x:c>
      <x:c r="L375" s="11" t="n">
        <x:f>K375-J375</x:f>
        <x:v>178.50000000000006</x:v>
      </x:c>
      <x:c r="M375" s="11" t="n">
        <x:f>IF(B375="Butterfly",MAX(J375,0),IF(C375="call","Unlimited",MAX(2*E375-D375+J375,J375,0)))</x:f>
        <x:v>21.499999999999943</x:v>
      </x:c>
      <x:c r="N375" s="11" t="n">
        <x:f>IF(B375="Butterfly",IF(AND(J375&gt;0,J375&lt;K375),D375+J375,"n.a."),IF(C375="call",IF(AND(J375&gt;0,J375&lt;K375),D375+J375,"n.a."),IF(AND(K375&gt;J375,2*E375-D375+J375&gt;=0),2*E375-D375+J375,"n.a.")))</x:f>
        <x:v>7221.5</x:v>
      </x:c>
      <x:c r="O375" s="11" t="n">
        <x:f>IF(B375="Butterfly",IF(AND(J375&gt;0,J375&lt;K375),F375-J375,"n.a."),IF(C375="call",IF(K375&gt;J375,2*E375-D375-J375,"n.a."),IF(AND(J375&gt;0,J375&lt;K375),D375-J375,"n.a.")))</x:f>
        <x:v>7578.5</x:v>
      </x:c>
      <x:c r="P375" s="19" t="n">
        <x:f>IF(AND(B375="Butterfly",J375&gt;0,J375&lt;K375),L375/J375,"n.a.")</x:f>
        <x:v>8.302325581395374</x:v>
      </x:c>
      <x:c r="Q375" s="11" t="n">
        <x:f>J375*'Model inputs'!$B$8</x:f>
        <x:v>2149.9999999999945</x:v>
      </x:c>
      <x:c r="R375" s="1" t="str">
        <x:v>Indicative only</x:v>
      </x:c>
      <x:c r="S375" s="1" t="n">
        <x:v>287</x:v>
      </x:c>
      <x:c r="T375" s="1" t="n">
        <x:v>306</x:v>
      </x:c>
    </x:row>
    <x:row r="376" ht="21" customHeight="1">
      <x:c r="A376" s="12" t="n">
        <x:v>46275</x:v>
      </x:c>
      <x:c r="B376" s="1" t="str">
        <x:v>Butterfly</x:v>
      </x:c>
      <x:c r="C376" s="1" t="str">
        <x:v>put</x:v>
      </x:c>
      <x:c r="D376" s="11" t="n">
        <x:v>7200</x:v>
      </x:c>
      <x:c r="E376" s="11" t="n">
        <x:v>7400</x:v>
      </x:c>
      <x:c r="F376" s="11" t="n">
        <x:v>7600</x:v>
      </x:c>
      <x:c r="G376" s="11" t="n">
        <x:f>'Option source'!B786</x:f>
        <x:v>344.11</x:v>
      </x:c>
      <x:c r="H376" s="11" t="n">
        <x:f>'Option source'!B805</x:f>
        <x:v>451.44</x:v>
      </x:c>
      <x:c r="I376" s="11" t="n">
        <x:f>'Option source'!B824</x:f>
        <x:v>569.29</x:v>
      </x:c>
      <x:c r="J376" s="11" t="n">
        <x:f>G376-2*H376+IF(B376="Butterfly",I376,0)</x:f>
        <x:v>10.519999999999982</x:v>
      </x:c>
      <x:c r="K376" s="11" t="n">
        <x:f>ABS(E376-D376)</x:f>
        <x:v>200</x:v>
      </x:c>
      <x:c r="L376" s="11" t="n">
        <x:f>K376-J376</x:f>
        <x:v>189.48000000000002</x:v>
      </x:c>
      <x:c r="M376" s="11" t="n">
        <x:f>IF(B376="Butterfly",MAX(J376,0),IF(C376="call","Unlimited",MAX(2*E376-D376+J376,J376,0)))</x:f>
        <x:v>10.519999999999982</x:v>
      </x:c>
      <x:c r="N376" s="11" t="n">
        <x:f>IF(B376="Butterfly",IF(AND(J376&gt;0,J376&lt;K376),D376+J376,"n.a."),IF(C376="call",IF(AND(J376&gt;0,J376&lt;K376),D376+J376,"n.a."),IF(AND(K376&gt;J376,2*E376-D376+J376&gt;=0),2*E376-D376+J376,"n.a.")))</x:f>
        <x:v>7210.52</x:v>
      </x:c>
      <x:c r="O376" s="11" t="n">
        <x:f>IF(B376="Butterfly",IF(AND(J376&gt;0,J376&lt;K376),F376-J376,"n.a."),IF(C376="call",IF(K376&gt;J376,2*E376-D376-J376,"n.a."),IF(AND(J376&gt;0,J376&lt;K376),D376-J376,"n.a.")))</x:f>
        <x:v>7589.48</x:v>
      </x:c>
      <x:c r="P376" s="19" t="n">
        <x:f>IF(AND(B376="Butterfly",J376&gt;0,J376&lt;K376),L376/J376,"n.a.")</x:f>
        <x:v>18.011406844106496</x:v>
      </x:c>
      <x:c r="Q376" s="11" t="n">
        <x:f>J376*'Model inputs'!$B$8</x:f>
        <x:v>1051.9999999999982</x:v>
      </x:c>
      <x:c r="R376" s="1" t="str">
        <x:v>Indicative only</x:v>
      </x:c>
      <x:c r="S376" s="1" t="n">
        <x:v>781</x:v>
      </x:c>
      <x:c r="T376" s="1" t="n">
        <x:v>800</x:v>
      </x:c>
    </x:row>
    <x:row r="377" ht="21" customHeight="1">
      <x:c r="A377" s="12" t="n">
        <x:v>46275</x:v>
      </x:c>
      <x:c r="B377" s="1" t="str">
        <x:v>Butterfly</x:v>
      </x:c>
      <x:c r="C377" s="1" t="str">
        <x:v>put</x:v>
      </x:c>
      <x:c r="D377" s="11" t="n">
        <x:v>6600</x:v>
      </x:c>
      <x:c r="E377" s="11" t="n">
        <x:v>6800</x:v>
      </x:c>
      <x:c r="F377" s="11" t="n">
        <x:v>7000</x:v>
      </x:c>
      <x:c r="G377" s="11" t="n">
        <x:f>'Option source'!B729</x:f>
        <x:v>119.26</x:v>
      </x:c>
      <x:c r="H377" s="11" t="n">
        <x:f>'Option source'!B748</x:f>
        <x:v>180.26</x:v>
      </x:c>
      <x:c r="I377" s="11" t="n">
        <x:f>'Option source'!B767</x:f>
        <x:v>250.22</x:v>
      </x:c>
      <x:c r="J377" s="11" t="n">
        <x:f>G377-2*H377+IF(B377="Butterfly",I377,0)</x:f>
        <x:v>8.960000000000008</x:v>
      </x:c>
      <x:c r="K377" s="11" t="n">
        <x:f>ABS(E377-D377)</x:f>
        <x:v>200</x:v>
      </x:c>
      <x:c r="L377" s="11" t="n">
        <x:f>K377-J377</x:f>
        <x:v>191.04</x:v>
      </x:c>
      <x:c r="M377" s="11" t="n">
        <x:f>IF(B377="Butterfly",MAX(J377,0),IF(C377="call","Unlimited",MAX(2*E377-D377+J377,J377,0)))</x:f>
        <x:v>8.960000000000008</x:v>
      </x:c>
      <x:c r="N377" s="11" t="n">
        <x:f>IF(B377="Butterfly",IF(AND(J377&gt;0,J377&lt;K377),D377+J377,"n.a."),IF(C377="call",IF(AND(J377&gt;0,J377&lt;K377),D377+J377,"n.a."),IF(AND(K377&gt;J377,2*E377-D377+J377&gt;=0),2*E377-D377+J377,"n.a.")))</x:f>
        <x:v>6608.96</x:v>
      </x:c>
      <x:c r="O377" s="11" t="n">
        <x:f>IF(B377="Butterfly",IF(AND(J377&gt;0,J377&lt;K377),F377-J377,"n.a."),IF(C377="call",IF(K377&gt;J377,2*E377-D377-J377,"n.a."),IF(AND(J377&gt;0,J377&lt;K377),D377-J377,"n.a.")))</x:f>
        <x:v>6991.04</x:v>
      </x:c>
      <x:c r="P377" s="19" t="n">
        <x:f>IF(AND(B377="Butterfly",J377&gt;0,J377&lt;K377),L377/J377,"n.a.")</x:f>
        <x:v>21.32142857142855</x:v>
      </x:c>
      <x:c r="Q377" s="11" t="n">
        <x:f>J377*'Model inputs'!$B$8</x:f>
        <x:v>896.0000000000008</x:v>
      </x:c>
      <x:c r="R377" s="1" t="str">
        <x:v>Indicative only</x:v>
      </x:c>
      <x:c r="S377" s="1" t="n">
        <x:v>724</x:v>
      </x:c>
      <x:c r="T377" s="1" t="n">
        <x:v>743</x:v>
      </x:c>
    </x:row>
    <x:row r="378" ht="21" customHeight="1">
      <x:c r="A378" s="12" t="n">
        <x:v>46275</x:v>
      </x:c>
      <x:c r="B378" s="1" t="str">
        <x:v>Butterfly</x:v>
      </x:c>
      <x:c r="C378" s="1" t="str">
        <x:v>call</x:v>
      </x:c>
      <x:c r="D378" s="11" t="n">
        <x:v>7400</x:v>
      </x:c>
      <x:c r="E378" s="11" t="n">
        <x:v>7600</x:v>
      </x:c>
      <x:c r="F378" s="11" t="n">
        <x:v>7800</x:v>
      </x:c>
      <x:c r="G378" s="11" t="n">
        <x:f>'Option source'!B311</x:f>
        <x:v>328.35</x:v>
      </x:c>
      <x:c r="H378" s="11" t="n">
        <x:f>'Option source'!B330</x:f>
        <x:v>254.8</x:v>
      </x:c>
      <x:c r="I378" s="11" t="n">
        <x:f>'Option source'!B349</x:f>
        <x:v>197.85</x:v>
      </x:c>
      <x:c r="J378" s="11" t="n">
        <x:f>G378-2*H378+IF(B378="Butterfly",I378,0)</x:f>
        <x:v>16.599999999999994</x:v>
      </x:c>
      <x:c r="K378" s="11" t="n">
        <x:f>ABS(E378-D378)</x:f>
        <x:v>200</x:v>
      </x:c>
      <x:c r="L378" s="11" t="n">
        <x:f>K378-J378</x:f>
        <x:v>183.4</x:v>
      </x:c>
      <x:c r="M378" s="11" t="n">
        <x:f>IF(B378="Butterfly",MAX(J378,0),IF(C378="call","Unlimited",MAX(2*E378-D378+J378,J378,0)))</x:f>
        <x:v>16.599999999999994</x:v>
      </x:c>
      <x:c r="N378" s="11" t="n">
        <x:f>IF(B378="Butterfly",IF(AND(J378&gt;0,J378&lt;K378),D378+J378,"n.a."),IF(C378="call",IF(AND(J378&gt;0,J378&lt;K378),D378+J378,"n.a."),IF(AND(K378&gt;J378,2*E378-D378+J378&gt;=0),2*E378-D378+J378,"n.a.")))</x:f>
        <x:v>7416.6</x:v>
      </x:c>
      <x:c r="O378" s="11" t="n">
        <x:f>IF(B378="Butterfly",IF(AND(J378&gt;0,J378&lt;K378),F378-J378,"n.a."),IF(C378="call",IF(K378&gt;J378,2*E378-D378-J378,"n.a."),IF(AND(J378&gt;0,J378&lt;K378),D378-J378,"n.a.")))</x:f>
        <x:v>7783.4</x:v>
      </x:c>
      <x:c r="P378" s="19" t="n">
        <x:f>IF(AND(B378="Butterfly",J378&gt;0,J378&lt;K378),L378/J378,"n.a.")</x:f>
        <x:v>11.048192771084342</x:v>
      </x:c>
      <x:c r="Q378" s="11" t="n">
        <x:f>J378*'Model inputs'!$B$8</x:f>
        <x:v>1659.9999999999995</x:v>
      </x:c>
      <x:c r="R378" s="1" t="str">
        <x:v>Indicative only</x:v>
      </x:c>
      <x:c r="S378" s="1" t="n">
        <x:v>306</x:v>
      </x:c>
      <x:c r="T378" s="1" t="n">
        <x:v>325</x:v>
      </x:c>
    </x:row>
    <x:row r="379" ht="21" customHeight="1">
      <x:c r="A379" s="12" t="n">
        <x:v>46275</x:v>
      </x:c>
      <x:c r="B379" s="1" t="str">
        <x:v>Butterfly</x:v>
      </x:c>
      <x:c r="C379" s="1" t="str">
        <x:v>call</x:v>
      </x:c>
      <x:c r="D379" s="11" t="n">
        <x:v>6400</x:v>
      </x:c>
      <x:c r="E379" s="11" t="n">
        <x:v>6600</x:v>
      </x:c>
      <x:c r="F379" s="11" t="n">
        <x:v>6800</x:v>
      </x:c>
      <x:c r="G379" s="11" t="n">
        <x:f>'Option source'!B216</x:f>
        <x:v>945</x:v>
      </x:c>
      <x:c r="H379" s="11" t="n">
        <x:f>'Option source'!B235</x:f>
        <x:v>763.51</x:v>
      </x:c>
      <x:c r="I379" s="11" t="n">
        <x:f>'Option source'!B254</x:f>
        <x:v>648.79</x:v>
      </x:c>
      <x:c r="J379" s="11" t="n">
        <x:f>G379-2*H379+IF(B379="Butterfly",I379,0)</x:f>
        <x:v>66.76999999999998</x:v>
      </x:c>
      <x:c r="K379" s="11" t="n">
        <x:f>ABS(E379-D379)</x:f>
        <x:v>200</x:v>
      </x:c>
      <x:c r="L379" s="11" t="n">
        <x:f>K379-J379</x:f>
        <x:v>133.23000000000002</x:v>
      </x:c>
      <x:c r="M379" s="11" t="n">
        <x:f>IF(B379="Butterfly",MAX(J379,0),IF(C379="call","Unlimited",MAX(2*E379-D379+J379,J379,0)))</x:f>
        <x:v>66.76999999999998</x:v>
      </x:c>
      <x:c r="N379" s="11" t="n">
        <x:f>IF(B379="Butterfly",IF(AND(J379&gt;0,J379&lt;K379),D379+J379,"n.a."),IF(C379="call",IF(AND(J379&gt;0,J379&lt;K379),D379+J379,"n.a."),IF(AND(K379&gt;J379,2*E379-D379+J379&gt;=0),2*E379-D379+J379,"n.a.")))</x:f>
        <x:v>6466.77</x:v>
      </x:c>
      <x:c r="O379" s="11" t="n">
        <x:f>IF(B379="Butterfly",IF(AND(J379&gt;0,J379&lt;K379),F379-J379,"n.a."),IF(C379="call",IF(K379&gt;J379,2*E379-D379-J379,"n.a."),IF(AND(J379&gt;0,J379&lt;K379),D379-J379,"n.a.")))</x:f>
        <x:v>6733.23</x:v>
      </x:c>
      <x:c r="P379" s="19" t="n">
        <x:f>IF(AND(B379="Butterfly",J379&gt;0,J379&lt;K379),L379/J379,"n.a.")</x:f>
        <x:v>1.995357196345665</x:v>
      </x:c>
      <x:c r="Q379" s="11" t="n">
        <x:f>J379*'Model inputs'!$B$8</x:f>
        <x:v>6676.999999999998</x:v>
      </x:c>
      <x:c r="R379" s="1" t="str">
        <x:v>Indicative only</x:v>
      </x:c>
      <x:c r="S379" s="1" t="n">
        <x:v>211</x:v>
      </x:c>
      <x:c r="T379" s="1" t="n">
        <x:v>230</x:v>
      </x:c>
    </x:row>
    <x:row r="380" ht="21" customHeight="1">
      <x:c r="A380" s="12" t="n">
        <x:v>46275</x:v>
      </x:c>
      <x:c r="B380" s="1" t="str">
        <x:v>Butterfly</x:v>
      </x:c>
      <x:c r="C380" s="1" t="str">
        <x:v>put</x:v>
      </x:c>
      <x:c r="D380" s="11" t="n">
        <x:v>6400</x:v>
      </x:c>
      <x:c r="E380" s="11" t="n">
        <x:v>6600</x:v>
      </x:c>
      <x:c r="F380" s="11" t="n">
        <x:v>6800</x:v>
      </x:c>
      <x:c r="G380" s="11" t="n">
        <x:f>'Option source'!B710</x:f>
        <x:v>79.55</x:v>
      </x:c>
      <x:c r="H380" s="11" t="n">
        <x:f>'Option source'!B729</x:f>
        <x:v>119.26</x:v>
      </x:c>
      <x:c r="I380" s="11" t="n">
        <x:f>'Option source'!B748</x:f>
        <x:v>180.26</x:v>
      </x:c>
      <x:c r="J380" s="11" t="n">
        <x:f>G380-2*H380+IF(B380="Butterfly",I380,0)</x:f>
        <x:v>21.289999999999964</x:v>
      </x:c>
      <x:c r="K380" s="11" t="n">
        <x:f>ABS(E380-D380)</x:f>
        <x:v>200</x:v>
      </x:c>
      <x:c r="L380" s="11" t="n">
        <x:f>K380-J380</x:f>
        <x:v>178.71000000000004</x:v>
      </x:c>
      <x:c r="M380" s="11" t="n">
        <x:f>IF(B380="Butterfly",MAX(J380,0),IF(C380="call","Unlimited",MAX(2*E380-D380+J380,J380,0)))</x:f>
        <x:v>21.289999999999964</x:v>
      </x:c>
      <x:c r="N380" s="11" t="n">
        <x:f>IF(B380="Butterfly",IF(AND(J380&gt;0,J380&lt;K380),D380+J380,"n.a."),IF(C380="call",IF(AND(J380&gt;0,J380&lt;K380),D380+J380,"n.a."),IF(AND(K380&gt;J380,2*E380-D380+J380&gt;=0),2*E380-D380+J380,"n.a.")))</x:f>
        <x:v>6421.29</x:v>
      </x:c>
      <x:c r="O380" s="11" t="n">
        <x:f>IF(B380="Butterfly",IF(AND(J380&gt;0,J380&lt;K380),F380-J380,"n.a."),IF(C380="call",IF(K380&gt;J380,2*E380-D380-J380,"n.a."),IF(AND(J380&gt;0,J380&lt;K380),D380-J380,"n.a.")))</x:f>
        <x:v>6778.71</x:v>
      </x:c>
      <x:c r="P380" s="19" t="n">
        <x:f>IF(AND(B380="Butterfly",J380&gt;0,J380&lt;K380),L380/J380,"n.a.")</x:f>
        <x:v>8.394081728511054</x:v>
      </x:c>
      <x:c r="Q380" s="11" t="n">
        <x:f>J380*'Model inputs'!$B$8</x:f>
        <x:v>2128.9999999999964</x:v>
      </x:c>
      <x:c r="R380" s="1" t="str">
        <x:v>Indicative only</x:v>
      </x:c>
      <x:c r="S380" s="1" t="n">
        <x:v>705</x:v>
      </x:c>
      <x:c r="T380" s="1" t="n">
        <x:v>724</x:v>
      </x:c>
    </x:row>
    <x:row r="381" ht="21" customHeight="1">
      <x:c r="A381" s="12" t="n">
        <x:v>46275</x:v>
      </x:c>
      <x:c r="B381" s="1" t="str">
        <x:v>Butterfly</x:v>
      </x:c>
      <x:c r="C381" s="1" t="str">
        <x:v>call</x:v>
      </x:c>
      <x:c r="D381" s="11" t="n">
        <x:v>7600</x:v>
      </x:c>
      <x:c r="E381" s="11" t="n">
        <x:v>7800</x:v>
      </x:c>
      <x:c r="F381" s="11" t="n">
        <x:v>8000</x:v>
      </x:c>
      <x:c r="G381" s="11" t="n">
        <x:f>'Option source'!B330</x:f>
        <x:v>254.8</x:v>
      </x:c>
      <x:c r="H381" s="11" t="n">
        <x:f>'Option source'!B349</x:f>
        <x:v>197.85</x:v>
      </x:c>
      <x:c r="I381" s="11" t="n">
        <x:f>'Option source'!B368</x:f>
        <x:v>146.4</x:v>
      </x:c>
      <x:c r="J381" s="11" t="n">
        <x:f>G381-2*H381+IF(B381="Butterfly",I381,0)</x:f>
        <x:v>5.500000000000028</x:v>
      </x:c>
      <x:c r="K381" s="11" t="n">
        <x:f>ABS(E381-D381)</x:f>
        <x:v>200</x:v>
      </x:c>
      <x:c r="L381" s="11" t="n">
        <x:f>K381-J381</x:f>
        <x:v>194.49999999999997</x:v>
      </x:c>
      <x:c r="M381" s="11" t="n">
        <x:f>IF(B381="Butterfly",MAX(J381,0),IF(C381="call","Unlimited",MAX(2*E381-D381+J381,J381,0)))</x:f>
        <x:v>5.500000000000028</x:v>
      </x:c>
      <x:c r="N381" s="11" t="n">
        <x:f>IF(B381="Butterfly",IF(AND(J381&gt;0,J381&lt;K381),D381+J381,"n.a."),IF(C381="call",IF(AND(J381&gt;0,J381&lt;K381),D381+J381,"n.a."),IF(AND(K381&gt;J381,2*E381-D381+J381&gt;=0),2*E381-D381+J381,"n.a.")))</x:f>
        <x:v>7605.5</x:v>
      </x:c>
      <x:c r="O381" s="11" t="n">
        <x:f>IF(B381="Butterfly",IF(AND(J381&gt;0,J381&lt;K381),F381-J381,"n.a."),IF(C381="call",IF(K381&gt;J381,2*E381-D381-J381,"n.a."),IF(AND(J381&gt;0,J381&lt;K381),D381-J381,"n.a.")))</x:f>
        <x:v>7994.5</x:v>
      </x:c>
      <x:c r="P381" s="19" t="n">
        <x:f>IF(AND(B381="Butterfly",J381&gt;0,J381&lt;K381),L381/J381,"n.a.")</x:f>
        <x:v>35.363636363636175</x:v>
      </x:c>
      <x:c r="Q381" s="11" t="n">
        <x:f>J381*'Model inputs'!$B$8</x:f>
        <x:v>550.0000000000028</x:v>
      </x:c>
      <x:c r="R381" s="1" t="str">
        <x:v>Indicative only</x:v>
      </x:c>
      <x:c r="S381" s="1" t="n">
        <x:v>325</x:v>
      </x:c>
      <x:c r="T381" s="1" t="n">
        <x:v>344</x:v>
      </x:c>
    </x:row>
    <x:row r="382" ht="21" customHeight="1">
      <x:c r="A382" s="12" t="n">
        <x:v>46275</x:v>
      </x:c>
      <x:c r="B382" s="1" t="str">
        <x:v>Butterfly</x:v>
      </x:c>
      <x:c r="C382" s="1" t="str">
        <x:v>put</x:v>
      </x:c>
      <x:c r="D382" s="11" t="n">
        <x:v>6200</x:v>
      </x:c>
      <x:c r="E382" s="11" t="n">
        <x:v>6400</x:v>
      </x:c>
      <x:c r="F382" s="11" t="n">
        <x:v>6600</x:v>
      </x:c>
      <x:c r="G382" s="11" t="n">
        <x:f>'Option source'!B691</x:f>
        <x:v>50.26</x:v>
      </x:c>
      <x:c r="H382" s="11" t="n">
        <x:f>'Option source'!B710</x:f>
        <x:v>79.55</x:v>
      </x:c>
      <x:c r="I382" s="11" t="n">
        <x:f>'Option source'!B729</x:f>
        <x:v>119.26</x:v>
      </x:c>
      <x:c r="J382" s="11" t="n">
        <x:f>G382-2*H382+IF(B382="Butterfly",I382,0)</x:f>
        <x:v>10.420000000000002</x:v>
      </x:c>
      <x:c r="K382" s="11" t="n">
        <x:f>ABS(E382-D382)</x:f>
        <x:v>200</x:v>
      </x:c>
      <x:c r="L382" s="11" t="n">
        <x:f>K382-J382</x:f>
        <x:v>189.57999999999998</x:v>
      </x:c>
      <x:c r="M382" s="11" t="n">
        <x:f>IF(B382="Butterfly",MAX(J382,0),IF(C382="call","Unlimited",MAX(2*E382-D382+J382,J382,0)))</x:f>
        <x:v>10.420000000000002</x:v>
      </x:c>
      <x:c r="N382" s="11" t="n">
        <x:f>IF(B382="Butterfly",IF(AND(J382&gt;0,J382&lt;K382),D382+J382,"n.a."),IF(C382="call",IF(AND(J382&gt;0,J382&lt;K382),D382+J382,"n.a."),IF(AND(K382&gt;J382,2*E382-D382+J382&gt;=0),2*E382-D382+J382,"n.a.")))</x:f>
        <x:v>6210.42</x:v>
      </x:c>
      <x:c r="O382" s="11" t="n">
        <x:f>IF(B382="Butterfly",IF(AND(J382&gt;0,J382&lt;K382),F382-J382,"n.a."),IF(C382="call",IF(K382&gt;J382,2*E382-D382-J382,"n.a."),IF(AND(J382&gt;0,J382&lt;K382),D382-J382,"n.a.")))</x:f>
        <x:v>6589.58</x:v>
      </x:c>
      <x:c r="P382" s="19" t="n">
        <x:f>IF(AND(B382="Butterfly",J382&gt;0,J382&lt;K382),L382/J382,"n.a.")</x:f>
        <x:v>18.193857965451052</x:v>
      </x:c>
      <x:c r="Q382" s="11" t="n">
        <x:f>J382*'Model inputs'!$B$8</x:f>
        <x:v>1042.0000000000002</x:v>
      </x:c>
      <x:c r="R382" s="1" t="str">
        <x:v>Indicative only</x:v>
      </x:c>
      <x:c r="S382" s="1" t="n">
        <x:v>686</x:v>
      </x:c>
      <x:c r="T382" s="1" t="n">
        <x:v>705</x:v>
      </x:c>
    </x:row>
    <x:row r="383" ht="21" customHeight="1">
      <x:c r="A383" s="12" t="n">
        <x:v>46275</x:v>
      </x:c>
      <x:c r="B383" s="1" t="str">
        <x:v>Butterfly</x:v>
      </x:c>
      <x:c r="C383" s="1" t="str">
        <x:v>put</x:v>
      </x:c>
      <x:c r="D383" s="11" t="n">
        <x:v>6000</x:v>
      </x:c>
      <x:c r="E383" s="11" t="n">
        <x:v>6200</x:v>
      </x:c>
      <x:c r="F383" s="11" t="n">
        <x:v>6400</x:v>
      </x:c>
      <x:c r="G383" s="11" t="n">
        <x:f>'Option source'!B672</x:f>
        <x:v>29.33</x:v>
      </x:c>
      <x:c r="H383" s="11" t="n">
        <x:f>'Option source'!B691</x:f>
        <x:v>50.26</x:v>
      </x:c>
      <x:c r="I383" s="11" t="n">
        <x:f>'Option source'!B710</x:f>
        <x:v>79.55</x:v>
      </x:c>
      <x:c r="J383" s="11" t="n">
        <x:f>G383-2*H383+IF(B383="Butterfly",I383,0)</x:f>
        <x:v>8.36</x:v>
      </x:c>
      <x:c r="K383" s="11" t="n">
        <x:f>ABS(E383-D383)</x:f>
        <x:v>200</x:v>
      </x:c>
      <x:c r="L383" s="11" t="n">
        <x:f>K383-J383</x:f>
        <x:v>191.64</x:v>
      </x:c>
      <x:c r="M383" s="11" t="n">
        <x:f>IF(B383="Butterfly",MAX(J383,0),IF(C383="call","Unlimited",MAX(2*E383-D383+J383,J383,0)))</x:f>
        <x:v>8.36</x:v>
      </x:c>
      <x:c r="N383" s="11" t="n">
        <x:f>IF(B383="Butterfly",IF(AND(J383&gt;0,J383&lt;K383),D383+J383,"n.a."),IF(C383="call",IF(AND(J383&gt;0,J383&lt;K383),D383+J383,"n.a."),IF(AND(K383&gt;J383,2*E383-D383+J383&gt;=0),2*E383-D383+J383,"n.a.")))</x:f>
        <x:v>6008.36</x:v>
      </x:c>
      <x:c r="O383" s="11" t="n">
        <x:f>IF(B383="Butterfly",IF(AND(J383&gt;0,J383&lt;K383),F383-J383,"n.a."),IF(C383="call",IF(K383&gt;J383,2*E383-D383-J383,"n.a."),IF(AND(J383&gt;0,J383&lt;K383),D383-J383,"n.a.")))</x:f>
        <x:v>6391.64</x:v>
      </x:c>
      <x:c r="P383" s="19" t="n">
        <x:f>IF(AND(B383="Butterfly",J383&gt;0,J383&lt;K383),L383/J383,"n.a.")</x:f>
        <x:v>22.923444976076556</x:v>
      </x:c>
      <x:c r="Q383" s="11" t="n">
        <x:f>J383*'Model inputs'!$B$8</x:f>
        <x:v>836</x:v>
      </x:c>
      <x:c r="R383" s="1" t="str">
        <x:v>Indicative only</x:v>
      </x:c>
      <x:c r="S383" s="1" t="n">
        <x:v>667</x:v>
      </x:c>
      <x:c r="T383" s="1" t="n">
        <x:v>686</x:v>
      </x:c>
    </x:row>
    <x:row r="384" ht="21" customHeight="1">
      <x:c r="A384" s="12" t="n">
        <x:v>46275</x:v>
      </x:c>
      <x:c r="B384" s="1" t="str">
        <x:v>Butterfly</x:v>
      </x:c>
      <x:c r="C384" s="1" t="str">
        <x:v>put</x:v>
      </x:c>
      <x:c r="D384" s="11" t="n">
        <x:v>5800</x:v>
      </x:c>
      <x:c r="E384" s="11" t="n">
        <x:v>6000</x:v>
      </x:c>
      <x:c r="F384" s="11" t="n">
        <x:v>6200</x:v>
      </x:c>
      <x:c r="G384" s="11" t="n">
        <x:f>'Option source'!B653</x:f>
        <x:v>15.97</x:v>
      </x:c>
      <x:c r="H384" s="11" t="n">
        <x:f>'Option source'!B672</x:f>
        <x:v>29.33</x:v>
      </x:c>
      <x:c r="I384" s="11" t="n">
        <x:f>'Option source'!B691</x:f>
        <x:v>50.26</x:v>
      </x:c>
      <x:c r="J384" s="11" t="n">
        <x:f>G384-2*H384+IF(B384="Butterfly",I384,0)</x:f>
        <x:v>7.57</x:v>
      </x:c>
      <x:c r="K384" s="11" t="n">
        <x:f>ABS(E384-D384)</x:f>
        <x:v>200</x:v>
      </x:c>
      <x:c r="L384" s="11" t="n">
        <x:f>K384-J384</x:f>
        <x:v>192.43</x:v>
      </x:c>
      <x:c r="M384" s="11" t="n">
        <x:f>IF(B384="Butterfly",MAX(J384,0),IF(C384="call","Unlimited",MAX(2*E384-D384+J384,J384,0)))</x:f>
        <x:v>7.57</x:v>
      </x:c>
      <x:c r="N384" s="11" t="n">
        <x:f>IF(B384="Butterfly",IF(AND(J384&gt;0,J384&lt;K384),D384+J384,"n.a."),IF(C384="call",IF(AND(J384&gt;0,J384&lt;K384),D384+J384,"n.a."),IF(AND(K384&gt;J384,2*E384-D384+J384&gt;=0),2*E384-D384+J384,"n.a.")))</x:f>
        <x:v>5807.57</x:v>
      </x:c>
      <x:c r="O384" s="11" t="n">
        <x:f>IF(B384="Butterfly",IF(AND(J384&gt;0,J384&lt;K384),F384-J384,"n.a."),IF(C384="call",IF(K384&gt;J384,2*E384-D384-J384,"n.a."),IF(AND(J384&gt;0,J384&lt;K384),D384-J384,"n.a.")))</x:f>
        <x:v>6192.43</x:v>
      </x:c>
      <x:c r="P384" s="19" t="n">
        <x:f>IF(AND(B384="Butterfly",J384&gt;0,J384&lt;K384),L384/J384,"n.a.")</x:f>
        <x:v>25.42007926023778</x:v>
      </x:c>
      <x:c r="Q384" s="11" t="n">
        <x:f>J384*'Model inputs'!$B$8</x:f>
        <x:v>757</x:v>
      </x:c>
      <x:c r="R384" s="1" t="str">
        <x:v>Indicative only</x:v>
      </x:c>
      <x:c r="S384" s="1" t="n">
        <x:v>648</x:v>
      </x:c>
      <x:c r="T384" s="1" t="n">
        <x:v>667</x:v>
      </x:c>
    </x:row>
    <x:row r="385" ht="21" customHeight="1">
      <x:c r="A385" s="12" t="n">
        <x:v>46275</x:v>
      </x:c>
      <x:c r="B385" s="1" t="str">
        <x:v>Butterfly</x:v>
      </x:c>
      <x:c r="C385" s="1" t="str">
        <x:v>call</x:v>
      </x:c>
      <x:c r="D385" s="11" t="n">
        <x:v>8000</x:v>
      </x:c>
      <x:c r="E385" s="11" t="n">
        <x:v>8300</x:v>
      </x:c>
      <x:c r="F385" s="11" t="n">
        <x:v>8600</x:v>
      </x:c>
      <x:c r="G385" s="11" t="n">
        <x:f>'Option source'!B368</x:f>
        <x:v>146.4</x:v>
      </x:c>
      <x:c r="H385" s="11" t="n">
        <x:f>'Option source'!B387</x:f>
        <x:v>92.56</x:v>
      </x:c>
      <x:c r="I385" s="11" t="n">
        <x:f>'Option source'!B406</x:f>
        <x:v>53.67</x:v>
      </x:c>
      <x:c r="J385" s="11" t="n">
        <x:f>G385-2*H385+IF(B385="Butterfly",I385,0)</x:f>
        <x:v>14.950000000000003</x:v>
      </x:c>
      <x:c r="K385" s="11" t="n">
        <x:f>ABS(E385-D385)</x:f>
        <x:v>300</x:v>
      </x:c>
      <x:c r="L385" s="11" t="n">
        <x:f>K385-J385</x:f>
        <x:v>285.05</x:v>
      </x:c>
      <x:c r="M385" s="11" t="n">
        <x:f>IF(B385="Butterfly",MAX(J385,0),IF(C385="call","Unlimited",MAX(2*E385-D385+J385,J385,0)))</x:f>
        <x:v>14.950000000000003</x:v>
      </x:c>
      <x:c r="N385" s="11" t="n">
        <x:f>IF(B385="Butterfly",IF(AND(J385&gt;0,J385&lt;K385),D385+J385,"n.a."),IF(C385="call",IF(AND(J385&gt;0,J385&lt;K385),D385+J385,"n.a."),IF(AND(K385&gt;J385,2*E385-D385+J385&gt;=0),2*E385-D385+J385,"n.a.")))</x:f>
        <x:v>8014.95</x:v>
      </x:c>
      <x:c r="O385" s="11" t="n">
        <x:f>IF(B385="Butterfly",IF(AND(J385&gt;0,J385&lt;K385),F385-J385,"n.a."),IF(C385="call",IF(K385&gt;J385,2*E385-D385-J385,"n.a."),IF(AND(J385&gt;0,J385&lt;K385),D385-J385,"n.a.")))</x:f>
        <x:v>8585.05</x:v>
      </x:c>
      <x:c r="P385" s="19" t="n">
        <x:f>IF(AND(B385="Butterfly",J385&gt;0,J385&lt;K385),L385/J385,"n.a.")</x:f>
        <x:v>19.06688963210702</x:v>
      </x:c>
      <x:c r="Q385" s="11" t="n">
        <x:f>J385*'Model inputs'!$B$8</x:f>
        <x:v>1495.0000000000002</x:v>
      </x:c>
      <x:c r="R385" s="1" t="str">
        <x:v>Indicative only</x:v>
      </x:c>
      <x:c r="S385" s="1" t="n">
        <x:v>363</x:v>
      </x:c>
      <x:c r="T385" s="1" t="n">
        <x:v>382</x:v>
      </x:c>
    </x:row>
    <x:row r="386" ht="21" customHeight="1">
      <x:c r="A386" s="12" t="n">
        <x:v>46275</x:v>
      </x:c>
      <x:c r="B386" s="1" t="str">
        <x:v>Butterfly</x:v>
      </x:c>
      <x:c r="C386" s="1" t="str">
        <x:v>put</x:v>
      </x:c>
      <x:c r="D386" s="11" t="n">
        <x:v>5600</x:v>
      </x:c>
      <x:c r="E386" s="11" t="n">
        <x:v>5800</x:v>
      </x:c>
      <x:c r="F386" s="11" t="n">
        <x:v>6000</x:v>
      </x:c>
      <x:c r="G386" s="11" t="n">
        <x:f>'Option source'!B634</x:f>
        <x:v>8.45</x:v>
      </x:c>
      <x:c r="H386" s="11" t="n">
        <x:f>'Option source'!B653</x:f>
        <x:v>15.97</x:v>
      </x:c>
      <x:c r="I386" s="11" t="n">
        <x:f>'Option source'!B672</x:f>
        <x:v>29.33</x:v>
      </x:c>
      <x:c r="J386" s="11" t="n">
        <x:f>G386-2*H386+IF(B386="Butterfly",I386,0)</x:f>
        <x:v>5.839999999999996</x:v>
      </x:c>
      <x:c r="K386" s="11" t="n">
        <x:f>ABS(E386-D386)</x:f>
        <x:v>200</x:v>
      </x:c>
      <x:c r="L386" s="11" t="n">
        <x:f>K386-J386</x:f>
        <x:v>194.16</x:v>
      </x:c>
      <x:c r="M386" s="11" t="n">
        <x:f>IF(B386="Butterfly",MAX(J386,0),IF(C386="call","Unlimited",MAX(2*E386-D386+J386,J386,0)))</x:f>
        <x:v>5.839999999999996</x:v>
      </x:c>
      <x:c r="N386" s="11" t="n">
        <x:f>IF(B386="Butterfly",IF(AND(J386&gt;0,J386&lt;K386),D386+J386,"n.a."),IF(C386="call",IF(AND(J386&gt;0,J386&lt;K386),D386+J386,"n.a."),IF(AND(K386&gt;J386,2*E386-D386+J386&gt;=0),2*E386-D386+J386,"n.a.")))</x:f>
        <x:v>5605.84</x:v>
      </x:c>
      <x:c r="O386" s="11" t="n">
        <x:f>IF(B386="Butterfly",IF(AND(J386&gt;0,J386&lt;K386),F386-J386,"n.a."),IF(C386="call",IF(K386&gt;J386,2*E386-D386-J386,"n.a."),IF(AND(J386&gt;0,J386&lt;K386),D386-J386,"n.a.")))</x:f>
        <x:v>5994.16</x:v>
      </x:c>
      <x:c r="P386" s="19" t="n">
        <x:f>IF(AND(B386="Butterfly",J386&gt;0,J386&lt;K386),L386/J386,"n.a.")</x:f>
        <x:v>33.246575342465775</x:v>
      </x:c>
      <x:c r="Q386" s="11" t="n">
        <x:f>J386*'Model inputs'!$B$8</x:f>
        <x:v>583.9999999999997</x:v>
      </x:c>
      <x:c r="R386" s="1" t="str">
        <x:v>Indicative only</x:v>
      </x:c>
      <x:c r="S386" s="1" t="n">
        <x:v>629</x:v>
      </x:c>
      <x:c r="T386" s="1" t="n">
        <x:v>648</x:v>
      </x:c>
    </x:row>
    <x:row r="387" ht="21" customHeight="1">
      <x:c r="A387" s="12" t="n">
        <x:v>46275</x:v>
      </x:c>
      <x:c r="B387" s="1" t="str">
        <x:v>Butterfly</x:v>
      </x:c>
      <x:c r="C387" s="1" t="str">
        <x:v>call</x:v>
      </x:c>
      <x:c r="D387" s="11" t="n">
        <x:v>8300</x:v>
      </x:c>
      <x:c r="E387" s="11" t="n">
        <x:v>8600</x:v>
      </x:c>
      <x:c r="F387" s="11" t="n">
        <x:v>8900</x:v>
      </x:c>
      <x:c r="G387" s="11" t="n">
        <x:f>'Option source'!B387</x:f>
        <x:v>92.56</x:v>
      </x:c>
      <x:c r="H387" s="11" t="n">
        <x:f>'Option source'!B406</x:f>
        <x:v>53.67</x:v>
      </x:c>
      <x:c r="I387" s="11" t="n">
        <x:f>'Option source'!B425</x:f>
        <x:v>31.79</x:v>
      </x:c>
      <x:c r="J387" s="11" t="n">
        <x:f>G387-2*H387+IF(B387="Butterfly",I387,0)</x:f>
        <x:v>17.009999999999998</x:v>
      </x:c>
      <x:c r="K387" s="11" t="n">
        <x:f>ABS(E387-D387)</x:f>
        <x:v>300</x:v>
      </x:c>
      <x:c r="L387" s="11" t="n">
        <x:f>K387-J387</x:f>
        <x:v>282.99</x:v>
      </x:c>
      <x:c r="M387" s="11" t="n">
        <x:f>IF(B387="Butterfly",MAX(J387,0),IF(C387="call","Unlimited",MAX(2*E387-D387+J387,J387,0)))</x:f>
        <x:v>17.009999999999998</x:v>
      </x:c>
      <x:c r="N387" s="11" t="n">
        <x:f>IF(B387="Butterfly",IF(AND(J387&gt;0,J387&lt;K387),D387+J387,"n.a."),IF(C387="call",IF(AND(J387&gt;0,J387&lt;K387),D387+J387,"n.a."),IF(AND(K387&gt;J387,2*E387-D387+J387&gt;=0),2*E387-D387+J387,"n.a.")))</x:f>
        <x:v>8317.01</x:v>
      </x:c>
      <x:c r="O387" s="11" t="n">
        <x:f>IF(B387="Butterfly",IF(AND(J387&gt;0,J387&lt;K387),F387-J387,"n.a."),IF(C387="call",IF(K387&gt;J387,2*E387-D387-J387,"n.a."),IF(AND(J387&gt;0,J387&lt;K387),D387-J387,"n.a.")))</x:f>
        <x:v>8882.99</x:v>
      </x:c>
      <x:c r="P387" s="19" t="n">
        <x:f>IF(AND(B387="Butterfly",J387&gt;0,J387&lt;K387),L387/J387,"n.a.")</x:f>
        <x:v>16.63668430335097</x:v>
      </x:c>
      <x:c r="Q387" s="11" t="n">
        <x:f>J387*'Model inputs'!$B$8</x:f>
        <x:v>1700.9999999999998</x:v>
      </x:c>
      <x:c r="R387" s="1" t="str">
        <x:v>Indicative only</x:v>
      </x:c>
      <x:c r="S387" s="1" t="n">
        <x:v>382</x:v>
      </x:c>
      <x:c r="T387" s="1" t="n">
        <x:v>401</x:v>
      </x:c>
    </x:row>
    <x:row r="388" ht="21" customHeight="1">
      <x:c r="A388" s="12" t="n">
        <x:v>46275</x:v>
      </x:c>
      <x:c r="B388" s="1" t="str">
        <x:v>Butterfly</x:v>
      </x:c>
      <x:c r="C388" s="1" t="str">
        <x:v>put</x:v>
      </x:c>
      <x:c r="D388" s="11" t="n">
        <x:v>5400</x:v>
      </x:c>
      <x:c r="E388" s="11" t="n">
        <x:v>5600</x:v>
      </x:c>
      <x:c r="F388" s="11" t="n">
        <x:v>5800</x:v>
      </x:c>
      <x:c r="G388" s="11" t="n">
        <x:f>'Option source'!B615</x:f>
        <x:v>4.52</x:v>
      </x:c>
      <x:c r="H388" s="11" t="n">
        <x:f>'Option source'!B634</x:f>
        <x:v>8.45</x:v>
      </x:c>
      <x:c r="I388" s="11" t="n">
        <x:f>'Option source'!B653</x:f>
        <x:v>15.97</x:v>
      </x:c>
      <x:c r="J388" s="11" t="n">
        <x:f>G388-2*H388+IF(B388="Butterfly",I388,0)</x:f>
        <x:v>3.5900000000000016</x:v>
      </x:c>
      <x:c r="K388" s="11" t="n">
        <x:f>ABS(E388-D388)</x:f>
        <x:v>200</x:v>
      </x:c>
      <x:c r="L388" s="11" t="n">
        <x:f>K388-J388</x:f>
        <x:v>196.41</x:v>
      </x:c>
      <x:c r="M388" s="11" t="n">
        <x:f>IF(B388="Butterfly",MAX(J388,0),IF(C388="call","Unlimited",MAX(2*E388-D388+J388,J388,0)))</x:f>
        <x:v>3.5900000000000016</x:v>
      </x:c>
      <x:c r="N388" s="11" t="n">
        <x:f>IF(B388="Butterfly",IF(AND(J388&gt;0,J388&lt;K388),D388+J388,"n.a."),IF(C388="call",IF(AND(J388&gt;0,J388&lt;K388),D388+J388,"n.a."),IF(AND(K388&gt;J388,2*E388-D388+J388&gt;=0),2*E388-D388+J388,"n.a.")))</x:f>
        <x:v>5403.59</x:v>
      </x:c>
      <x:c r="O388" s="11" t="n">
        <x:f>IF(B388="Butterfly",IF(AND(J388&gt;0,J388&lt;K388),F388-J388,"n.a."),IF(C388="call",IF(K388&gt;J388,2*E388-D388-J388,"n.a."),IF(AND(J388&gt;0,J388&lt;K388),D388-J388,"n.a.")))</x:f>
        <x:v>5796.41</x:v>
      </x:c>
      <x:c r="P388" s="19" t="n">
        <x:f>IF(AND(B388="Butterfly",J388&gt;0,J388&lt;K388),L388/J388,"n.a.")</x:f>
        <x:v>54.71030640668521</x:v>
      </x:c>
      <x:c r="Q388" s="11" t="n">
        <x:f>J388*'Model inputs'!$B$8</x:f>
        <x:v>359.00000000000017</x:v>
      </x:c>
      <x:c r="R388" s="1" t="str">
        <x:v>Indicative only</x:v>
      </x:c>
      <x:c r="S388" s="1" t="n">
        <x:v>610</x:v>
      </x:c>
      <x:c r="T388" s="1" t="n">
        <x:v>629</x:v>
      </x:c>
    </x:row>
    <x:row r="389" ht="21" customHeight="1">
      <x:c r="A389" s="12" t="n">
        <x:v>46275</x:v>
      </x:c>
      <x:c r="B389" s="1" t="str">
        <x:v>Butterfly</x:v>
      </x:c>
      <x:c r="C389" s="1" t="str">
        <x:v>put</x:v>
      </x:c>
      <x:c r="D389" s="11" t="n">
        <x:v>5200</x:v>
      </x:c>
      <x:c r="E389" s="11" t="n">
        <x:v>5400</x:v>
      </x:c>
      <x:c r="F389" s="11" t="n">
        <x:v>5600</x:v>
      </x:c>
      <x:c r="G389" s="11" t="n">
        <x:f>'Option source'!B596</x:f>
        <x:v>2.66</x:v>
      </x:c>
      <x:c r="H389" s="11" t="n">
        <x:f>'Option source'!B615</x:f>
        <x:v>4.52</x:v>
      </x:c>
      <x:c r="I389" s="11" t="n">
        <x:f>'Option source'!B634</x:f>
        <x:v>8.45</x:v>
      </x:c>
      <x:c r="J389" s="11" t="n">
        <x:f>G389-2*H389+IF(B389="Butterfly",I389,0)</x:f>
        <x:v>2.0700000000000003</x:v>
      </x:c>
      <x:c r="K389" s="11" t="n">
        <x:f>ABS(E389-D389)</x:f>
        <x:v>200</x:v>
      </x:c>
      <x:c r="L389" s="11" t="n">
        <x:f>K389-J389</x:f>
        <x:v>197.93</x:v>
      </x:c>
      <x:c r="M389" s="11" t="n">
        <x:f>IF(B389="Butterfly",MAX(J389,0),IF(C389="call","Unlimited",MAX(2*E389-D389+J389,J389,0)))</x:f>
        <x:v>2.0700000000000003</x:v>
      </x:c>
      <x:c r="N389" s="11" t="n">
        <x:f>IF(B389="Butterfly",IF(AND(J389&gt;0,J389&lt;K389),D389+J389,"n.a."),IF(C389="call",IF(AND(J389&gt;0,J389&lt;K389),D389+J389,"n.a."),IF(AND(K389&gt;J389,2*E389-D389+J389&gt;=0),2*E389-D389+J389,"n.a.")))</x:f>
        <x:v>5202.07</x:v>
      </x:c>
      <x:c r="O389" s="11" t="n">
        <x:f>IF(B389="Butterfly",IF(AND(J389&gt;0,J389&lt;K389),F389-J389,"n.a."),IF(C389="call",IF(K389&gt;J389,2*E389-D389-J389,"n.a."),IF(AND(J389&gt;0,J389&lt;K389),D389-J389,"n.a.")))</x:f>
        <x:v>5597.93</x:v>
      </x:c>
      <x:c r="P389" s="19" t="n">
        <x:f>IF(AND(B389="Butterfly",J389&gt;0,J389&lt;K389),L389/J389,"n.a.")</x:f>
        <x:v>95.6183574879227</x:v>
      </x:c>
      <x:c r="Q389" s="11" t="n">
        <x:f>J389*'Model inputs'!$B$8</x:f>
        <x:v>207.00000000000003</x:v>
      </x:c>
      <x:c r="R389" s="1" t="str">
        <x:v>Indicative only</x:v>
      </x:c>
      <x:c r="S389" s="1" t="n">
        <x:v>591</x:v>
      </x:c>
      <x:c r="T389" s="1" t="n">
        <x:v>610</x:v>
      </x:c>
    </x:row>
    <x:row r="390" ht="21" customHeight="1">
      <x:c r="A390" s="12" t="n">
        <x:v>46275</x:v>
      </x:c>
      <x:c r="B390" s="1" t="str">
        <x:v>Butterfly</x:v>
      </x:c>
      <x:c r="C390" s="1" t="str">
        <x:v>call</x:v>
      </x:c>
      <x:c r="D390" s="11" t="n">
        <x:v>8600</x:v>
      </x:c>
      <x:c r="E390" s="11" t="n">
        <x:v>8900</x:v>
      </x:c>
      <x:c r="F390" s="11" t="n">
        <x:v>9200</x:v>
      </x:c>
      <x:c r="G390" s="11" t="n">
        <x:f>'Option source'!B406</x:f>
        <x:v>53.67</x:v>
      </x:c>
      <x:c r="H390" s="11" t="n">
        <x:f>'Option source'!B425</x:f>
        <x:v>31.79</x:v>
      </x:c>
      <x:c r="I390" s="11" t="n">
        <x:f>'Option source'!B444</x:f>
        <x:v>18.48</x:v>
      </x:c>
      <x:c r="J390" s="11" t="n">
        <x:f>G390-2*H390+IF(B390="Butterfly",I390,0)</x:f>
        <x:v>8.570000000000004</x:v>
      </x:c>
      <x:c r="K390" s="11" t="n">
        <x:f>ABS(E390-D390)</x:f>
        <x:v>300</x:v>
      </x:c>
      <x:c r="L390" s="11" t="n">
        <x:f>K390-J390</x:f>
        <x:v>291.43</x:v>
      </x:c>
      <x:c r="M390" s="11" t="n">
        <x:f>IF(B390="Butterfly",MAX(J390,0),IF(C390="call","Unlimited",MAX(2*E390-D390+J390,J390,0)))</x:f>
        <x:v>8.570000000000004</x:v>
      </x:c>
      <x:c r="N390" s="11" t="n">
        <x:f>IF(B390="Butterfly",IF(AND(J390&gt;0,J390&lt;K390),D390+J390,"n.a."),IF(C390="call",IF(AND(J390&gt;0,J390&lt;K390),D390+J390,"n.a."),IF(AND(K390&gt;J390,2*E390-D390+J390&gt;=0),2*E390-D390+J390,"n.a.")))</x:f>
        <x:v>8608.57</x:v>
      </x:c>
      <x:c r="O390" s="11" t="n">
        <x:f>IF(B390="Butterfly",IF(AND(J390&gt;0,J390&lt;K390),F390-J390,"n.a."),IF(C390="call",IF(K390&gt;J390,2*E390-D390-J390,"n.a."),IF(AND(J390&gt;0,J390&lt;K390),D390-J390,"n.a.")))</x:f>
        <x:v>9191.43</x:v>
      </x:c>
      <x:c r="P390" s="19" t="n">
        <x:f>IF(AND(B390="Butterfly",J390&gt;0,J390&lt;K390),L390/J390,"n.a.")</x:f>
        <x:v>34.005834305717606</x:v>
      </x:c>
      <x:c r="Q390" s="11" t="n">
        <x:f>J390*'Model inputs'!$B$8</x:f>
        <x:v>857.0000000000003</x:v>
      </x:c>
      <x:c r="R390" s="1" t="str">
        <x:v>Indicative only</x:v>
      </x:c>
      <x:c r="S390" s="1" t="n">
        <x:v>401</x:v>
      </x:c>
      <x:c r="T390" s="1" t="n">
        <x:v>420</x:v>
      </x:c>
    </x:row>
    <x:row r="391" ht="21" customHeight="1">
      <x:c r="A391" s="12" t="n">
        <x:v>46275</x:v>
      </x:c>
      <x:c r="B391" s="1" t="str">
        <x:v>Butterfly</x:v>
      </x:c>
      <x:c r="C391" s="1" t="str">
        <x:v>put</x:v>
      </x:c>
      <x:c r="D391" s="11" t="n">
        <x:v>5000</x:v>
      </x:c>
      <x:c r="E391" s="11" t="n">
        <x:v>5200</x:v>
      </x:c>
      <x:c r="F391" s="11" t="n">
        <x:v>5400</x:v>
      </x:c>
      <x:c r="G391" s="11" t="n">
        <x:f>'Option source'!B577</x:f>
        <x:v>1.75</x:v>
      </x:c>
      <x:c r="H391" s="11" t="n">
        <x:f>'Option source'!B596</x:f>
        <x:v>2.66</x:v>
      </x:c>
      <x:c r="I391" s="11" t="n">
        <x:f>'Option source'!B615</x:f>
        <x:v>4.52</x:v>
      </x:c>
      <x:c r="J391" s="11" t="n">
        <x:f>G391-2*H391+IF(B391="Butterfly",I391,0)</x:f>
        <x:v>0.9499999999999993</x:v>
      </x:c>
      <x:c r="K391" s="11" t="n">
        <x:f>ABS(E391-D391)</x:f>
        <x:v>200</x:v>
      </x:c>
      <x:c r="L391" s="11" t="n">
        <x:f>K391-J391</x:f>
        <x:v>199.05</x:v>
      </x:c>
      <x:c r="M391" s="11" t="n">
        <x:f>IF(B391="Butterfly",MAX(J391,0),IF(C391="call","Unlimited",MAX(2*E391-D391+J391,J391,0)))</x:f>
        <x:v>0.9499999999999993</x:v>
      </x:c>
      <x:c r="N391" s="11" t="n">
        <x:f>IF(B391="Butterfly",IF(AND(J391&gt;0,J391&lt;K391),D391+J391,"n.a."),IF(C391="call",IF(AND(J391&gt;0,J391&lt;K391),D391+J391,"n.a."),IF(AND(K391&gt;J391,2*E391-D391+J391&gt;=0),2*E391-D391+J391,"n.a.")))</x:f>
        <x:v>5000.95</x:v>
      </x:c>
      <x:c r="O391" s="11" t="n">
        <x:f>IF(B391="Butterfly",IF(AND(J391&gt;0,J391&lt;K391),F391-J391,"n.a."),IF(C391="call",IF(K391&gt;J391,2*E391-D391-J391,"n.a."),IF(AND(J391&gt;0,J391&lt;K391),D391-J391,"n.a.")))</x:f>
        <x:v>5399.05</x:v>
      </x:c>
      <x:c r="P391" s="19" t="n">
        <x:f>IF(AND(B391="Butterfly",J391&gt;0,J391&lt;K391),L391/J391,"n.a.")</x:f>
        <x:v>209.52631578947384</x:v>
      </x:c>
      <x:c r="Q391" s="11" t="n">
        <x:f>J391*'Model inputs'!$B$8</x:f>
        <x:v>94.99999999999993</x:v>
      </x:c>
      <x:c r="R391" s="1" t="str">
        <x:v>Indicative only</x:v>
      </x:c>
      <x:c r="S391" s="1" t="n">
        <x:v>572</x:v>
      </x:c>
      <x:c r="T391" s="1" t="n">
        <x:v>591</x:v>
      </x:c>
    </x:row>
    <x:row r="392" ht="21" customHeight="1">
      <x:c r="A392" s="12" t="n">
        <x:v>46275</x:v>
      </x:c>
      <x:c r="B392" s="1" t="str">
        <x:v>Butterfly</x:v>
      </x:c>
      <x:c r="C392" s="1" t="str">
        <x:v>call</x:v>
      </x:c>
      <x:c r="D392" s="11" t="n">
        <x:v>8900</x:v>
      </x:c>
      <x:c r="E392" s="11" t="n">
        <x:v>9200</x:v>
      </x:c>
      <x:c r="F392" s="11" t="n">
        <x:v>9500</x:v>
      </x:c>
      <x:c r="G392" s="11" t="n">
        <x:f>'Option source'!B425</x:f>
        <x:v>31.79</x:v>
      </x:c>
      <x:c r="H392" s="11" t="n">
        <x:f>'Option source'!B444</x:f>
        <x:v>18.48</x:v>
      </x:c>
      <x:c r="I392" s="11" t="n">
        <x:f>'Option source'!B463</x:f>
        <x:v>10.5</x:v>
      </x:c>
      <x:c r="J392" s="11" t="n">
        <x:f>G392-2*H392+IF(B392="Butterfly",I392,0)</x:f>
        <x:v>5.329999999999998</x:v>
      </x:c>
      <x:c r="K392" s="11" t="n">
        <x:f>ABS(E392-D392)</x:f>
        <x:v>300</x:v>
      </x:c>
      <x:c r="L392" s="11" t="n">
        <x:f>K392-J392</x:f>
        <x:v>294.67</x:v>
      </x:c>
      <x:c r="M392" s="11" t="n">
        <x:f>IF(B392="Butterfly",MAX(J392,0),IF(C392="call","Unlimited",MAX(2*E392-D392+J392,J392,0)))</x:f>
        <x:v>5.329999999999998</x:v>
      </x:c>
      <x:c r="N392" s="11" t="n">
        <x:f>IF(B392="Butterfly",IF(AND(J392&gt;0,J392&lt;K392),D392+J392,"n.a."),IF(C392="call",IF(AND(J392&gt;0,J392&lt;K392),D392+J392,"n.a."),IF(AND(K392&gt;J392,2*E392-D392+J392&gt;=0),2*E392-D392+J392,"n.a.")))</x:f>
        <x:v>8905.33</x:v>
      </x:c>
      <x:c r="O392" s="11" t="n">
        <x:f>IF(B392="Butterfly",IF(AND(J392&gt;0,J392&lt;K392),F392-J392,"n.a."),IF(C392="call",IF(K392&gt;J392,2*E392-D392-J392,"n.a."),IF(AND(J392&gt;0,J392&lt;K392),D392-J392,"n.a.")))</x:f>
        <x:v>9494.67</x:v>
      </x:c>
      <x:c r="P392" s="19" t="n">
        <x:f>IF(AND(B392="Butterfly",J392&gt;0,J392&lt;K392),L392/J392,"n.a.")</x:f>
        <x:v>55.28517823639777</x:v>
      </x:c>
      <x:c r="Q392" s="11" t="n">
        <x:f>J392*'Model inputs'!$B$8</x:f>
        <x:v>532.9999999999998</x:v>
      </x:c>
      <x:c r="R392" s="1" t="str">
        <x:v>Indicative only</x:v>
      </x:c>
      <x:c r="S392" s="1" t="n">
        <x:v>420</x:v>
      </x:c>
      <x:c r="T392" s="1" t="n">
        <x:v>439</x:v>
      </x:c>
    </x:row>
    <x:row r="393" ht="21" customHeight="1">
      <x:c r="A393" s="12" t="n">
        <x:v>46275</x:v>
      </x:c>
      <x:c r="B393" s="1" t="str">
        <x:v>Butterfly</x:v>
      </x:c>
      <x:c r="C393" s="1" t="str">
        <x:v>put</x:v>
      </x:c>
      <x:c r="D393" s="11" t="n">
        <x:v>4800</x:v>
      </x:c>
      <x:c r="E393" s="11" t="n">
        <x:v>5000</x:v>
      </x:c>
      <x:c r="F393" s="11" t="n">
        <x:v>5200</x:v>
      </x:c>
      <x:c r="G393" s="11" t="n">
        <x:f>'Option source'!B558</x:f>
        <x:v>1.29</x:v>
      </x:c>
      <x:c r="H393" s="11" t="n">
        <x:f>'Option source'!B577</x:f>
        <x:v>1.75</x:v>
      </x:c>
      <x:c r="I393" s="11" t="n">
        <x:f>'Option source'!B596</x:f>
        <x:v>2.66</x:v>
      </x:c>
      <x:c r="J393" s="11" t="n">
        <x:f>G393-2*H393+IF(B393="Butterfly",I393,0)</x:f>
        <x:v>0.4500000000000002</x:v>
      </x:c>
      <x:c r="K393" s="11" t="n">
        <x:f>ABS(E393-D393)</x:f>
        <x:v>200</x:v>
      </x:c>
      <x:c r="L393" s="11" t="n">
        <x:f>K393-J393</x:f>
        <x:v>199.55</x:v>
      </x:c>
      <x:c r="M393" s="11" t="n">
        <x:f>IF(B393="Butterfly",MAX(J393,0),IF(C393="call","Unlimited",MAX(2*E393-D393+J393,J393,0)))</x:f>
        <x:v>0.4500000000000002</x:v>
      </x:c>
      <x:c r="N393" s="11" t="n">
        <x:f>IF(B393="Butterfly",IF(AND(J393&gt;0,J393&lt;K393),D393+J393,"n.a."),IF(C393="call",IF(AND(J393&gt;0,J393&lt;K393),D393+J393,"n.a."),IF(AND(K393&gt;J393,2*E393-D393+J393&gt;=0),2*E393-D393+J393,"n.a.")))</x:f>
        <x:v>4800.45</x:v>
      </x:c>
      <x:c r="O393" s="11" t="n">
        <x:f>IF(B393="Butterfly",IF(AND(J393&gt;0,J393&lt;K393),F393-J393,"n.a."),IF(C393="call",IF(K393&gt;J393,2*E393-D393-J393,"n.a."),IF(AND(J393&gt;0,J393&lt;K393),D393-J393,"n.a.")))</x:f>
        <x:v>5199.55</x:v>
      </x:c>
      <x:c r="P393" s="19" t="n">
        <x:f>IF(AND(B393="Butterfly",J393&gt;0,J393&lt;K393),L393/J393,"n.a.")</x:f>
        <x:v>443.4444444444443</x:v>
      </x:c>
      <x:c r="Q393" s="11" t="n">
        <x:f>J393*'Model inputs'!$B$8</x:f>
        <x:v>45.000000000000014</x:v>
      </x:c>
      <x:c r="R393" s="1" t="str">
        <x:v>Indicative only</x:v>
      </x:c>
      <x:c r="S393" s="1" t="n">
        <x:v>553</x:v>
      </x:c>
      <x:c r="T393" s="1" t="n">
        <x:v>572</x:v>
      </x:c>
    </x:row>
    <x:row r="394" ht="21" customHeight="1">
      <x:c r="A394" s="12" t="n">
        <x:v>46275</x:v>
      </x:c>
      <x:c r="B394" s="1" t="str">
        <x:v>Butterfly</x:v>
      </x:c>
      <x:c r="C394" s="1" t="str">
        <x:v>put</x:v>
      </x:c>
      <x:c r="D394" s="11" t="n">
        <x:v>4600</x:v>
      </x:c>
      <x:c r="E394" s="11" t="n">
        <x:v>4800</x:v>
      </x:c>
      <x:c r="F394" s="11" t="n">
        <x:v>5000</x:v>
      </x:c>
      <x:c r="G394" s="11" t="n">
        <x:f>'Option source'!B539</x:f>
        <x:v>1.09</x:v>
      </x:c>
      <x:c r="H394" s="11" t="n">
        <x:f>'Option source'!B558</x:f>
        <x:v>1.29</x:v>
      </x:c>
      <x:c r="I394" s="11" t="n">
        <x:f>'Option source'!B577</x:f>
        <x:v>1.75</x:v>
      </x:c>
      <x:c r="J394" s="11" t="n">
        <x:f>G394-2*H394+IF(B394="Butterfly",I394,0)</x:f>
        <x:v>0.26</x:v>
      </x:c>
      <x:c r="K394" s="11" t="n">
        <x:f>ABS(E394-D394)</x:f>
        <x:v>200</x:v>
      </x:c>
      <x:c r="L394" s="11" t="n">
        <x:f>K394-J394</x:f>
        <x:v>199.74</x:v>
      </x:c>
      <x:c r="M394" s="11" t="n">
        <x:f>IF(B394="Butterfly",MAX(J394,0),IF(C394="call","Unlimited",MAX(2*E394-D394+J394,J394,0)))</x:f>
        <x:v>0.26</x:v>
      </x:c>
      <x:c r="N394" s="11" t="n">
        <x:f>IF(B394="Butterfly",IF(AND(J394&gt;0,J394&lt;K394),D394+J394,"n.a."),IF(C394="call",IF(AND(J394&gt;0,J394&lt;K394),D394+J394,"n.a."),IF(AND(K394&gt;J394,2*E394-D394+J394&gt;=0),2*E394-D394+J394,"n.a.")))</x:f>
        <x:v>4600.26</x:v>
      </x:c>
      <x:c r="O394" s="11" t="n">
        <x:f>IF(B394="Butterfly",IF(AND(J394&gt;0,J394&lt;K394),F394-J394,"n.a."),IF(C394="call",IF(K394&gt;J394,2*E394-D394-J394,"n.a."),IF(AND(J394&gt;0,J394&lt;K394),D394-J394,"n.a.")))</x:f>
        <x:v>4999.74</x:v>
      </x:c>
      <x:c r="P394" s="19" t="n">
        <x:f>IF(AND(B394="Butterfly",J394&gt;0,J394&lt;K394),L394/J394,"n.a.")</x:f>
        <x:v>768.2307692307693</x:v>
      </x:c>
      <x:c r="Q394" s="11" t="n">
        <x:f>J394*'Model inputs'!$B$8</x:f>
        <x:v>26</x:v>
      </x:c>
      <x:c r="R394" s="1" t="str">
        <x:v>Indicative only</x:v>
      </x:c>
      <x:c r="S394" s="1" t="n">
        <x:v>534</x:v>
      </x:c>
      <x:c r="T394" s="1" t="n">
        <x:v>553</x:v>
      </x:c>
    </x:row>
    <x:row r="395" ht="21" customHeight="1">
      <x:c r="A395" s="12" t="n">
        <x:v>46275</x:v>
      </x:c>
      <x:c r="B395" s="1" t="str">
        <x:v>Butterfly</x:v>
      </x:c>
      <x:c r="C395" s="1" t="str">
        <x:v>put</x:v>
      </x:c>
      <x:c r="D395" s="11" t="n">
        <x:v>4400</x:v>
      </x:c>
      <x:c r="E395" s="11" t="n">
        <x:v>4600</x:v>
      </x:c>
      <x:c r="F395" s="11" t="n">
        <x:v>4800</x:v>
      </x:c>
      <x:c r="G395" s="11" t="n">
        <x:f>'Option source'!B520</x:f>
        <x:v>1</x:v>
      </x:c>
      <x:c r="H395" s="11" t="n">
        <x:f>'Option source'!B539</x:f>
        <x:v>1.09</x:v>
      </x:c>
      <x:c r="I395" s="11" t="n">
        <x:f>'Option source'!B558</x:f>
        <x:v>1.29</x:v>
      </x:c>
      <x:c r="J395" s="11" t="n">
        <x:f>G395-2*H395+IF(B395="Butterfly",I395,0)</x:f>
        <x:v>0.10999999999999988</x:v>
      </x:c>
      <x:c r="K395" s="11" t="n">
        <x:f>ABS(E395-D395)</x:f>
        <x:v>200</x:v>
      </x:c>
      <x:c r="L395" s="11" t="n">
        <x:f>K395-J395</x:f>
        <x:v>199.89</x:v>
      </x:c>
      <x:c r="M395" s="11" t="n">
        <x:f>IF(B395="Butterfly",MAX(J395,0),IF(C395="call","Unlimited",MAX(2*E395-D395+J395,J395,0)))</x:f>
        <x:v>0.10999999999999988</x:v>
      </x:c>
      <x:c r="N395" s="11" t="n">
        <x:f>IF(B395="Butterfly",IF(AND(J395&gt;0,J395&lt;K395),D395+J395,"n.a."),IF(C395="call",IF(AND(J395&gt;0,J395&lt;K395),D395+J395,"n.a."),IF(AND(K395&gt;J395,2*E395-D395+J395&gt;=0),2*E395-D395+J395,"n.a.")))</x:f>
        <x:v>4400.11</x:v>
      </x:c>
      <x:c r="O395" s="11" t="n">
        <x:f>IF(B395="Butterfly",IF(AND(J395&gt;0,J395&lt;K395),F395-J395,"n.a."),IF(C395="call",IF(K395&gt;J395,2*E395-D395-J395,"n.a."),IF(AND(J395&gt;0,J395&lt;K395),D395-J395,"n.a.")))</x:f>
        <x:v>4799.89</x:v>
      </x:c>
      <x:c r="P395" s="19" t="n">
        <x:f>IF(AND(B395="Butterfly",J395&gt;0,J395&lt;K395),L395/J395,"n.a.")</x:f>
        <x:v>1817.18181818182</x:v>
      </x:c>
      <x:c r="Q395" s="11" t="n">
        <x:f>J395*'Model inputs'!$B$8</x:f>
        <x:v>10.999999999999988</x:v>
      </x:c>
      <x:c r="R395" s="1" t="str">
        <x:v>Indicative only</x:v>
      </x:c>
      <x:c r="S395" s="1" t="n">
        <x:v>515</x:v>
      </x:c>
      <x:c r="T395" s="1" t="n">
        <x:v>534</x:v>
      </x:c>
    </x:row>
    <x:row r="396" ht="21" customHeight="1">
      <x:c r="A396" s="12" t="n">
        <x:v>46275</x:v>
      </x:c>
      <x:c r="B396" s="1" t="str">
        <x:v>Butterfly</x:v>
      </x:c>
      <x:c r="C396" s="1" t="str">
        <x:v>call</x:v>
      </x:c>
      <x:c r="D396" s="11" t="n">
        <x:v>6600</x:v>
      </x:c>
      <x:c r="E396" s="11" t="n">
        <x:v>6800</x:v>
      </x:c>
      <x:c r="F396" s="11" t="n">
        <x:v>7000</x:v>
      </x:c>
      <x:c r="G396" s="11" t="n">
        <x:f>'Option source'!B235</x:f>
        <x:v>763.51</x:v>
      </x:c>
      <x:c r="H396" s="11" t="n">
        <x:f>'Option source'!B254</x:f>
        <x:v>648.79</x:v>
      </x:c>
      <x:c r="I396" s="11" t="n">
        <x:f>'Option source'!B273</x:f>
        <x:v>523.63</x:v>
      </x:c>
      <x:c r="J396" s="11" t="n">
        <x:f>G396-2*H396+IF(B396="Butterfly",I396,0)</x:f>
        <x:v>-10.43999999999994</x:v>
      </x:c>
      <x:c r="K396" s="11" t="n">
        <x:f>ABS(E396-D396)</x:f>
        <x:v>200</x:v>
      </x:c>
      <x:c r="L396" s="11" t="n">
        <x:f>K396-J396</x:f>
        <x:v>210.43999999999994</x:v>
      </x:c>
      <x:c r="M396" s="11" t="n">
        <x:f>IF(B396="Butterfly",MAX(J396,0),IF(C396="call","Unlimited",MAX(2*E396-D396+J396,J396,0)))</x:f>
        <x:v>0</x:v>
      </x:c>
      <x:c r="N396" s="11" t="str">
        <x:f>IF(B396="Butterfly",IF(AND(J396&gt;0,J396&lt;K396),D396+J396,"n.a."),IF(C396="call",IF(AND(J396&gt;0,J396&lt;K396),D396+J396,"n.a."),IF(AND(K396&gt;J396,2*E396-D396+J396&gt;=0),2*E396-D396+J396,"n.a.")))</x:f>
        <x:v>n.a.</x:v>
      </x:c>
      <x:c r="O396" s="11" t="str">
        <x:f>IF(B396="Butterfly",IF(AND(J396&gt;0,J396&lt;K396),F396-J396,"n.a."),IF(C396="call",IF(K396&gt;J396,2*E396-D396-J396,"n.a."),IF(AND(J396&gt;0,J396&lt;K396),D396-J396,"n.a.")))</x:f>
        <x:v>n.a.</x:v>
      </x:c>
      <x:c r="P396" s="19" t="str">
        <x:f>IF(AND(B396="Butterfly",J396&gt;0,J396&lt;K396),L396/J396,"n.a.")</x:f>
        <x:v>n.a.</x:v>
      </x:c>
      <x:c r="Q396" s="11" t="n">
        <x:f>J396*'Model inputs'!$B$8</x:f>
        <x:v>-1043.999999999994</x:v>
      </x:c>
      <x:c r="R396" s="1" t="str">
        <x:v>Outside standard debit bounds</x:v>
      </x:c>
      <x:c r="S396" s="1" t="n">
        <x:v>230</x:v>
      </x:c>
      <x:c r="T396" s="1" t="n">
        <x:v>249</x:v>
      </x:c>
    </x:row>
    <x:row r="397" ht="21" customHeight="1">
      <x:c r="A397" s="12" t="n">
        <x:v>46275</x:v>
      </x:c>
      <x:c r="B397" s="1" t="str">
        <x:v>Butterfly</x:v>
      </x:c>
      <x:c r="C397" s="1" t="str">
        <x:v>put</x:v>
      </x:c>
      <x:c r="D397" s="11" t="n">
        <x:v>7400</x:v>
      </x:c>
      <x:c r="E397" s="11" t="n">
        <x:v>7600</x:v>
      </x:c>
      <x:c r="F397" s="11" t="n">
        <x:v>7800</x:v>
      </x:c>
      <x:c r="G397" s="11" t="n">
        <x:f>'Option source'!B805</x:f>
        <x:v>451.44</x:v>
      </x:c>
      <x:c r="H397" s="11" t="n">
        <x:f>'Option source'!B824</x:f>
        <x:v>569.29</x:v>
      </x:c>
      <x:c r="I397" s="11" t="n">
        <x:f>'Option source'!B843</x:f>
        <x:v>720</x:v>
      </x:c>
      <x:c r="J397" s="11" t="n">
        <x:f>G397-2*H397+IF(B397="Butterfly",I397,0)</x:f>
        <x:v>32.86000000000013</x:v>
      </x:c>
      <x:c r="K397" s="11" t="n">
        <x:f>ABS(E397-D397)</x:f>
        <x:v>200</x:v>
      </x:c>
      <x:c r="L397" s="11" t="n">
        <x:f>K397-J397</x:f>
        <x:v>167.13999999999987</x:v>
      </x:c>
      <x:c r="M397" s="11" t="n">
        <x:f>IF(B397="Butterfly",MAX(J397,0),IF(C397="call","Unlimited",MAX(2*E397-D397+J397,J397,0)))</x:f>
        <x:v>32.86000000000013</x:v>
      </x:c>
      <x:c r="N397" s="11" t="n">
        <x:f>IF(B397="Butterfly",IF(AND(J397&gt;0,J397&lt;K397),D397+J397,"n.a."),IF(C397="call",IF(AND(J397&gt;0,J397&lt;K397),D397+J397,"n.a."),IF(AND(K397&gt;J397,2*E397-D397+J397&gt;=0),2*E397-D397+J397,"n.a.")))</x:f>
        <x:v>7432.860000000001</x:v>
      </x:c>
      <x:c r="O397" s="11" t="n">
        <x:f>IF(B397="Butterfly",IF(AND(J397&gt;0,J397&lt;K397),F397-J397,"n.a."),IF(C397="call",IF(K397&gt;J397,2*E397-D397-J397,"n.a."),IF(AND(J397&gt;0,J397&lt;K397),D397-J397,"n.a.")))</x:f>
        <x:v>7767.139999999999</x:v>
      </x:c>
      <x:c r="P397" s="19" t="n">
        <x:f>IF(AND(B397="Butterfly",J397&gt;0,J397&lt;K397),L397/J397,"n.a.")</x:f>
        <x:v>5.086427267194133</x:v>
      </x:c>
      <x:c r="Q397" s="11" t="n">
        <x:f>J397*'Model inputs'!$B$8</x:f>
        <x:v>3286.0000000000127</x:v>
      </x:c>
      <x:c r="R397" s="1" t="str">
        <x:v>Flagged leg data</x:v>
      </x:c>
      <x:c r="S397" s="1" t="n">
        <x:v>800</x:v>
      </x:c>
      <x:c r="T397" s="1" t="n">
        <x:v>819</x:v>
      </x:c>
    </x:row>
    <x:row r="398" ht="21" customHeight="1">
      <x:c r="A398" s="12" t="n">
        <x:v>46275</x:v>
      </x:c>
      <x:c r="B398" s="1" t="str">
        <x:v>Butterfly</x:v>
      </x:c>
      <x:c r="C398" s="1" t="str">
        <x:v>put</x:v>
      </x:c>
      <x:c r="D398" s="11" t="n">
        <x:v>7600</x:v>
      </x:c>
      <x:c r="E398" s="11" t="n">
        <x:v>7800</x:v>
      </x:c>
      <x:c r="F398" s="11" t="n">
        <x:v>8000</x:v>
      </x:c>
      <x:c r="G398" s="11" t="n">
        <x:f>'Option source'!B824</x:f>
        <x:v>569.29</x:v>
      </x:c>
      <x:c r="H398" s="11" t="n">
        <x:f>'Option source'!B843</x:f>
        <x:v>720</x:v>
      </x:c>
      <x:c r="I398" s="11" t="n">
        <x:f>'Option source'!B862</x:f>
        <x:v>835</x:v>
      </x:c>
      <x:c r="J398" s="11" t="n">
        <x:f>G398-2*H398+IF(B398="Butterfly",I398,0)</x:f>
        <x:v>-35.710000000000036</x:v>
      </x:c>
      <x:c r="K398" s="11" t="n">
        <x:f>ABS(E398-D398)</x:f>
        <x:v>200</x:v>
      </x:c>
      <x:c r="L398" s="11" t="n">
        <x:f>K398-J398</x:f>
        <x:v>235.71000000000004</x:v>
      </x:c>
      <x:c r="M398" s="11" t="n">
        <x:f>IF(B398="Butterfly",MAX(J398,0),IF(C398="call","Unlimited",MAX(2*E398-D398+J398,J398,0)))</x:f>
        <x:v>0</x:v>
      </x:c>
      <x:c r="N398" s="11" t="str">
        <x:f>IF(B398="Butterfly",IF(AND(J398&gt;0,J398&lt;K398),D398+J398,"n.a."),IF(C398="call",IF(AND(J398&gt;0,J398&lt;K398),D398+J398,"n.a."),IF(AND(K398&gt;J398,2*E398-D398+J398&gt;=0),2*E398-D398+J398,"n.a.")))</x:f>
        <x:v>n.a.</x:v>
      </x:c>
      <x:c r="O398" s="11" t="str">
        <x:f>IF(B398="Butterfly",IF(AND(J398&gt;0,J398&lt;K398),F398-J398,"n.a."),IF(C398="call",IF(K398&gt;J398,2*E398-D398-J398,"n.a."),IF(AND(J398&gt;0,J398&lt;K398),D398-J398,"n.a.")))</x:f>
        <x:v>n.a.</x:v>
      </x:c>
      <x:c r="P398" s="19" t="str">
        <x:f>IF(AND(B398="Butterfly",J398&gt;0,J398&lt;K398),L398/J398,"n.a.")</x:f>
        <x:v>n.a.</x:v>
      </x:c>
      <x:c r="Q398" s="11" t="n">
        <x:f>J398*'Model inputs'!$B$8</x:f>
        <x:v>-3571.0000000000036</x:v>
      </x:c>
      <x:c r="R398" s="1" t="str">
        <x:v>Outside standard debit bounds</x:v>
      </x:c>
      <x:c r="S398" s="1" t="n">
        <x:v>819</x:v>
      </x:c>
      <x:c r="T398" s="1" t="n">
        <x:v>838</x:v>
      </x:c>
    </x:row>
    <x:row r="399" ht="21" customHeight="1">
      <x:c r="A399" s="12" t="n">
        <x:v>46275</x:v>
      </x:c>
      <x:c r="B399" s="1" t="str">
        <x:v>Butterfly</x:v>
      </x:c>
      <x:c r="C399" s="1" t="str">
        <x:v>call</x:v>
      </x:c>
      <x:c r="D399" s="11" t="n">
        <x:v>6200</x:v>
      </x:c>
      <x:c r="E399" s="11" t="n">
        <x:v>6400</x:v>
      </x:c>
      <x:c r="F399" s="11" t="n">
        <x:v>6600</x:v>
      </x:c>
      <x:c r="G399" s="11" t="n">
        <x:f>'Option source'!B197</x:f>
        <x:v>1112.5</x:v>
      </x:c>
      <x:c r="H399" s="11" t="n">
        <x:f>'Option source'!B216</x:f>
        <x:v>945</x:v>
      </x:c>
      <x:c r="I399" s="11" t="n">
        <x:f>'Option source'!B235</x:f>
        <x:v>763.51</x:v>
      </x:c>
      <x:c r="J399" s="11" t="n">
        <x:f>G399-2*H399+IF(B399="Butterfly",I399,0)</x:f>
        <x:v>-13.990000000000009</x:v>
      </x:c>
      <x:c r="K399" s="11" t="n">
        <x:f>ABS(E399-D399)</x:f>
        <x:v>200</x:v>
      </x:c>
      <x:c r="L399" s="11" t="n">
        <x:f>K399-J399</x:f>
        <x:v>213.99</x:v>
      </x:c>
      <x:c r="M399" s="11" t="n">
        <x:f>IF(B399="Butterfly",MAX(J399,0),IF(C399="call","Unlimited",MAX(2*E399-D399+J399,J399,0)))</x:f>
        <x:v>0</x:v>
      </x:c>
      <x:c r="N399" s="11" t="str">
        <x:f>IF(B399="Butterfly",IF(AND(J399&gt;0,J399&lt;K399),D399+J399,"n.a."),IF(C399="call",IF(AND(J399&gt;0,J399&lt;K399),D399+J399,"n.a."),IF(AND(K399&gt;J399,2*E399-D399+J399&gt;=0),2*E399-D399+J399,"n.a.")))</x:f>
        <x:v>n.a.</x:v>
      </x:c>
      <x:c r="O399" s="11" t="str">
        <x:f>IF(B399="Butterfly",IF(AND(J399&gt;0,J399&lt;K399),F399-J399,"n.a."),IF(C399="call",IF(K399&gt;J399,2*E399-D399-J399,"n.a."),IF(AND(J399&gt;0,J399&lt;K399),D399-J399,"n.a.")))</x:f>
        <x:v>n.a.</x:v>
      </x:c>
      <x:c r="P399" s="19" t="str">
        <x:f>IF(AND(B399="Butterfly",J399&gt;0,J399&lt;K399),L399/J399,"n.a.")</x:f>
        <x:v>n.a.</x:v>
      </x:c>
      <x:c r="Q399" s="11" t="n">
        <x:f>J399*'Model inputs'!$B$8</x:f>
        <x:v>-1399.000000000001</x:v>
      </x:c>
      <x:c r="R399" s="1" t="str">
        <x:v>Outside standard debit bounds</x:v>
      </x:c>
      <x:c r="S399" s="1" t="n">
        <x:v>192</x:v>
      </x:c>
      <x:c r="T399" s="1" t="n">
        <x:v>211</x:v>
      </x:c>
    </x:row>
    <x:row r="400" ht="21" customHeight="1">
      <x:c r="A400" s="12" t="n">
        <x:v>46275</x:v>
      </x:c>
      <x:c r="B400" s="1" t="str">
        <x:v>Butterfly</x:v>
      </x:c>
      <x:c r="C400" s="1" t="str">
        <x:v>call</x:v>
      </x:c>
      <x:c r="D400" s="11" t="n">
        <x:v>6000</x:v>
      </x:c>
      <x:c r="E400" s="11" t="n">
        <x:v>6200</x:v>
      </x:c>
      <x:c r="F400" s="11" t="n">
        <x:v>6400</x:v>
      </x:c>
      <x:c r="G400" s="11" t="n">
        <x:f>'Option source'!B178</x:f>
        <x:v>1269.8</x:v>
      </x:c>
      <x:c r="H400" s="11" t="n">
        <x:f>'Option source'!B197</x:f>
        <x:v>1112.5</x:v>
      </x:c>
      <x:c r="I400" s="11" t="n">
        <x:f>'Option source'!B216</x:f>
        <x:v>945</x:v>
      </x:c>
      <x:c r="J400" s="11" t="n">
        <x:f>G400-2*H400+IF(B400="Butterfly",I400,0)</x:f>
        <x:v>-10.200000000000045</x:v>
      </x:c>
      <x:c r="K400" s="11" t="n">
        <x:f>ABS(E400-D400)</x:f>
        <x:v>200</x:v>
      </x:c>
      <x:c r="L400" s="11" t="n">
        <x:f>K400-J400</x:f>
        <x:v>210.20000000000005</x:v>
      </x:c>
      <x:c r="M400" s="11" t="n">
        <x:f>IF(B400="Butterfly",MAX(J400,0),IF(C400="call","Unlimited",MAX(2*E400-D400+J400,J400,0)))</x:f>
        <x:v>0</x:v>
      </x:c>
      <x:c r="N400" s="11" t="str">
        <x:f>IF(B400="Butterfly",IF(AND(J400&gt;0,J400&lt;K400),D400+J400,"n.a."),IF(C400="call",IF(AND(J400&gt;0,J400&lt;K400),D400+J400,"n.a."),IF(AND(K400&gt;J400,2*E400-D400+J400&gt;=0),2*E400-D400+J400,"n.a.")))</x:f>
        <x:v>n.a.</x:v>
      </x:c>
      <x:c r="O400" s="11" t="str">
        <x:f>IF(B400="Butterfly",IF(AND(J400&gt;0,J400&lt;K400),F400-J400,"n.a."),IF(C400="call",IF(K400&gt;J400,2*E400-D400-J400,"n.a."),IF(AND(J400&gt;0,J400&lt;K400),D400-J400,"n.a.")))</x:f>
        <x:v>n.a.</x:v>
      </x:c>
      <x:c r="P400" s="19" t="str">
        <x:f>IF(AND(B400="Butterfly",J400&gt;0,J400&lt;K400),L400/J400,"n.a.")</x:f>
        <x:v>n.a.</x:v>
      </x:c>
      <x:c r="Q400" s="11" t="n">
        <x:f>J400*'Model inputs'!$B$8</x:f>
        <x:v>-1020.0000000000045</x:v>
      </x:c>
      <x:c r="R400" s="1" t="str">
        <x:v>Outside standard debit bounds</x:v>
      </x:c>
      <x:c r="S400" s="1" t="n">
        <x:v>173</x:v>
      </x:c>
      <x:c r="T400" s="1" t="n">
        <x:v>192</x:v>
      </x:c>
    </x:row>
    <x:row r="401" ht="21" customHeight="1">
      <x:c r="A401" s="12" t="n">
        <x:v>46275</x:v>
      </x:c>
      <x:c r="B401" s="1" t="str">
        <x:v>Butterfly</x:v>
      </x:c>
      <x:c r="C401" s="1" t="str">
        <x:v>call</x:v>
      </x:c>
      <x:c r="D401" s="11" t="n">
        <x:v>5800</x:v>
      </x:c>
      <x:c r="E401" s="11" t="n">
        <x:v>6000</x:v>
      </x:c>
      <x:c r="F401" s="11" t="n">
        <x:v>6200</x:v>
      </x:c>
      <x:c r="G401" s="11" t="n">
        <x:f>'Option source'!B159</x:f>
        <x:v>1483.43</x:v>
      </x:c>
      <x:c r="H401" s="11" t="n">
        <x:f>'Option source'!B178</x:f>
        <x:v>1269.8</x:v>
      </x:c>
      <x:c r="I401" s="11" t="n">
        <x:f>'Option source'!B197</x:f>
        <x:v>1112.5</x:v>
      </x:c>
      <x:c r="J401" s="11" t="n">
        <x:f>G401-2*H401+IF(B401="Butterfly",I401,0)</x:f>
        <x:v>56.330000000000155</x:v>
      </x:c>
      <x:c r="K401" s="11" t="n">
        <x:f>ABS(E401-D401)</x:f>
        <x:v>200</x:v>
      </x:c>
      <x:c r="L401" s="11" t="n">
        <x:f>K401-J401</x:f>
        <x:v>143.66999999999985</x:v>
      </x:c>
      <x:c r="M401" s="11" t="n">
        <x:f>IF(B401="Butterfly",MAX(J401,0),IF(C401="call","Unlimited",MAX(2*E401-D401+J401,J401,0)))</x:f>
        <x:v>56.330000000000155</x:v>
      </x:c>
      <x:c r="N401" s="11" t="n">
        <x:f>IF(B401="Butterfly",IF(AND(J401&gt;0,J401&lt;K401),D401+J401,"n.a."),IF(C401="call",IF(AND(J401&gt;0,J401&lt;K401),D401+J401,"n.a."),IF(AND(K401&gt;J401,2*E401-D401+J401&gt;=0),2*E401-D401+J401,"n.a.")))</x:f>
        <x:v>5856.33</x:v>
      </x:c>
      <x:c r="O401" s="11" t="n">
        <x:f>IF(B401="Butterfly",IF(AND(J401&gt;0,J401&lt;K401),F401-J401,"n.a."),IF(C401="call",IF(K401&gt;J401,2*E401-D401-J401,"n.a."),IF(AND(J401&gt;0,J401&lt;K401),D401-J401,"n.a.")))</x:f>
        <x:v>6143.67</x:v>
      </x:c>
      <x:c r="P401" s="19" t="n">
        <x:f>IF(AND(B401="Butterfly",J401&gt;0,J401&lt;K401),L401/J401,"n.a.")</x:f>
        <x:v>2.550505947097452</x:v>
      </x:c>
      <x:c r="Q401" s="11" t="n">
        <x:f>J401*'Model inputs'!$B$8</x:f>
        <x:v>5633.0000000000155</x:v>
      </x:c>
      <x:c r="R401" s="1" t="str">
        <x:v>Flagged leg data</x:v>
      </x:c>
      <x:c r="S401" s="1" t="n">
        <x:v>154</x:v>
      </x:c>
      <x:c r="T401" s="1" t="n">
        <x:v>173</x:v>
      </x:c>
    </x:row>
    <x:row r="402" ht="21" customHeight="1">
      <x:c r="A402" s="12" t="n">
        <x:v>46275</x:v>
      </x:c>
      <x:c r="B402" s="1" t="str">
        <x:v>Butterfly</x:v>
      </x:c>
      <x:c r="C402" s="1" t="str">
        <x:v>put</x:v>
      </x:c>
      <x:c r="D402" s="11" t="n">
        <x:v>8000</x:v>
      </x:c>
      <x:c r="E402" s="11" t="n">
        <x:v>8300</x:v>
      </x:c>
      <x:c r="F402" s="11" t="n">
        <x:v>8600</x:v>
      </x:c>
      <x:c r="G402" s="11" t="n">
        <x:f>'Option source'!B862</x:f>
        <x:v>835</x:v>
      </x:c>
      <x:c r="H402" s="11" t="n">
        <x:f>'Option source'!B881</x:f>
        <x:v>1160</x:v>
      </x:c>
      <x:c r="I402" s="11" t="n">
        <x:f>'Option source'!B900</x:f>
        <x:v>1483.75</x:v>
      </x:c>
      <x:c r="J402" s="11" t="n">
        <x:f>G402-2*H402+IF(B402="Butterfly",I402,0)</x:f>
        <x:v>-1.25</x:v>
      </x:c>
      <x:c r="K402" s="11" t="n">
        <x:f>ABS(E402-D402)</x:f>
        <x:v>300</x:v>
      </x:c>
      <x:c r="L402" s="11" t="n">
        <x:f>K402-J402</x:f>
        <x:v>301.25</x:v>
      </x:c>
      <x:c r="M402" s="11" t="n">
        <x:f>IF(B402="Butterfly",MAX(J402,0),IF(C402="call","Unlimited",MAX(2*E402-D402+J402,J402,0)))</x:f>
        <x:v>0</x:v>
      </x:c>
      <x:c r="N402" s="11" t="str">
        <x:f>IF(B402="Butterfly",IF(AND(J402&gt;0,J402&lt;K402),D402+J402,"n.a."),IF(C402="call",IF(AND(J402&gt;0,J402&lt;K402),D402+J402,"n.a."),IF(AND(K402&gt;J402,2*E402-D402+J402&gt;=0),2*E402-D402+J402,"n.a.")))</x:f>
        <x:v>n.a.</x:v>
      </x:c>
      <x:c r="O402" s="11" t="str">
        <x:f>IF(B402="Butterfly",IF(AND(J402&gt;0,J402&lt;K402),F402-J402,"n.a."),IF(C402="call",IF(K402&gt;J402,2*E402-D402-J402,"n.a."),IF(AND(J402&gt;0,J402&lt;K402),D402-J402,"n.a.")))</x:f>
        <x:v>n.a.</x:v>
      </x:c>
      <x:c r="P402" s="19" t="str">
        <x:f>IF(AND(B402="Butterfly",J402&gt;0,J402&lt;K402),L402/J402,"n.a.")</x:f>
        <x:v>n.a.</x:v>
      </x:c>
      <x:c r="Q402" s="11" t="n">
        <x:f>J402*'Model inputs'!$B$8</x:f>
        <x:v>-125</x:v>
      </x:c>
      <x:c r="R402" s="1" t="str">
        <x:v>Outside standard debit bounds</x:v>
      </x:c>
      <x:c r="S402" s="1" t="n">
        <x:v>857</x:v>
      </x:c>
      <x:c r="T402" s="1" t="n">
        <x:v>876</x:v>
      </x:c>
    </x:row>
    <x:row r="403" ht="21" customHeight="1">
      <x:c r="A403" s="12" t="n">
        <x:v>46275</x:v>
      </x:c>
      <x:c r="B403" s="1" t="str">
        <x:v>Butterfly</x:v>
      </x:c>
      <x:c r="C403" s="1" t="str">
        <x:v>call</x:v>
      </x:c>
      <x:c r="D403" s="11" t="n">
        <x:v>5600</x:v>
      </x:c>
      <x:c r="E403" s="11" t="n">
        <x:v>5800</x:v>
      </x:c>
      <x:c r="F403" s="11" t="n">
        <x:v>6000</x:v>
      </x:c>
      <x:c r="G403" s="11" t="n">
        <x:f>'Option source'!B149</x:f>
        <x:v>1600</x:v>
      </x:c>
      <x:c r="H403" s="11" t="n">
        <x:f>'Option source'!B159</x:f>
        <x:v>1483.43</x:v>
      </x:c>
      <x:c r="I403" s="11" t="n">
        <x:f>'Option source'!B178</x:f>
        <x:v>1269.8</x:v>
      </x:c>
      <x:c r="J403" s="11" t="n">
        <x:f>G403-2*H403+IF(B403="Butterfly",I403,0)</x:f>
        <x:v>-97.06000000000017</x:v>
      </x:c>
      <x:c r="K403" s="11" t="n">
        <x:f>ABS(E403-D403)</x:f>
        <x:v>200</x:v>
      </x:c>
      <x:c r="L403" s="11" t="n">
        <x:f>K403-J403</x:f>
        <x:v>297.0600000000002</x:v>
      </x:c>
      <x:c r="M403" s="11" t="n">
        <x:f>IF(B403="Butterfly",MAX(J403,0),IF(C403="call","Unlimited",MAX(2*E403-D403+J403,J403,0)))</x:f>
        <x:v>0</x:v>
      </x:c>
      <x:c r="N403" s="11" t="str">
        <x:f>IF(B403="Butterfly",IF(AND(J403&gt;0,J403&lt;K403),D403+J403,"n.a."),IF(C403="call",IF(AND(J403&gt;0,J403&lt;K403),D403+J403,"n.a."),IF(AND(K403&gt;J403,2*E403-D403+J403&gt;=0),2*E403-D403+J403,"n.a.")))</x:f>
        <x:v>n.a.</x:v>
      </x:c>
      <x:c r="O403" s="11" t="str">
        <x:f>IF(B403="Butterfly",IF(AND(J403&gt;0,J403&lt;K403),F403-J403,"n.a."),IF(C403="call",IF(K403&gt;J403,2*E403-D403-J403,"n.a."),IF(AND(J403&gt;0,J403&lt;K403),D403-J403,"n.a.")))</x:f>
        <x:v>n.a.</x:v>
      </x:c>
      <x:c r="P403" s="19" t="str">
        <x:f>IF(AND(B403="Butterfly",J403&gt;0,J403&lt;K403),L403/J403,"n.a.")</x:f>
        <x:v>n.a.</x:v>
      </x:c>
      <x:c r="Q403" s="11" t="n">
        <x:f>J403*'Model inputs'!$B$8</x:f>
        <x:v>-9706.000000000018</x:v>
      </x:c>
      <x:c r="R403" s="1" t="str">
        <x:v>Outside standard debit bounds</x:v>
      </x:c>
      <x:c r="S403" s="1" t="n">
        <x:v>144</x:v>
      </x:c>
      <x:c r="T403" s="1" t="n">
        <x:v>154</x:v>
      </x:c>
    </x:row>
    <x:row r="404" ht="21" customHeight="1">
      <x:c r="A404" s="12" t="n">
        <x:v>46275</x:v>
      </x:c>
      <x:c r="B404" s="1" t="str">
        <x:v>Butterfly</x:v>
      </x:c>
      <x:c r="C404" s="1" t="str">
        <x:v>put</x:v>
      </x:c>
      <x:c r="D404" s="11" t="n">
        <x:v>8300</x:v>
      </x:c>
      <x:c r="E404" s="11" t="n">
        <x:v>8600</x:v>
      </x:c>
      <x:c r="F404" s="11" t="n">
        <x:v>8900</x:v>
      </x:c>
      <x:c r="G404" s="11" t="n">
        <x:f>'Option source'!B881</x:f>
        <x:v>1160</x:v>
      </x:c>
      <x:c r="H404" s="11" t="n">
        <x:f>'Option source'!B900</x:f>
        <x:v>1483.75</x:v>
      </x:c>
      <x:c r="I404" s="11" t="n">
        <x:f>'Option source'!B915</x:f>
        <x:v>2022.5</x:v>
      </x:c>
      <x:c r="J404" s="11" t="n">
        <x:f>G404-2*H404+IF(B404="Butterfly",I404,0)</x:f>
        <x:v>215</x:v>
      </x:c>
      <x:c r="K404" s="11" t="n">
        <x:f>ABS(E404-D404)</x:f>
        <x:v>300</x:v>
      </x:c>
      <x:c r="L404" s="11" t="n">
        <x:f>K404-J404</x:f>
        <x:v>85</x:v>
      </x:c>
      <x:c r="M404" s="11" t="n">
        <x:f>IF(B404="Butterfly",MAX(J404,0),IF(C404="call","Unlimited",MAX(2*E404-D404+J404,J404,0)))</x:f>
        <x:v>215</x:v>
      </x:c>
      <x:c r="N404" s="11" t="n">
        <x:f>IF(B404="Butterfly",IF(AND(J404&gt;0,J404&lt;K404),D404+J404,"n.a."),IF(C404="call",IF(AND(J404&gt;0,J404&lt;K404),D404+J404,"n.a."),IF(AND(K404&gt;J404,2*E404-D404+J404&gt;=0),2*E404-D404+J404,"n.a.")))</x:f>
        <x:v>8515</x:v>
      </x:c>
      <x:c r="O404" s="11" t="n">
        <x:f>IF(B404="Butterfly",IF(AND(J404&gt;0,J404&lt;K404),F404-J404,"n.a."),IF(C404="call",IF(K404&gt;J404,2*E404-D404-J404,"n.a."),IF(AND(J404&gt;0,J404&lt;K404),D404-J404,"n.a.")))</x:f>
        <x:v>8685</x:v>
      </x:c>
      <x:c r="P404" s="19" t="n">
        <x:f>IF(AND(B404="Butterfly",J404&gt;0,J404&lt;K404),L404/J404,"n.a.")</x:f>
        <x:v>0.3953488372093023</x:v>
      </x:c>
      <x:c r="Q404" s="11" t="n">
        <x:f>J404*'Model inputs'!$B$8</x:f>
        <x:v>21500</x:v>
      </x:c>
      <x:c r="R404" s="1" t="str">
        <x:v>Flagged leg data</x:v>
      </x:c>
      <x:c r="S404" s="1" t="n">
        <x:v>876</x:v>
      </x:c>
      <x:c r="T404" s="1" t="n">
        <x:v>895</x:v>
      </x:c>
    </x:row>
    <x:row r="405" ht="21" customHeight="1">
      <x:c r="A405" s="12" t="n">
        <x:v>46275</x:v>
      </x:c>
      <x:c r="B405" s="1" t="str">
        <x:v>Butterfly</x:v>
      </x:c>
      <x:c r="C405" s="1" t="str">
        <x:v>call</x:v>
      </x:c>
      <x:c r="D405" s="11" t="n">
        <x:v>5400</x:v>
      </x:c>
      <x:c r="E405" s="11" t="n">
        <x:v>5600</x:v>
      </x:c>
      <x:c r="F405" s="11" t="n">
        <x:v>5800</x:v>
      </x:c>
      <x:c r="G405" s="11" t="n">
        <x:f>'Option source'!B131</x:f>
        <x:v>1846.26</x:v>
      </x:c>
      <x:c r="H405" s="11" t="n">
        <x:f>'Option source'!B149</x:f>
        <x:v>1600</x:v>
      </x:c>
      <x:c r="I405" s="11" t="n">
        <x:f>'Option source'!B159</x:f>
        <x:v>1483.43</x:v>
      </x:c>
      <x:c r="J405" s="11" t="n">
        <x:f>G405-2*H405+IF(B405="Butterfly",I405,0)</x:f>
        <x:v>129.69000000000005</x:v>
      </x:c>
      <x:c r="K405" s="11" t="n">
        <x:f>ABS(E405-D405)</x:f>
        <x:v>200</x:v>
      </x:c>
      <x:c r="L405" s="11" t="n">
        <x:f>K405-J405</x:f>
        <x:v>70.30999999999995</x:v>
      </x:c>
      <x:c r="M405" s="11" t="n">
        <x:f>IF(B405="Butterfly",MAX(J405,0),IF(C405="call","Unlimited",MAX(2*E405-D405+J405,J405,0)))</x:f>
        <x:v>129.69000000000005</x:v>
      </x:c>
      <x:c r="N405" s="11" t="n">
        <x:f>IF(B405="Butterfly",IF(AND(J405&gt;0,J405&lt;K405),D405+J405,"n.a."),IF(C405="call",IF(AND(J405&gt;0,J405&lt;K405),D405+J405,"n.a."),IF(AND(K405&gt;J405,2*E405-D405+J405&gt;=0),2*E405-D405+J405,"n.a.")))</x:f>
        <x:v>5529.6900000000005</x:v>
      </x:c>
      <x:c r="O405" s="11" t="n">
        <x:f>IF(B405="Butterfly",IF(AND(J405&gt;0,J405&lt;K405),F405-J405,"n.a."),IF(C405="call",IF(K405&gt;J405,2*E405-D405-J405,"n.a."),IF(AND(J405&gt;0,J405&lt;K405),D405-J405,"n.a.")))</x:f>
        <x:v>5670.3099999999995</x:v>
      </x:c>
      <x:c r="P405" s="19" t="n">
        <x:f>IF(AND(B405="Butterfly",J405&gt;0,J405&lt;K405),L405/J405,"n.a.")</x:f>
        <x:v>0.5421389467190988</x:v>
      </x:c>
      <x:c r="Q405" s="11" t="n">
        <x:f>J405*'Model inputs'!$B$8</x:f>
        <x:v>12969.000000000005</x:v>
      </x:c>
      <x:c r="R405" s="1" t="str">
        <x:v>Flagged leg data</x:v>
      </x:c>
      <x:c r="S405" s="1" t="n">
        <x:v>126</x:v>
      </x:c>
      <x:c r="T405" s="1" t="n">
        <x:v>144</x:v>
      </x:c>
    </x:row>
    <x:row r="406" ht="21" customHeight="1">
      <x:c r="A406" s="12" t="n">
        <x:v>46275</x:v>
      </x:c>
      <x:c r="B406" s="1" t="str">
        <x:v>Butterfly</x:v>
      </x:c>
      <x:c r="C406" s="1" t="str">
        <x:v>call</x:v>
      </x:c>
      <x:c r="D406" s="11" t="n">
        <x:v>5200</x:v>
      </x:c>
      <x:c r="E406" s="11" t="n">
        <x:v>5400</x:v>
      </x:c>
      <x:c r="F406" s="11" t="n">
        <x:v>5600</x:v>
      </x:c>
      <x:c r="G406" s="11" t="n">
        <x:f>'Option source'!B112</x:f>
        <x:v>1992.7</x:v>
      </x:c>
      <x:c r="H406" s="11" t="n">
        <x:f>'Option source'!B131</x:f>
        <x:v>1846.26</x:v>
      </x:c>
      <x:c r="I406" s="11" t="n">
        <x:f>'Option source'!B149</x:f>
        <x:v>1600</x:v>
      </x:c>
      <x:c r="J406" s="11" t="n">
        <x:f>G406-2*H406+IF(B406="Butterfly",I406,0)</x:f>
        <x:v>-99.81999999999994</x:v>
      </x:c>
      <x:c r="K406" s="11" t="n">
        <x:f>ABS(E406-D406)</x:f>
        <x:v>200</x:v>
      </x:c>
      <x:c r="L406" s="11" t="n">
        <x:f>K406-J406</x:f>
        <x:v>299.81999999999994</x:v>
      </x:c>
      <x:c r="M406" s="11" t="n">
        <x:f>IF(B406="Butterfly",MAX(J406,0),IF(C406="call","Unlimited",MAX(2*E406-D406+J406,J406,0)))</x:f>
        <x:v>0</x:v>
      </x:c>
      <x:c r="N406" s="11" t="str">
        <x:f>IF(B406="Butterfly",IF(AND(J406&gt;0,J406&lt;K406),D406+J406,"n.a."),IF(C406="call",IF(AND(J406&gt;0,J406&lt;K406),D406+J406,"n.a."),IF(AND(K406&gt;J406,2*E406-D406+J406&gt;=0),2*E406-D406+J406,"n.a.")))</x:f>
        <x:v>n.a.</x:v>
      </x:c>
      <x:c r="O406" s="11" t="str">
        <x:f>IF(B406="Butterfly",IF(AND(J406&gt;0,J406&lt;K406),F406-J406,"n.a."),IF(C406="call",IF(K406&gt;J406,2*E406-D406-J406,"n.a."),IF(AND(J406&gt;0,J406&lt;K406),D406-J406,"n.a.")))</x:f>
        <x:v>n.a.</x:v>
      </x:c>
      <x:c r="P406" s="19" t="str">
        <x:f>IF(AND(B406="Butterfly",J406&gt;0,J406&lt;K406),L406/J406,"n.a.")</x:f>
        <x:v>n.a.</x:v>
      </x:c>
      <x:c r="Q406" s="11" t="n">
        <x:f>J406*'Model inputs'!$B$8</x:f>
        <x:v>-9981.999999999993</x:v>
      </x:c>
      <x:c r="R406" s="1" t="str">
        <x:v>Outside standard debit bounds</x:v>
      </x:c>
      <x:c r="S406" s="1" t="n">
        <x:v>107</x:v>
      </x:c>
      <x:c r="T406" s="1" t="n">
        <x:v>126</x:v>
      </x:c>
    </x:row>
    <x:row r="407" ht="21" customHeight="1">
      <x:c r="A407" s="12" t="n">
        <x:v>46275</x:v>
      </x:c>
      <x:c r="B407" s="1" t="str">
        <x:v>Butterfly</x:v>
      </x:c>
      <x:c r="C407" s="1" t="str">
        <x:v>put</x:v>
      </x:c>
      <x:c r="D407" s="11" t="n">
        <x:v>8600</x:v>
      </x:c>
      <x:c r="E407" s="11" t="n">
        <x:v>8900</x:v>
      </x:c>
      <x:c r="F407" s="11" t="n">
        <x:v>9200</x:v>
      </x:c>
      <x:c r="G407" s="11" t="n">
        <x:f>'Option source'!B900</x:f>
        <x:v>1483.75</x:v>
      </x:c>
      <x:c r="H407" s="11" t="n">
        <x:f>'Option source'!B915</x:f>
        <x:v>2022.5</x:v>
      </x:c>
      <x:c r="I407" s="11" t="n">
        <x:f>'Option source'!B922</x:f>
        <x:v>2000</x:v>
      </x:c>
      <x:c r="J407" s="11" t="n">
        <x:f>G407-2*H407+IF(B407="Butterfly",I407,0)</x:f>
        <x:v>-561.25</x:v>
      </x:c>
      <x:c r="K407" s="11" t="n">
        <x:f>ABS(E407-D407)</x:f>
        <x:v>300</x:v>
      </x:c>
      <x:c r="L407" s="11" t="n">
        <x:f>K407-J407</x:f>
        <x:v>861.25</x:v>
      </x:c>
      <x:c r="M407" s="11" t="n">
        <x:f>IF(B407="Butterfly",MAX(J407,0),IF(C407="call","Unlimited",MAX(2*E407-D407+J407,J407,0)))</x:f>
        <x:v>0</x:v>
      </x:c>
      <x:c r="N407" s="11" t="str">
        <x:f>IF(B407="Butterfly",IF(AND(J407&gt;0,J407&lt;K407),D407+J407,"n.a."),IF(C407="call",IF(AND(J407&gt;0,J407&lt;K407),D407+J407,"n.a."),IF(AND(K407&gt;J407,2*E407-D407+J407&gt;=0),2*E407-D407+J407,"n.a.")))</x:f>
        <x:v>n.a.</x:v>
      </x:c>
      <x:c r="O407" s="11" t="str">
        <x:f>IF(B407="Butterfly",IF(AND(J407&gt;0,J407&lt;K407),F407-J407,"n.a."),IF(C407="call",IF(K407&gt;J407,2*E407-D407-J407,"n.a."),IF(AND(J407&gt;0,J407&lt;K407),D407-J407,"n.a.")))</x:f>
        <x:v>n.a.</x:v>
      </x:c>
      <x:c r="P407" s="19" t="str">
        <x:f>IF(AND(B407="Butterfly",J407&gt;0,J407&lt;K407),L407/J407,"n.a.")</x:f>
        <x:v>n.a.</x:v>
      </x:c>
      <x:c r="Q407" s="11" t="n">
        <x:f>J407*'Model inputs'!$B$8</x:f>
        <x:v>-56125</x:v>
      </x:c>
      <x:c r="R407" s="1" t="str">
        <x:v>Outside standard debit bounds</x:v>
      </x:c>
      <x:c r="S407" s="1" t="n">
        <x:v>895</x:v>
      </x:c>
      <x:c r="T407" s="1" t="n">
        <x:v>910</x:v>
      </x:c>
    </x:row>
    <x:row r="408" ht="21" customHeight="1">
      <x:c r="A408" s="12" t="n">
        <x:v>46275</x:v>
      </x:c>
      <x:c r="B408" s="1" t="str">
        <x:v>Butterfly</x:v>
      </x:c>
      <x:c r="C408" s="1" t="str">
        <x:v>call</x:v>
      </x:c>
      <x:c r="D408" s="11" t="n">
        <x:v>5000</x:v>
      </x:c>
      <x:c r="E408" s="11" t="n">
        <x:v>5200</x:v>
      </x:c>
      <x:c r="F408" s="11" t="n">
        <x:v>5400</x:v>
      </x:c>
      <x:c r="G408" s="11" t="n">
        <x:f>'Option source'!B93</x:f>
        <x:v>2248.2</x:v>
      </x:c>
      <x:c r="H408" s="11" t="n">
        <x:f>'Option source'!B112</x:f>
        <x:v>1992.7</x:v>
      </x:c>
      <x:c r="I408" s="11" t="n">
        <x:f>'Option source'!B131</x:f>
        <x:v>1846.26</x:v>
      </x:c>
      <x:c r="J408" s="11" t="n">
        <x:f>G408-2*H408+IF(B408="Butterfly",I408,0)</x:f>
        <x:v>109.05999999999972</x:v>
      </x:c>
      <x:c r="K408" s="11" t="n">
        <x:f>ABS(E408-D408)</x:f>
        <x:v>200</x:v>
      </x:c>
      <x:c r="L408" s="11" t="n">
        <x:f>K408-J408</x:f>
        <x:v>90.94000000000028</x:v>
      </x:c>
      <x:c r="M408" s="11" t="n">
        <x:f>IF(B408="Butterfly",MAX(J408,0),IF(C408="call","Unlimited",MAX(2*E408-D408+J408,J408,0)))</x:f>
        <x:v>109.05999999999972</x:v>
      </x:c>
      <x:c r="N408" s="11" t="n">
        <x:f>IF(B408="Butterfly",IF(AND(J408&gt;0,J408&lt;K408),D408+J408,"n.a."),IF(C408="call",IF(AND(J408&gt;0,J408&lt;K408),D408+J408,"n.a."),IF(AND(K408&gt;J408,2*E408-D408+J408&gt;=0),2*E408-D408+J408,"n.a.")))</x:f>
        <x:v>5109.0599999999995</x:v>
      </x:c>
      <x:c r="O408" s="11" t="n">
        <x:f>IF(B408="Butterfly",IF(AND(J408&gt;0,J408&lt;K408),F408-J408,"n.a."),IF(C408="call",IF(K408&gt;J408,2*E408-D408-J408,"n.a."),IF(AND(J408&gt;0,J408&lt;K408),D408-J408,"n.a.")))</x:f>
        <x:v>5290.9400000000005</x:v>
      </x:c>
      <x:c r="P408" s="19" t="n">
        <x:f>IF(AND(B408="Butterfly",J408&gt;0,J408&lt;K408),L408/J408,"n.a.")</x:f>
        <x:v>0.8338529249954201</x:v>
      </x:c>
      <x:c r="Q408" s="11" t="n">
        <x:f>J408*'Model inputs'!$B$8</x:f>
        <x:v>10905.99999999997</x:v>
      </x:c>
      <x:c r="R408" s="1" t="str">
        <x:v>Flagged leg data</x:v>
      </x:c>
      <x:c r="S408" s="1" t="n">
        <x:v>88</x:v>
      </x:c>
      <x:c r="T408" s="1" t="n">
        <x:v>107</x:v>
      </x:c>
    </x:row>
    <x:row r="409" ht="21" customHeight="1">
      <x:c r="A409" s="12" t="n">
        <x:v>46275</x:v>
      </x:c>
      <x:c r="B409" s="1" t="str">
        <x:v>Butterfly</x:v>
      </x:c>
      <x:c r="C409" s="1" t="str">
        <x:v>call</x:v>
      </x:c>
      <x:c r="D409" s="11" t="n">
        <x:v>4800</x:v>
      </x:c>
      <x:c r="E409" s="11" t="n">
        <x:v>5000</x:v>
      </x:c>
      <x:c r="F409" s="11" t="n">
        <x:v>5200</x:v>
      </x:c>
      <x:c r="G409" s="11" t="n">
        <x:f>'Option source'!B76</x:f>
        <x:v>2425.74</x:v>
      </x:c>
      <x:c r="H409" s="11" t="n">
        <x:f>'Option source'!B93</x:f>
        <x:v>2248.2</x:v>
      </x:c>
      <x:c r="I409" s="11" t="n">
        <x:f>'Option source'!B112</x:f>
        <x:v>1992.7</x:v>
      </x:c>
      <x:c r="J409" s="11" t="n">
        <x:f>G409-2*H409+IF(B409="Butterfly",I409,0)</x:f>
        <x:v>-77.95999999999981</x:v>
      </x:c>
      <x:c r="K409" s="11" t="n">
        <x:f>ABS(E409-D409)</x:f>
        <x:v>200</x:v>
      </x:c>
      <x:c r="L409" s="11" t="n">
        <x:f>K409-J409</x:f>
        <x:v>277.9599999999998</x:v>
      </x:c>
      <x:c r="M409" s="11" t="n">
        <x:f>IF(B409="Butterfly",MAX(J409,0),IF(C409="call","Unlimited",MAX(2*E409-D409+J409,J409,0)))</x:f>
        <x:v>0</x:v>
      </x:c>
      <x:c r="N409" s="11" t="str">
        <x:f>IF(B409="Butterfly",IF(AND(J409&gt;0,J409&lt;K409),D409+J409,"n.a."),IF(C409="call",IF(AND(J409&gt;0,J409&lt;K409),D409+J409,"n.a."),IF(AND(K409&gt;J409,2*E409-D409+J409&gt;=0),2*E409-D409+J409,"n.a.")))</x:f>
        <x:v>n.a.</x:v>
      </x:c>
      <x:c r="O409" s="11" t="str">
        <x:f>IF(B409="Butterfly",IF(AND(J409&gt;0,J409&lt;K409),F409-J409,"n.a."),IF(C409="call",IF(K409&gt;J409,2*E409-D409-J409,"n.a."),IF(AND(J409&gt;0,J409&lt;K409),D409-J409,"n.a.")))</x:f>
        <x:v>n.a.</x:v>
      </x:c>
      <x:c r="P409" s="19" t="str">
        <x:f>IF(AND(B409="Butterfly",J409&gt;0,J409&lt;K409),L409/J409,"n.a.")</x:f>
        <x:v>n.a.</x:v>
      </x:c>
      <x:c r="Q409" s="11" t="n">
        <x:f>J409*'Model inputs'!$B$8</x:f>
        <x:v>-7795.999999999981</x:v>
      </x:c>
      <x:c r="R409" s="1" t="str">
        <x:v>Outside standard debit bounds</x:v>
      </x:c>
      <x:c r="S409" s="1" t="n">
        <x:v>71</x:v>
      </x:c>
      <x:c r="T409" s="1" t="n">
        <x:v>88</x:v>
      </x:c>
    </x:row>
    <x:row r="410" ht="21" customHeight="1">
      <x:c r="A410" s="12" t="n">
        <x:v>46275</x:v>
      </x:c>
      <x:c r="B410" s="1" t="str">
        <x:v>Butterfly</x:v>
      </x:c>
      <x:c r="C410" s="1" t="str">
        <x:v>call</x:v>
      </x:c>
      <x:c r="D410" s="11" t="n">
        <x:v>4600</x:v>
      </x:c>
      <x:c r="E410" s="11" t="n">
        <x:v>4800</x:v>
      </x:c>
      <x:c r="F410" s="11" t="n">
        <x:v>5000</x:v>
      </x:c>
      <x:c r="G410" s="11" t="n">
        <x:f>'Option source'!B59</x:f>
        <x:v>2650</x:v>
      </x:c>
      <x:c r="H410" s="11" t="n">
        <x:f>'Option source'!B76</x:f>
        <x:v>2425.74</x:v>
      </x:c>
      <x:c r="I410" s="11" t="n">
        <x:f>'Option source'!B93</x:f>
        <x:v>2248.2</x:v>
      </x:c>
      <x:c r="J410" s="11" t="n">
        <x:f>G410-2*H410+IF(B410="Butterfly",I410,0)</x:f>
        <x:v>46.720000000000255</x:v>
      </x:c>
      <x:c r="K410" s="11" t="n">
        <x:f>ABS(E410-D410)</x:f>
        <x:v>200</x:v>
      </x:c>
      <x:c r="L410" s="11" t="n">
        <x:f>K410-J410</x:f>
        <x:v>153.27999999999975</x:v>
      </x:c>
      <x:c r="M410" s="11" t="n">
        <x:f>IF(B410="Butterfly",MAX(J410,0),IF(C410="call","Unlimited",MAX(2*E410-D410+J410,J410,0)))</x:f>
        <x:v>46.720000000000255</x:v>
      </x:c>
      <x:c r="N410" s="11" t="n">
        <x:f>IF(B410="Butterfly",IF(AND(J410&gt;0,J410&lt;K410),D410+J410,"n.a."),IF(C410="call",IF(AND(J410&gt;0,J410&lt;K410),D410+J410,"n.a."),IF(AND(K410&gt;J410,2*E410-D410+J410&gt;=0),2*E410-D410+J410,"n.a.")))</x:f>
        <x:v>4646.72</x:v>
      </x:c>
      <x:c r="O410" s="11" t="n">
        <x:f>IF(B410="Butterfly",IF(AND(J410&gt;0,J410&lt;K410),F410-J410,"n.a."),IF(C410="call",IF(K410&gt;J410,2*E410-D410-J410,"n.a."),IF(AND(J410&gt;0,J410&lt;K410),D410-J410,"n.a.")))</x:f>
        <x:v>4953.28</x:v>
      </x:c>
      <x:c r="P410" s="19" t="n">
        <x:f>IF(AND(B410="Butterfly",J410&gt;0,J410&lt;K410),L410/J410,"n.a.")</x:f>
        <x:v>3.2808219178081957</x:v>
      </x:c>
      <x:c r="Q410" s="11" t="n">
        <x:f>J410*'Model inputs'!$B$8</x:f>
        <x:v>4672.0000000000255</x:v>
      </x:c>
      <x:c r="R410" s="1" t="str">
        <x:v>Flagged leg data</x:v>
      </x:c>
      <x:c r="S410" s="1" t="n">
        <x:v>54</x:v>
      </x:c>
      <x:c r="T410" s="1" t="n">
        <x:v>71</x:v>
      </x:c>
    </x:row>
    <x:row r="411" ht="21" customHeight="1">
      <x:c r="A411" s="12" t="n">
        <x:v>46275</x:v>
      </x:c>
      <x:c r="B411" s="1" t="str">
        <x:v>Butterfly</x:v>
      </x:c>
      <x:c r="C411" s="1" t="str">
        <x:v>call</x:v>
      </x:c>
      <x:c r="D411" s="11" t="n">
        <x:v>4400</x:v>
      </x:c>
      <x:c r="E411" s="11" t="n">
        <x:v>4600</x:v>
      </x:c>
      <x:c r="F411" s="11" t="n">
        <x:v>4800</x:v>
      </x:c>
      <x:c r="G411" s="11" t="n">
        <x:f>'Option source'!B40</x:f>
        <x:v>2828.59</x:v>
      </x:c>
      <x:c r="H411" s="11" t="n">
        <x:f>'Option source'!B59</x:f>
        <x:v>2650</x:v>
      </x:c>
      <x:c r="I411" s="11" t="n">
        <x:f>'Option source'!B76</x:f>
        <x:v>2425.74</x:v>
      </x:c>
      <x:c r="J411" s="11" t="n">
        <x:f>G411-2*H411+IF(B411="Butterfly",I411,0)</x:f>
        <x:v>-45.67000000000007</x:v>
      </x:c>
      <x:c r="K411" s="11" t="n">
        <x:f>ABS(E411-D411)</x:f>
        <x:v>200</x:v>
      </x:c>
      <x:c r="L411" s="11" t="n">
        <x:f>K411-J411</x:f>
        <x:v>245.67000000000007</x:v>
      </x:c>
      <x:c r="M411" s="11" t="n">
        <x:f>IF(B411="Butterfly",MAX(J411,0),IF(C411="call","Unlimited",MAX(2*E411-D411+J411,J411,0)))</x:f>
        <x:v>0</x:v>
      </x:c>
      <x:c r="N411" s="11" t="str">
        <x:f>IF(B411="Butterfly",IF(AND(J411&gt;0,J411&lt;K411),D411+J411,"n.a."),IF(C411="call",IF(AND(J411&gt;0,J411&lt;K411),D411+J411,"n.a."),IF(AND(K411&gt;J411,2*E411-D411+J411&gt;=0),2*E411-D411+J411,"n.a.")))</x:f>
        <x:v>n.a.</x:v>
      </x:c>
      <x:c r="O411" s="11" t="str">
        <x:f>IF(B411="Butterfly",IF(AND(J411&gt;0,J411&lt;K411),F411-J411,"n.a."),IF(C411="call",IF(K411&gt;J411,2*E411-D411-J411,"n.a."),IF(AND(J411&gt;0,J411&lt;K411),D411-J411,"n.a.")))</x:f>
        <x:v>n.a.</x:v>
      </x:c>
      <x:c r="P411" s="19" t="str">
        <x:f>IF(AND(B411="Butterfly",J411&gt;0,J411&lt;K411),L411/J411,"n.a.")</x:f>
        <x:v>n.a.</x:v>
      </x:c>
      <x:c r="Q411" s="11" t="n">
        <x:f>J411*'Model inputs'!$B$8</x:f>
        <x:v>-4567.000000000007</x:v>
      </x:c>
      <x:c r="R411" s="1" t="str">
        <x:v>Outside standard debit bounds</x:v>
      </x:c>
      <x:c r="S411" s="1" t="n">
        <x:v>35</x:v>
      </x:c>
      <x:c r="T411" s="1" t="n">
        <x:v>54</x:v>
      </x:c>
    </x:row>
    <x:row r="412" ht="21" customHeight="1">
      <x:c r="A412" s="12" t="n">
        <x:v>46275</x:v>
      </x:c>
      <x:c r="B412" s="1" t="str">
        <x:v>Butterfly</x:v>
      </x:c>
      <x:c r="C412" s="1" t="str">
        <x:v>call</x:v>
      </x:c>
      <x:c r="D412" s="11" t="n">
        <x:v>4200</x:v>
      </x:c>
      <x:c r="E412" s="11" t="n">
        <x:v>4400</x:v>
      </x:c>
      <x:c r="F412" s="11" t="n">
        <x:v>4600</x:v>
      </x:c>
      <x:c r="G412" s="11" t="n">
        <x:f>'Option source'!B21</x:f>
        <x:v>3000</x:v>
      </x:c>
      <x:c r="H412" s="11" t="n">
        <x:f>'Option source'!B40</x:f>
        <x:v>2828.59</x:v>
      </x:c>
      <x:c r="I412" s="11" t="n">
        <x:f>'Option source'!B59</x:f>
        <x:v>2650</x:v>
      </x:c>
      <x:c r="J412" s="11" t="n">
        <x:f>G412-2*H412+IF(B412="Butterfly",I412,0)</x:f>
        <x:v>-7.180000000000291</x:v>
      </x:c>
      <x:c r="K412" s="11" t="n">
        <x:f>ABS(E412-D412)</x:f>
        <x:v>200</x:v>
      </x:c>
      <x:c r="L412" s="11" t="n">
        <x:f>K412-J412</x:f>
        <x:v>207.1800000000003</x:v>
      </x:c>
      <x:c r="M412" s="11" t="n">
        <x:f>IF(B412="Butterfly",MAX(J412,0),IF(C412="call","Unlimited",MAX(2*E412-D412+J412,J412,0)))</x:f>
        <x:v>0</x:v>
      </x:c>
      <x:c r="N412" s="11" t="str">
        <x:f>IF(B412="Butterfly",IF(AND(J412&gt;0,J412&lt;K412),D412+J412,"n.a."),IF(C412="call",IF(AND(J412&gt;0,J412&lt;K412),D412+J412,"n.a."),IF(AND(K412&gt;J412,2*E412-D412+J412&gt;=0),2*E412-D412+J412,"n.a.")))</x:f>
        <x:v>n.a.</x:v>
      </x:c>
      <x:c r="O412" s="11" t="str">
        <x:f>IF(B412="Butterfly",IF(AND(J412&gt;0,J412&lt;K412),F412-J412,"n.a."),IF(C412="call",IF(K412&gt;J412,2*E412-D412-J412,"n.a."),IF(AND(J412&gt;0,J412&lt;K412),D412-J412,"n.a.")))</x:f>
        <x:v>n.a.</x:v>
      </x:c>
      <x:c r="P412" s="19" t="str">
        <x:f>IF(AND(B412="Butterfly",J412&gt;0,J412&lt;K412),L412/J412,"n.a.")</x:f>
        <x:v>n.a.</x:v>
      </x:c>
      <x:c r="Q412" s="11" t="n">
        <x:f>J412*'Model inputs'!$B$8</x:f>
        <x:v>-718.0000000000291</x:v>
      </x:c>
      <x:c r="R412" s="1" t="str">
        <x:v>Outside standard debit bounds</x:v>
      </x:c>
      <x:c r="S412" s="1" t="n">
        <x:v>16</x:v>
      </x:c>
      <x:c r="T412" s="1" t="n">
        <x:v>35</x:v>
      </x:c>
    </x:row>
    <x:row r="413" ht="21" customHeight="1">
      <x:c r="A413" s="12" t="n">
        <x:v>46275</x:v>
      </x:c>
      <x:c r="B413" s="1" t="str">
        <x:v>Butterfly</x:v>
      </x:c>
      <x:c r="C413" s="1" t="str">
        <x:v>put</x:v>
      </x:c>
      <x:c r="D413" s="11" t="n">
        <x:v>4200</x:v>
      </x:c>
      <x:c r="E413" s="11" t="n">
        <x:v>4400</x:v>
      </x:c>
      <x:c r="F413" s="11" t="n">
        <x:v>4600</x:v>
      </x:c>
      <x:c r="G413" s="11" t="n">
        <x:f>'Option source'!B501</x:f>
        <x:v>0.76</x:v>
      </x:c>
      <x:c r="H413" s="11" t="n">
        <x:f>'Option source'!B520</x:f>
        <x:v>1</x:v>
      </x:c>
      <x:c r="I413" s="11" t="n">
        <x:f>'Option source'!B539</x:f>
        <x:v>1.09</x:v>
      </x:c>
      <x:c r="J413" s="11" t="n">
        <x:f>G413-2*H413+IF(B413="Butterfly",I413,0)</x:f>
        <x:v>-0.1499999999999999</x:v>
      </x:c>
      <x:c r="K413" s="11" t="n">
        <x:f>ABS(E413-D413)</x:f>
        <x:v>200</x:v>
      </x:c>
      <x:c r="L413" s="11" t="n">
        <x:f>K413-J413</x:f>
        <x:v>200.15</x:v>
      </x:c>
      <x:c r="M413" s="11" t="n">
        <x:f>IF(B413="Butterfly",MAX(J413,0),IF(C413="call","Unlimited",MAX(2*E413-D413+J413,J413,0)))</x:f>
        <x:v>0</x:v>
      </x:c>
      <x:c r="N413" s="11" t="str">
        <x:f>IF(B413="Butterfly",IF(AND(J413&gt;0,J413&lt;K413),D413+J413,"n.a."),IF(C413="call",IF(AND(J413&gt;0,J413&lt;K413),D413+J413,"n.a."),IF(AND(K413&gt;J413,2*E413-D413+J413&gt;=0),2*E413-D413+J413,"n.a.")))</x:f>
        <x:v>n.a.</x:v>
      </x:c>
      <x:c r="O413" s="11" t="str">
        <x:f>IF(B413="Butterfly",IF(AND(J413&gt;0,J413&lt;K413),F413-J413,"n.a."),IF(C413="call",IF(K413&gt;J413,2*E413-D413-J413,"n.a."),IF(AND(J413&gt;0,J413&lt;K413),D413-J413,"n.a.")))</x:f>
        <x:v>n.a.</x:v>
      </x:c>
      <x:c r="P413" s="19" t="str">
        <x:f>IF(AND(B413="Butterfly",J413&gt;0,J413&lt;K413),L413/J413,"n.a.")</x:f>
        <x:v>n.a.</x:v>
      </x:c>
      <x:c r="Q413" s="11" t="n">
        <x:f>J413*'Model inputs'!$B$8</x:f>
        <x:v>-14.999999999999991</x:v>
      </x:c>
      <x:c r="R413" s="1" t="str">
        <x:v>Outside standard debit bounds</x:v>
      </x:c>
      <x:c r="S413" s="1" t="n">
        <x:v>496</x:v>
      </x:c>
      <x:c r="T413" s="1" t="n">
        <x:v>515</x:v>
      </x:c>
    </x:row>
    <x:row r="414" ht="21" customHeight="1">
      <x:c r="A414" s="12" t="n">
        <x:v>46275</x:v>
      </x:c>
      <x:c r="B414" s="1" t="str">
        <x:v>1x2 ratio</x:v>
      </x:c>
      <x:c r="C414" s="1" t="str">
        <x:v>call</x:v>
      </x:c>
      <x:c r="D414" s="11" t="n">
        <x:v>7000</x:v>
      </x:c>
      <x:c r="E414" s="11" t="n">
        <x:v>7200</x:v>
      </x:c>
      <x:c r="F414" s="11"/>
      <x:c r="G414" s="11" t="n">
        <x:f>'Option source'!B273</x:f>
        <x:v>523.63</x:v>
      </x:c>
      <x:c r="H414" s="11" t="n">
        <x:f>'Option source'!B292</x:f>
        <x:v>423.4</x:v>
      </x:c>
      <x:c r="I414" s="11"/>
      <x:c r="J414" s="11" t="n">
        <x:f>G414-2*H414+IF(B414="Butterfly",I414,0)</x:f>
        <x:v>-323.16999999999996</x:v>
      </x:c>
      <x:c r="K414" s="11" t="n">
        <x:f>ABS(E414-D414)</x:f>
        <x:v>200</x:v>
      </x:c>
      <x:c r="L414" s="11" t="n">
        <x:f>K414-J414</x:f>
        <x:v>523.17</x:v>
      </x:c>
      <x:c r="M414" s="11" t="str">
        <x:f>IF(B414="Butterfly",MAX(J414,0),IF(C414="call","Unlimited",MAX(2*E414-D414+J414,J414,0)))</x:f>
        <x:v>Unlimited</x:v>
      </x:c>
      <x:c r="N414" s="11" t="str">
        <x:f>IF(B414="Butterfly",IF(AND(J414&gt;0,J414&lt;K414),D414+J414,"n.a."),IF(C414="call",IF(AND(J414&gt;0,J414&lt;K414),D414+J414,"n.a."),IF(AND(K414&gt;J414,2*E414-D414+J414&gt;=0),2*E414-D414+J414,"n.a.")))</x:f>
        <x:v>n.a.</x:v>
      </x:c>
      <x:c r="O414" s="11" t="n">
        <x:f>IF(B414="Butterfly",IF(AND(J414&gt;0,J414&lt;K414),F414-J414,"n.a."),IF(C414="call",IF(K414&gt;J414,2*E414-D414-J414,"n.a."),IF(AND(J414&gt;0,J414&lt;K414),D414-J414,"n.a.")))</x:f>
        <x:v>7723.17</x:v>
      </x:c>
      <x:c r="P414" s="19" t="str">
        <x:f>IF(AND(B414="Butterfly",J414&gt;0,J414&lt;K414),L414/J414,"n.a.")</x:f>
        <x:v>n.a.</x:v>
      </x:c>
      <x:c r="Q414" s="11" t="n">
        <x:f>J414*'Model inputs'!$B$8</x:f>
        <x:v>-32316.999999999996</x:v>
      </x:c>
      <x:c r="R414" s="1" t="str">
        <x:v>Indicative only</x:v>
      </x:c>
      <x:c r="S414" s="1" t="n">
        <x:v>268</x:v>
      </x:c>
      <x:c r="T414" s="1" t="n">
        <x:v>287</x:v>
      </x:c>
    </x:row>
    <x:row r="415" ht="21" customHeight="1">
      <x:c r="A415" s="12" t="n">
        <x:v>46275</x:v>
      </x:c>
      <x:c r="B415" s="1" t="str">
        <x:v>1x2 ratio</x:v>
      </x:c>
      <x:c r="C415" s="1" t="str">
        <x:v>put</x:v>
      </x:c>
      <x:c r="D415" s="11" t="n">
        <x:v>7400</x:v>
      </x:c>
      <x:c r="E415" s="11" t="n">
        <x:v>7200</x:v>
      </x:c>
      <x:c r="F415" s="11"/>
      <x:c r="G415" s="11" t="n">
        <x:f>'Option source'!B805</x:f>
        <x:v>451.44</x:v>
      </x:c>
      <x:c r="H415" s="11" t="n">
        <x:f>'Option source'!B786</x:f>
        <x:v>344.11</x:v>
      </x:c>
      <x:c r="I415" s="11"/>
      <x:c r="J415" s="11" t="n">
        <x:f>G415-2*H415+IF(B415="Butterfly",I415,0)</x:f>
        <x:v>-236.78000000000003</x:v>
      </x:c>
      <x:c r="K415" s="11" t="n">
        <x:f>ABS(E415-D415)</x:f>
        <x:v>200</x:v>
      </x:c>
      <x:c r="L415" s="11" t="n">
        <x:f>K415-J415</x:f>
        <x:v>436.78000000000003</x:v>
      </x:c>
      <x:c r="M415" s="11" t="n">
        <x:f>IF(B415="Butterfly",MAX(J415,0),IF(C415="call","Unlimited",MAX(2*E415-D415+J415,J415,0)))</x:f>
        <x:v>6763.22</x:v>
      </x:c>
      <x:c r="N415" s="11" t="n">
        <x:f>IF(B415="Butterfly",IF(AND(J415&gt;0,J415&lt;K415),D415+J415,"n.a."),IF(C415="call",IF(AND(J415&gt;0,J415&lt;K415),D415+J415,"n.a."),IF(AND(K415&gt;J415,2*E415-D415+J415&gt;=0),2*E415-D415+J415,"n.a.")))</x:f>
        <x:v>6763.22</x:v>
      </x:c>
      <x:c r="O415" s="11" t="str">
        <x:f>IF(B415="Butterfly",IF(AND(J415&gt;0,J415&lt;K415),F415-J415,"n.a."),IF(C415="call",IF(K415&gt;J415,2*E415-D415-J415,"n.a."),IF(AND(J415&gt;0,J415&lt;K415),D415-J415,"n.a.")))</x:f>
        <x:v>n.a.</x:v>
      </x:c>
      <x:c r="P415" s="19" t="str">
        <x:f>IF(AND(B415="Butterfly",J415&gt;0,J415&lt;K415),L415/J415,"n.a.")</x:f>
        <x:v>n.a.</x:v>
      </x:c>
      <x:c r="Q415" s="11" t="n">
        <x:f>J415*'Model inputs'!$B$8</x:f>
        <x:v>-23678.000000000004</x:v>
      </x:c>
      <x:c r="R415" s="1" t="str">
        <x:v>Indicative only</x:v>
      </x:c>
      <x:c r="S415" s="1" t="n">
        <x:v>800</x:v>
      </x:c>
      <x:c r="T415" s="1" t="n">
        <x:v>781</x:v>
      </x:c>
    </x:row>
    <x:row r="416" ht="21" customHeight="1">
      <x:c r="A416" s="12" t="n">
        <x:v>46275</x:v>
      </x:c>
      <x:c r="B416" s="1" t="str">
        <x:v>1x2 ratio</x:v>
      </x:c>
      <x:c r="C416" s="1" t="str">
        <x:v>call</x:v>
      </x:c>
      <x:c r="D416" s="11" t="n">
        <x:v>6800</x:v>
      </x:c>
      <x:c r="E416" s="11" t="n">
        <x:v>7000</x:v>
      </x:c>
      <x:c r="F416" s="11"/>
      <x:c r="G416" s="11" t="n">
        <x:f>'Option source'!B254</x:f>
        <x:v>648.79</x:v>
      </x:c>
      <x:c r="H416" s="11" t="n">
        <x:f>'Option source'!B273</x:f>
        <x:v>523.63</x:v>
      </x:c>
      <x:c r="I416" s="11"/>
      <x:c r="J416" s="11" t="n">
        <x:f>G416-2*H416+IF(B416="Butterfly",I416,0)</x:f>
        <x:v>-398.47</x:v>
      </x:c>
      <x:c r="K416" s="11" t="n">
        <x:f>ABS(E416-D416)</x:f>
        <x:v>200</x:v>
      </x:c>
      <x:c r="L416" s="11" t="n">
        <x:f>K416-J416</x:f>
        <x:v>598.47</x:v>
      </x:c>
      <x:c r="M416" s="11" t="str">
        <x:f>IF(B416="Butterfly",MAX(J416,0),IF(C416="call","Unlimited",MAX(2*E416-D416+J416,J416,0)))</x:f>
        <x:v>Unlimited</x:v>
      </x:c>
      <x:c r="N416" s="11" t="str">
        <x:f>IF(B416="Butterfly",IF(AND(J416&gt;0,J416&lt;K416),D416+J416,"n.a."),IF(C416="call",IF(AND(J416&gt;0,J416&lt;K416),D416+J416,"n.a."),IF(AND(K416&gt;J416,2*E416-D416+J416&gt;=0),2*E416-D416+J416,"n.a.")))</x:f>
        <x:v>n.a.</x:v>
      </x:c>
      <x:c r="O416" s="11" t="n">
        <x:f>IF(B416="Butterfly",IF(AND(J416&gt;0,J416&lt;K416),F416-J416,"n.a."),IF(C416="call",IF(K416&gt;J416,2*E416-D416-J416,"n.a."),IF(AND(J416&gt;0,J416&lt;K416),D416-J416,"n.a.")))</x:f>
        <x:v>7598.47</x:v>
      </x:c>
      <x:c r="P416" s="19" t="str">
        <x:f>IF(AND(B416="Butterfly",J416&gt;0,J416&lt;K416),L416/J416,"n.a.")</x:f>
        <x:v>n.a.</x:v>
      </x:c>
      <x:c r="Q416" s="11" t="n">
        <x:f>J416*'Model inputs'!$B$8</x:f>
        <x:v>-39847</x:v>
      </x:c>
      <x:c r="R416" s="1" t="str">
        <x:v>Indicative only</x:v>
      </x:c>
      <x:c r="S416" s="1" t="n">
        <x:v>249</x:v>
      </x:c>
      <x:c r="T416" s="1" t="n">
        <x:v>268</x:v>
      </x:c>
    </x:row>
    <x:row r="417" ht="21" customHeight="1">
      <x:c r="A417" s="12" t="n">
        <x:v>46275</x:v>
      </x:c>
      <x:c r="B417" s="1" t="str">
        <x:v>1x2 ratio</x:v>
      </x:c>
      <x:c r="C417" s="1" t="str">
        <x:v>put</x:v>
      </x:c>
      <x:c r="D417" s="11" t="n">
        <x:v>7200</x:v>
      </x:c>
      <x:c r="E417" s="11" t="n">
        <x:v>7000</x:v>
      </x:c>
      <x:c r="F417" s="11"/>
      <x:c r="G417" s="11" t="n">
        <x:f>'Option source'!B786</x:f>
        <x:v>344.11</x:v>
      </x:c>
      <x:c r="H417" s="11" t="n">
        <x:f>'Option source'!B767</x:f>
        <x:v>250.22</x:v>
      </x:c>
      <x:c r="I417" s="11"/>
      <x:c r="J417" s="11" t="n">
        <x:f>G417-2*H417+IF(B417="Butterfly",I417,0)</x:f>
        <x:v>-156.32999999999998</x:v>
      </x:c>
      <x:c r="K417" s="11" t="n">
        <x:f>ABS(E417-D417)</x:f>
        <x:v>200</x:v>
      </x:c>
      <x:c r="L417" s="11" t="n">
        <x:f>K417-J417</x:f>
        <x:v>356.33</x:v>
      </x:c>
      <x:c r="M417" s="11" t="n">
        <x:f>IF(B417="Butterfly",MAX(J417,0),IF(C417="call","Unlimited",MAX(2*E417-D417+J417,J417,0)))</x:f>
        <x:v>6643.67</x:v>
      </x:c>
      <x:c r="N417" s="11" t="n">
        <x:f>IF(B417="Butterfly",IF(AND(J417&gt;0,J417&lt;K417),D417+J417,"n.a."),IF(C417="call",IF(AND(J417&gt;0,J417&lt;K417),D417+J417,"n.a."),IF(AND(K417&gt;J417,2*E417-D417+J417&gt;=0),2*E417-D417+J417,"n.a.")))</x:f>
        <x:v>6643.67</x:v>
      </x:c>
      <x:c r="O417" s="11" t="str">
        <x:f>IF(B417="Butterfly",IF(AND(J417&gt;0,J417&lt;K417),F417-J417,"n.a."),IF(C417="call",IF(K417&gt;J417,2*E417-D417-J417,"n.a."),IF(AND(J417&gt;0,J417&lt;K417),D417-J417,"n.a.")))</x:f>
        <x:v>n.a.</x:v>
      </x:c>
      <x:c r="P417" s="19" t="str">
        <x:f>IF(AND(B417="Butterfly",J417&gt;0,J417&lt;K417),L417/J417,"n.a.")</x:f>
        <x:v>n.a.</x:v>
      </x:c>
      <x:c r="Q417" s="11" t="n">
        <x:f>J417*'Model inputs'!$B$8</x:f>
        <x:v>-15632.999999999998</x:v>
      </x:c>
      <x:c r="R417" s="1" t="str">
        <x:v>Indicative only</x:v>
      </x:c>
      <x:c r="S417" s="1" t="n">
        <x:v>781</x:v>
      </x:c>
      <x:c r="T417" s="1" t="n">
        <x:v>762</x:v>
      </x:c>
    </x:row>
    <x:row r="418" ht="21" customHeight="1">
      <x:c r="A418" s="12" t="n">
        <x:v>46275</x:v>
      </x:c>
      <x:c r="B418" s="1" t="str">
        <x:v>1x2 ratio</x:v>
      </x:c>
      <x:c r="C418" s="1" t="str">
        <x:v>call</x:v>
      </x:c>
      <x:c r="D418" s="11" t="n">
        <x:v>7200</x:v>
      </x:c>
      <x:c r="E418" s="11" t="n">
        <x:v>7400</x:v>
      </x:c>
      <x:c r="F418" s="11"/>
      <x:c r="G418" s="11" t="n">
        <x:f>'Option source'!B292</x:f>
        <x:v>423.4</x:v>
      </x:c>
      <x:c r="H418" s="11" t="n">
        <x:f>'Option source'!B311</x:f>
        <x:v>328.35</x:v>
      </x:c>
      <x:c r="I418" s="11"/>
      <x:c r="J418" s="11" t="n">
        <x:f>G418-2*H418+IF(B418="Butterfly",I418,0)</x:f>
        <x:v>-233.30000000000007</x:v>
      </x:c>
      <x:c r="K418" s="11" t="n">
        <x:f>ABS(E418-D418)</x:f>
        <x:v>200</x:v>
      </x:c>
      <x:c r="L418" s="11" t="n">
        <x:f>K418-J418</x:f>
        <x:v>433.30000000000007</x:v>
      </x:c>
      <x:c r="M418" s="11" t="str">
        <x:f>IF(B418="Butterfly",MAX(J418,0),IF(C418="call","Unlimited",MAX(2*E418-D418+J418,J418,0)))</x:f>
        <x:v>Unlimited</x:v>
      </x:c>
      <x:c r="N418" s="11" t="str">
        <x:f>IF(B418="Butterfly",IF(AND(J418&gt;0,J418&lt;K418),D418+J418,"n.a."),IF(C418="call",IF(AND(J418&gt;0,J418&lt;K418),D418+J418,"n.a."),IF(AND(K418&gt;J418,2*E418-D418+J418&gt;=0),2*E418-D418+J418,"n.a.")))</x:f>
        <x:v>n.a.</x:v>
      </x:c>
      <x:c r="O418" s="11" t="n">
        <x:f>IF(B418="Butterfly",IF(AND(J418&gt;0,J418&lt;K418),F418-J418,"n.a."),IF(C418="call",IF(K418&gt;J418,2*E418-D418-J418,"n.a."),IF(AND(J418&gt;0,J418&lt;K418),D418-J418,"n.a.")))</x:f>
        <x:v>7833.3</x:v>
      </x:c>
      <x:c r="P418" s="19" t="str">
        <x:f>IF(AND(B418="Butterfly",J418&gt;0,J418&lt;K418),L418/J418,"n.a.")</x:f>
        <x:v>n.a.</x:v>
      </x:c>
      <x:c r="Q418" s="11" t="n">
        <x:f>J418*'Model inputs'!$B$8</x:f>
        <x:v>-23330.000000000007</x:v>
      </x:c>
      <x:c r="R418" s="1" t="str">
        <x:v>Indicative only</x:v>
      </x:c>
      <x:c r="S418" s="1" t="n">
        <x:v>287</x:v>
      </x:c>
      <x:c r="T418" s="1" t="n">
        <x:v>306</x:v>
      </x:c>
    </x:row>
    <x:row r="419" ht="21" customHeight="1">
      <x:c r="A419" s="12" t="n">
        <x:v>46275</x:v>
      </x:c>
      <x:c r="B419" s="1" t="str">
        <x:v>1x2 ratio</x:v>
      </x:c>
      <x:c r="C419" s="1" t="str">
        <x:v>put</x:v>
      </x:c>
      <x:c r="D419" s="11" t="n">
        <x:v>7600</x:v>
      </x:c>
      <x:c r="E419" s="11" t="n">
        <x:v>7400</x:v>
      </x:c>
      <x:c r="F419" s="11"/>
      <x:c r="G419" s="11" t="n">
        <x:f>'Option source'!B824</x:f>
        <x:v>569.29</x:v>
      </x:c>
      <x:c r="H419" s="11" t="n">
        <x:f>'Option source'!B805</x:f>
        <x:v>451.44</x:v>
      </x:c>
      <x:c r="I419" s="11"/>
      <x:c r="J419" s="11" t="n">
        <x:f>G419-2*H419+IF(B419="Butterfly",I419,0)</x:f>
        <x:v>-333.59000000000003</x:v>
      </x:c>
      <x:c r="K419" s="11" t="n">
        <x:f>ABS(E419-D419)</x:f>
        <x:v>200</x:v>
      </x:c>
      <x:c r="L419" s="11" t="n">
        <x:f>K419-J419</x:f>
        <x:v>533.59</x:v>
      </x:c>
      <x:c r="M419" s="11" t="n">
        <x:f>IF(B419="Butterfly",MAX(J419,0),IF(C419="call","Unlimited",MAX(2*E419-D419+J419,J419,0)))</x:f>
        <x:v>6866.41</x:v>
      </x:c>
      <x:c r="N419" s="11" t="n">
        <x:f>IF(B419="Butterfly",IF(AND(J419&gt;0,J419&lt;K419),D419+J419,"n.a."),IF(C419="call",IF(AND(J419&gt;0,J419&lt;K419),D419+J419,"n.a."),IF(AND(K419&gt;J419,2*E419-D419+J419&gt;=0),2*E419-D419+J419,"n.a.")))</x:f>
        <x:v>6866.41</x:v>
      </x:c>
      <x:c r="O419" s="11" t="str">
        <x:f>IF(B419="Butterfly",IF(AND(J419&gt;0,J419&lt;K419),F419-J419,"n.a."),IF(C419="call",IF(K419&gt;J419,2*E419-D419-J419,"n.a."),IF(AND(J419&gt;0,J419&lt;K419),D419-J419,"n.a.")))</x:f>
        <x:v>n.a.</x:v>
      </x:c>
      <x:c r="P419" s="19" t="str">
        <x:f>IF(AND(B419="Butterfly",J419&gt;0,J419&lt;K419),L419/J419,"n.a.")</x:f>
        <x:v>n.a.</x:v>
      </x:c>
      <x:c r="Q419" s="11" t="n">
        <x:f>J419*'Model inputs'!$B$8</x:f>
        <x:v>-33359</x:v>
      </x:c>
      <x:c r="R419" s="1" t="str">
        <x:v>Indicative only</x:v>
      </x:c>
      <x:c r="S419" s="1" t="n">
        <x:v>819</x:v>
      </x:c>
      <x:c r="T419" s="1" t="n">
        <x:v>800</x:v>
      </x:c>
    </x:row>
    <x:row r="420" ht="21" customHeight="1">
      <x:c r="A420" s="12" t="n">
        <x:v>46275</x:v>
      </x:c>
      <x:c r="B420" s="1" t="str">
        <x:v>1x2 ratio</x:v>
      </x:c>
      <x:c r="C420" s="1" t="str">
        <x:v>call</x:v>
      </x:c>
      <x:c r="D420" s="11" t="n">
        <x:v>6600</x:v>
      </x:c>
      <x:c r="E420" s="11" t="n">
        <x:v>6800</x:v>
      </x:c>
      <x:c r="F420" s="11"/>
      <x:c r="G420" s="11" t="n">
        <x:f>'Option source'!B235</x:f>
        <x:v>763.51</x:v>
      </x:c>
      <x:c r="H420" s="11" t="n">
        <x:f>'Option source'!B254</x:f>
        <x:v>648.79</x:v>
      </x:c>
      <x:c r="I420" s="11"/>
      <x:c r="J420" s="11" t="n">
        <x:f>G420-2*H420+IF(B420="Butterfly",I420,0)</x:f>
        <x:v>-534.0699999999999</x:v>
      </x:c>
      <x:c r="K420" s="11" t="n">
        <x:f>ABS(E420-D420)</x:f>
        <x:v>200</x:v>
      </x:c>
      <x:c r="L420" s="11" t="n">
        <x:f>K420-J420</x:f>
        <x:v>734.0699999999999</x:v>
      </x:c>
      <x:c r="M420" s="11" t="str">
        <x:f>IF(B420="Butterfly",MAX(J420,0),IF(C420="call","Unlimited",MAX(2*E420-D420+J420,J420,0)))</x:f>
        <x:v>Unlimited</x:v>
      </x:c>
      <x:c r="N420" s="11" t="str">
        <x:f>IF(B420="Butterfly",IF(AND(J420&gt;0,J420&lt;K420),D420+J420,"n.a."),IF(C420="call",IF(AND(J420&gt;0,J420&lt;K420),D420+J420,"n.a."),IF(AND(K420&gt;J420,2*E420-D420+J420&gt;=0),2*E420-D420+J420,"n.a.")))</x:f>
        <x:v>n.a.</x:v>
      </x:c>
      <x:c r="O420" s="11" t="n">
        <x:f>IF(B420="Butterfly",IF(AND(J420&gt;0,J420&lt;K420),F420-J420,"n.a."),IF(C420="call",IF(K420&gt;J420,2*E420-D420-J420,"n.a."),IF(AND(J420&gt;0,J420&lt;K420),D420-J420,"n.a.")))</x:f>
        <x:v>7534.07</x:v>
      </x:c>
      <x:c r="P420" s="19" t="str">
        <x:f>IF(AND(B420="Butterfly",J420&gt;0,J420&lt;K420),L420/J420,"n.a.")</x:f>
        <x:v>n.a.</x:v>
      </x:c>
      <x:c r="Q420" s="11" t="n">
        <x:f>J420*'Model inputs'!$B$8</x:f>
        <x:v>-53406.99999999999</x:v>
      </x:c>
      <x:c r="R420" s="1" t="str">
        <x:v>Indicative only</x:v>
      </x:c>
      <x:c r="S420" s="1" t="n">
        <x:v>230</x:v>
      </x:c>
      <x:c r="T420" s="1" t="n">
        <x:v>249</x:v>
      </x:c>
    </x:row>
    <x:row r="421" ht="21" customHeight="1">
      <x:c r="A421" s="12" t="n">
        <x:v>46275</x:v>
      </x:c>
      <x:c r="B421" s="1" t="str">
        <x:v>1x2 ratio</x:v>
      </x:c>
      <x:c r="C421" s="1" t="str">
        <x:v>put</x:v>
      </x:c>
      <x:c r="D421" s="11" t="n">
        <x:v>7000</x:v>
      </x:c>
      <x:c r="E421" s="11" t="n">
        <x:v>6800</x:v>
      </x:c>
      <x:c r="F421" s="11"/>
      <x:c r="G421" s="11" t="n">
        <x:f>'Option source'!B767</x:f>
        <x:v>250.22</x:v>
      </x:c>
      <x:c r="H421" s="11" t="n">
        <x:f>'Option source'!B748</x:f>
        <x:v>180.26</x:v>
      </x:c>
      <x:c r="I421" s="11"/>
      <x:c r="J421" s="11" t="n">
        <x:f>G421-2*H421+IF(B421="Butterfly",I421,0)</x:f>
        <x:v>-110.29999999999998</x:v>
      </x:c>
      <x:c r="K421" s="11" t="n">
        <x:f>ABS(E421-D421)</x:f>
        <x:v>200</x:v>
      </x:c>
      <x:c r="L421" s="11" t="n">
        <x:f>K421-J421</x:f>
        <x:v>310.29999999999995</x:v>
      </x:c>
      <x:c r="M421" s="11" t="n">
        <x:f>IF(B421="Butterfly",MAX(J421,0),IF(C421="call","Unlimited",MAX(2*E421-D421+J421,J421,0)))</x:f>
        <x:v>6489.7</x:v>
      </x:c>
      <x:c r="N421" s="11" t="n">
        <x:f>IF(B421="Butterfly",IF(AND(J421&gt;0,J421&lt;K421),D421+J421,"n.a."),IF(C421="call",IF(AND(J421&gt;0,J421&lt;K421),D421+J421,"n.a."),IF(AND(K421&gt;J421,2*E421-D421+J421&gt;=0),2*E421-D421+J421,"n.a.")))</x:f>
        <x:v>6489.7</x:v>
      </x:c>
      <x:c r="O421" s="11" t="str">
        <x:f>IF(B421="Butterfly",IF(AND(J421&gt;0,J421&lt;K421),F421-J421,"n.a."),IF(C421="call",IF(K421&gt;J421,2*E421-D421-J421,"n.a."),IF(AND(J421&gt;0,J421&lt;K421),D421-J421,"n.a.")))</x:f>
        <x:v>n.a.</x:v>
      </x:c>
      <x:c r="P421" s="19" t="str">
        <x:f>IF(AND(B421="Butterfly",J421&gt;0,J421&lt;K421),L421/J421,"n.a.")</x:f>
        <x:v>n.a.</x:v>
      </x:c>
      <x:c r="Q421" s="11" t="n">
        <x:f>J421*'Model inputs'!$B$8</x:f>
        <x:v>-11029.999999999998</x:v>
      </x:c>
      <x:c r="R421" s="1" t="str">
        <x:v>Indicative only</x:v>
      </x:c>
      <x:c r="S421" s="1" t="n">
        <x:v>762</x:v>
      </x:c>
      <x:c r="T421" s="1" t="n">
        <x:v>743</x:v>
      </x:c>
    </x:row>
    <x:row r="422" ht="21" customHeight="1">
      <x:c r="A422" s="12" t="n">
        <x:v>46275</x:v>
      </x:c>
      <x:c r="B422" s="1" t="str">
        <x:v>1x2 ratio</x:v>
      </x:c>
      <x:c r="C422" s="1" t="str">
        <x:v>call</x:v>
      </x:c>
      <x:c r="D422" s="11" t="n">
        <x:v>7400</x:v>
      </x:c>
      <x:c r="E422" s="11" t="n">
        <x:v>7600</x:v>
      </x:c>
      <x:c r="F422" s="11"/>
      <x:c r="G422" s="11" t="n">
        <x:f>'Option source'!B311</x:f>
        <x:v>328.35</x:v>
      </x:c>
      <x:c r="H422" s="11" t="n">
        <x:f>'Option source'!B330</x:f>
        <x:v>254.8</x:v>
      </x:c>
      <x:c r="I422" s="11"/>
      <x:c r="J422" s="11" t="n">
        <x:f>G422-2*H422+IF(B422="Butterfly",I422,0)</x:f>
        <x:v>-181.25</x:v>
      </x:c>
      <x:c r="K422" s="11" t="n">
        <x:f>ABS(E422-D422)</x:f>
        <x:v>200</x:v>
      </x:c>
      <x:c r="L422" s="11" t="n">
        <x:f>K422-J422</x:f>
        <x:v>381.25</x:v>
      </x:c>
      <x:c r="M422" s="11" t="str">
        <x:f>IF(B422="Butterfly",MAX(J422,0),IF(C422="call","Unlimited",MAX(2*E422-D422+J422,J422,0)))</x:f>
        <x:v>Unlimited</x:v>
      </x:c>
      <x:c r="N422" s="11" t="str">
        <x:f>IF(B422="Butterfly",IF(AND(J422&gt;0,J422&lt;K422),D422+J422,"n.a."),IF(C422="call",IF(AND(J422&gt;0,J422&lt;K422),D422+J422,"n.a."),IF(AND(K422&gt;J422,2*E422-D422+J422&gt;=0),2*E422-D422+J422,"n.a.")))</x:f>
        <x:v>n.a.</x:v>
      </x:c>
      <x:c r="O422" s="11" t="n">
        <x:f>IF(B422="Butterfly",IF(AND(J422&gt;0,J422&lt;K422),F422-J422,"n.a."),IF(C422="call",IF(K422&gt;J422,2*E422-D422-J422,"n.a."),IF(AND(J422&gt;0,J422&lt;K422),D422-J422,"n.a.")))</x:f>
        <x:v>7981.25</x:v>
      </x:c>
      <x:c r="P422" s="19" t="str">
        <x:f>IF(AND(B422="Butterfly",J422&gt;0,J422&lt;K422),L422/J422,"n.a.")</x:f>
        <x:v>n.a.</x:v>
      </x:c>
      <x:c r="Q422" s="11" t="n">
        <x:f>J422*'Model inputs'!$B$8</x:f>
        <x:v>-18125</x:v>
      </x:c>
      <x:c r="R422" s="1" t="str">
        <x:v>Indicative only</x:v>
      </x:c>
      <x:c r="S422" s="1" t="n">
        <x:v>306</x:v>
      </x:c>
      <x:c r="T422" s="1" t="n">
        <x:v>325</x:v>
      </x:c>
    </x:row>
    <x:row r="423" ht="21" customHeight="1">
      <x:c r="A423" s="12" t="n">
        <x:v>46275</x:v>
      </x:c>
      <x:c r="B423" s="1" t="str">
        <x:v>1x2 ratio</x:v>
      </x:c>
      <x:c r="C423" s="1" t="str">
        <x:v>call</x:v>
      </x:c>
      <x:c r="D423" s="11" t="n">
        <x:v>6400</x:v>
      </x:c>
      <x:c r="E423" s="11" t="n">
        <x:v>6600</x:v>
      </x:c>
      <x:c r="F423" s="11"/>
      <x:c r="G423" s="11" t="n">
        <x:f>'Option source'!B216</x:f>
        <x:v>945</x:v>
      </x:c>
      <x:c r="H423" s="11" t="n">
        <x:f>'Option source'!B235</x:f>
        <x:v>763.51</x:v>
      </x:c>
      <x:c r="I423" s="11"/>
      <x:c r="J423" s="11" t="n">
        <x:f>G423-2*H423+IF(B423="Butterfly",I423,0)</x:f>
        <x:v>-582.02</x:v>
      </x:c>
      <x:c r="K423" s="11" t="n">
        <x:f>ABS(E423-D423)</x:f>
        <x:v>200</x:v>
      </x:c>
      <x:c r="L423" s="11" t="n">
        <x:f>K423-J423</x:f>
        <x:v>782.02</x:v>
      </x:c>
      <x:c r="M423" s="11" t="str">
        <x:f>IF(B423="Butterfly",MAX(J423,0),IF(C423="call","Unlimited",MAX(2*E423-D423+J423,J423,0)))</x:f>
        <x:v>Unlimited</x:v>
      </x:c>
      <x:c r="N423" s="11" t="str">
        <x:f>IF(B423="Butterfly",IF(AND(J423&gt;0,J423&lt;K423),D423+J423,"n.a."),IF(C423="call",IF(AND(J423&gt;0,J423&lt;K423),D423+J423,"n.a."),IF(AND(K423&gt;J423,2*E423-D423+J423&gt;=0),2*E423-D423+J423,"n.a.")))</x:f>
        <x:v>n.a.</x:v>
      </x:c>
      <x:c r="O423" s="11" t="n">
        <x:f>IF(B423="Butterfly",IF(AND(J423&gt;0,J423&lt;K423),F423-J423,"n.a."),IF(C423="call",IF(K423&gt;J423,2*E423-D423-J423,"n.a."),IF(AND(J423&gt;0,J423&lt;K423),D423-J423,"n.a.")))</x:f>
        <x:v>7382.02</x:v>
      </x:c>
      <x:c r="P423" s="19" t="str">
        <x:f>IF(AND(B423="Butterfly",J423&gt;0,J423&lt;K423),L423/J423,"n.a.")</x:f>
        <x:v>n.a.</x:v>
      </x:c>
      <x:c r="Q423" s="11" t="n">
        <x:f>J423*'Model inputs'!$B$8</x:f>
        <x:v>-58202</x:v>
      </x:c>
      <x:c r="R423" s="1" t="str">
        <x:v>Indicative only</x:v>
      </x:c>
      <x:c r="S423" s="1" t="n">
        <x:v>211</x:v>
      </x:c>
      <x:c r="T423" s="1" t="n">
        <x:v>230</x:v>
      </x:c>
    </x:row>
    <x:row r="424" ht="21" customHeight="1">
      <x:c r="A424" s="12" t="n">
        <x:v>46275</x:v>
      </x:c>
      <x:c r="B424" s="1" t="str">
        <x:v>1x2 ratio</x:v>
      </x:c>
      <x:c r="C424" s="1" t="str">
        <x:v>put</x:v>
      </x:c>
      <x:c r="D424" s="11" t="n">
        <x:v>6800</x:v>
      </x:c>
      <x:c r="E424" s="11" t="n">
        <x:v>6600</x:v>
      </x:c>
      <x:c r="F424" s="11"/>
      <x:c r="G424" s="11" t="n">
        <x:f>'Option source'!B748</x:f>
        <x:v>180.26</x:v>
      </x:c>
      <x:c r="H424" s="11" t="n">
        <x:f>'Option source'!B729</x:f>
        <x:v>119.26</x:v>
      </x:c>
      <x:c r="I424" s="11"/>
      <x:c r="J424" s="11" t="n">
        <x:f>G424-2*H424+IF(B424="Butterfly",I424,0)</x:f>
        <x:v>-58.26000000000002</x:v>
      </x:c>
      <x:c r="K424" s="11" t="n">
        <x:f>ABS(E424-D424)</x:f>
        <x:v>200</x:v>
      </x:c>
      <x:c r="L424" s="11" t="n">
        <x:f>K424-J424</x:f>
        <x:v>258.26</x:v>
      </x:c>
      <x:c r="M424" s="11" t="n">
        <x:f>IF(B424="Butterfly",MAX(J424,0),IF(C424="call","Unlimited",MAX(2*E424-D424+J424,J424,0)))</x:f>
        <x:v>6341.74</x:v>
      </x:c>
      <x:c r="N424" s="11" t="n">
        <x:f>IF(B424="Butterfly",IF(AND(J424&gt;0,J424&lt;K424),D424+J424,"n.a."),IF(C424="call",IF(AND(J424&gt;0,J424&lt;K424),D424+J424,"n.a."),IF(AND(K424&gt;J424,2*E424-D424+J424&gt;=0),2*E424-D424+J424,"n.a.")))</x:f>
        <x:v>6341.74</x:v>
      </x:c>
      <x:c r="O424" s="11" t="str">
        <x:f>IF(B424="Butterfly",IF(AND(J424&gt;0,J424&lt;K424),F424-J424,"n.a."),IF(C424="call",IF(K424&gt;J424,2*E424-D424-J424,"n.a."),IF(AND(J424&gt;0,J424&lt;K424),D424-J424,"n.a.")))</x:f>
        <x:v>n.a.</x:v>
      </x:c>
      <x:c r="P424" s="19" t="str">
        <x:f>IF(AND(B424="Butterfly",J424&gt;0,J424&lt;K424),L424/J424,"n.a.")</x:f>
        <x:v>n.a.</x:v>
      </x:c>
      <x:c r="Q424" s="11" t="n">
        <x:f>J424*'Model inputs'!$B$8</x:f>
        <x:v>-5826.000000000002</x:v>
      </x:c>
      <x:c r="R424" s="1" t="str">
        <x:v>Indicative only</x:v>
      </x:c>
      <x:c r="S424" s="1" t="n">
        <x:v>743</x:v>
      </x:c>
      <x:c r="T424" s="1" t="n">
        <x:v>724</x:v>
      </x:c>
    </x:row>
    <x:row r="425" ht="21" customHeight="1">
      <x:c r="A425" s="12" t="n">
        <x:v>46275</x:v>
      </x:c>
      <x:c r="B425" s="1" t="str">
        <x:v>1x2 ratio</x:v>
      </x:c>
      <x:c r="C425" s="1" t="str">
        <x:v>call</x:v>
      </x:c>
      <x:c r="D425" s="11" t="n">
        <x:v>7600</x:v>
      </x:c>
      <x:c r="E425" s="11" t="n">
        <x:v>7800</x:v>
      </x:c>
      <x:c r="F425" s="11"/>
      <x:c r="G425" s="11" t="n">
        <x:f>'Option source'!B330</x:f>
        <x:v>254.8</x:v>
      </x:c>
      <x:c r="H425" s="11" t="n">
        <x:f>'Option source'!B349</x:f>
        <x:v>197.85</x:v>
      </x:c>
      <x:c r="I425" s="11"/>
      <x:c r="J425" s="11" t="n">
        <x:f>G425-2*H425+IF(B425="Butterfly",I425,0)</x:f>
        <x:v>-140.89999999999998</x:v>
      </x:c>
      <x:c r="K425" s="11" t="n">
        <x:f>ABS(E425-D425)</x:f>
        <x:v>200</x:v>
      </x:c>
      <x:c r="L425" s="11" t="n">
        <x:f>K425-J425</x:f>
        <x:v>340.9</x:v>
      </x:c>
      <x:c r="M425" s="11" t="str">
        <x:f>IF(B425="Butterfly",MAX(J425,0),IF(C425="call","Unlimited",MAX(2*E425-D425+J425,J425,0)))</x:f>
        <x:v>Unlimited</x:v>
      </x:c>
      <x:c r="N425" s="11" t="str">
        <x:f>IF(B425="Butterfly",IF(AND(J425&gt;0,J425&lt;K425),D425+J425,"n.a."),IF(C425="call",IF(AND(J425&gt;0,J425&lt;K425),D425+J425,"n.a."),IF(AND(K425&gt;J425,2*E425-D425+J425&gt;=0),2*E425-D425+J425,"n.a.")))</x:f>
        <x:v>n.a.</x:v>
      </x:c>
      <x:c r="O425" s="11" t="n">
        <x:f>IF(B425="Butterfly",IF(AND(J425&gt;0,J425&lt;K425),F425-J425,"n.a."),IF(C425="call",IF(K425&gt;J425,2*E425-D425-J425,"n.a."),IF(AND(J425&gt;0,J425&lt;K425),D425-J425,"n.a.")))</x:f>
        <x:v>8140.9</x:v>
      </x:c>
      <x:c r="P425" s="19" t="str">
        <x:f>IF(AND(B425="Butterfly",J425&gt;0,J425&lt;K425),L425/J425,"n.a.")</x:f>
        <x:v>n.a.</x:v>
      </x:c>
      <x:c r="Q425" s="11" t="n">
        <x:f>J425*'Model inputs'!$B$8</x:f>
        <x:v>-14089.999999999998</x:v>
      </x:c>
      <x:c r="R425" s="1" t="str">
        <x:v>Indicative only</x:v>
      </x:c>
      <x:c r="S425" s="1" t="n">
        <x:v>325</x:v>
      </x:c>
      <x:c r="T425" s="1" t="n">
        <x:v>344</x:v>
      </x:c>
    </x:row>
    <x:row r="426" ht="21" customHeight="1">
      <x:c r="A426" s="12" t="n">
        <x:v>46275</x:v>
      </x:c>
      <x:c r="B426" s="1" t="str">
        <x:v>1x2 ratio</x:v>
      </x:c>
      <x:c r="C426" s="1" t="str">
        <x:v>put</x:v>
      </x:c>
      <x:c r="D426" s="11" t="n">
        <x:v>6600</x:v>
      </x:c>
      <x:c r="E426" s="11" t="n">
        <x:v>6400</x:v>
      </x:c>
      <x:c r="F426" s="11"/>
      <x:c r="G426" s="11" t="n">
        <x:f>'Option source'!B729</x:f>
        <x:v>119.26</x:v>
      </x:c>
      <x:c r="H426" s="11" t="n">
        <x:f>'Option source'!B710</x:f>
        <x:v>79.55</x:v>
      </x:c>
      <x:c r="I426" s="11"/>
      <x:c r="J426" s="11" t="n">
        <x:f>G426-2*H426+IF(B426="Butterfly",I426,0)</x:f>
        <x:v>-39.83999999999999</x:v>
      </x:c>
      <x:c r="K426" s="11" t="n">
        <x:f>ABS(E426-D426)</x:f>
        <x:v>200</x:v>
      </x:c>
      <x:c r="L426" s="11" t="n">
        <x:f>K426-J426</x:f>
        <x:v>239.83999999999997</x:v>
      </x:c>
      <x:c r="M426" s="11" t="n">
        <x:f>IF(B426="Butterfly",MAX(J426,0),IF(C426="call","Unlimited",MAX(2*E426-D426+J426,J426,0)))</x:f>
        <x:v>6160.16</x:v>
      </x:c>
      <x:c r="N426" s="11" t="n">
        <x:f>IF(B426="Butterfly",IF(AND(J426&gt;0,J426&lt;K426),D426+J426,"n.a."),IF(C426="call",IF(AND(J426&gt;0,J426&lt;K426),D426+J426,"n.a."),IF(AND(K426&gt;J426,2*E426-D426+J426&gt;=0),2*E426-D426+J426,"n.a.")))</x:f>
        <x:v>6160.16</x:v>
      </x:c>
      <x:c r="O426" s="11" t="str">
        <x:f>IF(B426="Butterfly",IF(AND(J426&gt;0,J426&lt;K426),F426-J426,"n.a."),IF(C426="call",IF(K426&gt;J426,2*E426-D426-J426,"n.a."),IF(AND(J426&gt;0,J426&lt;K426),D426-J426,"n.a.")))</x:f>
        <x:v>n.a.</x:v>
      </x:c>
      <x:c r="P426" s="19" t="str">
        <x:f>IF(AND(B426="Butterfly",J426&gt;0,J426&lt;K426),L426/J426,"n.a.")</x:f>
        <x:v>n.a.</x:v>
      </x:c>
      <x:c r="Q426" s="11" t="n">
        <x:f>J426*'Model inputs'!$B$8</x:f>
        <x:v>-3983.999999999999</x:v>
      </x:c>
      <x:c r="R426" s="1" t="str">
        <x:v>Indicative only</x:v>
      </x:c>
      <x:c r="S426" s="1" t="n">
        <x:v>724</x:v>
      </x:c>
      <x:c r="T426" s="1" t="n">
        <x:v>705</x:v>
      </x:c>
    </x:row>
    <x:row r="427" ht="21" customHeight="1">
      <x:c r="A427" s="12" t="n">
        <x:v>46275</x:v>
      </x:c>
      <x:c r="B427" s="1" t="str">
        <x:v>1x2 ratio</x:v>
      </x:c>
      <x:c r="C427" s="1" t="str">
        <x:v>call</x:v>
      </x:c>
      <x:c r="D427" s="11" t="n">
        <x:v>7800</x:v>
      </x:c>
      <x:c r="E427" s="11" t="n">
        <x:v>8000</x:v>
      </x:c>
      <x:c r="F427" s="11"/>
      <x:c r="G427" s="11" t="n">
        <x:f>'Option source'!B349</x:f>
        <x:v>197.85</x:v>
      </x:c>
      <x:c r="H427" s="11" t="n">
        <x:f>'Option source'!B368</x:f>
        <x:v>146.4</x:v>
      </x:c>
      <x:c r="I427" s="11"/>
      <x:c r="J427" s="11" t="n">
        <x:f>G427-2*H427+IF(B427="Butterfly",I427,0)</x:f>
        <x:v>-94.95000000000002</x:v>
      </x:c>
      <x:c r="K427" s="11" t="n">
        <x:f>ABS(E427-D427)</x:f>
        <x:v>200</x:v>
      </x:c>
      <x:c r="L427" s="11" t="n">
        <x:f>K427-J427</x:f>
        <x:v>294.95000000000005</x:v>
      </x:c>
      <x:c r="M427" s="11" t="str">
        <x:f>IF(B427="Butterfly",MAX(J427,0),IF(C427="call","Unlimited",MAX(2*E427-D427+J427,J427,0)))</x:f>
        <x:v>Unlimited</x:v>
      </x:c>
      <x:c r="N427" s="11" t="str">
        <x:f>IF(B427="Butterfly",IF(AND(J427&gt;0,J427&lt;K427),D427+J427,"n.a."),IF(C427="call",IF(AND(J427&gt;0,J427&lt;K427),D427+J427,"n.a."),IF(AND(K427&gt;J427,2*E427-D427+J427&gt;=0),2*E427-D427+J427,"n.a.")))</x:f>
        <x:v>n.a.</x:v>
      </x:c>
      <x:c r="O427" s="11" t="n">
        <x:f>IF(B427="Butterfly",IF(AND(J427&gt;0,J427&lt;K427),F427-J427,"n.a."),IF(C427="call",IF(K427&gt;J427,2*E427-D427-J427,"n.a."),IF(AND(J427&gt;0,J427&lt;K427),D427-J427,"n.a.")))</x:f>
        <x:v>8294.95</x:v>
      </x:c>
      <x:c r="P427" s="19" t="str">
        <x:f>IF(AND(B427="Butterfly",J427&gt;0,J427&lt;K427),L427/J427,"n.a.")</x:f>
        <x:v>n.a.</x:v>
      </x:c>
      <x:c r="Q427" s="11" t="n">
        <x:f>J427*'Model inputs'!$B$8</x:f>
        <x:v>-9495.000000000002</x:v>
      </x:c>
      <x:c r="R427" s="1" t="str">
        <x:v>Indicative only</x:v>
      </x:c>
      <x:c r="S427" s="1" t="n">
        <x:v>344</x:v>
      </x:c>
      <x:c r="T427" s="1" t="n">
        <x:v>363</x:v>
      </x:c>
    </x:row>
    <x:row r="428" ht="21" customHeight="1">
      <x:c r="A428" s="12" t="n">
        <x:v>46275</x:v>
      </x:c>
      <x:c r="B428" s="1" t="str">
        <x:v>1x2 ratio</x:v>
      </x:c>
      <x:c r="C428" s="1" t="str">
        <x:v>put</x:v>
      </x:c>
      <x:c r="D428" s="11" t="n">
        <x:v>6400</x:v>
      </x:c>
      <x:c r="E428" s="11" t="n">
        <x:v>6200</x:v>
      </x:c>
      <x:c r="F428" s="11"/>
      <x:c r="G428" s="11" t="n">
        <x:f>'Option source'!B710</x:f>
        <x:v>79.55</x:v>
      </x:c>
      <x:c r="H428" s="11" t="n">
        <x:f>'Option source'!B691</x:f>
        <x:v>50.26</x:v>
      </x:c>
      <x:c r="I428" s="11"/>
      <x:c r="J428" s="11" t="n">
        <x:f>G428-2*H428+IF(B428="Butterfly",I428,0)</x:f>
        <x:v>-20.97</x:v>
      </x:c>
      <x:c r="K428" s="11" t="n">
        <x:f>ABS(E428-D428)</x:f>
        <x:v>200</x:v>
      </x:c>
      <x:c r="L428" s="11" t="n">
        <x:f>K428-J428</x:f>
        <x:v>220.97</x:v>
      </x:c>
      <x:c r="M428" s="11" t="n">
        <x:f>IF(B428="Butterfly",MAX(J428,0),IF(C428="call","Unlimited",MAX(2*E428-D428+J428,J428,0)))</x:f>
        <x:v>5979.03</x:v>
      </x:c>
      <x:c r="N428" s="11" t="n">
        <x:f>IF(B428="Butterfly",IF(AND(J428&gt;0,J428&lt;K428),D428+J428,"n.a."),IF(C428="call",IF(AND(J428&gt;0,J428&lt;K428),D428+J428,"n.a."),IF(AND(K428&gt;J428,2*E428-D428+J428&gt;=0),2*E428-D428+J428,"n.a.")))</x:f>
        <x:v>5979.03</x:v>
      </x:c>
      <x:c r="O428" s="11" t="str">
        <x:f>IF(B428="Butterfly",IF(AND(J428&gt;0,J428&lt;K428),F428-J428,"n.a."),IF(C428="call",IF(K428&gt;J428,2*E428-D428-J428,"n.a."),IF(AND(J428&gt;0,J428&lt;K428),D428-J428,"n.a.")))</x:f>
        <x:v>n.a.</x:v>
      </x:c>
      <x:c r="P428" s="19" t="str">
        <x:f>IF(AND(B428="Butterfly",J428&gt;0,J428&lt;K428),L428/J428,"n.a.")</x:f>
        <x:v>n.a.</x:v>
      </x:c>
      <x:c r="Q428" s="11" t="n">
        <x:f>J428*'Model inputs'!$B$8</x:f>
        <x:v>-2097</x:v>
      </x:c>
      <x:c r="R428" s="1" t="str">
        <x:v>Indicative only</x:v>
      </x:c>
      <x:c r="S428" s="1" t="n">
        <x:v>705</x:v>
      </x:c>
      <x:c r="T428" s="1" t="n">
        <x:v>686</x:v>
      </x:c>
    </x:row>
    <x:row r="429" ht="21" customHeight="1">
      <x:c r="A429" s="12" t="n">
        <x:v>46275</x:v>
      </x:c>
      <x:c r="B429" s="1" t="str">
        <x:v>1x2 ratio</x:v>
      </x:c>
      <x:c r="C429" s="1" t="str">
        <x:v>put</x:v>
      </x:c>
      <x:c r="D429" s="11" t="n">
        <x:v>6200</x:v>
      </x:c>
      <x:c r="E429" s="11" t="n">
        <x:v>6000</x:v>
      </x:c>
      <x:c r="F429" s="11"/>
      <x:c r="G429" s="11" t="n">
        <x:f>'Option source'!B691</x:f>
        <x:v>50.26</x:v>
      </x:c>
      <x:c r="H429" s="11" t="n">
        <x:f>'Option source'!B672</x:f>
        <x:v>29.33</x:v>
      </x:c>
      <x:c r="I429" s="11"/>
      <x:c r="J429" s="11" t="n">
        <x:f>G429-2*H429+IF(B429="Butterfly",I429,0)</x:f>
        <x:v>-8.399999999999999</x:v>
      </x:c>
      <x:c r="K429" s="11" t="n">
        <x:f>ABS(E429-D429)</x:f>
        <x:v>200</x:v>
      </x:c>
      <x:c r="L429" s="11" t="n">
        <x:f>K429-J429</x:f>
        <x:v>208.4</x:v>
      </x:c>
      <x:c r="M429" s="11" t="n">
        <x:f>IF(B429="Butterfly",MAX(J429,0),IF(C429="call","Unlimited",MAX(2*E429-D429+J429,J429,0)))</x:f>
        <x:v>5791.6</x:v>
      </x:c>
      <x:c r="N429" s="11" t="n">
        <x:f>IF(B429="Butterfly",IF(AND(J429&gt;0,J429&lt;K429),D429+J429,"n.a."),IF(C429="call",IF(AND(J429&gt;0,J429&lt;K429),D429+J429,"n.a."),IF(AND(K429&gt;J429,2*E429-D429+J429&gt;=0),2*E429-D429+J429,"n.a.")))</x:f>
        <x:v>5791.6</x:v>
      </x:c>
      <x:c r="O429" s="11" t="str">
        <x:f>IF(B429="Butterfly",IF(AND(J429&gt;0,J429&lt;K429),F429-J429,"n.a."),IF(C429="call",IF(K429&gt;J429,2*E429-D429-J429,"n.a."),IF(AND(J429&gt;0,J429&lt;K429),D429-J429,"n.a.")))</x:f>
        <x:v>n.a.</x:v>
      </x:c>
      <x:c r="P429" s="19" t="str">
        <x:f>IF(AND(B429="Butterfly",J429&gt;0,J429&lt;K429),L429/J429,"n.a.")</x:f>
        <x:v>n.a.</x:v>
      </x:c>
      <x:c r="Q429" s="11" t="n">
        <x:f>J429*'Model inputs'!$B$8</x:f>
        <x:v>-839.9999999999999</x:v>
      </x:c>
      <x:c r="R429" s="1" t="str">
        <x:v>Indicative only</x:v>
      </x:c>
      <x:c r="S429" s="1" t="n">
        <x:v>686</x:v>
      </x:c>
      <x:c r="T429" s="1" t="n">
        <x:v>667</x:v>
      </x:c>
    </x:row>
    <x:row r="430" ht="21" customHeight="1">
      <x:c r="A430" s="12" t="n">
        <x:v>46275</x:v>
      </x:c>
      <x:c r="B430" s="1" t="str">
        <x:v>1x2 ratio</x:v>
      </x:c>
      <x:c r="C430" s="1" t="str">
        <x:v>call</x:v>
      </x:c>
      <x:c r="D430" s="11" t="n">
        <x:v>8000</x:v>
      </x:c>
      <x:c r="E430" s="11" t="n">
        <x:v>8300</x:v>
      </x:c>
      <x:c r="F430" s="11"/>
      <x:c r="G430" s="11" t="n">
        <x:f>'Option source'!B368</x:f>
        <x:v>146.4</x:v>
      </x:c>
      <x:c r="H430" s="11" t="n">
        <x:f>'Option source'!B387</x:f>
        <x:v>92.56</x:v>
      </x:c>
      <x:c r="I430" s="11"/>
      <x:c r="J430" s="11" t="n">
        <x:f>G430-2*H430+IF(B430="Butterfly",I430,0)</x:f>
        <x:v>-38.72</x:v>
      </x:c>
      <x:c r="K430" s="11" t="n">
        <x:f>ABS(E430-D430)</x:f>
        <x:v>300</x:v>
      </x:c>
      <x:c r="L430" s="11" t="n">
        <x:f>K430-J430</x:f>
        <x:v>338.72</x:v>
      </x:c>
      <x:c r="M430" s="11" t="str">
        <x:f>IF(B430="Butterfly",MAX(J430,0),IF(C430="call","Unlimited",MAX(2*E430-D430+J430,J430,0)))</x:f>
        <x:v>Unlimited</x:v>
      </x:c>
      <x:c r="N430" s="11" t="str">
        <x:f>IF(B430="Butterfly",IF(AND(J430&gt;0,J430&lt;K430),D430+J430,"n.a."),IF(C430="call",IF(AND(J430&gt;0,J430&lt;K430),D430+J430,"n.a."),IF(AND(K430&gt;J430,2*E430-D430+J430&gt;=0),2*E430-D430+J430,"n.a.")))</x:f>
        <x:v>n.a.</x:v>
      </x:c>
      <x:c r="O430" s="11" t="n">
        <x:f>IF(B430="Butterfly",IF(AND(J430&gt;0,J430&lt;K430),F430-J430,"n.a."),IF(C430="call",IF(K430&gt;J430,2*E430-D430-J430,"n.a."),IF(AND(J430&gt;0,J430&lt;K430),D430-J430,"n.a.")))</x:f>
        <x:v>8638.72</x:v>
      </x:c>
      <x:c r="P430" s="19" t="str">
        <x:f>IF(AND(B430="Butterfly",J430&gt;0,J430&lt;K430),L430/J430,"n.a.")</x:f>
        <x:v>n.a.</x:v>
      </x:c>
      <x:c r="Q430" s="11" t="n">
        <x:f>J430*'Model inputs'!$B$8</x:f>
        <x:v>-3872</x:v>
      </x:c>
      <x:c r="R430" s="1" t="str">
        <x:v>Indicative only</x:v>
      </x:c>
      <x:c r="S430" s="1" t="n">
        <x:v>363</x:v>
      </x:c>
      <x:c r="T430" s="1" t="n">
        <x:v>382</x:v>
      </x:c>
    </x:row>
    <x:row r="431" ht="21" customHeight="1">
      <x:c r="A431" s="12" t="n">
        <x:v>46275</x:v>
      </x:c>
      <x:c r="B431" s="1" t="str">
        <x:v>1x2 ratio</x:v>
      </x:c>
      <x:c r="C431" s="1" t="str">
        <x:v>put</x:v>
      </x:c>
      <x:c r="D431" s="11" t="n">
        <x:v>8600</x:v>
      </x:c>
      <x:c r="E431" s="11" t="n">
        <x:v>8300</x:v>
      </x:c>
      <x:c r="F431" s="11"/>
      <x:c r="G431" s="11" t="n">
        <x:f>'Option source'!B900</x:f>
        <x:v>1483.75</x:v>
      </x:c>
      <x:c r="H431" s="11" t="n">
        <x:f>'Option source'!B881</x:f>
        <x:v>1160</x:v>
      </x:c>
      <x:c r="I431" s="11"/>
      <x:c r="J431" s="11" t="n">
        <x:f>G431-2*H431+IF(B431="Butterfly",I431,0)</x:f>
        <x:v>-836.25</x:v>
      </x:c>
      <x:c r="K431" s="11" t="n">
        <x:f>ABS(E431-D431)</x:f>
        <x:v>300</x:v>
      </x:c>
      <x:c r="L431" s="11" t="n">
        <x:f>K431-J431</x:f>
        <x:v>1136.25</x:v>
      </x:c>
      <x:c r="M431" s="11" t="n">
        <x:f>IF(B431="Butterfly",MAX(J431,0),IF(C431="call","Unlimited",MAX(2*E431-D431+J431,J431,0)))</x:f>
        <x:v>7163.75</x:v>
      </x:c>
      <x:c r="N431" s="11" t="n">
        <x:f>IF(B431="Butterfly",IF(AND(J431&gt;0,J431&lt;K431),D431+J431,"n.a."),IF(C431="call",IF(AND(J431&gt;0,J431&lt;K431),D431+J431,"n.a."),IF(AND(K431&gt;J431,2*E431-D431+J431&gt;=0),2*E431-D431+J431,"n.a.")))</x:f>
        <x:v>7163.75</x:v>
      </x:c>
      <x:c r="O431" s="11" t="str">
        <x:f>IF(B431="Butterfly",IF(AND(J431&gt;0,J431&lt;K431),F431-J431,"n.a."),IF(C431="call",IF(K431&gt;J431,2*E431-D431-J431,"n.a."),IF(AND(J431&gt;0,J431&lt;K431),D431-J431,"n.a.")))</x:f>
        <x:v>n.a.</x:v>
      </x:c>
      <x:c r="P431" s="19" t="str">
        <x:f>IF(AND(B431="Butterfly",J431&gt;0,J431&lt;K431),L431/J431,"n.a.")</x:f>
        <x:v>n.a.</x:v>
      </x:c>
      <x:c r="Q431" s="11" t="n">
        <x:f>J431*'Model inputs'!$B$8</x:f>
        <x:v>-83625</x:v>
      </x:c>
      <x:c r="R431" s="1" t="str">
        <x:v>Indicative only</x:v>
      </x:c>
      <x:c r="S431" s="1" t="n">
        <x:v>895</x:v>
      </x:c>
      <x:c r="T431" s="1" t="n">
        <x:v>876</x:v>
      </x:c>
    </x:row>
    <x:row r="432" ht="21" customHeight="1">
      <x:c r="A432" s="12" t="n">
        <x:v>46275</x:v>
      </x:c>
      <x:c r="B432" s="1" t="str">
        <x:v>1x2 ratio</x:v>
      </x:c>
      <x:c r="C432" s="1" t="str">
        <x:v>put</x:v>
      </x:c>
      <x:c r="D432" s="11" t="n">
        <x:v>6000</x:v>
      </x:c>
      <x:c r="E432" s="11" t="n">
        <x:v>5800</x:v>
      </x:c>
      <x:c r="F432" s="11"/>
      <x:c r="G432" s="11" t="n">
        <x:f>'Option source'!B672</x:f>
        <x:v>29.33</x:v>
      </x:c>
      <x:c r="H432" s="11" t="n">
        <x:f>'Option source'!B653</x:f>
        <x:v>15.97</x:v>
      </x:c>
      <x:c r="I432" s="11"/>
      <x:c r="J432" s="11" t="n">
        <x:f>G432-2*H432+IF(B432="Butterfly",I432,0)</x:f>
        <x:v>-2.610000000000003</x:v>
      </x:c>
      <x:c r="K432" s="11" t="n">
        <x:f>ABS(E432-D432)</x:f>
        <x:v>200</x:v>
      </x:c>
      <x:c r="L432" s="11" t="n">
        <x:f>K432-J432</x:f>
        <x:v>202.61</x:v>
      </x:c>
      <x:c r="M432" s="11" t="n">
        <x:f>IF(B432="Butterfly",MAX(J432,0),IF(C432="call","Unlimited",MAX(2*E432-D432+J432,J432,0)))</x:f>
        <x:v>5597.39</x:v>
      </x:c>
      <x:c r="N432" s="11" t="n">
        <x:f>IF(B432="Butterfly",IF(AND(J432&gt;0,J432&lt;K432),D432+J432,"n.a."),IF(C432="call",IF(AND(J432&gt;0,J432&lt;K432),D432+J432,"n.a."),IF(AND(K432&gt;J432,2*E432-D432+J432&gt;=0),2*E432-D432+J432,"n.a.")))</x:f>
        <x:v>5597.39</x:v>
      </x:c>
      <x:c r="O432" s="11" t="str">
        <x:f>IF(B432="Butterfly",IF(AND(J432&gt;0,J432&lt;K432),F432-J432,"n.a."),IF(C432="call",IF(K432&gt;J432,2*E432-D432-J432,"n.a."),IF(AND(J432&gt;0,J432&lt;K432),D432-J432,"n.a.")))</x:f>
        <x:v>n.a.</x:v>
      </x:c>
      <x:c r="P432" s="19" t="str">
        <x:f>IF(AND(B432="Butterfly",J432&gt;0,J432&lt;K432),L432/J432,"n.a.")</x:f>
        <x:v>n.a.</x:v>
      </x:c>
      <x:c r="Q432" s="11" t="n">
        <x:f>J432*'Model inputs'!$B$8</x:f>
        <x:v>-261.0000000000003</x:v>
      </x:c>
      <x:c r="R432" s="1" t="str">
        <x:v>Indicative only</x:v>
      </x:c>
      <x:c r="S432" s="1" t="n">
        <x:v>667</x:v>
      </x:c>
      <x:c r="T432" s="1" t="n">
        <x:v>648</x:v>
      </x:c>
    </x:row>
    <x:row r="433" ht="21" customHeight="1">
      <x:c r="A433" s="12" t="n">
        <x:v>46275</x:v>
      </x:c>
      <x:c r="B433" s="1" t="str">
        <x:v>1x2 ratio</x:v>
      </x:c>
      <x:c r="C433" s="1" t="str">
        <x:v>call</x:v>
      </x:c>
      <x:c r="D433" s="11" t="n">
        <x:v>8300</x:v>
      </x:c>
      <x:c r="E433" s="11" t="n">
        <x:v>8600</x:v>
      </x:c>
      <x:c r="F433" s="11"/>
      <x:c r="G433" s="11" t="n">
        <x:f>'Option source'!B387</x:f>
        <x:v>92.56</x:v>
      </x:c>
      <x:c r="H433" s="11" t="n">
        <x:f>'Option source'!B406</x:f>
        <x:v>53.67</x:v>
      </x:c>
      <x:c r="I433" s="11"/>
      <x:c r="J433" s="11" t="n">
        <x:f>G433-2*H433+IF(B433="Butterfly",I433,0)</x:f>
        <x:v>-14.780000000000001</x:v>
      </x:c>
      <x:c r="K433" s="11" t="n">
        <x:f>ABS(E433-D433)</x:f>
        <x:v>300</x:v>
      </x:c>
      <x:c r="L433" s="11" t="n">
        <x:f>K433-J433</x:f>
        <x:v>314.78</x:v>
      </x:c>
      <x:c r="M433" s="11" t="str">
        <x:f>IF(B433="Butterfly",MAX(J433,0),IF(C433="call","Unlimited",MAX(2*E433-D433+J433,J433,0)))</x:f>
        <x:v>Unlimited</x:v>
      </x:c>
      <x:c r="N433" s="11" t="str">
        <x:f>IF(B433="Butterfly",IF(AND(J433&gt;0,J433&lt;K433),D433+J433,"n.a."),IF(C433="call",IF(AND(J433&gt;0,J433&lt;K433),D433+J433,"n.a."),IF(AND(K433&gt;J433,2*E433-D433+J433&gt;=0),2*E433-D433+J433,"n.a.")))</x:f>
        <x:v>n.a.</x:v>
      </x:c>
      <x:c r="O433" s="11" t="n">
        <x:f>IF(B433="Butterfly",IF(AND(J433&gt;0,J433&lt;K433),F433-J433,"n.a."),IF(C433="call",IF(K433&gt;J433,2*E433-D433-J433,"n.a."),IF(AND(J433&gt;0,J433&lt;K433),D433-J433,"n.a.")))</x:f>
        <x:v>8914.78</x:v>
      </x:c>
      <x:c r="P433" s="19" t="str">
        <x:f>IF(AND(B433="Butterfly",J433&gt;0,J433&lt;K433),L433/J433,"n.a.")</x:f>
        <x:v>n.a.</x:v>
      </x:c>
      <x:c r="Q433" s="11" t="n">
        <x:f>J433*'Model inputs'!$B$8</x:f>
        <x:v>-1478</x:v>
      </x:c>
      <x:c r="R433" s="1" t="str">
        <x:v>Indicative only</x:v>
      </x:c>
      <x:c r="S433" s="1" t="n">
        <x:v>382</x:v>
      </x:c>
      <x:c r="T433" s="1" t="n">
        <x:v>401</x:v>
      </x:c>
    </x:row>
    <x:row r="434" ht="21" customHeight="1">
      <x:c r="A434" s="12" t="n">
        <x:v>46275</x:v>
      </x:c>
      <x:c r="B434" s="1" t="str">
        <x:v>1x2 ratio</x:v>
      </x:c>
      <x:c r="C434" s="1" t="str">
        <x:v>put</x:v>
      </x:c>
      <x:c r="D434" s="11" t="n">
        <x:v>5800</x:v>
      </x:c>
      <x:c r="E434" s="11" t="n">
        <x:v>5600</x:v>
      </x:c>
      <x:c r="F434" s="11"/>
      <x:c r="G434" s="11" t="n">
        <x:f>'Option source'!B653</x:f>
        <x:v>15.97</x:v>
      </x:c>
      <x:c r="H434" s="11" t="n">
        <x:f>'Option source'!B634</x:f>
        <x:v>8.45</x:v>
      </x:c>
      <x:c r="I434" s="11"/>
      <x:c r="J434" s="11" t="n">
        <x:f>G434-2*H434+IF(B434="Butterfly",I434,0)</x:f>
        <x:v>-0.9299999999999979</x:v>
      </x:c>
      <x:c r="K434" s="11" t="n">
        <x:f>ABS(E434-D434)</x:f>
        <x:v>200</x:v>
      </x:c>
      <x:c r="L434" s="11" t="n">
        <x:f>K434-J434</x:f>
        <x:v>200.93</x:v>
      </x:c>
      <x:c r="M434" s="11" t="n">
        <x:f>IF(B434="Butterfly",MAX(J434,0),IF(C434="call","Unlimited",MAX(2*E434-D434+J434,J434,0)))</x:f>
        <x:v>5399.07</x:v>
      </x:c>
      <x:c r="N434" s="11" t="n">
        <x:f>IF(B434="Butterfly",IF(AND(J434&gt;0,J434&lt;K434),D434+J434,"n.a."),IF(C434="call",IF(AND(J434&gt;0,J434&lt;K434),D434+J434,"n.a."),IF(AND(K434&gt;J434,2*E434-D434+J434&gt;=0),2*E434-D434+J434,"n.a.")))</x:f>
        <x:v>5399.07</x:v>
      </x:c>
      <x:c r="O434" s="11" t="str">
        <x:f>IF(B434="Butterfly",IF(AND(J434&gt;0,J434&lt;K434),F434-J434,"n.a."),IF(C434="call",IF(K434&gt;J434,2*E434-D434-J434,"n.a."),IF(AND(J434&gt;0,J434&lt;K434),D434-J434,"n.a.")))</x:f>
        <x:v>n.a.</x:v>
      </x:c>
      <x:c r="P434" s="19" t="str">
        <x:f>IF(AND(B434="Butterfly",J434&gt;0,J434&lt;K434),L434/J434,"n.a.")</x:f>
        <x:v>n.a.</x:v>
      </x:c>
      <x:c r="Q434" s="11" t="n">
        <x:f>J434*'Model inputs'!$B$8</x:f>
        <x:v>-92.9999999999998</x:v>
      </x:c>
      <x:c r="R434" s="1" t="str">
        <x:v>Indicative only</x:v>
      </x:c>
      <x:c r="S434" s="1" t="n">
        <x:v>648</x:v>
      </x:c>
      <x:c r="T434" s="1" t="n">
        <x:v>629</x:v>
      </x:c>
    </x:row>
    <x:row r="435" ht="21" customHeight="1">
      <x:c r="A435" s="12" t="n">
        <x:v>46275</x:v>
      </x:c>
      <x:c r="B435" s="1" t="str">
        <x:v>1x2 ratio</x:v>
      </x:c>
      <x:c r="C435" s="1" t="str">
        <x:v>put</x:v>
      </x:c>
      <x:c r="D435" s="11" t="n">
        <x:v>5600</x:v>
      </x:c>
      <x:c r="E435" s="11" t="n">
        <x:v>5400</x:v>
      </x:c>
      <x:c r="F435" s="11"/>
      <x:c r="G435" s="11" t="n">
        <x:f>'Option source'!B634</x:f>
        <x:v>8.45</x:v>
      </x:c>
      <x:c r="H435" s="11" t="n">
        <x:f>'Option source'!B615</x:f>
        <x:v>4.52</x:v>
      </x:c>
      <x:c r="I435" s="11"/>
      <x:c r="J435" s="11" t="n">
        <x:f>G435-2*H435+IF(B435="Butterfly",I435,0)</x:f>
        <x:v>-0.5899999999999999</x:v>
      </x:c>
      <x:c r="K435" s="11" t="n">
        <x:f>ABS(E435-D435)</x:f>
        <x:v>200</x:v>
      </x:c>
      <x:c r="L435" s="11" t="n">
        <x:f>K435-J435</x:f>
        <x:v>200.59</x:v>
      </x:c>
      <x:c r="M435" s="11" t="n">
        <x:f>IF(B435="Butterfly",MAX(J435,0),IF(C435="call","Unlimited",MAX(2*E435-D435+J435,J435,0)))</x:f>
        <x:v>5199.41</x:v>
      </x:c>
      <x:c r="N435" s="11" t="n">
        <x:f>IF(B435="Butterfly",IF(AND(J435&gt;0,J435&lt;K435),D435+J435,"n.a."),IF(C435="call",IF(AND(J435&gt;0,J435&lt;K435),D435+J435,"n.a."),IF(AND(K435&gt;J435,2*E435-D435+J435&gt;=0),2*E435-D435+J435,"n.a.")))</x:f>
        <x:v>5199.41</x:v>
      </x:c>
      <x:c r="O435" s="11" t="str">
        <x:f>IF(B435="Butterfly",IF(AND(J435&gt;0,J435&lt;K435),F435-J435,"n.a."),IF(C435="call",IF(K435&gt;J435,2*E435-D435-J435,"n.a."),IF(AND(J435&gt;0,J435&lt;K435),D435-J435,"n.a.")))</x:f>
        <x:v>n.a.</x:v>
      </x:c>
      <x:c r="P435" s="19" t="str">
        <x:f>IF(AND(B435="Butterfly",J435&gt;0,J435&lt;K435),L435/J435,"n.a.")</x:f>
        <x:v>n.a.</x:v>
      </x:c>
      <x:c r="Q435" s="11" t="n">
        <x:f>J435*'Model inputs'!$B$8</x:f>
        <x:v>-58.999999999999986</x:v>
      </x:c>
      <x:c r="R435" s="1" t="str">
        <x:v>Indicative only</x:v>
      </x:c>
      <x:c r="S435" s="1" t="n">
        <x:v>629</x:v>
      </x:c>
      <x:c r="T435" s="1" t="n">
        <x:v>610</x:v>
      </x:c>
    </x:row>
    <x:row r="436" ht="21" customHeight="1">
      <x:c r="A436" s="12" t="n">
        <x:v>46275</x:v>
      </x:c>
      <x:c r="B436" s="1" t="str">
        <x:v>1x2 ratio</x:v>
      </x:c>
      <x:c r="C436" s="1" t="str">
        <x:v>call</x:v>
      </x:c>
      <x:c r="D436" s="11" t="n">
        <x:v>8600</x:v>
      </x:c>
      <x:c r="E436" s="11" t="n">
        <x:v>8900</x:v>
      </x:c>
      <x:c r="F436" s="11"/>
      <x:c r="G436" s="11" t="n">
        <x:f>'Option source'!B406</x:f>
        <x:v>53.67</x:v>
      </x:c>
      <x:c r="H436" s="11" t="n">
        <x:f>'Option source'!B425</x:f>
        <x:v>31.79</x:v>
      </x:c>
      <x:c r="I436" s="11"/>
      <x:c r="J436" s="11" t="n">
        <x:f>G436-2*H436+IF(B436="Butterfly",I436,0)</x:f>
        <x:v>-9.909999999999997</x:v>
      </x:c>
      <x:c r="K436" s="11" t="n">
        <x:f>ABS(E436-D436)</x:f>
        <x:v>300</x:v>
      </x:c>
      <x:c r="L436" s="11" t="n">
        <x:f>K436-J436</x:f>
        <x:v>309.90999999999997</x:v>
      </x:c>
      <x:c r="M436" s="11" t="str">
        <x:f>IF(B436="Butterfly",MAX(J436,0),IF(C436="call","Unlimited",MAX(2*E436-D436+J436,J436,0)))</x:f>
        <x:v>Unlimited</x:v>
      </x:c>
      <x:c r="N436" s="11" t="str">
        <x:f>IF(B436="Butterfly",IF(AND(J436&gt;0,J436&lt;K436),D436+J436,"n.a."),IF(C436="call",IF(AND(J436&gt;0,J436&lt;K436),D436+J436,"n.a."),IF(AND(K436&gt;J436,2*E436-D436+J436&gt;=0),2*E436-D436+J436,"n.a.")))</x:f>
        <x:v>n.a.</x:v>
      </x:c>
      <x:c r="O436" s="11" t="n">
        <x:f>IF(B436="Butterfly",IF(AND(J436&gt;0,J436&lt;K436),F436-J436,"n.a."),IF(C436="call",IF(K436&gt;J436,2*E436-D436-J436,"n.a."),IF(AND(J436&gt;0,J436&lt;K436),D436-J436,"n.a.")))</x:f>
        <x:v>9209.91</x:v>
      </x:c>
      <x:c r="P436" s="19" t="str">
        <x:f>IF(AND(B436="Butterfly",J436&gt;0,J436&lt;K436),L436/J436,"n.a.")</x:f>
        <x:v>n.a.</x:v>
      </x:c>
      <x:c r="Q436" s="11" t="n">
        <x:f>J436*'Model inputs'!$B$8</x:f>
        <x:v>-990.9999999999997</x:v>
      </x:c>
      <x:c r="R436" s="1" t="str">
        <x:v>Indicative only</x:v>
      </x:c>
      <x:c r="S436" s="1" t="n">
        <x:v>401</x:v>
      </x:c>
      <x:c r="T436" s="1" t="n">
        <x:v>420</x:v>
      </x:c>
    </x:row>
    <x:row r="437" ht="21" customHeight="1">
      <x:c r="A437" s="12" t="n">
        <x:v>46275</x:v>
      </x:c>
      <x:c r="B437" s="1" t="str">
        <x:v>1x2 ratio</x:v>
      </x:c>
      <x:c r="C437" s="1" t="str">
        <x:v>put</x:v>
      </x:c>
      <x:c r="D437" s="11" t="n">
        <x:v>5400</x:v>
      </x:c>
      <x:c r="E437" s="11" t="n">
        <x:v>5200</x:v>
      </x:c>
      <x:c r="F437" s="11"/>
      <x:c r="G437" s="11" t="n">
        <x:f>'Option source'!B615</x:f>
        <x:v>4.52</x:v>
      </x:c>
      <x:c r="H437" s="11" t="n">
        <x:f>'Option source'!B596</x:f>
        <x:v>2.66</x:v>
      </x:c>
      <x:c r="I437" s="11"/>
      <x:c r="J437" s="11" t="n">
        <x:f>G437-2*H437+IF(B437="Butterfly",I437,0)</x:f>
        <x:v>-0.8000000000000007</x:v>
      </x:c>
      <x:c r="K437" s="11" t="n">
        <x:f>ABS(E437-D437)</x:f>
        <x:v>200</x:v>
      </x:c>
      <x:c r="L437" s="11" t="n">
        <x:f>K437-J437</x:f>
        <x:v>200.8</x:v>
      </x:c>
      <x:c r="M437" s="11" t="n">
        <x:f>IF(B437="Butterfly",MAX(J437,0),IF(C437="call","Unlimited",MAX(2*E437-D437+J437,J437,0)))</x:f>
        <x:v>4999.2</x:v>
      </x:c>
      <x:c r="N437" s="11" t="n">
        <x:f>IF(B437="Butterfly",IF(AND(J437&gt;0,J437&lt;K437),D437+J437,"n.a."),IF(C437="call",IF(AND(J437&gt;0,J437&lt;K437),D437+J437,"n.a."),IF(AND(K437&gt;J437,2*E437-D437+J437&gt;=0),2*E437-D437+J437,"n.a.")))</x:f>
        <x:v>4999.2</x:v>
      </x:c>
      <x:c r="O437" s="11" t="str">
        <x:f>IF(B437="Butterfly",IF(AND(J437&gt;0,J437&lt;K437),F437-J437,"n.a."),IF(C437="call",IF(K437&gt;J437,2*E437-D437-J437,"n.a."),IF(AND(J437&gt;0,J437&lt;K437),D437-J437,"n.a.")))</x:f>
        <x:v>n.a.</x:v>
      </x:c>
      <x:c r="P437" s="19" t="str">
        <x:f>IF(AND(B437="Butterfly",J437&gt;0,J437&lt;K437),L437/J437,"n.a.")</x:f>
        <x:v>n.a.</x:v>
      </x:c>
      <x:c r="Q437" s="11" t="n">
        <x:f>J437*'Model inputs'!$B$8</x:f>
        <x:v>-80.00000000000007</x:v>
      </x:c>
      <x:c r="R437" s="1" t="str">
        <x:v>Indicative only</x:v>
      </x:c>
      <x:c r="S437" s="1" t="n">
        <x:v>610</x:v>
      </x:c>
      <x:c r="T437" s="1" t="n">
        <x:v>591</x:v>
      </x:c>
    </x:row>
    <x:row r="438" ht="21" customHeight="1">
      <x:c r="A438" s="12" t="n">
        <x:v>46275</x:v>
      </x:c>
      <x:c r="B438" s="1" t="str">
        <x:v>1x2 ratio</x:v>
      </x:c>
      <x:c r="C438" s="1" t="str">
        <x:v>call</x:v>
      </x:c>
      <x:c r="D438" s="11" t="n">
        <x:v>8900</x:v>
      </x:c>
      <x:c r="E438" s="11" t="n">
        <x:v>9200</x:v>
      </x:c>
      <x:c r="F438" s="11"/>
      <x:c r="G438" s="11" t="n">
        <x:f>'Option source'!B425</x:f>
        <x:v>31.79</x:v>
      </x:c>
      <x:c r="H438" s="11" t="n">
        <x:f>'Option source'!B444</x:f>
        <x:v>18.48</x:v>
      </x:c>
      <x:c r="I438" s="11"/>
      <x:c r="J438" s="11" t="n">
        <x:f>G438-2*H438+IF(B438="Butterfly",I438,0)</x:f>
        <x:v>-5.170000000000002</x:v>
      </x:c>
      <x:c r="K438" s="11" t="n">
        <x:f>ABS(E438-D438)</x:f>
        <x:v>300</x:v>
      </x:c>
      <x:c r="L438" s="11" t="n">
        <x:f>K438-J438</x:f>
        <x:v>305.17</x:v>
      </x:c>
      <x:c r="M438" s="11" t="str">
        <x:f>IF(B438="Butterfly",MAX(J438,0),IF(C438="call","Unlimited",MAX(2*E438-D438+J438,J438,0)))</x:f>
        <x:v>Unlimited</x:v>
      </x:c>
      <x:c r="N438" s="11" t="str">
        <x:f>IF(B438="Butterfly",IF(AND(J438&gt;0,J438&lt;K438),D438+J438,"n.a."),IF(C438="call",IF(AND(J438&gt;0,J438&lt;K438),D438+J438,"n.a."),IF(AND(K438&gt;J438,2*E438-D438+J438&gt;=0),2*E438-D438+J438,"n.a.")))</x:f>
        <x:v>n.a.</x:v>
      </x:c>
      <x:c r="O438" s="11" t="n">
        <x:f>IF(B438="Butterfly",IF(AND(J438&gt;0,J438&lt;K438),F438-J438,"n.a."),IF(C438="call",IF(K438&gt;J438,2*E438-D438-J438,"n.a."),IF(AND(J438&gt;0,J438&lt;K438),D438-J438,"n.a.")))</x:f>
        <x:v>9505.17</x:v>
      </x:c>
      <x:c r="P438" s="19" t="str">
        <x:f>IF(AND(B438="Butterfly",J438&gt;0,J438&lt;K438),L438/J438,"n.a.")</x:f>
        <x:v>n.a.</x:v>
      </x:c>
      <x:c r="Q438" s="11" t="n">
        <x:f>J438*'Model inputs'!$B$8</x:f>
        <x:v>-517.0000000000002</x:v>
      </x:c>
      <x:c r="R438" s="1" t="str">
        <x:v>Indicative only</x:v>
      </x:c>
      <x:c r="S438" s="1" t="n">
        <x:v>420</x:v>
      </x:c>
      <x:c r="T438" s="1" t="n">
        <x:v>439</x:v>
      </x:c>
    </x:row>
    <x:row r="439" ht="21" customHeight="1">
      <x:c r="A439" s="12" t="n">
        <x:v>46275</x:v>
      </x:c>
      <x:c r="B439" s="1" t="str">
        <x:v>1x2 ratio</x:v>
      </x:c>
      <x:c r="C439" s="1" t="str">
        <x:v>put</x:v>
      </x:c>
      <x:c r="D439" s="11" t="n">
        <x:v>5200</x:v>
      </x:c>
      <x:c r="E439" s="11" t="n">
        <x:v>5000</x:v>
      </x:c>
      <x:c r="F439" s="11"/>
      <x:c r="G439" s="11" t="n">
        <x:f>'Option source'!B596</x:f>
        <x:v>2.66</x:v>
      </x:c>
      <x:c r="H439" s="11" t="n">
        <x:f>'Option source'!B577</x:f>
        <x:v>1.75</x:v>
      </x:c>
      <x:c r="I439" s="11"/>
      <x:c r="J439" s="11" t="n">
        <x:f>G439-2*H439+IF(B439="Butterfly",I439,0)</x:f>
        <x:v>-0.8399999999999999</x:v>
      </x:c>
      <x:c r="K439" s="11" t="n">
        <x:f>ABS(E439-D439)</x:f>
        <x:v>200</x:v>
      </x:c>
      <x:c r="L439" s="11" t="n">
        <x:f>K439-J439</x:f>
        <x:v>200.84</x:v>
      </x:c>
      <x:c r="M439" s="11" t="n">
        <x:f>IF(B439="Butterfly",MAX(J439,0),IF(C439="call","Unlimited",MAX(2*E439-D439+J439,J439,0)))</x:f>
        <x:v>4799.16</x:v>
      </x:c>
      <x:c r="N439" s="11" t="n">
        <x:f>IF(B439="Butterfly",IF(AND(J439&gt;0,J439&lt;K439),D439+J439,"n.a."),IF(C439="call",IF(AND(J439&gt;0,J439&lt;K439),D439+J439,"n.a."),IF(AND(K439&gt;J439,2*E439-D439+J439&gt;=0),2*E439-D439+J439,"n.a.")))</x:f>
        <x:v>4799.16</x:v>
      </x:c>
      <x:c r="O439" s="11" t="str">
        <x:f>IF(B439="Butterfly",IF(AND(J439&gt;0,J439&lt;K439),F439-J439,"n.a."),IF(C439="call",IF(K439&gt;J439,2*E439-D439-J439,"n.a."),IF(AND(J439&gt;0,J439&lt;K439),D439-J439,"n.a.")))</x:f>
        <x:v>n.a.</x:v>
      </x:c>
      <x:c r="P439" s="19" t="str">
        <x:f>IF(AND(B439="Butterfly",J439&gt;0,J439&lt;K439),L439/J439,"n.a.")</x:f>
        <x:v>n.a.</x:v>
      </x:c>
      <x:c r="Q439" s="11" t="n">
        <x:f>J439*'Model inputs'!$B$8</x:f>
        <x:v>-83.99999999999999</x:v>
      </x:c>
      <x:c r="R439" s="1" t="str">
        <x:v>Indicative only</x:v>
      </x:c>
      <x:c r="S439" s="1" t="n">
        <x:v>591</x:v>
      </x:c>
      <x:c r="T439" s="1" t="n">
        <x:v>572</x:v>
      </x:c>
    </x:row>
    <x:row r="440" ht="21" customHeight="1">
      <x:c r="A440" s="12" t="n">
        <x:v>46275</x:v>
      </x:c>
      <x:c r="B440" s="1" t="str">
        <x:v>1x2 ratio</x:v>
      </x:c>
      <x:c r="C440" s="1" t="str">
        <x:v>put</x:v>
      </x:c>
      <x:c r="D440" s="11" t="n">
        <x:v>5000</x:v>
      </x:c>
      <x:c r="E440" s="11" t="n">
        <x:v>4800</x:v>
      </x:c>
      <x:c r="F440" s="11"/>
      <x:c r="G440" s="11" t="n">
        <x:f>'Option source'!B577</x:f>
        <x:v>1.75</x:v>
      </x:c>
      <x:c r="H440" s="11" t="n">
        <x:f>'Option source'!B558</x:f>
        <x:v>1.29</x:v>
      </x:c>
      <x:c r="I440" s="11"/>
      <x:c r="J440" s="11" t="n">
        <x:f>G440-2*H440+IF(B440="Butterfly",I440,0)</x:f>
        <x:v>-0.8300000000000001</x:v>
      </x:c>
      <x:c r="K440" s="11" t="n">
        <x:f>ABS(E440-D440)</x:f>
        <x:v>200</x:v>
      </x:c>
      <x:c r="L440" s="11" t="n">
        <x:f>K440-J440</x:f>
        <x:v>200.83</x:v>
      </x:c>
      <x:c r="M440" s="11" t="n">
        <x:f>IF(B440="Butterfly",MAX(J440,0),IF(C440="call","Unlimited",MAX(2*E440-D440+J440,J440,0)))</x:f>
        <x:v>4599.17</x:v>
      </x:c>
      <x:c r="N440" s="11" t="n">
        <x:f>IF(B440="Butterfly",IF(AND(J440&gt;0,J440&lt;K440),D440+J440,"n.a."),IF(C440="call",IF(AND(J440&gt;0,J440&lt;K440),D440+J440,"n.a."),IF(AND(K440&gt;J440,2*E440-D440+J440&gt;=0),2*E440-D440+J440,"n.a.")))</x:f>
        <x:v>4599.17</x:v>
      </x:c>
      <x:c r="O440" s="11" t="str">
        <x:f>IF(B440="Butterfly",IF(AND(J440&gt;0,J440&lt;K440),F440-J440,"n.a."),IF(C440="call",IF(K440&gt;J440,2*E440-D440-J440,"n.a."),IF(AND(J440&gt;0,J440&lt;K440),D440-J440,"n.a.")))</x:f>
        <x:v>n.a.</x:v>
      </x:c>
      <x:c r="P440" s="19" t="str">
        <x:f>IF(AND(B440="Butterfly",J440&gt;0,J440&lt;K440),L440/J440,"n.a.")</x:f>
        <x:v>n.a.</x:v>
      </x:c>
      <x:c r="Q440" s="11" t="n">
        <x:f>J440*'Model inputs'!$B$8</x:f>
        <x:v>-83</x:v>
      </x:c>
      <x:c r="R440" s="1" t="str">
        <x:v>Indicative only</x:v>
      </x:c>
      <x:c r="S440" s="1" t="n">
        <x:v>572</x:v>
      </x:c>
      <x:c r="T440" s="1" t="n">
        <x:v>553</x:v>
      </x:c>
    </x:row>
    <x:row r="441" ht="21" customHeight="1">
      <x:c r="A441" s="12" t="n">
        <x:v>46275</x:v>
      </x:c>
      <x:c r="B441" s="1" t="str">
        <x:v>1x2 ratio</x:v>
      </x:c>
      <x:c r="C441" s="1" t="str">
        <x:v>call</x:v>
      </x:c>
      <x:c r="D441" s="11" t="n">
        <x:v>9200</x:v>
      </x:c>
      <x:c r="E441" s="11" t="n">
        <x:v>9500</x:v>
      </x:c>
      <x:c r="F441" s="11"/>
      <x:c r="G441" s="11" t="n">
        <x:f>'Option source'!B444</x:f>
        <x:v>18.48</x:v>
      </x:c>
      <x:c r="H441" s="11" t="n">
        <x:f>'Option source'!B463</x:f>
        <x:v>10.5</x:v>
      </x:c>
      <x:c r="I441" s="11"/>
      <x:c r="J441" s="11" t="n">
        <x:f>G441-2*H441+IF(B441="Butterfly",I441,0)</x:f>
        <x:v>-2.5199999999999996</x:v>
      </x:c>
      <x:c r="K441" s="11" t="n">
        <x:f>ABS(E441-D441)</x:f>
        <x:v>300</x:v>
      </x:c>
      <x:c r="L441" s="11" t="n">
        <x:f>K441-J441</x:f>
        <x:v>302.52</x:v>
      </x:c>
      <x:c r="M441" s="11" t="str">
        <x:f>IF(B441="Butterfly",MAX(J441,0),IF(C441="call","Unlimited",MAX(2*E441-D441+J441,J441,0)))</x:f>
        <x:v>Unlimited</x:v>
      </x:c>
      <x:c r="N441" s="11" t="str">
        <x:f>IF(B441="Butterfly",IF(AND(J441&gt;0,J441&lt;K441),D441+J441,"n.a."),IF(C441="call",IF(AND(J441&gt;0,J441&lt;K441),D441+J441,"n.a."),IF(AND(K441&gt;J441,2*E441-D441+J441&gt;=0),2*E441-D441+J441,"n.a.")))</x:f>
        <x:v>n.a.</x:v>
      </x:c>
      <x:c r="O441" s="11" t="n">
        <x:f>IF(B441="Butterfly",IF(AND(J441&gt;0,J441&lt;K441),F441-J441,"n.a."),IF(C441="call",IF(K441&gt;J441,2*E441-D441-J441,"n.a."),IF(AND(J441&gt;0,J441&lt;K441),D441-J441,"n.a.")))</x:f>
        <x:v>9802.52</x:v>
      </x:c>
      <x:c r="P441" s="19" t="str">
        <x:f>IF(AND(B441="Butterfly",J441&gt;0,J441&lt;K441),L441/J441,"n.a.")</x:f>
        <x:v>n.a.</x:v>
      </x:c>
      <x:c r="Q441" s="11" t="n">
        <x:f>J441*'Model inputs'!$B$8</x:f>
        <x:v>-251.99999999999994</x:v>
      </x:c>
      <x:c r="R441" s="1" t="str">
        <x:v>Indicative only</x:v>
      </x:c>
      <x:c r="S441" s="1" t="n">
        <x:v>439</x:v>
      </x:c>
      <x:c r="T441" s="1" t="n">
        <x:v>458</x:v>
      </x:c>
    </x:row>
    <x:row r="442" ht="21" customHeight="1">
      <x:c r="A442" s="12" t="n">
        <x:v>46275</x:v>
      </x:c>
      <x:c r="B442" s="1" t="str">
        <x:v>1x2 ratio</x:v>
      </x:c>
      <x:c r="C442" s="1" t="str">
        <x:v>put</x:v>
      </x:c>
      <x:c r="D442" s="11" t="n">
        <x:v>4800</x:v>
      </x:c>
      <x:c r="E442" s="11" t="n">
        <x:v>4600</x:v>
      </x:c>
      <x:c r="F442" s="11"/>
      <x:c r="G442" s="11" t="n">
        <x:f>'Option source'!B558</x:f>
        <x:v>1.29</x:v>
      </x:c>
      <x:c r="H442" s="11" t="n">
        <x:f>'Option source'!B539</x:f>
        <x:v>1.09</x:v>
      </x:c>
      <x:c r="I442" s="11"/>
      <x:c r="J442" s="11" t="n">
        <x:f>G442-2*H442+IF(B442="Butterfly",I442,0)</x:f>
        <x:v>-0.8900000000000001</x:v>
      </x:c>
      <x:c r="K442" s="11" t="n">
        <x:f>ABS(E442-D442)</x:f>
        <x:v>200</x:v>
      </x:c>
      <x:c r="L442" s="11" t="n">
        <x:f>K442-J442</x:f>
        <x:v>200.89</x:v>
      </x:c>
      <x:c r="M442" s="11" t="n">
        <x:f>IF(B442="Butterfly",MAX(J442,0),IF(C442="call","Unlimited",MAX(2*E442-D442+J442,J442,0)))</x:f>
        <x:v>4399.11</x:v>
      </x:c>
      <x:c r="N442" s="11" t="n">
        <x:f>IF(B442="Butterfly",IF(AND(J442&gt;0,J442&lt;K442),D442+J442,"n.a."),IF(C442="call",IF(AND(J442&gt;0,J442&lt;K442),D442+J442,"n.a."),IF(AND(K442&gt;J442,2*E442-D442+J442&gt;=0),2*E442-D442+J442,"n.a.")))</x:f>
        <x:v>4399.11</x:v>
      </x:c>
      <x:c r="O442" s="11" t="str">
        <x:f>IF(B442="Butterfly",IF(AND(J442&gt;0,J442&lt;K442),F442-J442,"n.a."),IF(C442="call",IF(K442&gt;J442,2*E442-D442-J442,"n.a."),IF(AND(J442&gt;0,J442&lt;K442),D442-J442,"n.a.")))</x:f>
        <x:v>n.a.</x:v>
      </x:c>
      <x:c r="P442" s="19" t="str">
        <x:f>IF(AND(B442="Butterfly",J442&gt;0,J442&lt;K442),L442/J442,"n.a.")</x:f>
        <x:v>n.a.</x:v>
      </x:c>
      <x:c r="Q442" s="11" t="n">
        <x:f>J442*'Model inputs'!$B$8</x:f>
        <x:v>-89.00000000000001</x:v>
      </x:c>
      <x:c r="R442" s="1" t="str">
        <x:v>Indicative only</x:v>
      </x:c>
      <x:c r="S442" s="1" t="n">
        <x:v>553</x:v>
      </x:c>
      <x:c r="T442" s="1" t="n">
        <x:v>534</x:v>
      </x:c>
    </x:row>
    <x:row r="443" ht="21" customHeight="1">
      <x:c r="A443" s="12" t="n">
        <x:v>46275</x:v>
      </x:c>
      <x:c r="B443" s="1" t="str">
        <x:v>1x2 ratio</x:v>
      </x:c>
      <x:c r="C443" s="1" t="str">
        <x:v>put</x:v>
      </x:c>
      <x:c r="D443" s="11" t="n">
        <x:v>4600</x:v>
      </x:c>
      <x:c r="E443" s="11" t="n">
        <x:v>4400</x:v>
      </x:c>
      <x:c r="F443" s="11"/>
      <x:c r="G443" s="11" t="n">
        <x:f>'Option source'!B539</x:f>
        <x:v>1.09</x:v>
      </x:c>
      <x:c r="H443" s="11" t="n">
        <x:f>'Option source'!B520</x:f>
        <x:v>1</x:v>
      </x:c>
      <x:c r="I443" s="11"/>
      <x:c r="J443" s="11" t="n">
        <x:f>G443-2*H443+IF(B443="Butterfly",I443,0)</x:f>
        <x:v>-0.9099999999999999</x:v>
      </x:c>
      <x:c r="K443" s="11" t="n">
        <x:f>ABS(E443-D443)</x:f>
        <x:v>200</x:v>
      </x:c>
      <x:c r="L443" s="11" t="n">
        <x:f>K443-J443</x:f>
        <x:v>200.91</x:v>
      </x:c>
      <x:c r="M443" s="11" t="n">
        <x:f>IF(B443="Butterfly",MAX(J443,0),IF(C443="call","Unlimited",MAX(2*E443-D443+J443,J443,0)))</x:f>
        <x:v>4199.09</x:v>
      </x:c>
      <x:c r="N443" s="11" t="n">
        <x:f>IF(B443="Butterfly",IF(AND(J443&gt;0,J443&lt;K443),D443+J443,"n.a."),IF(C443="call",IF(AND(J443&gt;0,J443&lt;K443),D443+J443,"n.a."),IF(AND(K443&gt;J443,2*E443-D443+J443&gt;=0),2*E443-D443+J443,"n.a.")))</x:f>
        <x:v>4199.09</x:v>
      </x:c>
      <x:c r="O443" s="11" t="str">
        <x:f>IF(B443="Butterfly",IF(AND(J443&gt;0,J443&lt;K443),F443-J443,"n.a."),IF(C443="call",IF(K443&gt;J443,2*E443-D443-J443,"n.a."),IF(AND(J443&gt;0,J443&lt;K443),D443-J443,"n.a.")))</x:f>
        <x:v>n.a.</x:v>
      </x:c>
      <x:c r="P443" s="19" t="str">
        <x:f>IF(AND(B443="Butterfly",J443&gt;0,J443&lt;K443),L443/J443,"n.a.")</x:f>
        <x:v>n.a.</x:v>
      </x:c>
      <x:c r="Q443" s="11" t="n">
        <x:f>J443*'Model inputs'!$B$8</x:f>
        <x:v>-90.99999999999999</x:v>
      </x:c>
      <x:c r="R443" s="1" t="str">
        <x:v>Indicative only</x:v>
      </x:c>
      <x:c r="S443" s="1" t="n">
        <x:v>534</x:v>
      </x:c>
      <x:c r="T443" s="1" t="n">
        <x:v>515</x:v>
      </x:c>
    </x:row>
    <x:row r="444" ht="21" customHeight="1">
      <x:c r="A444" s="12" t="n">
        <x:v>46275</x:v>
      </x:c>
      <x:c r="B444" s="1" t="str">
        <x:v>1x2 ratio</x:v>
      </x:c>
      <x:c r="C444" s="1" t="str">
        <x:v>call</x:v>
      </x:c>
      <x:c r="D444" s="11" t="n">
        <x:v>9500</x:v>
      </x:c>
      <x:c r="E444" s="11" t="n">
        <x:v>9900</x:v>
      </x:c>
      <x:c r="F444" s="11"/>
      <x:c r="G444" s="11" t="n">
        <x:f>'Option source'!B463</x:f>
        <x:v>10.5</x:v>
      </x:c>
      <x:c r="H444" s="11" t="n">
        <x:f>'Option source'!B482</x:f>
        <x:v>6.25</x:v>
      </x:c>
      <x:c r="I444" s="11"/>
      <x:c r="J444" s="11" t="n">
        <x:f>G444-2*H444+IF(B444="Butterfly",I444,0)</x:f>
        <x:v>-2</x:v>
      </x:c>
      <x:c r="K444" s="11" t="n">
        <x:f>ABS(E444-D444)</x:f>
        <x:v>400</x:v>
      </x:c>
      <x:c r="L444" s="11" t="n">
        <x:f>K444-J444</x:f>
        <x:v>402</x:v>
      </x:c>
      <x:c r="M444" s="11" t="str">
        <x:f>IF(B444="Butterfly",MAX(J444,0),IF(C444="call","Unlimited",MAX(2*E444-D444+J444,J444,0)))</x:f>
        <x:v>Unlimited</x:v>
      </x:c>
      <x:c r="N444" s="11" t="str">
        <x:f>IF(B444="Butterfly",IF(AND(J444&gt;0,J444&lt;K444),D444+J444,"n.a."),IF(C444="call",IF(AND(J444&gt;0,J444&lt;K444),D444+J444,"n.a."),IF(AND(K444&gt;J444,2*E444-D444+J444&gt;=0),2*E444-D444+J444,"n.a.")))</x:f>
        <x:v>n.a.</x:v>
      </x:c>
      <x:c r="O444" s="11" t="n">
        <x:f>IF(B444="Butterfly",IF(AND(J444&gt;0,J444&lt;K444),F444-J444,"n.a."),IF(C444="call",IF(K444&gt;J444,2*E444-D444-J444,"n.a."),IF(AND(J444&gt;0,J444&lt;K444),D444-J444,"n.a.")))</x:f>
        <x:v>10302</x:v>
      </x:c>
      <x:c r="P444" s="19" t="str">
        <x:f>IF(AND(B444="Butterfly",J444&gt;0,J444&lt;K444),L444/J444,"n.a.")</x:f>
        <x:v>n.a.</x:v>
      </x:c>
      <x:c r="Q444" s="11" t="n">
        <x:f>J444*'Model inputs'!$B$8</x:f>
        <x:v>-200</x:v>
      </x:c>
      <x:c r="R444" s="1" t="str">
        <x:v>Indicative only</x:v>
      </x:c>
      <x:c r="S444" s="1" t="n">
        <x:v>458</x:v>
      </x:c>
      <x:c r="T444" s="1" t="n">
        <x:v>477</x:v>
      </x:c>
    </x:row>
    <x:row r="445" ht="21" customHeight="1">
      <x:c r="A445" s="12" t="n">
        <x:v>46275</x:v>
      </x:c>
      <x:c r="B445" s="1" t="str">
        <x:v>1x2 ratio</x:v>
      </x:c>
      <x:c r="C445" s="1" t="str">
        <x:v>put</x:v>
      </x:c>
      <x:c r="D445" s="11" t="n">
        <x:v>4400</x:v>
      </x:c>
      <x:c r="E445" s="11" t="n">
        <x:v>4200</x:v>
      </x:c>
      <x:c r="F445" s="11"/>
      <x:c r="G445" s="11" t="n">
        <x:f>'Option source'!B520</x:f>
        <x:v>1</x:v>
      </x:c>
      <x:c r="H445" s="11" t="n">
        <x:f>'Option source'!B501</x:f>
        <x:v>0.76</x:v>
      </x:c>
      <x:c r="I445" s="11"/>
      <x:c r="J445" s="11" t="n">
        <x:f>G445-2*H445+IF(B445="Butterfly",I445,0)</x:f>
        <x:v>-0.52</x:v>
      </x:c>
      <x:c r="K445" s="11" t="n">
        <x:f>ABS(E445-D445)</x:f>
        <x:v>200</x:v>
      </x:c>
      <x:c r="L445" s="11" t="n">
        <x:f>K445-J445</x:f>
        <x:v>200.52</x:v>
      </x:c>
      <x:c r="M445" s="11" t="n">
        <x:f>IF(B445="Butterfly",MAX(J445,0),IF(C445="call","Unlimited",MAX(2*E445-D445+J445,J445,0)))</x:f>
        <x:v>3999.48</x:v>
      </x:c>
      <x:c r="N445" s="11" t="n">
        <x:f>IF(B445="Butterfly",IF(AND(J445&gt;0,J445&lt;K445),D445+J445,"n.a."),IF(C445="call",IF(AND(J445&gt;0,J445&lt;K445),D445+J445,"n.a."),IF(AND(K445&gt;J445,2*E445-D445+J445&gt;=0),2*E445-D445+J445,"n.a.")))</x:f>
        <x:v>3999.48</x:v>
      </x:c>
      <x:c r="O445" s="11" t="str">
        <x:f>IF(B445="Butterfly",IF(AND(J445&gt;0,J445&lt;K445),F445-J445,"n.a."),IF(C445="call",IF(K445&gt;J445,2*E445-D445-J445,"n.a."),IF(AND(J445&gt;0,J445&lt;K445),D445-J445,"n.a.")))</x:f>
        <x:v>n.a.</x:v>
      </x:c>
      <x:c r="P445" s="19" t="str">
        <x:f>IF(AND(B445="Butterfly",J445&gt;0,J445&lt;K445),L445/J445,"n.a.")</x:f>
        <x:v>n.a.</x:v>
      </x:c>
      <x:c r="Q445" s="11" t="n">
        <x:f>J445*'Model inputs'!$B$8</x:f>
        <x:v>-52</x:v>
      </x:c>
      <x:c r="R445" s="1" t="str">
        <x:v>Indicative only</x:v>
      </x:c>
      <x:c r="S445" s="1" t="n">
        <x:v>515</x:v>
      </x:c>
      <x:c r="T445" s="1" t="n">
        <x:v>496</x:v>
      </x:c>
    </x:row>
    <x:row r="446" ht="21" customHeight="1">
      <x:c r="A446" s="12" t="n">
        <x:v>46275</x:v>
      </x:c>
      <x:c r="B446" s="1" t="str">
        <x:v>1x2 ratio</x:v>
      </x:c>
      <x:c r="C446" s="1" t="str">
        <x:v>put</x:v>
      </x:c>
      <x:c r="D446" s="11" t="n">
        <x:v>7800</x:v>
      </x:c>
      <x:c r="E446" s="11" t="n">
        <x:v>7600</x:v>
      </x:c>
      <x:c r="F446" s="11"/>
      <x:c r="G446" s="11" t="n">
        <x:f>'Option source'!B843</x:f>
        <x:v>720</x:v>
      </x:c>
      <x:c r="H446" s="11" t="n">
        <x:f>'Option source'!B824</x:f>
        <x:v>569.29</x:v>
      </x:c>
      <x:c r="I446" s="11"/>
      <x:c r="J446" s="11" t="n">
        <x:f>G446-2*H446+IF(B446="Butterfly",I446,0)</x:f>
        <x:v>-418.5799999999999</x:v>
      </x:c>
      <x:c r="K446" s="11" t="n">
        <x:f>ABS(E446-D446)</x:f>
        <x:v>200</x:v>
      </x:c>
      <x:c r="L446" s="11" t="n">
        <x:f>K446-J446</x:f>
        <x:v>618.5799999999999</x:v>
      </x:c>
      <x:c r="M446" s="11" t="n">
        <x:f>IF(B446="Butterfly",MAX(J446,0),IF(C446="call","Unlimited",MAX(2*E446-D446+J446,J446,0)))</x:f>
        <x:v>6981.42</x:v>
      </x:c>
      <x:c r="N446" s="11" t="n">
        <x:f>IF(B446="Butterfly",IF(AND(J446&gt;0,J446&lt;K446),D446+J446,"n.a."),IF(C446="call",IF(AND(J446&gt;0,J446&lt;K446),D446+J446,"n.a."),IF(AND(K446&gt;J446,2*E446-D446+J446&gt;=0),2*E446-D446+J446,"n.a.")))</x:f>
        <x:v>6981.42</x:v>
      </x:c>
      <x:c r="O446" s="11" t="str">
        <x:f>IF(B446="Butterfly",IF(AND(J446&gt;0,J446&lt;K446),F446-J446,"n.a."),IF(C446="call",IF(K446&gt;J446,2*E446-D446-J446,"n.a."),IF(AND(J446&gt;0,J446&lt;K446),D446-J446,"n.a.")))</x:f>
        <x:v>n.a.</x:v>
      </x:c>
      <x:c r="P446" s="19" t="str">
        <x:f>IF(AND(B446="Butterfly",J446&gt;0,J446&lt;K446),L446/J446,"n.a.")</x:f>
        <x:v>n.a.</x:v>
      </x:c>
      <x:c r="Q446" s="11" t="n">
        <x:f>J446*'Model inputs'!$B$8</x:f>
        <x:v>-41857.99999999999</x:v>
      </x:c>
      <x:c r="R446" s="1" t="str">
        <x:v>Flagged leg data</x:v>
      </x:c>
      <x:c r="S446" s="1" t="n">
        <x:v>838</x:v>
      </x:c>
      <x:c r="T446" s="1" t="n">
        <x:v>819</x:v>
      </x:c>
    </x:row>
    <x:row r="447" ht="21" customHeight="1">
      <x:c r="A447" s="12" t="n">
        <x:v>46275</x:v>
      </x:c>
      <x:c r="B447" s="1" t="str">
        <x:v>1x2 ratio</x:v>
      </x:c>
      <x:c r="C447" s="1" t="str">
        <x:v>put</x:v>
      </x:c>
      <x:c r="D447" s="11" t="n">
        <x:v>8000</x:v>
      </x:c>
      <x:c r="E447" s="11" t="n">
        <x:v>7800</x:v>
      </x:c>
      <x:c r="F447" s="11"/>
      <x:c r="G447" s="11" t="n">
        <x:f>'Option source'!B862</x:f>
        <x:v>835</x:v>
      </x:c>
      <x:c r="H447" s="11" t="n">
        <x:f>'Option source'!B843</x:f>
        <x:v>720</x:v>
      </x:c>
      <x:c r="I447" s="11"/>
      <x:c r="J447" s="11" t="n">
        <x:f>G447-2*H447+IF(B447="Butterfly",I447,0)</x:f>
        <x:v>-605</x:v>
      </x:c>
      <x:c r="K447" s="11" t="n">
        <x:f>ABS(E447-D447)</x:f>
        <x:v>200</x:v>
      </x:c>
      <x:c r="L447" s="11" t="n">
        <x:f>K447-J447</x:f>
        <x:v>805</x:v>
      </x:c>
      <x:c r="M447" s="11" t="n">
        <x:f>IF(B447="Butterfly",MAX(J447,0),IF(C447="call","Unlimited",MAX(2*E447-D447+J447,J447,0)))</x:f>
        <x:v>6995</x:v>
      </x:c>
      <x:c r="N447" s="11" t="n">
        <x:f>IF(B447="Butterfly",IF(AND(J447&gt;0,J447&lt;K447),D447+J447,"n.a."),IF(C447="call",IF(AND(J447&gt;0,J447&lt;K447),D447+J447,"n.a."),IF(AND(K447&gt;J447,2*E447-D447+J447&gt;=0),2*E447-D447+J447,"n.a.")))</x:f>
        <x:v>6995</x:v>
      </x:c>
      <x:c r="O447" s="11" t="str">
        <x:f>IF(B447="Butterfly",IF(AND(J447&gt;0,J447&lt;K447),F447-J447,"n.a."),IF(C447="call",IF(K447&gt;J447,2*E447-D447-J447,"n.a."),IF(AND(J447&gt;0,J447&lt;K447),D447-J447,"n.a.")))</x:f>
        <x:v>n.a.</x:v>
      </x:c>
      <x:c r="P447" s="19" t="str">
        <x:f>IF(AND(B447="Butterfly",J447&gt;0,J447&lt;K447),L447/J447,"n.a.")</x:f>
        <x:v>n.a.</x:v>
      </x:c>
      <x:c r="Q447" s="11" t="n">
        <x:f>J447*'Model inputs'!$B$8</x:f>
        <x:v>-60500</x:v>
      </x:c>
      <x:c r="R447" s="1" t="str">
        <x:v>Flagged leg data</x:v>
      </x:c>
      <x:c r="S447" s="1" t="n">
        <x:v>857</x:v>
      </x:c>
      <x:c r="T447" s="1" t="n">
        <x:v>838</x:v>
      </x:c>
    </x:row>
    <x:row r="448" ht="21" customHeight="1">
      <x:c r="A448" s="12" t="n">
        <x:v>46275</x:v>
      </x:c>
      <x:c r="B448" s="1" t="str">
        <x:v>1x2 ratio</x:v>
      </x:c>
      <x:c r="C448" s="1" t="str">
        <x:v>call</x:v>
      </x:c>
      <x:c r="D448" s="11" t="n">
        <x:v>6200</x:v>
      </x:c>
      <x:c r="E448" s="11" t="n">
        <x:v>6400</x:v>
      </x:c>
      <x:c r="F448" s="11"/>
      <x:c r="G448" s="11" t="n">
        <x:f>'Option source'!B197</x:f>
        <x:v>1112.5</x:v>
      </x:c>
      <x:c r="H448" s="11" t="n">
        <x:f>'Option source'!B216</x:f>
        <x:v>945</x:v>
      </x:c>
      <x:c r="I448" s="11"/>
      <x:c r="J448" s="11" t="n">
        <x:f>G448-2*H448+IF(B448="Butterfly",I448,0)</x:f>
        <x:v>-777.5</x:v>
      </x:c>
      <x:c r="K448" s="11" t="n">
        <x:f>ABS(E448-D448)</x:f>
        <x:v>200</x:v>
      </x:c>
      <x:c r="L448" s="11" t="n">
        <x:f>K448-J448</x:f>
        <x:v>977.5</x:v>
      </x:c>
      <x:c r="M448" s="11" t="str">
        <x:f>IF(B448="Butterfly",MAX(J448,0),IF(C448="call","Unlimited",MAX(2*E448-D448+J448,J448,0)))</x:f>
        <x:v>Unlimited</x:v>
      </x:c>
      <x:c r="N448" s="11" t="str">
        <x:f>IF(B448="Butterfly",IF(AND(J448&gt;0,J448&lt;K448),D448+J448,"n.a."),IF(C448="call",IF(AND(J448&gt;0,J448&lt;K448),D448+J448,"n.a."),IF(AND(K448&gt;J448,2*E448-D448+J448&gt;=0),2*E448-D448+J448,"n.a.")))</x:f>
        <x:v>n.a.</x:v>
      </x:c>
      <x:c r="O448" s="11" t="n">
        <x:f>IF(B448="Butterfly",IF(AND(J448&gt;0,J448&lt;K448),F448-J448,"n.a."),IF(C448="call",IF(K448&gt;J448,2*E448-D448-J448,"n.a."),IF(AND(J448&gt;0,J448&lt;K448),D448-J448,"n.a.")))</x:f>
        <x:v>7377.5</x:v>
      </x:c>
      <x:c r="P448" s="19" t="str">
        <x:f>IF(AND(B448="Butterfly",J448&gt;0,J448&lt;K448),L448/J448,"n.a.")</x:f>
        <x:v>n.a.</x:v>
      </x:c>
      <x:c r="Q448" s="11" t="n">
        <x:f>J448*'Model inputs'!$B$8</x:f>
        <x:v>-77750</x:v>
      </x:c>
      <x:c r="R448" s="1" t="str">
        <x:v>Flagged leg data</x:v>
      </x:c>
      <x:c r="S448" s="1" t="n">
        <x:v>192</x:v>
      </x:c>
      <x:c r="T448" s="1" t="n">
        <x:v>211</x:v>
      </x:c>
    </x:row>
    <x:row r="449" ht="21" customHeight="1">
      <x:c r="A449" s="12" t="n">
        <x:v>46275</x:v>
      </x:c>
      <x:c r="B449" s="1" t="str">
        <x:v>1x2 ratio</x:v>
      </x:c>
      <x:c r="C449" s="1" t="str">
        <x:v>put</x:v>
      </x:c>
      <x:c r="D449" s="11" t="n">
        <x:v>8300</x:v>
      </x:c>
      <x:c r="E449" s="11" t="n">
        <x:v>8000</x:v>
      </x:c>
      <x:c r="F449" s="11"/>
      <x:c r="G449" s="11" t="n">
        <x:f>'Option source'!B881</x:f>
        <x:v>1160</x:v>
      </x:c>
      <x:c r="H449" s="11" t="n">
        <x:f>'Option source'!B862</x:f>
        <x:v>835</x:v>
      </x:c>
      <x:c r="I449" s="11"/>
      <x:c r="J449" s="11" t="n">
        <x:f>G449-2*H449+IF(B449="Butterfly",I449,0)</x:f>
        <x:v>-510</x:v>
      </x:c>
      <x:c r="K449" s="11" t="n">
        <x:f>ABS(E449-D449)</x:f>
        <x:v>300</x:v>
      </x:c>
      <x:c r="L449" s="11" t="n">
        <x:f>K449-J449</x:f>
        <x:v>810</x:v>
      </x:c>
      <x:c r="M449" s="11" t="n">
        <x:f>IF(B449="Butterfly",MAX(J449,0),IF(C449="call","Unlimited",MAX(2*E449-D449+J449,J449,0)))</x:f>
        <x:v>7190</x:v>
      </x:c>
      <x:c r="N449" s="11" t="n">
        <x:f>IF(B449="Butterfly",IF(AND(J449&gt;0,J449&lt;K449),D449+J449,"n.a."),IF(C449="call",IF(AND(J449&gt;0,J449&lt;K449),D449+J449,"n.a."),IF(AND(K449&gt;J449,2*E449-D449+J449&gt;=0),2*E449-D449+J449,"n.a.")))</x:f>
        <x:v>7190</x:v>
      </x:c>
      <x:c r="O449" s="11" t="str">
        <x:f>IF(B449="Butterfly",IF(AND(J449&gt;0,J449&lt;K449),F449-J449,"n.a."),IF(C449="call",IF(K449&gt;J449,2*E449-D449-J449,"n.a."),IF(AND(J449&gt;0,J449&lt;K449),D449-J449,"n.a.")))</x:f>
        <x:v>n.a.</x:v>
      </x:c>
      <x:c r="P449" s="19" t="str">
        <x:f>IF(AND(B449="Butterfly",J449&gt;0,J449&lt;K449),L449/J449,"n.a.")</x:f>
        <x:v>n.a.</x:v>
      </x:c>
      <x:c r="Q449" s="11" t="n">
        <x:f>J449*'Model inputs'!$B$8</x:f>
        <x:v>-51000</x:v>
      </x:c>
      <x:c r="R449" s="1" t="str">
        <x:v>Flagged leg data</x:v>
      </x:c>
      <x:c r="S449" s="1" t="n">
        <x:v>876</x:v>
      </x:c>
      <x:c r="T449" s="1" t="n">
        <x:v>857</x:v>
      </x:c>
    </x:row>
    <x:row r="450" ht="21" customHeight="1">
      <x:c r="A450" s="12" t="n">
        <x:v>46275</x:v>
      </x:c>
      <x:c r="B450" s="1" t="str">
        <x:v>1x2 ratio</x:v>
      </x:c>
      <x:c r="C450" s="1" t="str">
        <x:v>call</x:v>
      </x:c>
      <x:c r="D450" s="11" t="n">
        <x:v>6000</x:v>
      </x:c>
      <x:c r="E450" s="11" t="n">
        <x:v>6200</x:v>
      </x:c>
      <x:c r="F450" s="11"/>
      <x:c r="G450" s="11" t="n">
        <x:f>'Option source'!B178</x:f>
        <x:v>1269.8</x:v>
      </x:c>
      <x:c r="H450" s="11" t="n">
        <x:f>'Option source'!B197</x:f>
        <x:v>1112.5</x:v>
      </x:c>
      <x:c r="I450" s="11"/>
      <x:c r="J450" s="11" t="n">
        <x:f>G450-2*H450+IF(B450="Butterfly",I450,0)</x:f>
        <x:v>-955.2</x:v>
      </x:c>
      <x:c r="K450" s="11" t="n">
        <x:f>ABS(E450-D450)</x:f>
        <x:v>200</x:v>
      </x:c>
      <x:c r="L450" s="11" t="n">
        <x:f>K450-J450</x:f>
        <x:v>1155.2</x:v>
      </x:c>
      <x:c r="M450" s="11" t="str">
        <x:f>IF(B450="Butterfly",MAX(J450,0),IF(C450="call","Unlimited",MAX(2*E450-D450+J450,J450,0)))</x:f>
        <x:v>Unlimited</x:v>
      </x:c>
      <x:c r="N450" s="11" t="str">
        <x:f>IF(B450="Butterfly",IF(AND(J450&gt;0,J450&lt;K450),D450+J450,"n.a."),IF(C450="call",IF(AND(J450&gt;0,J450&lt;K450),D450+J450,"n.a."),IF(AND(K450&gt;J450,2*E450-D450+J450&gt;=0),2*E450-D450+J450,"n.a.")))</x:f>
        <x:v>n.a.</x:v>
      </x:c>
      <x:c r="O450" s="11" t="n">
        <x:f>IF(B450="Butterfly",IF(AND(J450&gt;0,J450&lt;K450),F450-J450,"n.a."),IF(C450="call",IF(K450&gt;J450,2*E450-D450-J450,"n.a."),IF(AND(J450&gt;0,J450&lt;K450),D450-J450,"n.a.")))</x:f>
        <x:v>7355.2</x:v>
      </x:c>
      <x:c r="P450" s="19" t="str">
        <x:f>IF(AND(B450="Butterfly",J450&gt;0,J450&lt;K450),L450/J450,"n.a.")</x:f>
        <x:v>n.a.</x:v>
      </x:c>
      <x:c r="Q450" s="11" t="n">
        <x:f>J450*'Model inputs'!$B$8</x:f>
        <x:v>-95520</x:v>
      </x:c>
      <x:c r="R450" s="1" t="str">
        <x:v>Flagged leg data</x:v>
      </x:c>
      <x:c r="S450" s="1" t="n">
        <x:v>173</x:v>
      </x:c>
      <x:c r="T450" s="1" t="n">
        <x:v>192</x:v>
      </x:c>
    </x:row>
    <x:row r="451" ht="21" customHeight="1">
      <x:c r="A451" s="12" t="n">
        <x:v>46275</x:v>
      </x:c>
      <x:c r="B451" s="1" t="str">
        <x:v>1x2 ratio</x:v>
      </x:c>
      <x:c r="C451" s="1" t="str">
        <x:v>call</x:v>
      </x:c>
      <x:c r="D451" s="11" t="n">
        <x:v>5800</x:v>
      </x:c>
      <x:c r="E451" s="11" t="n">
        <x:v>6000</x:v>
      </x:c>
      <x:c r="F451" s="11"/>
      <x:c r="G451" s="11" t="n">
        <x:f>'Option source'!B159</x:f>
        <x:v>1483.43</x:v>
      </x:c>
      <x:c r="H451" s="11" t="n">
        <x:f>'Option source'!B178</x:f>
        <x:v>1269.8</x:v>
      </x:c>
      <x:c r="I451" s="11"/>
      <x:c r="J451" s="11" t="n">
        <x:f>G451-2*H451+IF(B451="Butterfly",I451,0)</x:f>
        <x:v>-1056.1699999999998</x:v>
      </x:c>
      <x:c r="K451" s="11" t="n">
        <x:f>ABS(E451-D451)</x:f>
        <x:v>200</x:v>
      </x:c>
      <x:c r="L451" s="11" t="n">
        <x:f>K451-J451</x:f>
        <x:v>1256.1699999999998</x:v>
      </x:c>
      <x:c r="M451" s="11" t="str">
        <x:f>IF(B451="Butterfly",MAX(J451,0),IF(C451="call","Unlimited",MAX(2*E451-D451+J451,J451,0)))</x:f>
        <x:v>Unlimited</x:v>
      </x:c>
      <x:c r="N451" s="11" t="str">
        <x:f>IF(B451="Butterfly",IF(AND(J451&gt;0,J451&lt;K451),D451+J451,"n.a."),IF(C451="call",IF(AND(J451&gt;0,J451&lt;K451),D451+J451,"n.a."),IF(AND(K451&gt;J451,2*E451-D451+J451&gt;=0),2*E451-D451+J451,"n.a.")))</x:f>
        <x:v>n.a.</x:v>
      </x:c>
      <x:c r="O451" s="11" t="n">
        <x:f>IF(B451="Butterfly",IF(AND(J451&gt;0,J451&lt;K451),F451-J451,"n.a."),IF(C451="call",IF(K451&gt;J451,2*E451-D451-J451,"n.a."),IF(AND(J451&gt;0,J451&lt;K451),D451-J451,"n.a.")))</x:f>
        <x:v>7256.17</x:v>
      </x:c>
      <x:c r="P451" s="19" t="str">
        <x:f>IF(AND(B451="Butterfly",J451&gt;0,J451&lt;K451),L451/J451,"n.a.")</x:f>
        <x:v>n.a.</x:v>
      </x:c>
      <x:c r="Q451" s="11" t="n">
        <x:f>J451*'Model inputs'!$B$8</x:f>
        <x:v>-105616.99999999999</x:v>
      </x:c>
      <x:c r="R451" s="1" t="str">
        <x:v>Flagged leg data</x:v>
      </x:c>
      <x:c r="S451" s="1" t="n">
        <x:v>154</x:v>
      </x:c>
      <x:c r="T451" s="1" t="n">
        <x:v>173</x:v>
      </x:c>
    </x:row>
    <x:row r="452" ht="21" customHeight="1">
      <x:c r="A452" s="12" t="n">
        <x:v>46275</x:v>
      </x:c>
      <x:c r="B452" s="1" t="str">
        <x:v>1x2 ratio</x:v>
      </x:c>
      <x:c r="C452" s="1" t="str">
        <x:v>call</x:v>
      </x:c>
      <x:c r="D452" s="11" t="n">
        <x:v>5600</x:v>
      </x:c>
      <x:c r="E452" s="11" t="n">
        <x:v>5800</x:v>
      </x:c>
      <x:c r="F452" s="11"/>
      <x:c r="G452" s="11" t="n">
        <x:f>'Option source'!B149</x:f>
        <x:v>1600</x:v>
      </x:c>
      <x:c r="H452" s="11" t="n">
        <x:f>'Option source'!B159</x:f>
        <x:v>1483.43</x:v>
      </x:c>
      <x:c r="I452" s="11"/>
      <x:c r="J452" s="11" t="n">
        <x:f>G452-2*H452+IF(B452="Butterfly",I452,0)</x:f>
        <x:v>-1366.8600000000001</x:v>
      </x:c>
      <x:c r="K452" s="11" t="n">
        <x:f>ABS(E452-D452)</x:f>
        <x:v>200</x:v>
      </x:c>
      <x:c r="L452" s="11" t="n">
        <x:f>K452-J452</x:f>
        <x:v>1566.8600000000001</x:v>
      </x:c>
      <x:c r="M452" s="11" t="str">
        <x:f>IF(B452="Butterfly",MAX(J452,0),IF(C452="call","Unlimited",MAX(2*E452-D452+J452,J452,0)))</x:f>
        <x:v>Unlimited</x:v>
      </x:c>
      <x:c r="N452" s="11" t="str">
        <x:f>IF(B452="Butterfly",IF(AND(J452&gt;0,J452&lt;K452),D452+J452,"n.a."),IF(C452="call",IF(AND(J452&gt;0,J452&lt;K452),D452+J452,"n.a."),IF(AND(K452&gt;J452,2*E452-D452+J452&gt;=0),2*E452-D452+J452,"n.a.")))</x:f>
        <x:v>n.a.</x:v>
      </x:c>
      <x:c r="O452" s="11" t="n">
        <x:f>IF(B452="Butterfly",IF(AND(J452&gt;0,J452&lt;K452),F452-J452,"n.a."),IF(C452="call",IF(K452&gt;J452,2*E452-D452-J452,"n.a."),IF(AND(J452&gt;0,J452&lt;K452),D452-J452,"n.a.")))</x:f>
        <x:v>7366.860000000001</x:v>
      </x:c>
      <x:c r="P452" s="19" t="str">
        <x:f>IF(AND(B452="Butterfly",J452&gt;0,J452&lt;K452),L452/J452,"n.a.")</x:f>
        <x:v>n.a.</x:v>
      </x:c>
      <x:c r="Q452" s="11" t="n">
        <x:f>J452*'Model inputs'!$B$8</x:f>
        <x:v>-136686</x:v>
      </x:c>
      <x:c r="R452" s="1" t="str">
        <x:v>Flagged leg data</x:v>
      </x:c>
      <x:c r="S452" s="1" t="n">
        <x:v>144</x:v>
      </x:c>
      <x:c r="T452" s="1" t="n">
        <x:v>154</x:v>
      </x:c>
    </x:row>
    <x:row r="453" ht="21" customHeight="1">
      <x:c r="A453" s="12" t="n">
        <x:v>46275</x:v>
      </x:c>
      <x:c r="B453" s="1" t="str">
        <x:v>1x2 ratio</x:v>
      </x:c>
      <x:c r="C453" s="1" t="str">
        <x:v>put</x:v>
      </x:c>
      <x:c r="D453" s="11" t="n">
        <x:v>8900</x:v>
      </x:c>
      <x:c r="E453" s="11" t="n">
        <x:v>8600</x:v>
      </x:c>
      <x:c r="F453" s="11"/>
      <x:c r="G453" s="11" t="n">
        <x:f>'Option source'!B915</x:f>
        <x:v>2022.5</x:v>
      </x:c>
      <x:c r="H453" s="11" t="n">
        <x:f>'Option source'!B900</x:f>
        <x:v>1483.75</x:v>
      </x:c>
      <x:c r="I453" s="11"/>
      <x:c r="J453" s="11" t="n">
        <x:f>G453-2*H453+IF(B453="Butterfly",I453,0)</x:f>
        <x:v>-945</x:v>
      </x:c>
      <x:c r="K453" s="11" t="n">
        <x:f>ABS(E453-D453)</x:f>
        <x:v>300</x:v>
      </x:c>
      <x:c r="L453" s="11" t="n">
        <x:f>K453-J453</x:f>
        <x:v>1245</x:v>
      </x:c>
      <x:c r="M453" s="11" t="n">
        <x:f>IF(B453="Butterfly",MAX(J453,0),IF(C453="call","Unlimited",MAX(2*E453-D453+J453,J453,0)))</x:f>
        <x:v>7355</x:v>
      </x:c>
      <x:c r="N453" s="11" t="n">
        <x:f>IF(B453="Butterfly",IF(AND(J453&gt;0,J453&lt;K453),D453+J453,"n.a."),IF(C453="call",IF(AND(J453&gt;0,J453&lt;K453),D453+J453,"n.a."),IF(AND(K453&gt;J453,2*E453-D453+J453&gt;=0),2*E453-D453+J453,"n.a.")))</x:f>
        <x:v>7355</x:v>
      </x:c>
      <x:c r="O453" s="11" t="str">
        <x:f>IF(B453="Butterfly",IF(AND(J453&gt;0,J453&lt;K453),F453-J453,"n.a."),IF(C453="call",IF(K453&gt;J453,2*E453-D453-J453,"n.a."),IF(AND(J453&gt;0,J453&lt;K453),D453-J453,"n.a.")))</x:f>
        <x:v>n.a.</x:v>
      </x:c>
      <x:c r="P453" s="19" t="str">
        <x:f>IF(AND(B453="Butterfly",J453&gt;0,J453&lt;K453),L453/J453,"n.a.")</x:f>
        <x:v>n.a.</x:v>
      </x:c>
      <x:c r="Q453" s="11" t="n">
        <x:f>J453*'Model inputs'!$B$8</x:f>
        <x:v>-94500</x:v>
      </x:c>
      <x:c r="R453" s="1" t="str">
        <x:v>Flagged leg data</x:v>
      </x:c>
      <x:c r="S453" s="1" t="n">
        <x:v>910</x:v>
      </x:c>
      <x:c r="T453" s="1" t="n">
        <x:v>895</x:v>
      </x:c>
    </x:row>
    <x:row r="454" ht="21" customHeight="1">
      <x:c r="A454" s="12" t="n">
        <x:v>46275</x:v>
      </x:c>
      <x:c r="B454" s="1" t="str">
        <x:v>1x2 ratio</x:v>
      </x:c>
      <x:c r="C454" s="1" t="str">
        <x:v>call</x:v>
      </x:c>
      <x:c r="D454" s="11" t="n">
        <x:v>5400</x:v>
      </x:c>
      <x:c r="E454" s="11" t="n">
        <x:v>5600</x:v>
      </x:c>
      <x:c r="F454" s="11"/>
      <x:c r="G454" s="11" t="n">
        <x:f>'Option source'!B131</x:f>
        <x:v>1846.26</x:v>
      </x:c>
      <x:c r="H454" s="11" t="n">
        <x:f>'Option source'!B149</x:f>
        <x:v>1600</x:v>
      </x:c>
      <x:c r="I454" s="11"/>
      <x:c r="J454" s="11" t="n">
        <x:f>G454-2*H454+IF(B454="Butterfly",I454,0)</x:f>
        <x:v>-1353.74</x:v>
      </x:c>
      <x:c r="K454" s="11" t="n">
        <x:f>ABS(E454-D454)</x:f>
        <x:v>200</x:v>
      </x:c>
      <x:c r="L454" s="11" t="n">
        <x:f>K454-J454</x:f>
        <x:v>1553.74</x:v>
      </x:c>
      <x:c r="M454" s="11" t="str">
        <x:f>IF(B454="Butterfly",MAX(J454,0),IF(C454="call","Unlimited",MAX(2*E454-D454+J454,J454,0)))</x:f>
        <x:v>Unlimited</x:v>
      </x:c>
      <x:c r="N454" s="11" t="str">
        <x:f>IF(B454="Butterfly",IF(AND(J454&gt;0,J454&lt;K454),D454+J454,"n.a."),IF(C454="call",IF(AND(J454&gt;0,J454&lt;K454),D454+J454,"n.a."),IF(AND(K454&gt;J454,2*E454-D454+J454&gt;=0),2*E454-D454+J454,"n.a.")))</x:f>
        <x:v>n.a.</x:v>
      </x:c>
      <x:c r="O454" s="11" t="n">
        <x:f>IF(B454="Butterfly",IF(AND(J454&gt;0,J454&lt;K454),F454-J454,"n.a."),IF(C454="call",IF(K454&gt;J454,2*E454-D454-J454,"n.a."),IF(AND(J454&gt;0,J454&lt;K454),D454-J454,"n.a.")))</x:f>
        <x:v>7153.74</x:v>
      </x:c>
      <x:c r="P454" s="19" t="str">
        <x:f>IF(AND(B454="Butterfly",J454&gt;0,J454&lt;K454),L454/J454,"n.a.")</x:f>
        <x:v>n.a.</x:v>
      </x:c>
      <x:c r="Q454" s="11" t="n">
        <x:f>J454*'Model inputs'!$B$8</x:f>
        <x:v>-135374</x:v>
      </x:c>
      <x:c r="R454" s="1" t="str">
        <x:v>Flagged leg data</x:v>
      </x:c>
      <x:c r="S454" s="1" t="n">
        <x:v>126</x:v>
      </x:c>
      <x:c r="T454" s="1" t="n">
        <x:v>144</x:v>
      </x:c>
    </x:row>
    <x:row r="455" ht="21" customHeight="1">
      <x:c r="A455" s="12" t="n">
        <x:v>46275</x:v>
      </x:c>
      <x:c r="B455" s="1" t="str">
        <x:v>1x2 ratio</x:v>
      </x:c>
      <x:c r="C455" s="1" t="str">
        <x:v>call</x:v>
      </x:c>
      <x:c r="D455" s="11" t="n">
        <x:v>5200</x:v>
      </x:c>
      <x:c r="E455" s="11" t="n">
        <x:v>5400</x:v>
      </x:c>
      <x:c r="F455" s="11"/>
      <x:c r="G455" s="11" t="n">
        <x:f>'Option source'!B112</x:f>
        <x:v>1992.7</x:v>
      </x:c>
      <x:c r="H455" s="11" t="n">
        <x:f>'Option source'!B131</x:f>
        <x:v>1846.26</x:v>
      </x:c>
      <x:c r="I455" s="11"/>
      <x:c r="J455" s="11" t="n">
        <x:f>G455-2*H455+IF(B455="Butterfly",I455,0)</x:f>
        <x:v>-1699.82</x:v>
      </x:c>
      <x:c r="K455" s="11" t="n">
        <x:f>ABS(E455-D455)</x:f>
        <x:v>200</x:v>
      </x:c>
      <x:c r="L455" s="11" t="n">
        <x:f>K455-J455</x:f>
        <x:v>1899.82</x:v>
      </x:c>
      <x:c r="M455" s="11" t="str">
        <x:f>IF(B455="Butterfly",MAX(J455,0),IF(C455="call","Unlimited",MAX(2*E455-D455+J455,J455,0)))</x:f>
        <x:v>Unlimited</x:v>
      </x:c>
      <x:c r="N455" s="11" t="str">
        <x:f>IF(B455="Butterfly",IF(AND(J455&gt;0,J455&lt;K455),D455+J455,"n.a."),IF(C455="call",IF(AND(J455&gt;0,J455&lt;K455),D455+J455,"n.a."),IF(AND(K455&gt;J455,2*E455-D455+J455&gt;=0),2*E455-D455+J455,"n.a.")))</x:f>
        <x:v>n.a.</x:v>
      </x:c>
      <x:c r="O455" s="11" t="n">
        <x:f>IF(B455="Butterfly",IF(AND(J455&gt;0,J455&lt;K455),F455-J455,"n.a."),IF(C455="call",IF(K455&gt;J455,2*E455-D455-J455,"n.a."),IF(AND(J455&gt;0,J455&lt;K455),D455-J455,"n.a.")))</x:f>
        <x:v>7299.82</x:v>
      </x:c>
      <x:c r="P455" s="19" t="str">
        <x:f>IF(AND(B455="Butterfly",J455&gt;0,J455&lt;K455),L455/J455,"n.a.")</x:f>
        <x:v>n.a.</x:v>
      </x:c>
      <x:c r="Q455" s="11" t="n">
        <x:f>J455*'Model inputs'!$B$8</x:f>
        <x:v>-169982</x:v>
      </x:c>
      <x:c r="R455" s="1" t="str">
        <x:v>Flagged leg data</x:v>
      </x:c>
      <x:c r="S455" s="1" t="n">
        <x:v>107</x:v>
      </x:c>
      <x:c r="T455" s="1" t="n">
        <x:v>126</x:v>
      </x:c>
    </x:row>
    <x:row r="456" ht="21" customHeight="1">
      <x:c r="A456" s="12" t="n">
        <x:v>46275</x:v>
      </x:c>
      <x:c r="B456" s="1" t="str">
        <x:v>1x2 ratio</x:v>
      </x:c>
      <x:c r="C456" s="1" t="str">
        <x:v>put</x:v>
      </x:c>
      <x:c r="D456" s="11" t="n">
        <x:v>9200</x:v>
      </x:c>
      <x:c r="E456" s="11" t="n">
        <x:v>8900</x:v>
      </x:c>
      <x:c r="F456" s="11"/>
      <x:c r="G456" s="11" t="n">
        <x:f>'Option source'!B922</x:f>
        <x:v>2000</x:v>
      </x:c>
      <x:c r="H456" s="11" t="n">
        <x:f>'Option source'!B915</x:f>
        <x:v>2022.5</x:v>
      </x:c>
      <x:c r="I456" s="11"/>
      <x:c r="J456" s="11" t="n">
        <x:f>G456-2*H456+IF(B456="Butterfly",I456,0)</x:f>
        <x:v>-2045</x:v>
      </x:c>
      <x:c r="K456" s="11" t="n">
        <x:f>ABS(E456-D456)</x:f>
        <x:v>300</x:v>
      </x:c>
      <x:c r="L456" s="11" t="n">
        <x:f>K456-J456</x:f>
        <x:v>2345</x:v>
      </x:c>
      <x:c r="M456" s="11" t="n">
        <x:f>IF(B456="Butterfly",MAX(J456,0),IF(C456="call","Unlimited",MAX(2*E456-D456+J456,J456,0)))</x:f>
        <x:v>6555</x:v>
      </x:c>
      <x:c r="N456" s="11" t="n">
        <x:f>IF(B456="Butterfly",IF(AND(J456&gt;0,J456&lt;K456),D456+J456,"n.a."),IF(C456="call",IF(AND(J456&gt;0,J456&lt;K456),D456+J456,"n.a."),IF(AND(K456&gt;J456,2*E456-D456+J456&gt;=0),2*E456-D456+J456,"n.a.")))</x:f>
        <x:v>6555</x:v>
      </x:c>
      <x:c r="O456" s="11" t="str">
        <x:f>IF(B456="Butterfly",IF(AND(J456&gt;0,J456&lt;K456),F456-J456,"n.a."),IF(C456="call",IF(K456&gt;J456,2*E456-D456-J456,"n.a."),IF(AND(J456&gt;0,J456&lt;K456),D456-J456,"n.a.")))</x:f>
        <x:v>n.a.</x:v>
      </x:c>
      <x:c r="P456" s="19" t="str">
        <x:f>IF(AND(B456="Butterfly",J456&gt;0,J456&lt;K456),L456/J456,"n.a.")</x:f>
        <x:v>n.a.</x:v>
      </x:c>
      <x:c r="Q456" s="11" t="n">
        <x:f>J456*'Model inputs'!$B$8</x:f>
        <x:v>-204500</x:v>
      </x:c>
      <x:c r="R456" s="1" t="str">
        <x:v>Flagged leg data</x:v>
      </x:c>
      <x:c r="S456" s="1" t="n">
        <x:v>917</x:v>
      </x:c>
      <x:c r="T456" s="1" t="n">
        <x:v>910</x:v>
      </x:c>
    </x:row>
    <x:row r="457" ht="21" customHeight="1">
      <x:c r="A457" s="12" t="n">
        <x:v>46275</x:v>
      </x:c>
      <x:c r="B457" s="1" t="str">
        <x:v>1x2 ratio</x:v>
      </x:c>
      <x:c r="C457" s="1" t="str">
        <x:v>call</x:v>
      </x:c>
      <x:c r="D457" s="11" t="n">
        <x:v>5000</x:v>
      </x:c>
      <x:c r="E457" s="11" t="n">
        <x:v>5200</x:v>
      </x:c>
      <x:c r="F457" s="11"/>
      <x:c r="G457" s="11" t="n">
        <x:f>'Option source'!B93</x:f>
        <x:v>2248.2</x:v>
      </x:c>
      <x:c r="H457" s="11" t="n">
        <x:f>'Option source'!B112</x:f>
        <x:v>1992.7</x:v>
      </x:c>
      <x:c r="I457" s="11"/>
      <x:c r="J457" s="11" t="n">
        <x:f>G457-2*H457+IF(B457="Butterfly",I457,0)</x:f>
        <x:v>-1737.2000000000003</x:v>
      </x:c>
      <x:c r="K457" s="11" t="n">
        <x:f>ABS(E457-D457)</x:f>
        <x:v>200</x:v>
      </x:c>
      <x:c r="L457" s="11" t="n">
        <x:f>K457-J457</x:f>
        <x:v>1937.2000000000003</x:v>
      </x:c>
      <x:c r="M457" s="11" t="str">
        <x:f>IF(B457="Butterfly",MAX(J457,0),IF(C457="call","Unlimited",MAX(2*E457-D457+J457,J457,0)))</x:f>
        <x:v>Unlimited</x:v>
      </x:c>
      <x:c r="N457" s="11" t="str">
        <x:f>IF(B457="Butterfly",IF(AND(J457&gt;0,J457&lt;K457),D457+J457,"n.a."),IF(C457="call",IF(AND(J457&gt;0,J457&lt;K457),D457+J457,"n.a."),IF(AND(K457&gt;J457,2*E457-D457+J457&gt;=0),2*E457-D457+J457,"n.a.")))</x:f>
        <x:v>n.a.</x:v>
      </x:c>
      <x:c r="O457" s="11" t="n">
        <x:f>IF(B457="Butterfly",IF(AND(J457&gt;0,J457&lt;K457),F457-J457,"n.a."),IF(C457="call",IF(K457&gt;J457,2*E457-D457-J457,"n.a."),IF(AND(J457&gt;0,J457&lt;K457),D457-J457,"n.a.")))</x:f>
        <x:v>7137.200000000001</x:v>
      </x:c>
      <x:c r="P457" s="19" t="str">
        <x:f>IF(AND(B457="Butterfly",J457&gt;0,J457&lt;K457),L457/J457,"n.a.")</x:f>
        <x:v>n.a.</x:v>
      </x:c>
      <x:c r="Q457" s="11" t="n">
        <x:f>J457*'Model inputs'!$B$8</x:f>
        <x:v>-173720.00000000003</x:v>
      </x:c>
      <x:c r="R457" s="1" t="str">
        <x:v>Flagged leg data</x:v>
      </x:c>
      <x:c r="S457" s="1" t="n">
        <x:v>88</x:v>
      </x:c>
      <x:c r="T457" s="1" t="n">
        <x:v>107</x:v>
      </x:c>
    </x:row>
    <x:row r="458" ht="21" customHeight="1">
      <x:c r="A458" s="12" t="n">
        <x:v>46275</x:v>
      </x:c>
      <x:c r="B458" s="1" t="str">
        <x:v>1x2 ratio</x:v>
      </x:c>
      <x:c r="C458" s="1" t="str">
        <x:v>call</x:v>
      </x:c>
      <x:c r="D458" s="11" t="n">
        <x:v>4800</x:v>
      </x:c>
      <x:c r="E458" s="11" t="n">
        <x:v>5000</x:v>
      </x:c>
      <x:c r="F458" s="11"/>
      <x:c r="G458" s="11" t="n">
        <x:f>'Option source'!B76</x:f>
        <x:v>2425.74</x:v>
      </x:c>
      <x:c r="H458" s="11" t="n">
        <x:f>'Option source'!B93</x:f>
        <x:v>2248.2</x:v>
      </x:c>
      <x:c r="I458" s="11"/>
      <x:c r="J458" s="11" t="n">
        <x:f>G458-2*H458+IF(B458="Butterfly",I458,0)</x:f>
        <x:v>-2070.66</x:v>
      </x:c>
      <x:c r="K458" s="11" t="n">
        <x:f>ABS(E458-D458)</x:f>
        <x:v>200</x:v>
      </x:c>
      <x:c r="L458" s="11" t="n">
        <x:f>K458-J458</x:f>
        <x:v>2270.66</x:v>
      </x:c>
      <x:c r="M458" s="11" t="str">
        <x:f>IF(B458="Butterfly",MAX(J458,0),IF(C458="call","Unlimited",MAX(2*E458-D458+J458,J458,0)))</x:f>
        <x:v>Unlimited</x:v>
      </x:c>
      <x:c r="N458" s="11" t="str">
        <x:f>IF(B458="Butterfly",IF(AND(J458&gt;0,J458&lt;K458),D458+J458,"n.a."),IF(C458="call",IF(AND(J458&gt;0,J458&lt;K458),D458+J458,"n.a."),IF(AND(K458&gt;J458,2*E458-D458+J458&gt;=0),2*E458-D458+J458,"n.a.")))</x:f>
        <x:v>n.a.</x:v>
      </x:c>
      <x:c r="O458" s="11" t="n">
        <x:f>IF(B458="Butterfly",IF(AND(J458&gt;0,J458&lt;K458),F458-J458,"n.a."),IF(C458="call",IF(K458&gt;J458,2*E458-D458-J458,"n.a."),IF(AND(J458&gt;0,J458&lt;K458),D458-J458,"n.a.")))</x:f>
        <x:v>7270.66</x:v>
      </x:c>
      <x:c r="P458" s="19" t="str">
        <x:f>IF(AND(B458="Butterfly",J458&gt;0,J458&lt;K458),L458/J458,"n.a.")</x:f>
        <x:v>n.a.</x:v>
      </x:c>
      <x:c r="Q458" s="11" t="n">
        <x:f>J458*'Model inputs'!$B$8</x:f>
        <x:v>-207066</x:v>
      </x:c>
      <x:c r="R458" s="1" t="str">
        <x:v>Flagged leg data</x:v>
      </x:c>
      <x:c r="S458" s="1" t="n">
        <x:v>71</x:v>
      </x:c>
      <x:c r="T458" s="1" t="n">
        <x:v>88</x:v>
      </x:c>
    </x:row>
    <x:row r="459" ht="21" customHeight="1">
      <x:c r="A459" s="12" t="n">
        <x:v>46275</x:v>
      </x:c>
      <x:c r="B459" s="1" t="str">
        <x:v>1x2 ratio</x:v>
      </x:c>
      <x:c r="C459" s="1" t="str">
        <x:v>call</x:v>
      </x:c>
      <x:c r="D459" s="11" t="n">
        <x:v>4600</x:v>
      </x:c>
      <x:c r="E459" s="11" t="n">
        <x:v>4800</x:v>
      </x:c>
      <x:c r="F459" s="11"/>
      <x:c r="G459" s="11" t="n">
        <x:f>'Option source'!B59</x:f>
        <x:v>2650</x:v>
      </x:c>
      <x:c r="H459" s="11" t="n">
        <x:f>'Option source'!B76</x:f>
        <x:v>2425.74</x:v>
      </x:c>
      <x:c r="I459" s="11"/>
      <x:c r="J459" s="11" t="n">
        <x:f>G459-2*H459+IF(B459="Butterfly",I459,0)</x:f>
        <x:v>-2201.4799999999996</x:v>
      </x:c>
      <x:c r="K459" s="11" t="n">
        <x:f>ABS(E459-D459)</x:f>
        <x:v>200</x:v>
      </x:c>
      <x:c r="L459" s="11" t="n">
        <x:f>K459-J459</x:f>
        <x:v>2401.4799999999996</x:v>
      </x:c>
      <x:c r="M459" s="11" t="str">
        <x:f>IF(B459="Butterfly",MAX(J459,0),IF(C459="call","Unlimited",MAX(2*E459-D459+J459,J459,0)))</x:f>
        <x:v>Unlimited</x:v>
      </x:c>
      <x:c r="N459" s="11" t="str">
        <x:f>IF(B459="Butterfly",IF(AND(J459&gt;0,J459&lt;K459),D459+J459,"n.a."),IF(C459="call",IF(AND(J459&gt;0,J459&lt;K459),D459+J459,"n.a."),IF(AND(K459&gt;J459,2*E459-D459+J459&gt;=0),2*E459-D459+J459,"n.a.")))</x:f>
        <x:v>n.a.</x:v>
      </x:c>
      <x:c r="O459" s="11" t="n">
        <x:f>IF(B459="Butterfly",IF(AND(J459&gt;0,J459&lt;K459),F459-J459,"n.a."),IF(C459="call",IF(K459&gt;J459,2*E459-D459-J459,"n.a."),IF(AND(J459&gt;0,J459&lt;K459),D459-J459,"n.a.")))</x:f>
        <x:v>7201.48</x:v>
      </x:c>
      <x:c r="P459" s="19" t="str">
        <x:f>IF(AND(B459="Butterfly",J459&gt;0,J459&lt;K459),L459/J459,"n.a.")</x:f>
        <x:v>n.a.</x:v>
      </x:c>
      <x:c r="Q459" s="11" t="n">
        <x:f>J459*'Model inputs'!$B$8</x:f>
        <x:v>-220147.99999999994</x:v>
      </x:c>
      <x:c r="R459" s="1" t="str">
        <x:v>Flagged leg data</x:v>
      </x:c>
      <x:c r="S459" s="1" t="n">
        <x:v>54</x:v>
      </x:c>
      <x:c r="T459" s="1" t="n">
        <x:v>71</x:v>
      </x:c>
    </x:row>
    <x:row r="460" ht="21" customHeight="1">
      <x:c r="A460" s="12" t="n">
        <x:v>46275</x:v>
      </x:c>
      <x:c r="B460" s="1" t="str">
        <x:v>1x2 ratio</x:v>
      </x:c>
      <x:c r="C460" s="1" t="str">
        <x:v>call</x:v>
      </x:c>
      <x:c r="D460" s="11" t="n">
        <x:v>4400</x:v>
      </x:c>
      <x:c r="E460" s="11" t="n">
        <x:v>4600</x:v>
      </x:c>
      <x:c r="F460" s="11"/>
      <x:c r="G460" s="11" t="n">
        <x:f>'Option source'!B40</x:f>
        <x:v>2828.59</x:v>
      </x:c>
      <x:c r="H460" s="11" t="n">
        <x:f>'Option source'!B59</x:f>
        <x:v>2650</x:v>
      </x:c>
      <x:c r="I460" s="11"/>
      <x:c r="J460" s="11" t="n">
        <x:f>G460-2*H460+IF(B460="Butterfly",I460,0)</x:f>
        <x:v>-2471.41</x:v>
      </x:c>
      <x:c r="K460" s="11" t="n">
        <x:f>ABS(E460-D460)</x:f>
        <x:v>200</x:v>
      </x:c>
      <x:c r="L460" s="11" t="n">
        <x:f>K460-J460</x:f>
        <x:v>2671.41</x:v>
      </x:c>
      <x:c r="M460" s="11" t="str">
        <x:f>IF(B460="Butterfly",MAX(J460,0),IF(C460="call","Unlimited",MAX(2*E460-D460+J460,J460,0)))</x:f>
        <x:v>Unlimited</x:v>
      </x:c>
      <x:c r="N460" s="11" t="str">
        <x:f>IF(B460="Butterfly",IF(AND(J460&gt;0,J460&lt;K460),D460+J460,"n.a."),IF(C460="call",IF(AND(J460&gt;0,J460&lt;K460),D460+J460,"n.a."),IF(AND(K460&gt;J460,2*E460-D460+J460&gt;=0),2*E460-D460+J460,"n.a.")))</x:f>
        <x:v>n.a.</x:v>
      </x:c>
      <x:c r="O460" s="11" t="n">
        <x:f>IF(B460="Butterfly",IF(AND(J460&gt;0,J460&lt;K460),F460-J460,"n.a."),IF(C460="call",IF(K460&gt;J460,2*E460-D460-J460,"n.a."),IF(AND(J460&gt;0,J460&lt;K460),D460-J460,"n.a.")))</x:f>
        <x:v>7271.41</x:v>
      </x:c>
      <x:c r="P460" s="19" t="str">
        <x:f>IF(AND(B460="Butterfly",J460&gt;0,J460&lt;K460),L460/J460,"n.a.")</x:f>
        <x:v>n.a.</x:v>
      </x:c>
      <x:c r="Q460" s="11" t="n">
        <x:f>J460*'Model inputs'!$B$8</x:f>
        <x:v>-247141</x:v>
      </x:c>
      <x:c r="R460" s="1" t="str">
        <x:v>Flagged leg data</x:v>
      </x:c>
      <x:c r="S460" s="1" t="n">
        <x:v>35</x:v>
      </x:c>
      <x:c r="T460" s="1" t="n">
        <x:v>54</x:v>
      </x:c>
    </x:row>
    <x:row r="461" ht="21" customHeight="1">
      <x:c r="A461" s="12" t="n">
        <x:v>46275</x:v>
      </x:c>
      <x:c r="B461" s="1" t="str">
        <x:v>1x2 ratio</x:v>
      </x:c>
      <x:c r="C461" s="1" t="str">
        <x:v>call</x:v>
      </x:c>
      <x:c r="D461" s="11" t="n">
        <x:v>4200</x:v>
      </x:c>
      <x:c r="E461" s="11" t="n">
        <x:v>4400</x:v>
      </x:c>
      <x:c r="F461" s="11"/>
      <x:c r="G461" s="11" t="n">
        <x:f>'Option source'!B21</x:f>
        <x:v>3000</x:v>
      </x:c>
      <x:c r="H461" s="11" t="n">
        <x:f>'Option source'!B40</x:f>
        <x:v>2828.59</x:v>
      </x:c>
      <x:c r="I461" s="11"/>
      <x:c r="J461" s="11" t="n">
        <x:f>G461-2*H461+IF(B461="Butterfly",I461,0)</x:f>
        <x:v>-2657.1800000000003</x:v>
      </x:c>
      <x:c r="K461" s="11" t="n">
        <x:f>ABS(E461-D461)</x:f>
        <x:v>200</x:v>
      </x:c>
      <x:c r="L461" s="11" t="n">
        <x:f>K461-J461</x:f>
        <x:v>2857.1800000000003</x:v>
      </x:c>
      <x:c r="M461" s="11" t="str">
        <x:f>IF(B461="Butterfly",MAX(J461,0),IF(C461="call","Unlimited",MAX(2*E461-D461+J461,J461,0)))</x:f>
        <x:v>Unlimited</x:v>
      </x:c>
      <x:c r="N461" s="11" t="str">
        <x:f>IF(B461="Butterfly",IF(AND(J461&gt;0,J461&lt;K461),D461+J461,"n.a."),IF(C461="call",IF(AND(J461&gt;0,J461&lt;K461),D461+J461,"n.a."),IF(AND(K461&gt;J461,2*E461-D461+J461&gt;=0),2*E461-D461+J461,"n.a.")))</x:f>
        <x:v>n.a.</x:v>
      </x:c>
      <x:c r="O461" s="11" t="n">
        <x:f>IF(B461="Butterfly",IF(AND(J461&gt;0,J461&lt;K461),F461-J461,"n.a."),IF(C461="call",IF(K461&gt;J461,2*E461-D461-J461,"n.a."),IF(AND(J461&gt;0,J461&lt;K461),D461-J461,"n.a.")))</x:f>
        <x:v>7257.18</x:v>
      </x:c>
      <x:c r="P461" s="19" t="str">
        <x:f>IF(AND(B461="Butterfly",J461&gt;0,J461&lt;K461),L461/J461,"n.a.")</x:f>
        <x:v>n.a.</x:v>
      </x:c>
      <x:c r="Q461" s="11" t="n">
        <x:f>J461*'Model inputs'!$B$8</x:f>
        <x:v>-265718</x:v>
      </x:c>
      <x:c r="R461" s="1" t="str">
        <x:v>Flagged leg data</x:v>
      </x:c>
      <x:c r="S461" s="1" t="n">
        <x:v>16</x:v>
      </x:c>
      <x:c r="T461" s="1" t="n">
        <x:v>35</x:v>
      </x:c>
    </x:row>
    <x:row r="462" ht="21" customHeight="1">
      <x:c r="A462" s="12" t="n">
        <x:v>46274</x:v>
      </x:c>
      <x:c r="B462" s="1" t="str">
        <x:v>Butterfly</x:v>
      </x:c>
      <x:c r="C462" s="1" t="str">
        <x:v>call</x:v>
      </x:c>
      <x:c r="D462" s="11" t="n">
        <x:v>6800</x:v>
      </x:c>
      <x:c r="E462" s="11" t="n">
        <x:v>7000</x:v>
      </x:c>
      <x:c r="F462" s="11" t="n">
        <x:v>7200</x:v>
      </x:c>
      <x:c r="G462" s="11" t="n">
        <x:f>'Option source'!B253</x:f>
        <x:v>630.86</x:v>
      </x:c>
      <x:c r="H462" s="11" t="n">
        <x:f>'Option source'!B272</x:f>
        <x:v>521.43</x:v>
      </x:c>
      <x:c r="I462" s="11" t="n">
        <x:f>'Option source'!B291</x:f>
        <x:v>418.29</x:v>
      </x:c>
      <x:c r="J462" s="11" t="n">
        <x:f>G462-2*H462+IF(B462="Butterfly",I462,0)</x:f>
        <x:v>6.290000000000134</x:v>
      </x:c>
      <x:c r="K462" s="11" t="n">
        <x:f>ABS(E462-D462)</x:f>
        <x:v>200</x:v>
      </x:c>
      <x:c r="L462" s="11" t="n">
        <x:f>K462-J462</x:f>
        <x:v>193.70999999999987</x:v>
      </x:c>
      <x:c r="M462" s="11" t="n">
        <x:f>IF(B462="Butterfly",MAX(J462,0),IF(C462="call","Unlimited",MAX(2*E462-D462+J462,J462,0)))</x:f>
        <x:v>6.290000000000134</x:v>
      </x:c>
      <x:c r="N462" s="11" t="n">
        <x:f>IF(B462="Butterfly",IF(AND(J462&gt;0,J462&lt;K462),D462+J462,"n.a."),IF(C462="call",IF(AND(J462&gt;0,J462&lt;K462),D462+J462,"n.a."),IF(AND(K462&gt;J462,2*E462-D462+J462&gt;=0),2*E462-D462+J462,"n.a.")))</x:f>
        <x:v>6806.29</x:v>
      </x:c>
      <x:c r="O462" s="11" t="n">
        <x:f>IF(B462="Butterfly",IF(AND(J462&gt;0,J462&lt;K462),F462-J462,"n.a."),IF(C462="call",IF(K462&gt;J462,2*E462-D462-J462,"n.a."),IF(AND(J462&gt;0,J462&lt;K462),D462-J462,"n.a.")))</x:f>
        <x:v>7193.71</x:v>
      </x:c>
      <x:c r="P462" s="19" t="n">
        <x:f>IF(AND(B462="Butterfly",J462&gt;0,J462&lt;K462),L462/J462,"n.a.")</x:f>
        <x:v>30.796502384737</x:v>
      </x:c>
      <x:c r="Q462" s="11" t="n">
        <x:f>J462*'Model inputs'!$B$8</x:f>
        <x:v>629.0000000000134</x:v>
      </x:c>
      <x:c r="R462" s="1" t="str">
        <x:v>Indicative only</x:v>
      </x:c>
      <x:c r="S462" s="1" t="n">
        <x:v>248</x:v>
      </x:c>
      <x:c r="T462" s="1" t="n">
        <x:v>267</x:v>
      </x:c>
    </x:row>
    <x:row r="463" ht="21" customHeight="1">
      <x:c r="A463" s="12" t="n">
        <x:v>46274</x:v>
      </x:c>
      <x:c r="B463" s="1" t="str">
        <x:v>Butterfly</x:v>
      </x:c>
      <x:c r="C463" s="1" t="str">
        <x:v>put</x:v>
      </x:c>
      <x:c r="D463" s="11" t="n">
        <x:v>6800</x:v>
      </x:c>
      <x:c r="E463" s="11" t="n">
        <x:v>7000</x:v>
      </x:c>
      <x:c r="F463" s="11" t="n">
        <x:v>7200</x:v>
      </x:c>
      <x:c r="G463" s="11" t="n">
        <x:f>'Option source'!B747</x:f>
        <x:v>195.89</x:v>
      </x:c>
      <x:c r="H463" s="11" t="n">
        <x:f>'Option source'!B766</x:f>
        <x:v>279.23</x:v>
      </x:c>
      <x:c r="I463" s="11" t="n">
        <x:f>'Option source'!B785</x:f>
        <x:v>369.17</x:v>
      </x:c>
      <x:c r="J463" s="11" t="n">
        <x:f>G463-2*H463+IF(B463="Butterfly",I463,0)</x:f>
        <x:v>6.599999999999966</x:v>
      </x:c>
      <x:c r="K463" s="11" t="n">
        <x:f>ABS(E463-D463)</x:f>
        <x:v>200</x:v>
      </x:c>
      <x:c r="L463" s="11" t="n">
        <x:f>K463-J463</x:f>
        <x:v>193.40000000000003</x:v>
      </x:c>
      <x:c r="M463" s="11" t="n">
        <x:f>IF(B463="Butterfly",MAX(J463,0),IF(C463="call","Unlimited",MAX(2*E463-D463+J463,J463,0)))</x:f>
        <x:v>6.599999999999966</x:v>
      </x:c>
      <x:c r="N463" s="11" t="n">
        <x:f>IF(B463="Butterfly",IF(AND(J463&gt;0,J463&lt;K463),D463+J463,"n.a."),IF(C463="call",IF(AND(J463&gt;0,J463&lt;K463),D463+J463,"n.a."),IF(AND(K463&gt;J463,2*E463-D463+J463&gt;=0),2*E463-D463+J463,"n.a.")))</x:f>
        <x:v>6806.6</x:v>
      </x:c>
      <x:c r="O463" s="11" t="n">
        <x:f>IF(B463="Butterfly",IF(AND(J463&gt;0,J463&lt;K463),F463-J463,"n.a."),IF(C463="call",IF(K463&gt;J463,2*E463-D463-J463,"n.a."),IF(AND(J463&gt;0,J463&lt;K463),D463-J463,"n.a.")))</x:f>
        <x:v>7193.4</x:v>
      </x:c>
      <x:c r="P463" s="19" t="n">
        <x:f>IF(AND(B463="Butterfly",J463&gt;0,J463&lt;K463),L463/J463,"n.a.")</x:f>
        <x:v>29.30303030303046</x:v>
      </x:c>
      <x:c r="Q463" s="11" t="n">
        <x:f>J463*'Model inputs'!$B$8</x:f>
        <x:v>659.9999999999966</x:v>
      </x:c>
      <x:c r="R463" s="1" t="str">
        <x:v>Indicative only</x:v>
      </x:c>
      <x:c r="S463" s="1" t="n">
        <x:v>742</x:v>
      </x:c>
      <x:c r="T463" s="1" t="n">
        <x:v>761</x:v>
      </x:c>
    </x:row>
    <x:row r="464" ht="21" customHeight="1">
      <x:c r="A464" s="12" t="n">
        <x:v>46274</x:v>
      </x:c>
      <x:c r="B464" s="1" t="str">
        <x:v>Butterfly</x:v>
      </x:c>
      <x:c r="C464" s="1" t="str">
        <x:v>call</x:v>
      </x:c>
      <x:c r="D464" s="11" t="n">
        <x:v>7000</x:v>
      </x:c>
      <x:c r="E464" s="11" t="n">
        <x:v>7200</x:v>
      </x:c>
      <x:c r="F464" s="11" t="n">
        <x:v>7400</x:v>
      </x:c>
      <x:c r="G464" s="11" t="n">
        <x:f>'Option source'!B272</x:f>
        <x:v>521.43</x:v>
      </x:c>
      <x:c r="H464" s="11" t="n">
        <x:f>'Option source'!B291</x:f>
        <x:v>418.29</x:v>
      </x:c>
      <x:c r="I464" s="11" t="n">
        <x:f>'Option source'!B310</x:f>
        <x:v>324.41</x:v>
      </x:c>
      <x:c r="J464" s="11" t="n">
        <x:f>G464-2*H464+IF(B464="Butterfly",I464,0)</x:f>
        <x:v>9.259999999999934</x:v>
      </x:c>
      <x:c r="K464" s="11" t="n">
        <x:f>ABS(E464-D464)</x:f>
        <x:v>200</x:v>
      </x:c>
      <x:c r="L464" s="11" t="n">
        <x:f>K464-J464</x:f>
        <x:v>190.74000000000007</x:v>
      </x:c>
      <x:c r="M464" s="11" t="n">
        <x:f>IF(B464="Butterfly",MAX(J464,0),IF(C464="call","Unlimited",MAX(2*E464-D464+J464,J464,0)))</x:f>
        <x:v>9.259999999999934</x:v>
      </x:c>
      <x:c r="N464" s="11" t="n">
        <x:f>IF(B464="Butterfly",IF(AND(J464&gt;0,J464&lt;K464),D464+J464,"n.a."),IF(C464="call",IF(AND(J464&gt;0,J464&lt;K464),D464+J464,"n.a."),IF(AND(K464&gt;J464,2*E464-D464+J464&gt;=0),2*E464-D464+J464,"n.a.")))</x:f>
        <x:v>7009.26</x:v>
      </x:c>
      <x:c r="O464" s="11" t="n">
        <x:f>IF(B464="Butterfly",IF(AND(J464&gt;0,J464&lt;K464),F464-J464,"n.a."),IF(C464="call",IF(K464&gt;J464,2*E464-D464-J464,"n.a."),IF(AND(J464&gt;0,J464&lt;K464),D464-J464,"n.a.")))</x:f>
        <x:v>7390.74</x:v>
      </x:c>
      <x:c r="P464" s="19" t="n">
        <x:f>IF(AND(B464="Butterfly",J464&gt;0,J464&lt;K464),L464/J464,"n.a.")</x:f>
        <x:v>20.598272138229095</x:v>
      </x:c>
      <x:c r="Q464" s="11" t="n">
        <x:f>J464*'Model inputs'!$B$8</x:f>
        <x:v>925.9999999999934</x:v>
      </x:c>
      <x:c r="R464" s="1" t="str">
        <x:v>Indicative only</x:v>
      </x:c>
      <x:c r="S464" s="1" t="n">
        <x:v>267</x:v>
      </x:c>
      <x:c r="T464" s="1" t="n">
        <x:v>286</x:v>
      </x:c>
    </x:row>
    <x:row r="465" ht="21" customHeight="1">
      <x:c r="A465" s="12" t="n">
        <x:v>46274</x:v>
      </x:c>
      <x:c r="B465" s="1" t="str">
        <x:v>Butterfly</x:v>
      </x:c>
      <x:c r="C465" s="1" t="str">
        <x:v>put</x:v>
      </x:c>
      <x:c r="D465" s="11" t="n">
        <x:v>7000</x:v>
      </x:c>
      <x:c r="E465" s="11" t="n">
        <x:v>7200</x:v>
      </x:c>
      <x:c r="F465" s="11" t="n">
        <x:v>7400</x:v>
      </x:c>
      <x:c r="G465" s="11" t="n">
        <x:f>'Option source'!B766</x:f>
        <x:v>279.23</x:v>
      </x:c>
      <x:c r="H465" s="11" t="n">
        <x:f>'Option source'!B785</x:f>
        <x:v>369.17</x:v>
      </x:c>
      <x:c r="I465" s="11" t="n">
        <x:f>'Option source'!B804</x:f>
        <x:v>480.11</x:v>
      </x:c>
      <x:c r="J465" s="11" t="n">
        <x:f>G465-2*H465+IF(B465="Butterfly",I465,0)</x:f>
        <x:v>21</x:v>
      </x:c>
      <x:c r="K465" s="11" t="n">
        <x:f>ABS(E465-D465)</x:f>
        <x:v>200</x:v>
      </x:c>
      <x:c r="L465" s="11" t="n">
        <x:f>K465-J465</x:f>
        <x:v>179</x:v>
      </x:c>
      <x:c r="M465" s="11" t="n">
        <x:f>IF(B465="Butterfly",MAX(J465,0),IF(C465="call","Unlimited",MAX(2*E465-D465+J465,J465,0)))</x:f>
        <x:v>21</x:v>
      </x:c>
      <x:c r="N465" s="11" t="n">
        <x:f>IF(B465="Butterfly",IF(AND(J465&gt;0,J465&lt;K465),D465+J465,"n.a."),IF(C465="call",IF(AND(J465&gt;0,J465&lt;K465),D465+J465,"n.a."),IF(AND(K465&gt;J465,2*E465-D465+J465&gt;=0),2*E465-D465+J465,"n.a.")))</x:f>
        <x:v>7021</x:v>
      </x:c>
      <x:c r="O465" s="11" t="n">
        <x:f>IF(B465="Butterfly",IF(AND(J465&gt;0,J465&lt;K465),F465-J465,"n.a."),IF(C465="call",IF(K465&gt;J465,2*E465-D465-J465,"n.a."),IF(AND(J465&gt;0,J465&lt;K465),D465-J465,"n.a.")))</x:f>
        <x:v>7379</x:v>
      </x:c>
      <x:c r="P465" s="19" t="n">
        <x:f>IF(AND(B465="Butterfly",J465&gt;0,J465&lt;K465),L465/J465,"n.a.")</x:f>
        <x:v>8.523809523809524</x:v>
      </x:c>
      <x:c r="Q465" s="11" t="n">
        <x:f>J465*'Model inputs'!$B$8</x:f>
        <x:v>2100</x:v>
      </x:c>
      <x:c r="R465" s="1" t="str">
        <x:v>Indicative only</x:v>
      </x:c>
      <x:c r="S465" s="1" t="n">
        <x:v>761</x:v>
      </x:c>
      <x:c r="T465" s="1" t="n">
        <x:v>780</x:v>
      </x:c>
    </x:row>
    <x:row r="466" ht="21" customHeight="1">
      <x:c r="A466" s="12" t="n">
        <x:v>46274</x:v>
      </x:c>
      <x:c r="B466" s="1" t="str">
        <x:v>Butterfly</x:v>
      </x:c>
      <x:c r="C466" s="1" t="str">
        <x:v>call</x:v>
      </x:c>
      <x:c r="D466" s="11" t="n">
        <x:v>6600</x:v>
      </x:c>
      <x:c r="E466" s="11" t="n">
        <x:v>6800</x:v>
      </x:c>
      <x:c r="F466" s="11" t="n">
        <x:v>7000</x:v>
      </x:c>
      <x:c r="G466" s="11" t="n">
        <x:f>'Option source'!B234</x:f>
        <x:v>773.75</x:v>
      </x:c>
      <x:c r="H466" s="11" t="n">
        <x:f>'Option source'!B253</x:f>
        <x:v>630.86</x:v>
      </x:c>
      <x:c r="I466" s="11" t="n">
        <x:f>'Option source'!B272</x:f>
        <x:v>521.43</x:v>
      </x:c>
      <x:c r="J466" s="11" t="n">
        <x:f>G466-2*H466+IF(B466="Butterfly",I466,0)</x:f>
        <x:v>33.45999999999992</x:v>
      </x:c>
      <x:c r="K466" s="11" t="n">
        <x:f>ABS(E466-D466)</x:f>
        <x:v>200</x:v>
      </x:c>
      <x:c r="L466" s="11" t="n">
        <x:f>K466-J466</x:f>
        <x:v>166.54000000000008</x:v>
      </x:c>
      <x:c r="M466" s="11" t="n">
        <x:f>IF(B466="Butterfly",MAX(J466,0),IF(C466="call","Unlimited",MAX(2*E466-D466+J466,J466,0)))</x:f>
        <x:v>33.45999999999992</x:v>
      </x:c>
      <x:c r="N466" s="11" t="n">
        <x:f>IF(B466="Butterfly",IF(AND(J466&gt;0,J466&lt;K466),D466+J466,"n.a."),IF(C466="call",IF(AND(J466&gt;0,J466&lt;K466),D466+J466,"n.a."),IF(AND(K466&gt;J466,2*E466-D466+J466&gt;=0),2*E466-D466+J466,"n.a.")))</x:f>
        <x:v>6633.46</x:v>
      </x:c>
      <x:c r="O466" s="11" t="n">
        <x:f>IF(B466="Butterfly",IF(AND(J466&gt;0,J466&lt;K466),F466-J466,"n.a."),IF(C466="call",IF(K466&gt;J466,2*E466-D466-J466,"n.a."),IF(AND(J466&gt;0,J466&lt;K466),D466-J466,"n.a.")))</x:f>
        <x:v>6966.54</x:v>
      </x:c>
      <x:c r="P466" s="19" t="n">
        <x:f>IF(AND(B466="Butterfly",J466&gt;0,J466&lt;K466),L466/J466,"n.a.")</x:f>
        <x:v>4.97728631201436</x:v>
      </x:c>
      <x:c r="Q466" s="11" t="n">
        <x:f>J466*'Model inputs'!$B$8</x:f>
        <x:v>3345.9999999999923</x:v>
      </x:c>
      <x:c r="R466" s="1" t="str">
        <x:v>Indicative only</x:v>
      </x:c>
      <x:c r="S466" s="1" t="n">
        <x:v>229</x:v>
      </x:c>
      <x:c r="T466" s="1" t="n">
        <x:v>248</x:v>
      </x:c>
    </x:row>
    <x:row r="467" ht="21" customHeight="1">
      <x:c r="A467" s="12" t="n">
        <x:v>46274</x:v>
      </x:c>
      <x:c r="B467" s="1" t="str">
        <x:v>Butterfly</x:v>
      </x:c>
      <x:c r="C467" s="1" t="str">
        <x:v>put</x:v>
      </x:c>
      <x:c r="D467" s="11" t="n">
        <x:v>6600</x:v>
      </x:c>
      <x:c r="E467" s="11" t="n">
        <x:v>6800</x:v>
      </x:c>
      <x:c r="F467" s="11" t="n">
        <x:v>7000</x:v>
      </x:c>
      <x:c r="G467" s="11" t="n">
        <x:f>'Option source'!B728</x:f>
        <x:v>133.95</x:v>
      </x:c>
      <x:c r="H467" s="11" t="n">
        <x:f>'Option source'!B747</x:f>
        <x:v>195.89</x:v>
      </x:c>
      <x:c r="I467" s="11" t="n">
        <x:f>'Option source'!B766</x:f>
        <x:v>279.23</x:v>
      </x:c>
      <x:c r="J467" s="11" t="n">
        <x:f>G467-2*H467+IF(B467="Butterfly",I467,0)</x:f>
        <x:v>21.400000000000034</x:v>
      </x:c>
      <x:c r="K467" s="11" t="n">
        <x:f>ABS(E467-D467)</x:f>
        <x:v>200</x:v>
      </x:c>
      <x:c r="L467" s="11" t="n">
        <x:f>K467-J467</x:f>
        <x:v>178.59999999999997</x:v>
      </x:c>
      <x:c r="M467" s="11" t="n">
        <x:f>IF(B467="Butterfly",MAX(J467,0),IF(C467="call","Unlimited",MAX(2*E467-D467+J467,J467,0)))</x:f>
        <x:v>21.400000000000034</x:v>
      </x:c>
      <x:c r="N467" s="11" t="n">
        <x:f>IF(B467="Butterfly",IF(AND(J467&gt;0,J467&lt;K467),D467+J467,"n.a."),IF(C467="call",IF(AND(J467&gt;0,J467&lt;K467),D467+J467,"n.a."),IF(AND(K467&gt;J467,2*E467-D467+J467&gt;=0),2*E467-D467+J467,"n.a.")))</x:f>
        <x:v>6621.4</x:v>
      </x:c>
      <x:c r="O467" s="11" t="n">
        <x:f>IF(B467="Butterfly",IF(AND(J467&gt;0,J467&lt;K467),F467-J467,"n.a."),IF(C467="call",IF(K467&gt;J467,2*E467-D467-J467,"n.a."),IF(AND(J467&gt;0,J467&lt;K467),D467-J467,"n.a.")))</x:f>
        <x:v>6978.6</x:v>
      </x:c>
      <x:c r="P467" s="19" t="n">
        <x:f>IF(AND(B467="Butterfly",J467&gt;0,J467&lt;K467),L467/J467,"n.a.")</x:f>
        <x:v>8.34579439252335</x:v>
      </x:c>
      <x:c r="Q467" s="11" t="n">
        <x:f>J467*'Model inputs'!$B$8</x:f>
        <x:v>2140.0000000000036</x:v>
      </x:c>
      <x:c r="R467" s="1" t="str">
        <x:v>Indicative only</x:v>
      </x:c>
      <x:c r="S467" s="1" t="n">
        <x:v>723</x:v>
      </x:c>
      <x:c r="T467" s="1" t="n">
        <x:v>742</x:v>
      </x:c>
    </x:row>
    <x:row r="468" ht="21" customHeight="1">
      <x:c r="A468" s="12" t="n">
        <x:v>46274</x:v>
      </x:c>
      <x:c r="B468" s="1" t="str">
        <x:v>Butterfly</x:v>
      </x:c>
      <x:c r="C468" s="1" t="str">
        <x:v>call</x:v>
      </x:c>
      <x:c r="D468" s="11" t="n">
        <x:v>7200</x:v>
      </x:c>
      <x:c r="E468" s="11" t="n">
        <x:v>7400</x:v>
      </x:c>
      <x:c r="F468" s="11" t="n">
        <x:v>7600</x:v>
      </x:c>
      <x:c r="G468" s="11" t="n">
        <x:f>'Option source'!B291</x:f>
        <x:v>418.29</x:v>
      </x:c>
      <x:c r="H468" s="11" t="n">
        <x:f>'Option source'!B310</x:f>
        <x:v>324.41</x:v>
      </x:c>
      <x:c r="I468" s="11" t="n">
        <x:f>'Option source'!B329</x:f>
        <x:v>247.27</x:v>
      </x:c>
      <x:c r="J468" s="11" t="n">
        <x:f>G468-2*H468+IF(B468="Butterfly",I468,0)</x:f>
        <x:v>16.73999999999998</x:v>
      </x:c>
      <x:c r="K468" s="11" t="n">
        <x:f>ABS(E468-D468)</x:f>
        <x:v>200</x:v>
      </x:c>
      <x:c r="L468" s="11" t="n">
        <x:f>K468-J468</x:f>
        <x:v>183.26000000000002</x:v>
      </x:c>
      <x:c r="M468" s="11" t="n">
        <x:f>IF(B468="Butterfly",MAX(J468,0),IF(C468="call","Unlimited",MAX(2*E468-D468+J468,J468,0)))</x:f>
        <x:v>16.73999999999998</x:v>
      </x:c>
      <x:c r="N468" s="11" t="n">
        <x:f>IF(B468="Butterfly",IF(AND(J468&gt;0,J468&lt;K468),D468+J468,"n.a."),IF(C468="call",IF(AND(J468&gt;0,J468&lt;K468),D468+J468,"n.a."),IF(AND(K468&gt;J468,2*E468-D468+J468&gt;=0),2*E468-D468+J468,"n.a.")))</x:f>
        <x:v>7216.74</x:v>
      </x:c>
      <x:c r="O468" s="11" t="n">
        <x:f>IF(B468="Butterfly",IF(AND(J468&gt;0,J468&lt;K468),F468-J468,"n.a."),IF(C468="call",IF(K468&gt;J468,2*E468-D468-J468,"n.a."),IF(AND(J468&gt;0,J468&lt;K468),D468-J468,"n.a.")))</x:f>
        <x:v>7583.26</x:v>
      </x:c>
      <x:c r="P468" s="19" t="n">
        <x:f>IF(AND(B468="Butterfly",J468&gt;0,J468&lt;K468),L468/J468,"n.a.")</x:f>
        <x:v>10.947431302270026</x:v>
      </x:c>
      <x:c r="Q468" s="11" t="n">
        <x:f>J468*'Model inputs'!$B$8</x:f>
        <x:v>1673.9999999999982</x:v>
      </x:c>
      <x:c r="R468" s="1" t="str">
        <x:v>Indicative only</x:v>
      </x:c>
      <x:c r="S468" s="1" t="n">
        <x:v>286</x:v>
      </x:c>
      <x:c r="T468" s="1" t="n">
        <x:v>305</x:v>
      </x:c>
    </x:row>
    <x:row r="469" ht="21" customHeight="1">
      <x:c r="A469" s="12" t="n">
        <x:v>46274</x:v>
      </x:c>
      <x:c r="B469" s="1" t="str">
        <x:v>Butterfly</x:v>
      </x:c>
      <x:c r="C469" s="1" t="str">
        <x:v>put</x:v>
      </x:c>
      <x:c r="D469" s="11" t="n">
        <x:v>7200</x:v>
      </x:c>
      <x:c r="E469" s="11" t="n">
        <x:v>7400</x:v>
      </x:c>
      <x:c r="F469" s="11" t="n">
        <x:v>7600</x:v>
      </x:c>
      <x:c r="G469" s="11" t="n">
        <x:f>'Option source'!B785</x:f>
        <x:v>369.17</x:v>
      </x:c>
      <x:c r="H469" s="11" t="n">
        <x:f>'Option source'!B804</x:f>
        <x:v>480.11</x:v>
      </x:c>
      <x:c r="I469" s="11" t="n">
        <x:f>'Option source'!B823</x:f>
        <x:v>593.01</x:v>
      </x:c>
      <x:c r="J469" s="11" t="n">
        <x:f>G469-2*H469+IF(B469="Butterfly",I469,0)</x:f>
        <x:v>1.9600000000000364</x:v>
      </x:c>
      <x:c r="K469" s="11" t="n">
        <x:f>ABS(E469-D469)</x:f>
        <x:v>200</x:v>
      </x:c>
      <x:c r="L469" s="11" t="n">
        <x:f>K469-J469</x:f>
        <x:v>198.03999999999996</x:v>
      </x:c>
      <x:c r="M469" s="11" t="n">
        <x:f>IF(B469="Butterfly",MAX(J469,0),IF(C469="call","Unlimited",MAX(2*E469-D469+J469,J469,0)))</x:f>
        <x:v>1.9600000000000364</x:v>
      </x:c>
      <x:c r="N469" s="11" t="n">
        <x:f>IF(B469="Butterfly",IF(AND(J469&gt;0,J469&lt;K469),D469+J469,"n.a."),IF(C469="call",IF(AND(J469&gt;0,J469&lt;K469),D469+J469,"n.a."),IF(AND(K469&gt;J469,2*E469-D469+J469&gt;=0),2*E469-D469+J469,"n.a.")))</x:f>
        <x:v>7201.96</x:v>
      </x:c>
      <x:c r="O469" s="11" t="n">
        <x:f>IF(B469="Butterfly",IF(AND(J469&gt;0,J469&lt;K469),F469-J469,"n.a."),IF(C469="call",IF(K469&gt;J469,2*E469-D469-J469,"n.a."),IF(AND(J469&gt;0,J469&lt;K469),D469-J469,"n.a.")))</x:f>
        <x:v>7598.04</x:v>
      </x:c>
      <x:c r="P469" s="19" t="n">
        <x:f>IF(AND(B469="Butterfly",J469&gt;0,J469&lt;K469),L469/J469,"n.a.")</x:f>
        <x:v>101.04081632652871</x:v>
      </x:c>
      <x:c r="Q469" s="11" t="n">
        <x:f>J469*'Model inputs'!$B$8</x:f>
        <x:v>196.00000000000364</x:v>
      </x:c>
      <x:c r="R469" s="1" t="str">
        <x:v>Indicative only</x:v>
      </x:c>
      <x:c r="S469" s="1" t="n">
        <x:v>780</x:v>
      </x:c>
      <x:c r="T469" s="1" t="n">
        <x:v>799</x:v>
      </x:c>
    </x:row>
    <x:row r="470" ht="21" customHeight="1">
      <x:c r="A470" s="12" t="n">
        <x:v>46274</x:v>
      </x:c>
      <x:c r="B470" s="1" t="str">
        <x:v>Butterfly</x:v>
      </x:c>
      <x:c r="C470" s="1" t="str">
        <x:v>put</x:v>
      </x:c>
      <x:c r="D470" s="11" t="n">
        <x:v>6400</x:v>
      </x:c>
      <x:c r="E470" s="11" t="n">
        <x:v>6600</x:v>
      </x:c>
      <x:c r="F470" s="11" t="n">
        <x:v>6800</x:v>
      </x:c>
      <x:c r="G470" s="11" t="n">
        <x:f>'Option source'!B709</x:f>
        <x:v>89.43</x:v>
      </x:c>
      <x:c r="H470" s="11" t="n">
        <x:f>'Option source'!B728</x:f>
        <x:v>133.95</x:v>
      </x:c>
      <x:c r="I470" s="11" t="n">
        <x:f>'Option source'!B747</x:f>
        <x:v>195.89</x:v>
      </x:c>
      <x:c r="J470" s="11" t="n">
        <x:f>G470-2*H470+IF(B470="Butterfly",I470,0)</x:f>
        <x:v>17.420000000000016</x:v>
      </x:c>
      <x:c r="K470" s="11" t="n">
        <x:f>ABS(E470-D470)</x:f>
        <x:v>200</x:v>
      </x:c>
      <x:c r="L470" s="11" t="n">
        <x:f>K470-J470</x:f>
        <x:v>182.57999999999998</x:v>
      </x:c>
      <x:c r="M470" s="11" t="n">
        <x:f>IF(B470="Butterfly",MAX(J470,0),IF(C470="call","Unlimited",MAX(2*E470-D470+J470,J470,0)))</x:f>
        <x:v>17.420000000000016</x:v>
      </x:c>
      <x:c r="N470" s="11" t="n">
        <x:f>IF(B470="Butterfly",IF(AND(J470&gt;0,J470&lt;K470),D470+J470,"n.a."),IF(C470="call",IF(AND(J470&gt;0,J470&lt;K470),D470+J470,"n.a."),IF(AND(K470&gt;J470,2*E470-D470+J470&gt;=0),2*E470-D470+J470,"n.a.")))</x:f>
        <x:v>6417.42</x:v>
      </x:c>
      <x:c r="O470" s="11" t="n">
        <x:f>IF(B470="Butterfly",IF(AND(J470&gt;0,J470&lt;K470),F470-J470,"n.a."),IF(C470="call",IF(K470&gt;J470,2*E470-D470-J470,"n.a."),IF(AND(J470&gt;0,J470&lt;K470),D470-J470,"n.a.")))</x:f>
        <x:v>6782.58</x:v>
      </x:c>
      <x:c r="P470" s="19" t="n">
        <x:f>IF(AND(B470="Butterfly",J470&gt;0,J470&lt;K470),L470/J470,"n.a.")</x:f>
        <x:v>10.48105625717565</x:v>
      </x:c>
      <x:c r="Q470" s="11" t="n">
        <x:f>J470*'Model inputs'!$B$8</x:f>
        <x:v>1742.0000000000016</x:v>
      </x:c>
      <x:c r="R470" s="1" t="str">
        <x:v>Indicative only</x:v>
      </x:c>
      <x:c r="S470" s="1" t="n">
        <x:v>704</x:v>
      </x:c>
      <x:c r="T470" s="1" t="n">
        <x:v>723</x:v>
      </x:c>
    </x:row>
    <x:row r="471" ht="21" customHeight="1">
      <x:c r="A471" s="12" t="n">
        <x:v>46274</x:v>
      </x:c>
      <x:c r="B471" s="1" t="str">
        <x:v>Butterfly</x:v>
      </x:c>
      <x:c r="C471" s="1" t="str">
        <x:v>call</x:v>
      </x:c>
      <x:c r="D471" s="11" t="n">
        <x:v>7400</x:v>
      </x:c>
      <x:c r="E471" s="11" t="n">
        <x:v>7600</x:v>
      </x:c>
      <x:c r="F471" s="11" t="n">
        <x:v>7800</x:v>
      </x:c>
      <x:c r="G471" s="11" t="n">
        <x:f>'Option source'!B310</x:f>
        <x:v>324.41</x:v>
      </x:c>
      <x:c r="H471" s="11" t="n">
        <x:f>'Option source'!B329</x:f>
        <x:v>247.27</x:v>
      </x:c>
      <x:c r="I471" s="11" t="n">
        <x:f>'Option source'!B348</x:f>
        <x:v>187.56</x:v>
      </x:c>
      <x:c r="J471" s="11" t="n">
        <x:f>G471-2*H471+IF(B471="Butterfly",I471,0)</x:f>
        <x:v>17.430000000000007</x:v>
      </x:c>
      <x:c r="K471" s="11" t="n">
        <x:f>ABS(E471-D471)</x:f>
        <x:v>200</x:v>
      </x:c>
      <x:c r="L471" s="11" t="n">
        <x:f>K471-J471</x:f>
        <x:v>182.57</x:v>
      </x:c>
      <x:c r="M471" s="11" t="n">
        <x:f>IF(B471="Butterfly",MAX(J471,0),IF(C471="call","Unlimited",MAX(2*E471-D471+J471,J471,0)))</x:f>
        <x:v>17.430000000000007</x:v>
      </x:c>
      <x:c r="N471" s="11" t="n">
        <x:f>IF(B471="Butterfly",IF(AND(J471&gt;0,J471&lt;K471),D471+J471,"n.a."),IF(C471="call",IF(AND(J471&gt;0,J471&lt;K471),D471+J471,"n.a."),IF(AND(K471&gt;J471,2*E471-D471+J471&gt;=0),2*E471-D471+J471,"n.a.")))</x:f>
        <x:v>7417.43</x:v>
      </x:c>
      <x:c r="O471" s="11" t="n">
        <x:f>IF(B471="Butterfly",IF(AND(J471&gt;0,J471&lt;K471),F471-J471,"n.a."),IF(C471="call",IF(K471&gt;J471,2*E471-D471-J471,"n.a."),IF(AND(J471&gt;0,J471&lt;K471),D471-J471,"n.a.")))</x:f>
        <x:v>7782.57</x:v>
      </x:c>
      <x:c r="P471" s="19" t="n">
        <x:f>IF(AND(B471="Butterfly",J471&gt;0,J471&lt;K471),L471/J471,"n.a.")</x:f>
        <x:v>10.474469305794603</x:v>
      </x:c>
      <x:c r="Q471" s="11" t="n">
        <x:f>J471*'Model inputs'!$B$8</x:f>
        <x:v>1743.0000000000007</x:v>
      </x:c>
      <x:c r="R471" s="1" t="str">
        <x:v>Indicative only</x:v>
      </x:c>
      <x:c r="S471" s="1" t="n">
        <x:v>305</x:v>
      </x:c>
      <x:c r="T471" s="1" t="n">
        <x:v>324</x:v>
      </x:c>
    </x:row>
    <x:row r="472" ht="21" customHeight="1">
      <x:c r="A472" s="12" t="n">
        <x:v>46274</x:v>
      </x:c>
      <x:c r="B472" s="1" t="str">
        <x:v>Butterfly</x:v>
      </x:c>
      <x:c r="C472" s="1" t="str">
        <x:v>put</x:v>
      </x:c>
      <x:c r="D472" s="11" t="n">
        <x:v>6200</x:v>
      </x:c>
      <x:c r="E472" s="11" t="n">
        <x:v>6400</x:v>
      </x:c>
      <x:c r="F472" s="11" t="n">
        <x:v>6600</x:v>
      </x:c>
      <x:c r="G472" s="11" t="n">
        <x:f>'Option source'!B690</x:f>
        <x:v>55.42</x:v>
      </x:c>
      <x:c r="H472" s="11" t="n">
        <x:f>'Option source'!B709</x:f>
        <x:v>89.43</x:v>
      </x:c>
      <x:c r="I472" s="11" t="n">
        <x:f>'Option source'!B728</x:f>
        <x:v>133.95</x:v>
      </x:c>
      <x:c r="J472" s="11" t="n">
        <x:f>G472-2*H472+IF(B472="Butterfly",I472,0)</x:f>
        <x:v>10.509999999999977</x:v>
      </x:c>
      <x:c r="K472" s="11" t="n">
        <x:f>ABS(E472-D472)</x:f>
        <x:v>200</x:v>
      </x:c>
      <x:c r="L472" s="11" t="n">
        <x:f>K472-J472</x:f>
        <x:v>189.49</x:v>
      </x:c>
      <x:c r="M472" s="11" t="n">
        <x:f>IF(B472="Butterfly",MAX(J472,0),IF(C472="call","Unlimited",MAX(2*E472-D472+J472,J472,0)))</x:f>
        <x:v>10.509999999999977</x:v>
      </x:c>
      <x:c r="N472" s="11" t="n">
        <x:f>IF(B472="Butterfly",IF(AND(J472&gt;0,J472&lt;K472),D472+J472,"n.a."),IF(C472="call",IF(AND(J472&gt;0,J472&lt;K472),D472+J472,"n.a."),IF(AND(K472&gt;J472,2*E472-D472+J472&gt;=0),2*E472-D472+J472,"n.a.")))</x:f>
        <x:v>6210.51</x:v>
      </x:c>
      <x:c r="O472" s="11" t="n">
        <x:f>IF(B472="Butterfly",IF(AND(J472&gt;0,J472&lt;K472),F472-J472,"n.a."),IF(C472="call",IF(K472&gt;J472,2*E472-D472-J472,"n.a."),IF(AND(J472&gt;0,J472&lt;K472),D472-J472,"n.a.")))</x:f>
        <x:v>6589.49</x:v>
      </x:c>
      <x:c r="P472" s="19" t="n">
        <x:f>IF(AND(B472="Butterfly",J472&gt;0,J472&lt;K472),L472/J472,"n.a.")</x:f>
        <x:v>18.029495718363503</x:v>
      </x:c>
      <x:c r="Q472" s="11" t="n">
        <x:f>J472*'Model inputs'!$B$8</x:f>
        <x:v>1050.9999999999977</x:v>
      </x:c>
      <x:c r="R472" s="1" t="str">
        <x:v>Indicative only</x:v>
      </x:c>
      <x:c r="S472" s="1" t="n">
        <x:v>685</x:v>
      </x:c>
      <x:c r="T472" s="1" t="n">
        <x:v>704</x:v>
      </x:c>
    </x:row>
    <x:row r="473" ht="21" customHeight="1">
      <x:c r="A473" s="12" t="n">
        <x:v>46274</x:v>
      </x:c>
      <x:c r="B473" s="1" t="str">
        <x:v>Butterfly</x:v>
      </x:c>
      <x:c r="C473" s="1" t="str">
        <x:v>call</x:v>
      </x:c>
      <x:c r="D473" s="11" t="n">
        <x:v>7600</x:v>
      </x:c>
      <x:c r="E473" s="11" t="n">
        <x:v>7800</x:v>
      </x:c>
      <x:c r="F473" s="11" t="n">
        <x:v>8000</x:v>
      </x:c>
      <x:c r="G473" s="11" t="n">
        <x:f>'Option source'!B329</x:f>
        <x:v>247.27</x:v>
      </x:c>
      <x:c r="H473" s="11" t="n">
        <x:f>'Option source'!B348</x:f>
        <x:v>187.56</x:v>
      </x:c>
      <x:c r="I473" s="11" t="n">
        <x:f>'Option source'!B367</x:f>
        <x:v>141.05</x:v>
      </x:c>
      <x:c r="J473" s="11" t="n">
        <x:f>G473-2*H473+IF(B473="Butterfly",I473,0)</x:f>
        <x:v>13.200000000000017</x:v>
      </x:c>
      <x:c r="K473" s="11" t="n">
        <x:f>ABS(E473-D473)</x:f>
        <x:v>200</x:v>
      </x:c>
      <x:c r="L473" s="11" t="n">
        <x:f>K473-J473</x:f>
        <x:v>186.79999999999998</x:v>
      </x:c>
      <x:c r="M473" s="11" t="n">
        <x:f>IF(B473="Butterfly",MAX(J473,0),IF(C473="call","Unlimited",MAX(2*E473-D473+J473,J473,0)))</x:f>
        <x:v>13.200000000000017</x:v>
      </x:c>
      <x:c r="N473" s="11" t="n">
        <x:f>IF(B473="Butterfly",IF(AND(J473&gt;0,J473&lt;K473),D473+J473,"n.a."),IF(C473="call",IF(AND(J473&gt;0,J473&lt;K473),D473+J473,"n.a."),IF(AND(K473&gt;J473,2*E473-D473+J473&gt;=0),2*E473-D473+J473,"n.a.")))</x:f>
        <x:v>7613.2</x:v>
      </x:c>
      <x:c r="O473" s="11" t="n">
        <x:f>IF(B473="Butterfly",IF(AND(J473&gt;0,J473&lt;K473),F473-J473,"n.a."),IF(C473="call",IF(K473&gt;J473,2*E473-D473-J473,"n.a."),IF(AND(J473&gt;0,J473&lt;K473),D473-J473,"n.a.")))</x:f>
        <x:v>7986.8</x:v>
      </x:c>
      <x:c r="P473" s="19" t="n">
        <x:f>IF(AND(B473="Butterfly",J473&gt;0,J473&lt;K473),L473/J473,"n.a.")</x:f>
        <x:v>14.151515151515133</x:v>
      </x:c>
      <x:c r="Q473" s="11" t="n">
        <x:f>J473*'Model inputs'!$B$8</x:f>
        <x:v>1320.0000000000018</x:v>
      </x:c>
      <x:c r="R473" s="1" t="str">
        <x:v>Indicative only</x:v>
      </x:c>
      <x:c r="S473" s="1" t="n">
        <x:v>324</x:v>
      </x:c>
      <x:c r="T473" s="1" t="n">
        <x:v>343</x:v>
      </x:c>
    </x:row>
    <x:row r="474" ht="21" customHeight="1">
      <x:c r="A474" s="12" t="n">
        <x:v>46274</x:v>
      </x:c>
      <x:c r="B474" s="1" t="str">
        <x:v>Butterfly</x:v>
      </x:c>
      <x:c r="C474" s="1" t="str">
        <x:v>put</x:v>
      </x:c>
      <x:c r="D474" s="11" t="n">
        <x:v>6000</x:v>
      </x:c>
      <x:c r="E474" s="11" t="n">
        <x:v>6200</x:v>
      </x:c>
      <x:c r="F474" s="11" t="n">
        <x:v>6400</x:v>
      </x:c>
      <x:c r="G474" s="11" t="n">
        <x:f>'Option source'!B671</x:f>
        <x:v>32.38</x:v>
      </x:c>
      <x:c r="H474" s="11" t="n">
        <x:f>'Option source'!B690</x:f>
        <x:v>55.42</x:v>
      </x:c>
      <x:c r="I474" s="11" t="n">
        <x:f>'Option source'!B709</x:f>
        <x:v>89.43</x:v>
      </x:c>
      <x:c r="J474" s="11" t="n">
        <x:f>G474-2*H474+IF(B474="Butterfly",I474,0)</x:f>
        <x:v>10.969999999999999</x:v>
      </x:c>
      <x:c r="K474" s="11" t="n">
        <x:f>ABS(E474-D474)</x:f>
        <x:v>200</x:v>
      </x:c>
      <x:c r="L474" s="11" t="n">
        <x:f>K474-J474</x:f>
        <x:v>189.03</x:v>
      </x:c>
      <x:c r="M474" s="11" t="n">
        <x:f>IF(B474="Butterfly",MAX(J474,0),IF(C474="call","Unlimited",MAX(2*E474-D474+J474,J474,0)))</x:f>
        <x:v>10.969999999999999</x:v>
      </x:c>
      <x:c r="N474" s="11" t="n">
        <x:f>IF(B474="Butterfly",IF(AND(J474&gt;0,J474&lt;K474),D474+J474,"n.a."),IF(C474="call",IF(AND(J474&gt;0,J474&lt;K474),D474+J474,"n.a."),IF(AND(K474&gt;J474,2*E474-D474+J474&gt;=0),2*E474-D474+J474,"n.a.")))</x:f>
        <x:v>6010.97</x:v>
      </x:c>
      <x:c r="O474" s="11" t="n">
        <x:f>IF(B474="Butterfly",IF(AND(J474&gt;0,J474&lt;K474),F474-J474,"n.a."),IF(C474="call",IF(K474&gt;J474,2*E474-D474-J474,"n.a."),IF(AND(J474&gt;0,J474&lt;K474),D474-J474,"n.a.")))</x:f>
        <x:v>6389.03</x:v>
      </x:c>
      <x:c r="P474" s="19" t="n">
        <x:f>IF(AND(B474="Butterfly",J474&gt;0,J474&lt;K474),L474/J474,"n.a.")</x:f>
        <x:v>17.23154056517776</x:v>
      </x:c>
      <x:c r="Q474" s="11" t="n">
        <x:f>J474*'Model inputs'!$B$8</x:f>
        <x:v>1097</x:v>
      </x:c>
      <x:c r="R474" s="1" t="str">
        <x:v>Indicative only</x:v>
      </x:c>
      <x:c r="S474" s="1" t="n">
        <x:v>666</x:v>
      </x:c>
      <x:c r="T474" s="1" t="n">
        <x:v>685</x:v>
      </x:c>
    </x:row>
    <x:row r="475" ht="21" customHeight="1">
      <x:c r="A475" s="12" t="n">
        <x:v>46274</x:v>
      </x:c>
      <x:c r="B475" s="1" t="str">
        <x:v>Butterfly</x:v>
      </x:c>
      <x:c r="C475" s="1" t="str">
        <x:v>put</x:v>
      </x:c>
      <x:c r="D475" s="11" t="n">
        <x:v>5800</x:v>
      </x:c>
      <x:c r="E475" s="11" t="n">
        <x:v>6000</x:v>
      </x:c>
      <x:c r="F475" s="11" t="n">
        <x:v>6200</x:v>
      </x:c>
      <x:c r="G475" s="11" t="n">
        <x:f>'Option source'!B652</x:f>
        <x:v>18.33</x:v>
      </x:c>
      <x:c r="H475" s="11" t="n">
        <x:f>'Option source'!B671</x:f>
        <x:v>32.38</x:v>
      </x:c>
      <x:c r="I475" s="11" t="n">
        <x:f>'Option source'!B690</x:f>
        <x:v>55.42</x:v>
      </x:c>
      <x:c r="J475" s="11" t="n">
        <x:f>G475-2*H475+IF(B475="Butterfly",I475,0)</x:f>
        <x:v>8.989999999999995</x:v>
      </x:c>
      <x:c r="K475" s="11" t="n">
        <x:f>ABS(E475-D475)</x:f>
        <x:v>200</x:v>
      </x:c>
      <x:c r="L475" s="11" t="n">
        <x:f>K475-J475</x:f>
        <x:v>191.01</x:v>
      </x:c>
      <x:c r="M475" s="11" t="n">
        <x:f>IF(B475="Butterfly",MAX(J475,0),IF(C475="call","Unlimited",MAX(2*E475-D475+J475,J475,0)))</x:f>
        <x:v>8.989999999999995</x:v>
      </x:c>
      <x:c r="N475" s="11" t="n">
        <x:f>IF(B475="Butterfly",IF(AND(J475&gt;0,J475&lt;K475),D475+J475,"n.a."),IF(C475="call",IF(AND(J475&gt;0,J475&lt;K475),D475+J475,"n.a."),IF(AND(K475&gt;J475,2*E475-D475+J475&gt;=0),2*E475-D475+J475,"n.a.")))</x:f>
        <x:v>5808.99</x:v>
      </x:c>
      <x:c r="O475" s="11" t="n">
        <x:f>IF(B475="Butterfly",IF(AND(J475&gt;0,J475&lt;K475),F475-J475,"n.a."),IF(C475="call",IF(K475&gt;J475,2*E475-D475-J475,"n.a."),IF(AND(J475&gt;0,J475&lt;K475),D475-J475,"n.a.")))</x:f>
        <x:v>6191.01</x:v>
      </x:c>
      <x:c r="P475" s="19" t="n">
        <x:f>IF(AND(B475="Butterfly",J475&gt;0,J475&lt;K475),L475/J475,"n.a.")</x:f>
        <x:v>21.246941045606242</x:v>
      </x:c>
      <x:c r="Q475" s="11" t="n">
        <x:f>J475*'Model inputs'!$B$8</x:f>
        <x:v>898.9999999999995</x:v>
      </x:c>
      <x:c r="R475" s="1" t="str">
        <x:v>Indicative only</x:v>
      </x:c>
      <x:c r="S475" s="1" t="n">
        <x:v>647</x:v>
      </x:c>
      <x:c r="T475" s="1" t="n">
        <x:v>666</x:v>
      </x:c>
    </x:row>
    <x:row r="476" ht="21" customHeight="1">
      <x:c r="A476" s="12" t="n">
        <x:v>46274</x:v>
      </x:c>
      <x:c r="B476" s="1" t="str">
        <x:v>Butterfly</x:v>
      </x:c>
      <x:c r="C476" s="1" t="str">
        <x:v>call</x:v>
      </x:c>
      <x:c r="D476" s="11" t="n">
        <x:v>8000</x:v>
      </x:c>
      <x:c r="E476" s="11" t="n">
        <x:v>8300</x:v>
      </x:c>
      <x:c r="F476" s="11" t="n">
        <x:v>8600</x:v>
      </x:c>
      <x:c r="G476" s="11" t="n">
        <x:f>'Option source'!B367</x:f>
        <x:v>141.05</x:v>
      </x:c>
      <x:c r="H476" s="11" t="n">
        <x:f>'Option source'!B386</x:f>
        <x:v>88.96</x:v>
      </x:c>
      <x:c r="I476" s="11" t="n">
        <x:f>'Option source'!B405</x:f>
        <x:v>53.35</x:v>
      </x:c>
      <x:c r="J476" s="11" t="n">
        <x:f>G476-2*H476+IF(B476="Butterfly",I476,0)</x:f>
        <x:v>16.480000000000025</x:v>
      </x:c>
      <x:c r="K476" s="11" t="n">
        <x:f>ABS(E476-D476)</x:f>
        <x:v>300</x:v>
      </x:c>
      <x:c r="L476" s="11" t="n">
        <x:f>K476-J476</x:f>
        <x:v>283.52</x:v>
      </x:c>
      <x:c r="M476" s="11" t="n">
        <x:f>IF(B476="Butterfly",MAX(J476,0),IF(C476="call","Unlimited",MAX(2*E476-D476+J476,J476,0)))</x:f>
        <x:v>16.480000000000025</x:v>
      </x:c>
      <x:c r="N476" s="11" t="n">
        <x:f>IF(B476="Butterfly",IF(AND(J476&gt;0,J476&lt;K476),D476+J476,"n.a."),IF(C476="call",IF(AND(J476&gt;0,J476&lt;K476),D476+J476,"n.a."),IF(AND(K476&gt;J476,2*E476-D476+J476&gt;=0),2*E476-D476+J476,"n.a.")))</x:f>
        <x:v>8016.4800000000005</x:v>
      </x:c>
      <x:c r="O476" s="11" t="n">
        <x:f>IF(B476="Butterfly",IF(AND(J476&gt;0,J476&lt;K476),F476-J476,"n.a."),IF(C476="call",IF(K476&gt;J476,2*E476-D476-J476,"n.a."),IF(AND(J476&gt;0,J476&lt;K476),D476-J476,"n.a.")))</x:f>
        <x:v>8583.52</x:v>
      </x:c>
      <x:c r="P476" s="19" t="n">
        <x:f>IF(AND(B476="Butterfly",J476&gt;0,J476&lt;K476),L476/J476,"n.a.")</x:f>
        <x:v>17.203883495145604</x:v>
      </x:c>
      <x:c r="Q476" s="11" t="n">
        <x:f>J476*'Model inputs'!$B$8</x:f>
        <x:v>1648.0000000000025</x:v>
      </x:c>
      <x:c r="R476" s="1" t="str">
        <x:v>Indicative only</x:v>
      </x:c>
      <x:c r="S476" s="1" t="n">
        <x:v>362</x:v>
      </x:c>
      <x:c r="T476" s="1" t="n">
        <x:v>381</x:v>
      </x:c>
    </x:row>
    <x:row r="477" ht="21" customHeight="1">
      <x:c r="A477" s="12" t="n">
        <x:v>46274</x:v>
      </x:c>
      <x:c r="B477" s="1" t="str">
        <x:v>Butterfly</x:v>
      </x:c>
      <x:c r="C477" s="1" t="str">
        <x:v>put</x:v>
      </x:c>
      <x:c r="D477" s="11" t="n">
        <x:v>5600</x:v>
      </x:c>
      <x:c r="E477" s="11" t="n">
        <x:v>5800</x:v>
      </x:c>
      <x:c r="F477" s="11" t="n">
        <x:v>6000</x:v>
      </x:c>
      <x:c r="G477" s="11" t="n">
        <x:f>'Option source'!B633</x:f>
        <x:v>9.5</x:v>
      </x:c>
      <x:c r="H477" s="11" t="n">
        <x:f>'Option source'!B652</x:f>
        <x:v>18.33</x:v>
      </x:c>
      <x:c r="I477" s="11" t="n">
        <x:f>'Option source'!B671</x:f>
        <x:v>32.38</x:v>
      </x:c>
      <x:c r="J477" s="11" t="n">
        <x:f>G477-2*H477+IF(B477="Butterfly",I477,0)</x:f>
        <x:v>5.220000000000006</x:v>
      </x:c>
      <x:c r="K477" s="11" t="n">
        <x:f>ABS(E477-D477)</x:f>
        <x:v>200</x:v>
      </x:c>
      <x:c r="L477" s="11" t="n">
        <x:f>K477-J477</x:f>
        <x:v>194.78</x:v>
      </x:c>
      <x:c r="M477" s="11" t="n">
        <x:f>IF(B477="Butterfly",MAX(J477,0),IF(C477="call","Unlimited",MAX(2*E477-D477+J477,J477,0)))</x:f>
        <x:v>5.220000000000006</x:v>
      </x:c>
      <x:c r="N477" s="11" t="n">
        <x:f>IF(B477="Butterfly",IF(AND(J477&gt;0,J477&lt;K477),D477+J477,"n.a."),IF(C477="call",IF(AND(J477&gt;0,J477&lt;K477),D477+J477,"n.a."),IF(AND(K477&gt;J477,2*E477-D477+J477&gt;=0),2*E477-D477+J477,"n.a.")))</x:f>
        <x:v>5605.22</x:v>
      </x:c>
      <x:c r="O477" s="11" t="n">
        <x:f>IF(B477="Butterfly",IF(AND(J477&gt;0,J477&lt;K477),F477-J477,"n.a."),IF(C477="call",IF(K477&gt;J477,2*E477-D477-J477,"n.a."),IF(AND(J477&gt;0,J477&lt;K477),D477-J477,"n.a.")))</x:f>
        <x:v>5994.78</x:v>
      </x:c>
      <x:c r="P477" s="19" t="n">
        <x:f>IF(AND(B477="Butterfly",J477&gt;0,J477&lt;K477),L477/J477,"n.a.")</x:f>
        <x:v>37.31417624521069</x:v>
      </x:c>
      <x:c r="Q477" s="11" t="n">
        <x:f>J477*'Model inputs'!$B$8</x:f>
        <x:v>522.0000000000006</x:v>
      </x:c>
      <x:c r="R477" s="1" t="str">
        <x:v>Indicative only</x:v>
      </x:c>
      <x:c r="S477" s="1" t="n">
        <x:v>628</x:v>
      </x:c>
      <x:c r="T477" s="1" t="n">
        <x:v>647</x:v>
      </x:c>
    </x:row>
    <x:row r="478" ht="21" customHeight="1">
      <x:c r="A478" s="12" t="n">
        <x:v>46274</x:v>
      </x:c>
      <x:c r="B478" s="1" t="str">
        <x:v>Butterfly</x:v>
      </x:c>
      <x:c r="C478" s="1" t="str">
        <x:v>put</x:v>
      </x:c>
      <x:c r="D478" s="11" t="n">
        <x:v>5400</x:v>
      </x:c>
      <x:c r="E478" s="11" t="n">
        <x:v>5600</x:v>
      </x:c>
      <x:c r="F478" s="11" t="n">
        <x:v>5800</x:v>
      </x:c>
      <x:c r="G478" s="11" t="n">
        <x:f>'Option source'!B614</x:f>
        <x:v>5.7</x:v>
      </x:c>
      <x:c r="H478" s="11" t="n">
        <x:f>'Option source'!B633</x:f>
        <x:v>9.5</x:v>
      </x:c>
      <x:c r="I478" s="11" t="n">
        <x:f>'Option source'!B652</x:f>
        <x:v>18.33</x:v>
      </x:c>
      <x:c r="J478" s="11" t="n">
        <x:f>G478-2*H478+IF(B478="Butterfly",I478,0)</x:f>
        <x:v>5.029999999999998</x:v>
      </x:c>
      <x:c r="K478" s="11" t="n">
        <x:f>ABS(E478-D478)</x:f>
        <x:v>200</x:v>
      </x:c>
      <x:c r="L478" s="11" t="n">
        <x:f>K478-J478</x:f>
        <x:v>194.97</x:v>
      </x:c>
      <x:c r="M478" s="11" t="n">
        <x:f>IF(B478="Butterfly",MAX(J478,0),IF(C478="call","Unlimited",MAX(2*E478-D478+J478,J478,0)))</x:f>
        <x:v>5.029999999999998</x:v>
      </x:c>
      <x:c r="N478" s="11" t="n">
        <x:f>IF(B478="Butterfly",IF(AND(J478&gt;0,J478&lt;K478),D478+J478,"n.a."),IF(C478="call",IF(AND(J478&gt;0,J478&lt;K478),D478+J478,"n.a."),IF(AND(K478&gt;J478,2*E478-D478+J478&gt;=0),2*E478-D478+J478,"n.a.")))</x:f>
        <x:v>5405.03</x:v>
      </x:c>
      <x:c r="O478" s="11" t="n">
        <x:f>IF(B478="Butterfly",IF(AND(J478&gt;0,J478&lt;K478),F478-J478,"n.a."),IF(C478="call",IF(K478&gt;J478,2*E478-D478-J478,"n.a."),IF(AND(J478&gt;0,J478&lt;K478),D478-J478,"n.a.")))</x:f>
        <x:v>5794.97</x:v>
      </x:c>
      <x:c r="P478" s="19" t="n">
        <x:f>IF(AND(B478="Butterfly",J478&gt;0,J478&lt;K478),L478/J478,"n.a.")</x:f>
        <x:v>38.761431411530836</x:v>
      </x:c>
      <x:c r="Q478" s="11" t="n">
        <x:f>J478*'Model inputs'!$B$8</x:f>
        <x:v>502.9999999999998</x:v>
      </x:c>
      <x:c r="R478" s="1" t="str">
        <x:v>Indicative only</x:v>
      </x:c>
      <x:c r="S478" s="1" t="n">
        <x:v>609</x:v>
      </x:c>
      <x:c r="T478" s="1" t="n">
        <x:v>628</x:v>
      </x:c>
    </x:row>
    <x:row r="479" ht="21" customHeight="1">
      <x:c r="A479" s="12" t="n">
        <x:v>46274</x:v>
      </x:c>
      <x:c r="B479" s="1" t="str">
        <x:v>Butterfly</x:v>
      </x:c>
      <x:c r="C479" s="1" t="str">
        <x:v>call</x:v>
      </x:c>
      <x:c r="D479" s="11" t="n">
        <x:v>8300</x:v>
      </x:c>
      <x:c r="E479" s="11" t="n">
        <x:v>8600</x:v>
      </x:c>
      <x:c r="F479" s="11" t="n">
        <x:v>8900</x:v>
      </x:c>
      <x:c r="G479" s="11" t="n">
        <x:f>'Option source'!B386</x:f>
        <x:v>88.96</x:v>
      </x:c>
      <x:c r="H479" s="11" t="n">
        <x:f>'Option source'!B405</x:f>
        <x:v>53.35</x:v>
      </x:c>
      <x:c r="I479" s="11" t="n">
        <x:f>'Option source'!B424</x:f>
        <x:v>30.7</x:v>
      </x:c>
      <x:c r="J479" s="11" t="n">
        <x:f>G479-2*H479+IF(B479="Butterfly",I479,0)</x:f>
        <x:v>12.95999999999999</x:v>
      </x:c>
      <x:c r="K479" s="11" t="n">
        <x:f>ABS(E479-D479)</x:f>
        <x:v>300</x:v>
      </x:c>
      <x:c r="L479" s="11" t="n">
        <x:f>K479-J479</x:f>
        <x:v>287.04</x:v>
      </x:c>
      <x:c r="M479" s="11" t="n">
        <x:f>IF(B479="Butterfly",MAX(J479,0),IF(C479="call","Unlimited",MAX(2*E479-D479+J479,J479,0)))</x:f>
        <x:v>12.95999999999999</x:v>
      </x:c>
      <x:c r="N479" s="11" t="n">
        <x:f>IF(B479="Butterfly",IF(AND(J479&gt;0,J479&lt;K479),D479+J479,"n.a."),IF(C479="call",IF(AND(J479&gt;0,J479&lt;K479),D479+J479,"n.a."),IF(AND(K479&gt;J479,2*E479-D479+J479&gt;=0),2*E479-D479+J479,"n.a.")))</x:f>
        <x:v>8312.96</x:v>
      </x:c>
      <x:c r="O479" s="11" t="n">
        <x:f>IF(B479="Butterfly",IF(AND(J479&gt;0,J479&lt;K479),F479-J479,"n.a."),IF(C479="call",IF(K479&gt;J479,2*E479-D479-J479,"n.a."),IF(AND(J479&gt;0,J479&lt;K479),D479-J479,"n.a.")))</x:f>
        <x:v>8887.04</x:v>
      </x:c>
      <x:c r="P479" s="19" t="n">
        <x:f>IF(AND(B479="Butterfly",J479&gt;0,J479&lt;K479),L479/J479,"n.a.")</x:f>
        <x:v>22.148148148148167</x:v>
      </x:c>
      <x:c r="Q479" s="11" t="n">
        <x:f>J479*'Model inputs'!$B$8</x:f>
        <x:v>1295.999999999999</x:v>
      </x:c>
      <x:c r="R479" s="1" t="str">
        <x:v>Indicative only</x:v>
      </x:c>
      <x:c r="S479" s="1" t="n">
        <x:v>381</x:v>
      </x:c>
      <x:c r="T479" s="1" t="n">
        <x:v>400</x:v>
      </x:c>
    </x:row>
    <x:row r="480" ht="21" customHeight="1">
      <x:c r="A480" s="12" t="n">
        <x:v>46274</x:v>
      </x:c>
      <x:c r="B480" s="1" t="str">
        <x:v>Butterfly</x:v>
      </x:c>
      <x:c r="C480" s="1" t="str">
        <x:v>put</x:v>
      </x:c>
      <x:c r="D480" s="11" t="n">
        <x:v>5200</x:v>
      </x:c>
      <x:c r="E480" s="11" t="n">
        <x:v>5400</x:v>
      </x:c>
      <x:c r="F480" s="11" t="n">
        <x:v>5600</x:v>
      </x:c>
      <x:c r="G480" s="11" t="n">
        <x:f>'Option source'!B595</x:f>
        <x:v>2.85</x:v>
      </x:c>
      <x:c r="H480" s="11" t="n">
        <x:f>'Option source'!B614</x:f>
        <x:v>5.7</x:v>
      </x:c>
      <x:c r="I480" s="11" t="n">
        <x:f>'Option source'!B633</x:f>
        <x:v>9.5</x:v>
      </x:c>
      <x:c r="J480" s="11" t="n">
        <x:f>G480-2*H480+IF(B480="Butterfly",I480,0)</x:f>
        <x:v>0.9499999999999993</x:v>
      </x:c>
      <x:c r="K480" s="11" t="n">
        <x:f>ABS(E480-D480)</x:f>
        <x:v>200</x:v>
      </x:c>
      <x:c r="L480" s="11" t="n">
        <x:f>K480-J480</x:f>
        <x:v>199.05</x:v>
      </x:c>
      <x:c r="M480" s="11" t="n">
        <x:f>IF(B480="Butterfly",MAX(J480,0),IF(C480="call","Unlimited",MAX(2*E480-D480+J480,J480,0)))</x:f>
        <x:v>0.9499999999999993</x:v>
      </x:c>
      <x:c r="N480" s="11" t="n">
        <x:f>IF(B480="Butterfly",IF(AND(J480&gt;0,J480&lt;K480),D480+J480,"n.a."),IF(C480="call",IF(AND(J480&gt;0,J480&lt;K480),D480+J480,"n.a."),IF(AND(K480&gt;J480,2*E480-D480+J480&gt;=0),2*E480-D480+J480,"n.a.")))</x:f>
        <x:v>5200.95</x:v>
      </x:c>
      <x:c r="O480" s="11" t="n">
        <x:f>IF(B480="Butterfly",IF(AND(J480&gt;0,J480&lt;K480),F480-J480,"n.a."),IF(C480="call",IF(K480&gt;J480,2*E480-D480-J480,"n.a."),IF(AND(J480&gt;0,J480&lt;K480),D480-J480,"n.a.")))</x:f>
        <x:v>5599.05</x:v>
      </x:c>
      <x:c r="P480" s="19" t="n">
        <x:f>IF(AND(B480="Butterfly",J480&gt;0,J480&lt;K480),L480/J480,"n.a.")</x:f>
        <x:v>209.52631578947384</x:v>
      </x:c>
      <x:c r="Q480" s="11" t="n">
        <x:f>J480*'Model inputs'!$B$8</x:f>
        <x:v>94.99999999999993</x:v>
      </x:c>
      <x:c r="R480" s="1" t="str">
        <x:v>Indicative only</x:v>
      </x:c>
      <x:c r="S480" s="1" t="n">
        <x:v>590</x:v>
      </x:c>
      <x:c r="T480" s="1" t="n">
        <x:v>609</x:v>
      </x:c>
    </x:row>
    <x:row r="481" ht="21" customHeight="1">
      <x:c r="A481" s="12" t="n">
        <x:v>46274</x:v>
      </x:c>
      <x:c r="B481" s="1" t="str">
        <x:v>Butterfly</x:v>
      </x:c>
      <x:c r="C481" s="1" t="str">
        <x:v>call</x:v>
      </x:c>
      <x:c r="D481" s="11" t="n">
        <x:v>8600</x:v>
      </x:c>
      <x:c r="E481" s="11" t="n">
        <x:v>8900</x:v>
      </x:c>
      <x:c r="F481" s="11" t="n">
        <x:v>9200</x:v>
      </x:c>
      <x:c r="G481" s="11" t="n">
        <x:f>'Option source'!B405</x:f>
        <x:v>53.35</x:v>
      </x:c>
      <x:c r="H481" s="11" t="n">
        <x:f>'Option source'!B424</x:f>
        <x:v>30.7</x:v>
      </x:c>
      <x:c r="I481" s="11" t="n">
        <x:f>'Option source'!B443</x:f>
        <x:v>17.58</x:v>
      </x:c>
      <x:c r="J481" s="11" t="n">
        <x:f>G481-2*H481+IF(B481="Butterfly",I481,0)</x:f>
        <x:v>9.530000000000001</x:v>
      </x:c>
      <x:c r="K481" s="11" t="n">
        <x:f>ABS(E481-D481)</x:f>
        <x:v>300</x:v>
      </x:c>
      <x:c r="L481" s="11" t="n">
        <x:f>K481-J481</x:f>
        <x:v>290.47</x:v>
      </x:c>
      <x:c r="M481" s="11" t="n">
        <x:f>IF(B481="Butterfly",MAX(J481,0),IF(C481="call","Unlimited",MAX(2*E481-D481+J481,J481,0)))</x:f>
        <x:v>9.530000000000001</x:v>
      </x:c>
      <x:c r="N481" s="11" t="n">
        <x:f>IF(B481="Butterfly",IF(AND(J481&gt;0,J481&lt;K481),D481+J481,"n.a."),IF(C481="call",IF(AND(J481&gt;0,J481&lt;K481),D481+J481,"n.a."),IF(AND(K481&gt;J481,2*E481-D481+J481&gt;=0),2*E481-D481+J481,"n.a.")))</x:f>
        <x:v>8609.53</x:v>
      </x:c>
      <x:c r="O481" s="11" t="n">
        <x:f>IF(B481="Butterfly",IF(AND(J481&gt;0,J481&lt;K481),F481-J481,"n.a."),IF(C481="call",IF(K481&gt;J481,2*E481-D481-J481,"n.a."),IF(AND(J481&gt;0,J481&lt;K481),D481-J481,"n.a.")))</x:f>
        <x:v>9190.47</x:v>
      </x:c>
      <x:c r="P481" s="19" t="n">
        <x:f>IF(AND(B481="Butterfly",J481&gt;0,J481&lt;K481),L481/J481,"n.a.")</x:f>
        <x:v>30.47953830010493</x:v>
      </x:c>
      <x:c r="Q481" s="11" t="n">
        <x:f>J481*'Model inputs'!$B$8</x:f>
        <x:v>953.0000000000001</x:v>
      </x:c>
      <x:c r="R481" s="1" t="str">
        <x:v>Indicative only</x:v>
      </x:c>
      <x:c r="S481" s="1" t="n">
        <x:v>400</x:v>
      </x:c>
      <x:c r="T481" s="1" t="n">
        <x:v>419</x:v>
      </x:c>
    </x:row>
    <x:row r="482" ht="21" customHeight="1">
      <x:c r="A482" s="12" t="n">
        <x:v>46274</x:v>
      </x:c>
      <x:c r="B482" s="1" t="str">
        <x:v>Butterfly</x:v>
      </x:c>
      <x:c r="C482" s="1" t="str">
        <x:v>put</x:v>
      </x:c>
      <x:c r="D482" s="11" t="n">
        <x:v>5000</x:v>
      </x:c>
      <x:c r="E482" s="11" t="n">
        <x:v>5200</x:v>
      </x:c>
      <x:c r="F482" s="11" t="n">
        <x:v>5400</x:v>
      </x:c>
      <x:c r="G482" s="11" t="n">
        <x:f>'Option source'!B576</x:f>
        <x:v>1.66</x:v>
      </x:c>
      <x:c r="H482" s="11" t="n">
        <x:f>'Option source'!B595</x:f>
        <x:v>2.85</x:v>
      </x:c>
      <x:c r="I482" s="11" t="n">
        <x:f>'Option source'!B614</x:f>
        <x:v>5.7</x:v>
      </x:c>
      <x:c r="J482" s="11" t="n">
        <x:f>G482-2*H482+IF(B482="Butterfly",I482,0)</x:f>
        <x:v>1.6600000000000001</x:v>
      </x:c>
      <x:c r="K482" s="11" t="n">
        <x:f>ABS(E482-D482)</x:f>
        <x:v>200</x:v>
      </x:c>
      <x:c r="L482" s="11" t="n">
        <x:f>K482-J482</x:f>
        <x:v>198.34</x:v>
      </x:c>
      <x:c r="M482" s="11" t="n">
        <x:f>IF(B482="Butterfly",MAX(J482,0),IF(C482="call","Unlimited",MAX(2*E482-D482+J482,J482,0)))</x:f>
        <x:v>1.6600000000000001</x:v>
      </x:c>
      <x:c r="N482" s="11" t="n">
        <x:f>IF(B482="Butterfly",IF(AND(J482&gt;0,J482&lt;K482),D482+J482,"n.a."),IF(C482="call",IF(AND(J482&gt;0,J482&lt;K482),D482+J482,"n.a."),IF(AND(K482&gt;J482,2*E482-D482+J482&gt;=0),2*E482-D482+J482,"n.a.")))</x:f>
        <x:v>5001.66</x:v>
      </x:c>
      <x:c r="O482" s="11" t="n">
        <x:f>IF(B482="Butterfly",IF(AND(J482&gt;0,J482&lt;K482),F482-J482,"n.a."),IF(C482="call",IF(K482&gt;J482,2*E482-D482-J482,"n.a."),IF(AND(J482&gt;0,J482&lt;K482),D482-J482,"n.a.")))</x:f>
        <x:v>5398.34</x:v>
      </x:c>
      <x:c r="P482" s="19" t="n">
        <x:f>IF(AND(B482="Butterfly",J482&gt;0,J482&lt;K482),L482/J482,"n.a.")</x:f>
        <x:v>119.48192771084337</x:v>
      </x:c>
      <x:c r="Q482" s="11" t="n">
        <x:f>J482*'Model inputs'!$B$8</x:f>
        <x:v>166</x:v>
      </x:c>
      <x:c r="R482" s="1" t="str">
        <x:v>Indicative only</x:v>
      </x:c>
      <x:c r="S482" s="1" t="n">
        <x:v>571</x:v>
      </x:c>
      <x:c r="T482" s="1" t="n">
        <x:v>590</x:v>
      </x:c>
    </x:row>
    <x:row r="483" ht="21" customHeight="1">
      <x:c r="A483" s="12" t="n">
        <x:v>46274</x:v>
      </x:c>
      <x:c r="B483" s="1" t="str">
        <x:v>Butterfly</x:v>
      </x:c>
      <x:c r="C483" s="1" t="str">
        <x:v>put</x:v>
      </x:c>
      <x:c r="D483" s="11" t="n">
        <x:v>4800</x:v>
      </x:c>
      <x:c r="E483" s="11" t="n">
        <x:v>5000</x:v>
      </x:c>
      <x:c r="F483" s="11" t="n">
        <x:v>5200</x:v>
      </x:c>
      <x:c r="G483" s="11" t="n">
        <x:f>'Option source'!B557</x:f>
        <x:v>1.39</x:v>
      </x:c>
      <x:c r="H483" s="11" t="n">
        <x:f>'Option source'!B576</x:f>
        <x:v>1.66</x:v>
      </x:c>
      <x:c r="I483" s="11" t="n">
        <x:f>'Option source'!B595</x:f>
        <x:v>2.85</x:v>
      </x:c>
      <x:c r="J483" s="11" t="n">
        <x:f>G483-2*H483+IF(B483="Butterfly",I483,0)</x:f>
        <x:v>0.9200000000000002</x:v>
      </x:c>
      <x:c r="K483" s="11" t="n">
        <x:f>ABS(E483-D483)</x:f>
        <x:v>200</x:v>
      </x:c>
      <x:c r="L483" s="11" t="n">
        <x:f>K483-J483</x:f>
        <x:v>199.08</x:v>
      </x:c>
      <x:c r="M483" s="11" t="n">
        <x:f>IF(B483="Butterfly",MAX(J483,0),IF(C483="call","Unlimited",MAX(2*E483-D483+J483,J483,0)))</x:f>
        <x:v>0.9200000000000002</x:v>
      </x:c>
      <x:c r="N483" s="11" t="n">
        <x:f>IF(B483="Butterfly",IF(AND(J483&gt;0,J483&lt;K483),D483+J483,"n.a."),IF(C483="call",IF(AND(J483&gt;0,J483&lt;K483),D483+J483,"n.a."),IF(AND(K483&gt;J483,2*E483-D483+J483&gt;=0),2*E483-D483+J483,"n.a.")))</x:f>
        <x:v>4800.92</x:v>
      </x:c>
      <x:c r="O483" s="11" t="n">
        <x:f>IF(B483="Butterfly",IF(AND(J483&gt;0,J483&lt;K483),F483-J483,"n.a."),IF(C483="call",IF(K483&gt;J483,2*E483-D483-J483,"n.a."),IF(AND(J483&gt;0,J483&lt;K483),D483-J483,"n.a.")))</x:f>
        <x:v>5199.08</x:v>
      </x:c>
      <x:c r="P483" s="19" t="n">
        <x:f>IF(AND(B483="Butterfly",J483&gt;0,J483&lt;K483),L483/J483,"n.a.")</x:f>
        <x:v>216.39130434782606</x:v>
      </x:c>
      <x:c r="Q483" s="11" t="n">
        <x:f>J483*'Model inputs'!$B$8</x:f>
        <x:v>92.00000000000001</x:v>
      </x:c>
      <x:c r="R483" s="1" t="str">
        <x:v>Indicative only</x:v>
      </x:c>
      <x:c r="S483" s="1" t="n">
        <x:v>552</x:v>
      </x:c>
      <x:c r="T483" s="1" t="n">
        <x:v>571</x:v>
      </x:c>
    </x:row>
    <x:row r="484" ht="21" customHeight="1">
      <x:c r="A484" s="12" t="n">
        <x:v>46274</x:v>
      </x:c>
      <x:c r="B484" s="1" t="str">
        <x:v>Butterfly</x:v>
      </x:c>
      <x:c r="C484" s="1" t="str">
        <x:v>call</x:v>
      </x:c>
      <x:c r="D484" s="11" t="n">
        <x:v>8900</x:v>
      </x:c>
      <x:c r="E484" s="11" t="n">
        <x:v>9200</x:v>
      </x:c>
      <x:c r="F484" s="11" t="n">
        <x:v>9500</x:v>
      </x:c>
      <x:c r="G484" s="11" t="n">
        <x:f>'Option source'!B424</x:f>
        <x:v>30.7</x:v>
      </x:c>
      <x:c r="H484" s="11" t="n">
        <x:f>'Option source'!B443</x:f>
        <x:v>17.58</x:v>
      </x:c>
      <x:c r="I484" s="11" t="n">
        <x:f>'Option source'!B462</x:f>
        <x:v>10.59</x:v>
      </x:c>
      <x:c r="J484" s="11" t="n">
        <x:f>G484-2*H484+IF(B484="Butterfly",I484,0)</x:f>
        <x:v>6.130000000000003</x:v>
      </x:c>
      <x:c r="K484" s="11" t="n">
        <x:f>ABS(E484-D484)</x:f>
        <x:v>300</x:v>
      </x:c>
      <x:c r="L484" s="11" t="n">
        <x:f>K484-J484</x:f>
        <x:v>293.87</x:v>
      </x:c>
      <x:c r="M484" s="11" t="n">
        <x:f>IF(B484="Butterfly",MAX(J484,0),IF(C484="call","Unlimited",MAX(2*E484-D484+J484,J484,0)))</x:f>
        <x:v>6.130000000000003</x:v>
      </x:c>
      <x:c r="N484" s="11" t="n">
        <x:f>IF(B484="Butterfly",IF(AND(J484&gt;0,J484&lt;K484),D484+J484,"n.a."),IF(C484="call",IF(AND(J484&gt;0,J484&lt;K484),D484+J484,"n.a."),IF(AND(K484&gt;J484,2*E484-D484+J484&gt;=0),2*E484-D484+J484,"n.a.")))</x:f>
        <x:v>8906.13</x:v>
      </x:c>
      <x:c r="O484" s="11" t="n">
        <x:f>IF(B484="Butterfly",IF(AND(J484&gt;0,J484&lt;K484),F484-J484,"n.a."),IF(C484="call",IF(K484&gt;J484,2*E484-D484-J484,"n.a."),IF(AND(J484&gt;0,J484&lt;K484),D484-J484,"n.a.")))</x:f>
        <x:v>9493.87</x:v>
      </x:c>
      <x:c r="P484" s="19" t="n">
        <x:f>IF(AND(B484="Butterfly",J484&gt;0,J484&lt;K484),L484/J484,"n.a.")</x:f>
        <x:v>47.93964110929851</x:v>
      </x:c>
      <x:c r="Q484" s="11" t="n">
        <x:f>J484*'Model inputs'!$B$8</x:f>
        <x:v>613.0000000000002</x:v>
      </x:c>
      <x:c r="R484" s="1" t="str">
        <x:v>Indicative only</x:v>
      </x:c>
      <x:c r="S484" s="1" t="n">
        <x:v>419</x:v>
      </x:c>
      <x:c r="T484" s="1" t="n">
        <x:v>438</x:v>
      </x:c>
    </x:row>
    <x:row r="485" ht="21" customHeight="1">
      <x:c r="A485" s="12" t="n">
        <x:v>46274</x:v>
      </x:c>
      <x:c r="B485" s="1" t="str">
        <x:v>Butterfly</x:v>
      </x:c>
      <x:c r="C485" s="1" t="str">
        <x:v>put</x:v>
      </x:c>
      <x:c r="D485" s="11" t="n">
        <x:v>4600</x:v>
      </x:c>
      <x:c r="E485" s="11" t="n">
        <x:v>4800</x:v>
      </x:c>
      <x:c r="F485" s="11" t="n">
        <x:v>5000</x:v>
      </x:c>
      <x:c r="G485" s="11" t="n">
        <x:f>'Option source'!B538</x:f>
        <x:v>1.22</x:v>
      </x:c>
      <x:c r="H485" s="11" t="n">
        <x:f>'Option source'!B557</x:f>
        <x:v>1.39</x:v>
      </x:c>
      <x:c r="I485" s="11" t="n">
        <x:f>'Option source'!B576</x:f>
        <x:v>1.66</x:v>
      </x:c>
      <x:c r="J485" s="11" t="n">
        <x:f>G485-2*H485+IF(B485="Butterfly",I485,0)</x:f>
        <x:v>0.10000000000000009</x:v>
      </x:c>
      <x:c r="K485" s="11" t="n">
        <x:f>ABS(E485-D485)</x:f>
        <x:v>200</x:v>
      </x:c>
      <x:c r="L485" s="11" t="n">
        <x:f>K485-J485</x:f>
        <x:v>199.9</x:v>
      </x:c>
      <x:c r="M485" s="11" t="n">
        <x:f>IF(B485="Butterfly",MAX(J485,0),IF(C485="call","Unlimited",MAX(2*E485-D485+J485,J485,0)))</x:f>
        <x:v>0.10000000000000009</x:v>
      </x:c>
      <x:c r="N485" s="11" t="n">
        <x:f>IF(B485="Butterfly",IF(AND(J485&gt;0,J485&lt;K485),D485+J485,"n.a."),IF(C485="call",IF(AND(J485&gt;0,J485&lt;K485),D485+J485,"n.a."),IF(AND(K485&gt;J485,2*E485-D485+J485&gt;=0),2*E485-D485+J485,"n.a.")))</x:f>
        <x:v>4600.1</x:v>
      </x:c>
      <x:c r="O485" s="11" t="n">
        <x:f>IF(B485="Butterfly",IF(AND(J485&gt;0,J485&lt;K485),F485-J485,"n.a."),IF(C485="call",IF(K485&gt;J485,2*E485-D485-J485,"n.a."),IF(AND(J485&gt;0,J485&lt;K485),D485-J485,"n.a.")))</x:f>
        <x:v>4999.9</x:v>
      </x:c>
      <x:c r="P485" s="19" t="n">
        <x:f>IF(AND(B485="Butterfly",J485&gt;0,J485&lt;K485),L485/J485,"n.a.")</x:f>
        <x:v>1998.9999999999982</x:v>
      </x:c>
      <x:c r="Q485" s="11" t="n">
        <x:f>J485*'Model inputs'!$B$8</x:f>
        <x:v>10.000000000000009</x:v>
      </x:c>
      <x:c r="R485" s="1" t="str">
        <x:v>Indicative only</x:v>
      </x:c>
      <x:c r="S485" s="1" t="n">
        <x:v>533</x:v>
      </x:c>
      <x:c r="T485" s="1" t="n">
        <x:v>552</x:v>
      </x:c>
    </x:row>
    <x:row r="486" ht="21" customHeight="1">
      <x:c r="A486" s="12" t="n">
        <x:v>46274</x:v>
      </x:c>
      <x:c r="B486" s="1" t="str">
        <x:v>Butterfly</x:v>
      </x:c>
      <x:c r="C486" s="1" t="str">
        <x:v>put</x:v>
      </x:c>
      <x:c r="D486" s="11" t="n">
        <x:v>4200</x:v>
      </x:c>
      <x:c r="E486" s="11" t="n">
        <x:v>4400</x:v>
      </x:c>
      <x:c r="F486" s="11" t="n">
        <x:v>4600</x:v>
      </x:c>
      <x:c r="G486" s="11" t="n">
        <x:f>'Option source'!B500</x:f>
        <x:v>0.81</x:v>
      </x:c>
      <x:c r="H486" s="11" t="n">
        <x:f>'Option source'!B519</x:f>
        <x:v>1</x:v>
      </x:c>
      <x:c r="I486" s="11" t="n">
        <x:f>'Option source'!B538</x:f>
        <x:v>1.22</x:v>
      </x:c>
      <x:c r="J486" s="11" t="n">
        <x:f>G486-2*H486+IF(B486="Butterfly",I486,0)</x:f>
        <x:v>0.030000000000000027</x:v>
      </x:c>
      <x:c r="K486" s="11" t="n">
        <x:f>ABS(E486-D486)</x:f>
        <x:v>200</x:v>
      </x:c>
      <x:c r="L486" s="11" t="n">
        <x:f>K486-J486</x:f>
        <x:v>199.97</x:v>
      </x:c>
      <x:c r="M486" s="11" t="n">
        <x:f>IF(B486="Butterfly",MAX(J486,0),IF(C486="call","Unlimited",MAX(2*E486-D486+J486,J486,0)))</x:f>
        <x:v>0.030000000000000027</x:v>
      </x:c>
      <x:c r="N486" s="11" t="n">
        <x:f>IF(B486="Butterfly",IF(AND(J486&gt;0,J486&lt;K486),D486+J486,"n.a."),IF(C486="call",IF(AND(J486&gt;0,J486&lt;K486),D486+J486,"n.a."),IF(AND(K486&gt;J486,2*E486-D486+J486&gt;=0),2*E486-D486+J486,"n.a.")))</x:f>
        <x:v>4200.03</x:v>
      </x:c>
      <x:c r="O486" s="11" t="n">
        <x:f>IF(B486="Butterfly",IF(AND(J486&gt;0,J486&lt;K486),F486-J486,"n.a."),IF(C486="call",IF(K486&gt;J486,2*E486-D486-J486,"n.a."),IF(AND(J486&gt;0,J486&lt;K486),D486-J486,"n.a.")))</x:f>
        <x:v>4599.97</x:v>
      </x:c>
      <x:c r="P486" s="19" t="n">
        <x:f>IF(AND(B486="Butterfly",J486&gt;0,J486&lt;K486),L486/J486,"n.a.")</x:f>
        <x:v>6665.666666666661</x:v>
      </x:c>
      <x:c r="Q486" s="11" t="n">
        <x:f>J486*'Model inputs'!$B$8</x:f>
        <x:v>3.0000000000000027</x:v>
      </x:c>
      <x:c r="R486" s="1" t="str">
        <x:v>Indicative only</x:v>
      </x:c>
      <x:c r="S486" s="1" t="n">
        <x:v>495</x:v>
      </x:c>
      <x:c r="T486" s="1" t="n">
        <x:v>514</x:v>
      </x:c>
    </x:row>
    <x:row r="487" ht="21" customHeight="1">
      <x:c r="A487" s="12" t="n">
        <x:v>46274</x:v>
      </x:c>
      <x:c r="B487" s="1" t="str">
        <x:v>Butterfly</x:v>
      </x:c>
      <x:c r="C487" s="1" t="str">
        <x:v>call</x:v>
      </x:c>
      <x:c r="D487" s="11" t="n">
        <x:v>6400</x:v>
      </x:c>
      <x:c r="E487" s="11" t="n">
        <x:v>6600</x:v>
      </x:c>
      <x:c r="F487" s="11" t="n">
        <x:v>6800</x:v>
      </x:c>
      <x:c r="G487" s="11" t="n">
        <x:f>'Option source'!B215</x:f>
        <x:v>875.61</x:v>
      </x:c>
      <x:c r="H487" s="11" t="n">
        <x:f>'Option source'!B234</x:f>
        <x:v>773.75</x:v>
      </x:c>
      <x:c r="I487" s="11" t="n">
        <x:f>'Option source'!B253</x:f>
        <x:v>630.86</x:v>
      </x:c>
      <x:c r="J487" s="11" t="n">
        <x:f>G487-2*H487+IF(B487="Butterfly",I487,0)</x:f>
        <x:v>-41.02999999999997</x:v>
      </x:c>
      <x:c r="K487" s="11" t="n">
        <x:f>ABS(E487-D487)</x:f>
        <x:v>200</x:v>
      </x:c>
      <x:c r="L487" s="11" t="n">
        <x:f>K487-J487</x:f>
        <x:v>241.02999999999997</x:v>
      </x:c>
      <x:c r="M487" s="11" t="n">
        <x:f>IF(B487="Butterfly",MAX(J487,0),IF(C487="call","Unlimited",MAX(2*E487-D487+J487,J487,0)))</x:f>
        <x:v>0</x:v>
      </x:c>
      <x:c r="N487" s="11" t="str">
        <x:f>IF(B487="Butterfly",IF(AND(J487&gt;0,J487&lt;K487),D487+J487,"n.a."),IF(C487="call",IF(AND(J487&gt;0,J487&lt;K487),D487+J487,"n.a."),IF(AND(K487&gt;J487,2*E487-D487+J487&gt;=0),2*E487-D487+J487,"n.a.")))</x:f>
        <x:v>n.a.</x:v>
      </x:c>
      <x:c r="O487" s="11" t="str">
        <x:f>IF(B487="Butterfly",IF(AND(J487&gt;0,J487&lt;K487),F487-J487,"n.a."),IF(C487="call",IF(K487&gt;J487,2*E487-D487-J487,"n.a."),IF(AND(J487&gt;0,J487&lt;K487),D487-J487,"n.a.")))</x:f>
        <x:v>n.a.</x:v>
      </x:c>
      <x:c r="P487" s="19" t="str">
        <x:f>IF(AND(B487="Butterfly",J487&gt;0,J487&lt;K487),L487/J487,"n.a.")</x:f>
        <x:v>n.a.</x:v>
      </x:c>
      <x:c r="Q487" s="11" t="n">
        <x:f>J487*'Model inputs'!$B$8</x:f>
        <x:v>-4102.999999999997</x:v>
      </x:c>
      <x:c r="R487" s="1" t="str">
        <x:v>Outside standard debit bounds</x:v>
      </x:c>
      <x:c r="S487" s="1" t="n">
        <x:v>210</x:v>
      </x:c>
      <x:c r="T487" s="1" t="n">
        <x:v>229</x:v>
      </x:c>
    </x:row>
    <x:row r="488" ht="21" customHeight="1">
      <x:c r="A488" s="12" t="n">
        <x:v>46274</x:v>
      </x:c>
      <x:c r="B488" s="1" t="str">
        <x:v>Butterfly</x:v>
      </x:c>
      <x:c r="C488" s="1" t="str">
        <x:v>put</x:v>
      </x:c>
      <x:c r="D488" s="11" t="n">
        <x:v>7400</x:v>
      </x:c>
      <x:c r="E488" s="11" t="n">
        <x:v>7600</x:v>
      </x:c>
      <x:c r="F488" s="11" t="n">
        <x:v>7800</x:v>
      </x:c>
      <x:c r="G488" s="11" t="n">
        <x:f>'Option source'!B804</x:f>
        <x:v>480.11</x:v>
      </x:c>
      <x:c r="H488" s="11" t="n">
        <x:f>'Option source'!B823</x:f>
        <x:v>593.01</x:v>
      </x:c>
      <x:c r="I488" s="11" t="n">
        <x:f>'Option source'!B842</x:f>
        <x:v>780</x:v>
      </x:c>
      <x:c r="J488" s="11" t="n">
        <x:f>G488-2*H488+IF(B488="Butterfly",I488,0)</x:f>
        <x:v>74.09000000000003</x:v>
      </x:c>
      <x:c r="K488" s="11" t="n">
        <x:f>ABS(E488-D488)</x:f>
        <x:v>200</x:v>
      </x:c>
      <x:c r="L488" s="11" t="n">
        <x:f>K488-J488</x:f>
        <x:v>125.90999999999997</x:v>
      </x:c>
      <x:c r="M488" s="11" t="n">
        <x:f>IF(B488="Butterfly",MAX(J488,0),IF(C488="call","Unlimited",MAX(2*E488-D488+J488,J488,0)))</x:f>
        <x:v>74.09000000000003</x:v>
      </x:c>
      <x:c r="N488" s="11" t="n">
        <x:f>IF(B488="Butterfly",IF(AND(J488&gt;0,J488&lt;K488),D488+J488,"n.a."),IF(C488="call",IF(AND(J488&gt;0,J488&lt;K488),D488+J488,"n.a."),IF(AND(K488&gt;J488,2*E488-D488+J488&gt;=0),2*E488-D488+J488,"n.a.")))</x:f>
        <x:v>7474.09</x:v>
      </x:c>
      <x:c r="O488" s="11" t="n">
        <x:f>IF(B488="Butterfly",IF(AND(J488&gt;0,J488&lt;K488),F488-J488,"n.a."),IF(C488="call",IF(K488&gt;J488,2*E488-D488-J488,"n.a."),IF(AND(J488&gt;0,J488&lt;K488),D488-J488,"n.a.")))</x:f>
        <x:v>7725.91</x:v>
      </x:c>
      <x:c r="P488" s="19" t="n">
        <x:f>IF(AND(B488="Butterfly",J488&gt;0,J488&lt;K488),L488/J488,"n.a.")</x:f>
        <x:v>1.699419624780671</x:v>
      </x:c>
      <x:c r="Q488" s="11" t="n">
        <x:f>J488*'Model inputs'!$B$8</x:f>
        <x:v>7409.000000000004</x:v>
      </x:c>
      <x:c r="R488" s="1" t="str">
        <x:v>Flagged leg data</x:v>
      </x:c>
      <x:c r="S488" s="1" t="n">
        <x:v>799</x:v>
      </x:c>
      <x:c r="T488" s="1" t="n">
        <x:v>818</x:v>
      </x:c>
    </x:row>
    <x:row r="489" ht="21" customHeight="1">
      <x:c r="A489" s="12" t="n">
        <x:v>46274</x:v>
      </x:c>
      <x:c r="B489" s="1" t="str">
        <x:v>Butterfly</x:v>
      </x:c>
      <x:c r="C489" s="1" t="str">
        <x:v>call</x:v>
      </x:c>
      <x:c r="D489" s="11" t="n">
        <x:v>6200</x:v>
      </x:c>
      <x:c r="E489" s="11" t="n">
        <x:v>6400</x:v>
      </x:c>
      <x:c r="F489" s="11" t="n">
        <x:v>6600</x:v>
      </x:c>
      <x:c r="G489" s="11" t="n">
        <x:f>'Option source'!B196</x:f>
        <x:v>1070</x:v>
      </x:c>
      <x:c r="H489" s="11" t="n">
        <x:f>'Option source'!B215</x:f>
        <x:v>875.61</x:v>
      </x:c>
      <x:c r="I489" s="11" t="n">
        <x:f>'Option source'!B234</x:f>
        <x:v>773.75</x:v>
      </x:c>
      <x:c r="J489" s="11" t="n">
        <x:f>G489-2*H489+IF(B489="Butterfly",I489,0)</x:f>
        <x:v>92.52999999999997</x:v>
      </x:c>
      <x:c r="K489" s="11" t="n">
        <x:f>ABS(E489-D489)</x:f>
        <x:v>200</x:v>
      </x:c>
      <x:c r="L489" s="11" t="n">
        <x:f>K489-J489</x:f>
        <x:v>107.47000000000003</x:v>
      </x:c>
      <x:c r="M489" s="11" t="n">
        <x:f>IF(B489="Butterfly",MAX(J489,0),IF(C489="call","Unlimited",MAX(2*E489-D489+J489,J489,0)))</x:f>
        <x:v>92.52999999999997</x:v>
      </x:c>
      <x:c r="N489" s="11" t="n">
        <x:f>IF(B489="Butterfly",IF(AND(J489&gt;0,J489&lt;K489),D489+J489,"n.a."),IF(C489="call",IF(AND(J489&gt;0,J489&lt;K489),D489+J489,"n.a."),IF(AND(K489&gt;J489,2*E489-D489+J489&gt;=0),2*E489-D489+J489,"n.a.")))</x:f>
        <x:v>6292.53</x:v>
      </x:c>
      <x:c r="O489" s="11" t="n">
        <x:f>IF(B489="Butterfly",IF(AND(J489&gt;0,J489&lt;K489),F489-J489,"n.a."),IF(C489="call",IF(K489&gt;J489,2*E489-D489-J489,"n.a."),IF(AND(J489&gt;0,J489&lt;K489),D489-J489,"n.a.")))</x:f>
        <x:v>6507.47</x:v>
      </x:c>
      <x:c r="P489" s="19" t="n">
        <x:f>IF(AND(B489="Butterfly",J489&gt;0,J489&lt;K489),L489/J489,"n.a.")</x:f>
        <x:v>1.16146114773587</x:v>
      </x:c>
      <x:c r="Q489" s="11" t="n">
        <x:f>J489*'Model inputs'!$B$8</x:f>
        <x:v>9252.999999999996</x:v>
      </x:c>
      <x:c r="R489" s="1" t="str">
        <x:v>Flagged leg data</x:v>
      </x:c>
      <x:c r="S489" s="1" t="n">
        <x:v>191</x:v>
      </x:c>
      <x:c r="T489" s="1" t="n">
        <x:v>210</x:v>
      </x:c>
    </x:row>
    <x:row r="490" ht="21" customHeight="1">
      <x:c r="A490" s="12" t="n">
        <x:v>46274</x:v>
      </x:c>
      <x:c r="B490" s="1" t="str">
        <x:v>Butterfly</x:v>
      </x:c>
      <x:c r="C490" s="1" t="str">
        <x:v>put</x:v>
      </x:c>
      <x:c r="D490" s="11" t="n">
        <x:v>7600</x:v>
      </x:c>
      <x:c r="E490" s="11" t="n">
        <x:v>7800</x:v>
      </x:c>
      <x:c r="F490" s="11" t="n">
        <x:v>8000</x:v>
      </x:c>
      <x:c r="G490" s="11" t="n">
        <x:f>'Option source'!B823</x:f>
        <x:v>593.01</x:v>
      </x:c>
      <x:c r="H490" s="11" t="n">
        <x:f>'Option source'!B842</x:f>
        <x:v>780</x:v>
      </x:c>
      <x:c r="I490" s="11" t="n">
        <x:f>'Option source'!B861</x:f>
        <x:v>900</x:v>
      </x:c>
      <x:c r="J490" s="11" t="n">
        <x:f>G490-2*H490+IF(B490="Butterfly",I490,0)</x:f>
        <x:v>-66.99000000000001</x:v>
      </x:c>
      <x:c r="K490" s="11" t="n">
        <x:f>ABS(E490-D490)</x:f>
        <x:v>200</x:v>
      </x:c>
      <x:c r="L490" s="11" t="n">
        <x:f>K490-J490</x:f>
        <x:v>266.99</x:v>
      </x:c>
      <x:c r="M490" s="11" t="n">
        <x:f>IF(B490="Butterfly",MAX(J490,0),IF(C490="call","Unlimited",MAX(2*E490-D490+J490,J490,0)))</x:f>
        <x:v>0</x:v>
      </x:c>
      <x:c r="N490" s="11" t="str">
        <x:f>IF(B490="Butterfly",IF(AND(J490&gt;0,J490&lt;K490),D490+J490,"n.a."),IF(C490="call",IF(AND(J490&gt;0,J490&lt;K490),D490+J490,"n.a."),IF(AND(K490&gt;J490,2*E490-D490+J490&gt;=0),2*E490-D490+J490,"n.a.")))</x:f>
        <x:v>n.a.</x:v>
      </x:c>
      <x:c r="O490" s="11" t="str">
        <x:f>IF(B490="Butterfly",IF(AND(J490&gt;0,J490&lt;K490),F490-J490,"n.a."),IF(C490="call",IF(K490&gt;J490,2*E490-D490-J490,"n.a."),IF(AND(J490&gt;0,J490&lt;K490),D490-J490,"n.a.")))</x:f>
        <x:v>n.a.</x:v>
      </x:c>
      <x:c r="P490" s="19" t="str">
        <x:f>IF(AND(B490="Butterfly",J490&gt;0,J490&lt;K490),L490/J490,"n.a.")</x:f>
        <x:v>n.a.</x:v>
      </x:c>
      <x:c r="Q490" s="11" t="n">
        <x:f>J490*'Model inputs'!$B$8</x:f>
        <x:v>-6699.000000000001</x:v>
      </x:c>
      <x:c r="R490" s="1" t="str">
        <x:v>Outside standard debit bounds</x:v>
      </x:c>
      <x:c r="S490" s="1" t="n">
        <x:v>818</x:v>
      </x:c>
      <x:c r="T490" s="1" t="n">
        <x:v>837</x:v>
      </x:c>
    </x:row>
    <x:row r="491" ht="21" customHeight="1">
      <x:c r="A491" s="12" t="n">
        <x:v>46274</x:v>
      </x:c>
      <x:c r="B491" s="1" t="str">
        <x:v>Butterfly</x:v>
      </x:c>
      <x:c r="C491" s="1" t="str">
        <x:v>call</x:v>
      </x:c>
      <x:c r="D491" s="11" t="n">
        <x:v>6000</x:v>
      </x:c>
      <x:c r="E491" s="11" t="n">
        <x:v>6200</x:v>
      </x:c>
      <x:c r="F491" s="11" t="n">
        <x:v>6400</x:v>
      </x:c>
      <x:c r="G491" s="11" t="n">
        <x:f>'Option source'!B177</x:f>
        <x:v>1253.91</x:v>
      </x:c>
      <x:c r="H491" s="11" t="n">
        <x:f>'Option source'!B196</x:f>
        <x:v>1070</x:v>
      </x:c>
      <x:c r="I491" s="11" t="n">
        <x:f>'Option source'!B215</x:f>
        <x:v>875.61</x:v>
      </x:c>
      <x:c r="J491" s="11" t="n">
        <x:f>G491-2*H491+IF(B491="Butterfly",I491,0)</x:f>
        <x:v>-10.479999999999905</x:v>
      </x:c>
      <x:c r="K491" s="11" t="n">
        <x:f>ABS(E491-D491)</x:f>
        <x:v>200</x:v>
      </x:c>
      <x:c r="L491" s="11" t="n">
        <x:f>K491-J491</x:f>
        <x:v>210.4799999999999</x:v>
      </x:c>
      <x:c r="M491" s="11" t="n">
        <x:f>IF(B491="Butterfly",MAX(J491,0),IF(C491="call","Unlimited",MAX(2*E491-D491+J491,J491,0)))</x:f>
        <x:v>0</x:v>
      </x:c>
      <x:c r="N491" s="11" t="str">
        <x:f>IF(B491="Butterfly",IF(AND(J491&gt;0,J491&lt;K491),D491+J491,"n.a."),IF(C491="call",IF(AND(J491&gt;0,J491&lt;K491),D491+J491,"n.a."),IF(AND(K491&gt;J491,2*E491-D491+J491&gt;=0),2*E491-D491+J491,"n.a.")))</x:f>
        <x:v>n.a.</x:v>
      </x:c>
      <x:c r="O491" s="11" t="str">
        <x:f>IF(B491="Butterfly",IF(AND(J491&gt;0,J491&lt;K491),F491-J491,"n.a."),IF(C491="call",IF(K491&gt;J491,2*E491-D491-J491,"n.a."),IF(AND(J491&gt;0,J491&lt;K491),D491-J491,"n.a.")))</x:f>
        <x:v>n.a.</x:v>
      </x:c>
      <x:c r="P491" s="19" t="str">
        <x:f>IF(AND(B491="Butterfly",J491&gt;0,J491&lt;K491),L491/J491,"n.a.")</x:f>
        <x:v>n.a.</x:v>
      </x:c>
      <x:c r="Q491" s="11" t="n">
        <x:f>J491*'Model inputs'!$B$8</x:f>
        <x:v>-1047.9999999999905</x:v>
      </x:c>
      <x:c r="R491" s="1" t="str">
        <x:v>Outside standard debit bounds</x:v>
      </x:c>
      <x:c r="S491" s="1" t="n">
        <x:v>172</x:v>
      </x:c>
      <x:c r="T491" s="1" t="n">
        <x:v>191</x:v>
      </x:c>
    </x:row>
    <x:row r="492" ht="21" customHeight="1">
      <x:c r="A492" s="12" t="n">
        <x:v>46274</x:v>
      </x:c>
      <x:c r="B492" s="1" t="str">
        <x:v>Butterfly</x:v>
      </x:c>
      <x:c r="C492" s="1" t="str">
        <x:v>call</x:v>
      </x:c>
      <x:c r="D492" s="11" t="n">
        <x:v>5800</x:v>
      </x:c>
      <x:c r="E492" s="11" t="n">
        <x:v>6000</x:v>
      </x:c>
      <x:c r="F492" s="11" t="n">
        <x:v>6200</x:v>
      </x:c>
      <x:c r="G492" s="11" t="n">
        <x:f>'Option source'!B158</x:f>
        <x:v>1403.14</x:v>
      </x:c>
      <x:c r="H492" s="11" t="n">
        <x:f>'Option source'!B177</x:f>
        <x:v>1253.91</x:v>
      </x:c>
      <x:c r="I492" s="11" t="n">
        <x:f>'Option source'!B196</x:f>
        <x:v>1070</x:v>
      </x:c>
      <x:c r="J492" s="11" t="n">
        <x:f>G492-2*H492+IF(B492="Butterfly",I492,0)</x:f>
        <x:v>-34.680000000000064</x:v>
      </x:c>
      <x:c r="K492" s="11" t="n">
        <x:f>ABS(E492-D492)</x:f>
        <x:v>200</x:v>
      </x:c>
      <x:c r="L492" s="11" t="n">
        <x:f>K492-J492</x:f>
        <x:v>234.68000000000006</x:v>
      </x:c>
      <x:c r="M492" s="11" t="n">
        <x:f>IF(B492="Butterfly",MAX(J492,0),IF(C492="call","Unlimited",MAX(2*E492-D492+J492,J492,0)))</x:f>
        <x:v>0</x:v>
      </x:c>
      <x:c r="N492" s="11" t="str">
        <x:f>IF(B492="Butterfly",IF(AND(J492&gt;0,J492&lt;K492),D492+J492,"n.a."),IF(C492="call",IF(AND(J492&gt;0,J492&lt;K492),D492+J492,"n.a."),IF(AND(K492&gt;J492,2*E492-D492+J492&gt;=0),2*E492-D492+J492,"n.a.")))</x:f>
        <x:v>n.a.</x:v>
      </x:c>
      <x:c r="O492" s="11" t="str">
        <x:f>IF(B492="Butterfly",IF(AND(J492&gt;0,J492&lt;K492),F492-J492,"n.a."),IF(C492="call",IF(K492&gt;J492,2*E492-D492-J492,"n.a."),IF(AND(J492&gt;0,J492&lt;K492),D492-J492,"n.a.")))</x:f>
        <x:v>n.a.</x:v>
      </x:c>
      <x:c r="P492" s="19" t="str">
        <x:f>IF(AND(B492="Butterfly",J492&gt;0,J492&lt;K492),L492/J492,"n.a.")</x:f>
        <x:v>n.a.</x:v>
      </x:c>
      <x:c r="Q492" s="11" t="n">
        <x:f>J492*'Model inputs'!$B$8</x:f>
        <x:v>-3468.0000000000064</x:v>
      </x:c>
      <x:c r="R492" s="1" t="str">
        <x:v>Outside standard debit bounds</x:v>
      </x:c>
      <x:c r="S492" s="1" t="n">
        <x:v>153</x:v>
      </x:c>
      <x:c r="T492" s="1" t="n">
        <x:v>172</x:v>
      </x:c>
    </x:row>
    <x:row r="493" ht="21" customHeight="1">
      <x:c r="A493" s="12" t="n">
        <x:v>46274</x:v>
      </x:c>
      <x:c r="B493" s="1" t="str">
        <x:v>Butterfly</x:v>
      </x:c>
      <x:c r="C493" s="1" t="str">
        <x:v>put</x:v>
      </x:c>
      <x:c r="D493" s="11" t="n">
        <x:v>8000</x:v>
      </x:c>
      <x:c r="E493" s="11" t="n">
        <x:v>8300</x:v>
      </x:c>
      <x:c r="F493" s="11" t="n">
        <x:v>8600</x:v>
      </x:c>
      <x:c r="G493" s="11" t="n">
        <x:f>'Option source'!B861</x:f>
        <x:v>900</x:v>
      </x:c>
      <x:c r="H493" s="11" t="n">
        <x:f>'Option source'!B880</x:f>
        <x:v>1234</x:v>
      </x:c>
      <x:c r="I493" s="11" t="n">
        <x:f>'Option source'!B899</x:f>
        <x:v>1559.27</x:v>
      </x:c>
      <x:c r="J493" s="11" t="n">
        <x:f>G493-2*H493+IF(B493="Butterfly",I493,0)</x:f>
        <x:v>-8.730000000000018</x:v>
      </x:c>
      <x:c r="K493" s="11" t="n">
        <x:f>ABS(E493-D493)</x:f>
        <x:v>300</x:v>
      </x:c>
      <x:c r="L493" s="11" t="n">
        <x:f>K493-J493</x:f>
        <x:v>308.73</x:v>
      </x:c>
      <x:c r="M493" s="11" t="n">
        <x:f>IF(B493="Butterfly",MAX(J493,0),IF(C493="call","Unlimited",MAX(2*E493-D493+J493,J493,0)))</x:f>
        <x:v>0</x:v>
      </x:c>
      <x:c r="N493" s="11" t="str">
        <x:f>IF(B493="Butterfly",IF(AND(J493&gt;0,J493&lt;K493),D493+J493,"n.a."),IF(C493="call",IF(AND(J493&gt;0,J493&lt;K493),D493+J493,"n.a."),IF(AND(K493&gt;J493,2*E493-D493+J493&gt;=0),2*E493-D493+J493,"n.a.")))</x:f>
        <x:v>n.a.</x:v>
      </x:c>
      <x:c r="O493" s="11" t="str">
        <x:f>IF(B493="Butterfly",IF(AND(J493&gt;0,J493&lt;K493),F493-J493,"n.a."),IF(C493="call",IF(K493&gt;J493,2*E493-D493-J493,"n.a."),IF(AND(J493&gt;0,J493&lt;K493),D493-J493,"n.a.")))</x:f>
        <x:v>n.a.</x:v>
      </x:c>
      <x:c r="P493" s="19" t="str">
        <x:f>IF(AND(B493="Butterfly",J493&gt;0,J493&lt;K493),L493/J493,"n.a.")</x:f>
        <x:v>n.a.</x:v>
      </x:c>
      <x:c r="Q493" s="11" t="n">
        <x:f>J493*'Model inputs'!$B$8</x:f>
        <x:v>-873.0000000000018</x:v>
      </x:c>
      <x:c r="R493" s="1" t="str">
        <x:v>Outside standard debit bounds</x:v>
      </x:c>
      <x:c r="S493" s="1" t="n">
        <x:v>856</x:v>
      </x:c>
      <x:c r="T493" s="1" t="n">
        <x:v>875</x:v>
      </x:c>
    </x:row>
    <x:row r="494" ht="21" customHeight="1">
      <x:c r="A494" s="12" t="n">
        <x:v>46274</x:v>
      </x:c>
      <x:c r="B494" s="1" t="str">
        <x:v>Butterfly</x:v>
      </x:c>
      <x:c r="C494" s="1" t="str">
        <x:v>call</x:v>
      </x:c>
      <x:c r="D494" s="11" t="n">
        <x:v>5600</x:v>
      </x:c>
      <x:c r="E494" s="11" t="n">
        <x:v>5800</x:v>
      </x:c>
      <x:c r="F494" s="11" t="n">
        <x:v>6000</x:v>
      </x:c>
      <x:c r="G494" s="11" t="n">
        <x:f>'Option source'!B148</x:f>
        <x:v>1490</x:v>
      </x:c>
      <x:c r="H494" s="11" t="n">
        <x:f>'Option source'!B158</x:f>
        <x:v>1403.14</x:v>
      </x:c>
      <x:c r="I494" s="11" t="n">
        <x:f>'Option source'!B177</x:f>
        <x:v>1253.91</x:v>
      </x:c>
      <x:c r="J494" s="11" t="n">
        <x:f>G494-2*H494+IF(B494="Butterfly",I494,0)</x:f>
        <x:v>-62.37000000000012</x:v>
      </x:c>
      <x:c r="K494" s="11" t="n">
        <x:f>ABS(E494-D494)</x:f>
        <x:v>200</x:v>
      </x:c>
      <x:c r="L494" s="11" t="n">
        <x:f>K494-J494</x:f>
        <x:v>262.3700000000001</x:v>
      </x:c>
      <x:c r="M494" s="11" t="n">
        <x:f>IF(B494="Butterfly",MAX(J494,0),IF(C494="call","Unlimited",MAX(2*E494-D494+J494,J494,0)))</x:f>
        <x:v>0</x:v>
      </x:c>
      <x:c r="N494" s="11" t="str">
        <x:f>IF(B494="Butterfly",IF(AND(J494&gt;0,J494&lt;K494),D494+J494,"n.a."),IF(C494="call",IF(AND(J494&gt;0,J494&lt;K494),D494+J494,"n.a."),IF(AND(K494&gt;J494,2*E494-D494+J494&gt;=0),2*E494-D494+J494,"n.a.")))</x:f>
        <x:v>n.a.</x:v>
      </x:c>
      <x:c r="O494" s="11" t="str">
        <x:f>IF(B494="Butterfly",IF(AND(J494&gt;0,J494&lt;K494),F494-J494,"n.a."),IF(C494="call",IF(K494&gt;J494,2*E494-D494-J494,"n.a."),IF(AND(J494&gt;0,J494&lt;K494),D494-J494,"n.a.")))</x:f>
        <x:v>n.a.</x:v>
      </x:c>
      <x:c r="P494" s="19" t="str">
        <x:f>IF(AND(B494="Butterfly",J494&gt;0,J494&lt;K494),L494/J494,"n.a.")</x:f>
        <x:v>n.a.</x:v>
      </x:c>
      <x:c r="Q494" s="11" t="n">
        <x:f>J494*'Model inputs'!$B$8</x:f>
        <x:v>-6237.000000000012</x:v>
      </x:c>
      <x:c r="R494" s="1" t="str">
        <x:v>Outside standard debit bounds</x:v>
      </x:c>
      <x:c r="S494" s="1" t="n">
        <x:v>143</x:v>
      </x:c>
      <x:c r="T494" s="1" t="n">
        <x:v>153</x:v>
      </x:c>
    </x:row>
    <x:row r="495" ht="21" customHeight="1">
      <x:c r="A495" s="12" t="n">
        <x:v>46274</x:v>
      </x:c>
      <x:c r="B495" s="1" t="str">
        <x:v>Butterfly</x:v>
      </x:c>
      <x:c r="C495" s="1" t="str">
        <x:v>call</x:v>
      </x:c>
      <x:c r="D495" s="11" t="n">
        <x:v>5400</x:v>
      </x:c>
      <x:c r="E495" s="11" t="n">
        <x:v>5600</x:v>
      </x:c>
      <x:c r="F495" s="11" t="n">
        <x:v>5800</x:v>
      </x:c>
      <x:c r="G495" s="11" t="n">
        <x:f>'Option source'!B130</x:f>
        <x:v>1750</x:v>
      </x:c>
      <x:c r="H495" s="11" t="n">
        <x:f>'Option source'!B148</x:f>
        <x:v>1490</x:v>
      </x:c>
      <x:c r="I495" s="11" t="n">
        <x:f>'Option source'!B158</x:f>
        <x:v>1403.14</x:v>
      </x:c>
      <x:c r="J495" s="11" t="n">
        <x:f>G495-2*H495+IF(B495="Butterfly",I495,0)</x:f>
        <x:v>173.1400000000001</x:v>
      </x:c>
      <x:c r="K495" s="11" t="n">
        <x:f>ABS(E495-D495)</x:f>
        <x:v>200</x:v>
      </x:c>
      <x:c r="L495" s="11" t="n">
        <x:f>K495-J495</x:f>
        <x:v>26.8599999999999</x:v>
      </x:c>
      <x:c r="M495" s="11" t="n">
        <x:f>IF(B495="Butterfly",MAX(J495,0),IF(C495="call","Unlimited",MAX(2*E495-D495+J495,J495,0)))</x:f>
        <x:v>173.1400000000001</x:v>
      </x:c>
      <x:c r="N495" s="11" t="n">
        <x:f>IF(B495="Butterfly",IF(AND(J495&gt;0,J495&lt;K495),D495+J495,"n.a."),IF(C495="call",IF(AND(J495&gt;0,J495&lt;K495),D495+J495,"n.a."),IF(AND(K495&gt;J495,2*E495-D495+J495&gt;=0),2*E495-D495+J495,"n.a.")))</x:f>
        <x:v>5573.14</x:v>
      </x:c>
      <x:c r="O495" s="11" t="n">
        <x:f>IF(B495="Butterfly",IF(AND(J495&gt;0,J495&lt;K495),F495-J495,"n.a."),IF(C495="call",IF(K495&gt;J495,2*E495-D495-J495,"n.a."),IF(AND(J495&gt;0,J495&lt;K495),D495-J495,"n.a.")))</x:f>
        <x:v>5626.86</x:v>
      </x:c>
      <x:c r="P495" s="19" t="n">
        <x:f>IF(AND(B495="Butterfly",J495&gt;0,J495&lt;K495),L495/J495,"n.a.")</x:f>
        <x:v>0.15513457317777454</x:v>
      </x:c>
      <x:c r="Q495" s="11" t="n">
        <x:f>J495*'Model inputs'!$B$8</x:f>
        <x:v>17314.00000000001</x:v>
      </x:c>
      <x:c r="R495" s="1" t="str">
        <x:v>Flagged leg data</x:v>
      </x:c>
      <x:c r="S495" s="1" t="n">
        <x:v>125</x:v>
      </x:c>
      <x:c r="T495" s="1" t="n">
        <x:v>143</x:v>
      </x:c>
    </x:row>
    <x:row r="496" ht="21" customHeight="1">
      <x:c r="A496" s="12" t="n">
        <x:v>46274</x:v>
      </x:c>
      <x:c r="B496" s="1" t="str">
        <x:v>Butterfly</x:v>
      </x:c>
      <x:c r="C496" s="1" t="str">
        <x:v>put</x:v>
      </x:c>
      <x:c r="D496" s="11" t="n">
        <x:v>8300</x:v>
      </x:c>
      <x:c r="E496" s="11" t="n">
        <x:v>8600</x:v>
      </x:c>
      <x:c r="F496" s="11" t="n">
        <x:v>8900</x:v>
      </x:c>
      <x:c r="G496" s="11" t="n">
        <x:f>'Option source'!B880</x:f>
        <x:v>1234</x:v>
      </x:c>
      <x:c r="H496" s="11" t="n">
        <x:f>'Option source'!B899</x:f>
        <x:v>1559.27</x:v>
      </x:c>
      <x:c r="I496" s="11" t="n">
        <x:f>'Option source'!B914</x:f>
        <x:v>2022.5</x:v>
      </x:c>
      <x:c r="J496" s="11" t="n">
        <x:f>G496-2*H496+IF(B496="Butterfly",I496,0)</x:f>
        <x:v>137.96000000000004</x:v>
      </x:c>
      <x:c r="K496" s="11" t="n">
        <x:f>ABS(E496-D496)</x:f>
        <x:v>300</x:v>
      </x:c>
      <x:c r="L496" s="11" t="n">
        <x:f>K496-J496</x:f>
        <x:v>162.03999999999996</x:v>
      </x:c>
      <x:c r="M496" s="11" t="n">
        <x:f>IF(B496="Butterfly",MAX(J496,0),IF(C496="call","Unlimited",MAX(2*E496-D496+J496,J496,0)))</x:f>
        <x:v>137.96000000000004</x:v>
      </x:c>
      <x:c r="N496" s="11" t="n">
        <x:f>IF(B496="Butterfly",IF(AND(J496&gt;0,J496&lt;K496),D496+J496,"n.a."),IF(C496="call",IF(AND(J496&gt;0,J496&lt;K496),D496+J496,"n.a."),IF(AND(K496&gt;J496,2*E496-D496+J496&gt;=0),2*E496-D496+J496,"n.a.")))</x:f>
        <x:v>8437.96</x:v>
      </x:c>
      <x:c r="O496" s="11" t="n">
        <x:f>IF(B496="Butterfly",IF(AND(J496&gt;0,J496&lt;K496),F496-J496,"n.a."),IF(C496="call",IF(K496&gt;J496,2*E496-D496-J496,"n.a."),IF(AND(J496&gt;0,J496&lt;K496),D496-J496,"n.a.")))</x:f>
        <x:v>8762.04</x:v>
      </x:c>
      <x:c r="P496" s="19" t="n">
        <x:f>IF(AND(B496="Butterfly",J496&gt;0,J496&lt;K496),L496/J496,"n.a.")</x:f>
        <x:v>1.174543345897361</x:v>
      </x:c>
      <x:c r="Q496" s="11" t="n">
        <x:f>J496*'Model inputs'!$B$8</x:f>
        <x:v>13796.000000000004</x:v>
      </x:c>
      <x:c r="R496" s="1" t="str">
        <x:v>Flagged leg data</x:v>
      </x:c>
      <x:c r="S496" s="1" t="n">
        <x:v>875</x:v>
      </x:c>
      <x:c r="T496" s="1" t="n">
        <x:v>894</x:v>
      </x:c>
    </x:row>
    <x:row r="497" ht="21" customHeight="1">
      <x:c r="A497" s="12" t="n">
        <x:v>46274</x:v>
      </x:c>
      <x:c r="B497" s="1" t="str">
        <x:v>Butterfly</x:v>
      </x:c>
      <x:c r="C497" s="1" t="str">
        <x:v>call</x:v>
      </x:c>
      <x:c r="D497" s="11" t="n">
        <x:v>5200</x:v>
      </x:c>
      <x:c r="E497" s="11" t="n">
        <x:v>5400</x:v>
      </x:c>
      <x:c r="F497" s="11" t="n">
        <x:v>5600</x:v>
      </x:c>
      <x:c r="G497" s="11" t="n">
        <x:f>'Option source'!B111</x:f>
        <x:v>1895.85</x:v>
      </x:c>
      <x:c r="H497" s="11" t="n">
        <x:f>'Option source'!B130</x:f>
        <x:v>1750</x:v>
      </x:c>
      <x:c r="I497" s="11" t="n">
        <x:f>'Option source'!B148</x:f>
        <x:v>1490</x:v>
      </x:c>
      <x:c r="J497" s="11" t="n">
        <x:f>G497-2*H497+IF(B497="Butterfly",I497,0)</x:f>
        <x:v>-114.15000000000009</x:v>
      </x:c>
      <x:c r="K497" s="11" t="n">
        <x:f>ABS(E497-D497)</x:f>
        <x:v>200</x:v>
      </x:c>
      <x:c r="L497" s="11" t="n">
        <x:f>K497-J497</x:f>
        <x:v>314.1500000000001</x:v>
      </x:c>
      <x:c r="M497" s="11" t="n">
        <x:f>IF(B497="Butterfly",MAX(J497,0),IF(C497="call","Unlimited",MAX(2*E497-D497+J497,J497,0)))</x:f>
        <x:v>0</x:v>
      </x:c>
      <x:c r="N497" s="11" t="str">
        <x:f>IF(B497="Butterfly",IF(AND(J497&gt;0,J497&lt;K497),D497+J497,"n.a."),IF(C497="call",IF(AND(J497&gt;0,J497&lt;K497),D497+J497,"n.a."),IF(AND(K497&gt;J497,2*E497-D497+J497&gt;=0),2*E497-D497+J497,"n.a.")))</x:f>
        <x:v>n.a.</x:v>
      </x:c>
      <x:c r="O497" s="11" t="str">
        <x:f>IF(B497="Butterfly",IF(AND(J497&gt;0,J497&lt;K497),F497-J497,"n.a."),IF(C497="call",IF(K497&gt;J497,2*E497-D497-J497,"n.a."),IF(AND(J497&gt;0,J497&lt;K497),D497-J497,"n.a.")))</x:f>
        <x:v>n.a.</x:v>
      </x:c>
      <x:c r="P497" s="19" t="str">
        <x:f>IF(AND(B497="Butterfly",J497&gt;0,J497&lt;K497),L497/J497,"n.a.")</x:f>
        <x:v>n.a.</x:v>
      </x:c>
      <x:c r="Q497" s="11" t="n">
        <x:f>J497*'Model inputs'!$B$8</x:f>
        <x:v>-11415.00000000001</x:v>
      </x:c>
      <x:c r="R497" s="1" t="str">
        <x:v>Outside standard debit bounds</x:v>
      </x:c>
      <x:c r="S497" s="1" t="n">
        <x:v>106</x:v>
      </x:c>
      <x:c r="T497" s="1" t="n">
        <x:v>125</x:v>
      </x:c>
    </x:row>
    <x:row r="498" ht="21" customHeight="1">
      <x:c r="A498" s="12" t="n">
        <x:v>46274</x:v>
      </x:c>
      <x:c r="B498" s="1" t="str">
        <x:v>Butterfly</x:v>
      </x:c>
      <x:c r="C498" s="1" t="str">
        <x:v>put</x:v>
      </x:c>
      <x:c r="D498" s="11" t="n">
        <x:v>8600</x:v>
      </x:c>
      <x:c r="E498" s="11" t="n">
        <x:v>8900</x:v>
      </x:c>
      <x:c r="F498" s="11" t="n">
        <x:v>9200</x:v>
      </x:c>
      <x:c r="G498" s="11" t="n">
        <x:f>'Option source'!B899</x:f>
        <x:v>1559.27</x:v>
      </x:c>
      <x:c r="H498" s="11" t="n">
        <x:f>'Option source'!B914</x:f>
        <x:v>2022.5</x:v>
      </x:c>
      <x:c r="I498" s="11" t="n">
        <x:f>'Option source'!B921</x:f>
        <x:v>2000</x:v>
      </x:c>
      <x:c r="J498" s="11" t="n">
        <x:f>G498-2*H498+IF(B498="Butterfly",I498,0)</x:f>
        <x:v>-485.73</x:v>
      </x:c>
      <x:c r="K498" s="11" t="n">
        <x:f>ABS(E498-D498)</x:f>
        <x:v>300</x:v>
      </x:c>
      <x:c r="L498" s="11" t="n">
        <x:f>K498-J498</x:f>
        <x:v>785.73</x:v>
      </x:c>
      <x:c r="M498" s="11" t="n">
        <x:f>IF(B498="Butterfly",MAX(J498,0),IF(C498="call","Unlimited",MAX(2*E498-D498+J498,J498,0)))</x:f>
        <x:v>0</x:v>
      </x:c>
      <x:c r="N498" s="11" t="str">
        <x:f>IF(B498="Butterfly",IF(AND(J498&gt;0,J498&lt;K498),D498+J498,"n.a."),IF(C498="call",IF(AND(J498&gt;0,J498&lt;K498),D498+J498,"n.a."),IF(AND(K498&gt;J498,2*E498-D498+J498&gt;=0),2*E498-D498+J498,"n.a.")))</x:f>
        <x:v>n.a.</x:v>
      </x:c>
      <x:c r="O498" s="11" t="str">
        <x:f>IF(B498="Butterfly",IF(AND(J498&gt;0,J498&lt;K498),F498-J498,"n.a."),IF(C498="call",IF(K498&gt;J498,2*E498-D498-J498,"n.a."),IF(AND(J498&gt;0,J498&lt;K498),D498-J498,"n.a.")))</x:f>
        <x:v>n.a.</x:v>
      </x:c>
      <x:c r="P498" s="19" t="str">
        <x:f>IF(AND(B498="Butterfly",J498&gt;0,J498&lt;K498),L498/J498,"n.a.")</x:f>
        <x:v>n.a.</x:v>
      </x:c>
      <x:c r="Q498" s="11" t="n">
        <x:f>J498*'Model inputs'!$B$8</x:f>
        <x:v>-48573</x:v>
      </x:c>
      <x:c r="R498" s="1" t="str">
        <x:v>Outside standard debit bounds</x:v>
      </x:c>
      <x:c r="S498" s="1" t="n">
        <x:v>894</x:v>
      </x:c>
      <x:c r="T498" s="1" t="n">
        <x:v>909</x:v>
      </x:c>
    </x:row>
    <x:row r="499" ht="21" customHeight="1">
      <x:c r="A499" s="12" t="n">
        <x:v>46274</x:v>
      </x:c>
      <x:c r="B499" s="1" t="str">
        <x:v>Butterfly</x:v>
      </x:c>
      <x:c r="C499" s="1" t="str">
        <x:v>call</x:v>
      </x:c>
      <x:c r="D499" s="11" t="n">
        <x:v>5000</x:v>
      </x:c>
      <x:c r="E499" s="11" t="n">
        <x:v>5200</x:v>
      </x:c>
      <x:c r="F499" s="11" t="n">
        <x:v>5400</x:v>
      </x:c>
      <x:c r="G499" s="11" t="n">
        <x:f>'Option source'!B92</x:f>
        <x:v>2047.78</x:v>
      </x:c>
      <x:c r="H499" s="11" t="n">
        <x:f>'Option source'!B111</x:f>
        <x:v>1895.85</x:v>
      </x:c>
      <x:c r="I499" s="11" t="n">
        <x:f>'Option source'!B130</x:f>
        <x:v>1750</x:v>
      </x:c>
      <x:c r="J499" s="11" t="n">
        <x:f>G499-2*H499+IF(B499="Butterfly",I499,0)</x:f>
        <x:v>6.080000000000155</x:v>
      </x:c>
      <x:c r="K499" s="11" t="n">
        <x:f>ABS(E499-D499)</x:f>
        <x:v>200</x:v>
      </x:c>
      <x:c r="L499" s="11" t="n">
        <x:f>K499-J499</x:f>
        <x:v>193.91999999999985</x:v>
      </x:c>
      <x:c r="M499" s="11" t="n">
        <x:f>IF(B499="Butterfly",MAX(J499,0),IF(C499="call","Unlimited",MAX(2*E499-D499+J499,J499,0)))</x:f>
        <x:v>6.080000000000155</x:v>
      </x:c>
      <x:c r="N499" s="11" t="n">
        <x:f>IF(B499="Butterfly",IF(AND(J499&gt;0,J499&lt;K499),D499+J499,"n.a."),IF(C499="call",IF(AND(J499&gt;0,J499&lt;K499),D499+J499,"n.a."),IF(AND(K499&gt;J499,2*E499-D499+J499&gt;=0),2*E499-D499+J499,"n.a.")))</x:f>
        <x:v>5006.08</x:v>
      </x:c>
      <x:c r="O499" s="11" t="n">
        <x:f>IF(B499="Butterfly",IF(AND(J499&gt;0,J499&lt;K499),F499-J499,"n.a."),IF(C499="call",IF(K499&gt;J499,2*E499-D499-J499,"n.a."),IF(AND(J499&gt;0,J499&lt;K499),D499-J499,"n.a.")))</x:f>
        <x:v>5393.92</x:v>
      </x:c>
      <x:c r="P499" s="19" t="n">
        <x:f>IF(AND(B499="Butterfly",J499&gt;0,J499&lt;K499),L499/J499,"n.a.")</x:f>
        <x:v>31.894736842104425</x:v>
      </x:c>
      <x:c r="Q499" s="11" t="n">
        <x:f>J499*'Model inputs'!$B$8</x:f>
        <x:v>608.0000000000155</x:v>
      </x:c>
      <x:c r="R499" s="1" t="str">
        <x:v>Flagged leg data</x:v>
      </x:c>
      <x:c r="S499" s="1" t="n">
        <x:v>87</x:v>
      </x:c>
      <x:c r="T499" s="1" t="n">
        <x:v>106</x:v>
      </x:c>
    </x:row>
    <x:row r="500" ht="21" customHeight="1">
      <x:c r="A500" s="12" t="n">
        <x:v>46274</x:v>
      </x:c>
      <x:c r="B500" s="1" t="str">
        <x:v>Butterfly</x:v>
      </x:c>
      <x:c r="C500" s="1" t="str">
        <x:v>call</x:v>
      </x:c>
      <x:c r="D500" s="11" t="n">
        <x:v>4800</x:v>
      </x:c>
      <x:c r="E500" s="11" t="n">
        <x:v>5000</x:v>
      </x:c>
      <x:c r="F500" s="11" t="n">
        <x:v>5200</x:v>
      </x:c>
      <x:c r="G500" s="11" t="n">
        <x:f>'Option source'!B75</x:f>
        <x:v>2347.98</x:v>
      </x:c>
      <x:c r="H500" s="11" t="n">
        <x:f>'Option source'!B92</x:f>
        <x:v>2047.78</x:v>
      </x:c>
      <x:c r="I500" s="11" t="n">
        <x:f>'Option source'!B111</x:f>
        <x:v>1895.85</x:v>
      </x:c>
      <x:c r="J500" s="11" t="n">
        <x:f>G500-2*H500+IF(B500="Butterfly",I500,0)</x:f>
        <x:v>148.26999999999998</x:v>
      </x:c>
      <x:c r="K500" s="11" t="n">
        <x:f>ABS(E500-D500)</x:f>
        <x:v>200</x:v>
      </x:c>
      <x:c r="L500" s="11" t="n">
        <x:f>K500-J500</x:f>
        <x:v>51.73000000000002</x:v>
      </x:c>
      <x:c r="M500" s="11" t="n">
        <x:f>IF(B500="Butterfly",MAX(J500,0),IF(C500="call","Unlimited",MAX(2*E500-D500+J500,J500,0)))</x:f>
        <x:v>148.26999999999998</x:v>
      </x:c>
      <x:c r="N500" s="11" t="n">
        <x:f>IF(B500="Butterfly",IF(AND(J500&gt;0,J500&lt;K500),D500+J500,"n.a."),IF(C500="call",IF(AND(J500&gt;0,J500&lt;K500),D500+J500,"n.a."),IF(AND(K500&gt;J500,2*E500-D500+J500&gt;=0),2*E500-D500+J500,"n.a.")))</x:f>
        <x:v>4948.27</x:v>
      </x:c>
      <x:c r="O500" s="11" t="n">
        <x:f>IF(B500="Butterfly",IF(AND(J500&gt;0,J500&lt;K500),F500-J500,"n.a."),IF(C500="call",IF(K500&gt;J500,2*E500-D500-J500,"n.a."),IF(AND(J500&gt;0,J500&lt;K500),D500-J500,"n.a.")))</x:f>
        <x:v>5051.73</x:v>
      </x:c>
      <x:c r="P500" s="19" t="n">
        <x:f>IF(AND(B500="Butterfly",J500&gt;0,J500&lt;K500),L500/J500,"n.a.")</x:f>
        <x:v>0.34889053753287935</x:v>
      </x:c>
      <x:c r="Q500" s="11" t="n">
        <x:f>J500*'Model inputs'!$B$8</x:f>
        <x:v>14826.999999999998</x:v>
      </x:c>
      <x:c r="R500" s="1" t="str">
        <x:v>Flagged leg data</x:v>
      </x:c>
      <x:c r="S500" s="1" t="n">
        <x:v>70</x:v>
      </x:c>
      <x:c r="T500" s="1" t="n">
        <x:v>87</x:v>
      </x:c>
    </x:row>
    <x:row r="501" ht="21" customHeight="1">
      <x:c r="A501" s="12" t="n">
        <x:v>46274</x:v>
      </x:c>
      <x:c r="B501" s="1" t="str">
        <x:v>Butterfly</x:v>
      </x:c>
      <x:c r="C501" s="1" t="str">
        <x:v>call</x:v>
      </x:c>
      <x:c r="D501" s="11" t="n">
        <x:v>4600</x:v>
      </x:c>
      <x:c r="E501" s="11" t="n">
        <x:v>4800</x:v>
      </x:c>
      <x:c r="F501" s="11" t="n">
        <x:v>5000</x:v>
      </x:c>
      <x:c r="G501" s="11" t="n">
        <x:f>'Option source'!B58</x:f>
        <x:v>2550</x:v>
      </x:c>
      <x:c r="H501" s="11" t="n">
        <x:f>'Option source'!B75</x:f>
        <x:v>2347.98</x:v>
      </x:c>
      <x:c r="I501" s="11" t="n">
        <x:f>'Option source'!B92</x:f>
        <x:v>2047.78</x:v>
      </x:c>
      <x:c r="J501" s="11" t="n">
        <x:f>G501-2*H501+IF(B501="Butterfly",I501,0)</x:f>
        <x:v>-98.18000000000006</x:v>
      </x:c>
      <x:c r="K501" s="11" t="n">
        <x:f>ABS(E501-D501)</x:f>
        <x:v>200</x:v>
      </x:c>
      <x:c r="L501" s="11" t="n">
        <x:f>K501-J501</x:f>
        <x:v>298.18000000000006</x:v>
      </x:c>
      <x:c r="M501" s="11" t="n">
        <x:f>IF(B501="Butterfly",MAX(J501,0),IF(C501="call","Unlimited",MAX(2*E501-D501+J501,J501,0)))</x:f>
        <x:v>0</x:v>
      </x:c>
      <x:c r="N501" s="11" t="str">
        <x:f>IF(B501="Butterfly",IF(AND(J501&gt;0,J501&lt;K501),D501+J501,"n.a."),IF(C501="call",IF(AND(J501&gt;0,J501&lt;K501),D501+J501,"n.a."),IF(AND(K501&gt;J501,2*E501-D501+J501&gt;=0),2*E501-D501+J501,"n.a.")))</x:f>
        <x:v>n.a.</x:v>
      </x:c>
      <x:c r="O501" s="11" t="str">
        <x:f>IF(B501="Butterfly",IF(AND(J501&gt;0,J501&lt;K501),F501-J501,"n.a."),IF(C501="call",IF(K501&gt;J501,2*E501-D501-J501,"n.a."),IF(AND(J501&gt;0,J501&lt;K501),D501-J501,"n.a.")))</x:f>
        <x:v>n.a.</x:v>
      </x:c>
      <x:c r="P501" s="19" t="str">
        <x:f>IF(AND(B501="Butterfly",J501&gt;0,J501&lt;K501),L501/J501,"n.a.")</x:f>
        <x:v>n.a.</x:v>
      </x:c>
      <x:c r="Q501" s="11" t="n">
        <x:f>J501*'Model inputs'!$B$8</x:f>
        <x:v>-9818.000000000007</x:v>
      </x:c>
      <x:c r="R501" s="1" t="str">
        <x:v>Outside standard debit bounds</x:v>
      </x:c>
      <x:c r="S501" s="1" t="n">
        <x:v>53</x:v>
      </x:c>
      <x:c r="T501" s="1" t="n">
        <x:v>70</x:v>
      </x:c>
    </x:row>
    <x:row r="502" ht="21" customHeight="1">
      <x:c r="A502" s="12" t="n">
        <x:v>46274</x:v>
      </x:c>
      <x:c r="B502" s="1" t="str">
        <x:v>Butterfly</x:v>
      </x:c>
      <x:c r="C502" s="1" t="str">
        <x:v>call</x:v>
      </x:c>
      <x:c r="D502" s="11" t="n">
        <x:v>4400</x:v>
      </x:c>
      <x:c r="E502" s="11" t="n">
        <x:v>4600</x:v>
      </x:c>
      <x:c r="F502" s="11" t="n">
        <x:v>4800</x:v>
      </x:c>
      <x:c r="G502" s="11" t="n">
        <x:f>'Option source'!B39</x:f>
        <x:v>2762.2</x:v>
      </x:c>
      <x:c r="H502" s="11" t="n">
        <x:f>'Option source'!B58</x:f>
        <x:v>2550</x:v>
      </x:c>
      <x:c r="I502" s="11" t="n">
        <x:f>'Option source'!B75</x:f>
        <x:v>2347.98</x:v>
      </x:c>
      <x:c r="J502" s="11" t="n">
        <x:f>G502-2*H502+IF(B502="Butterfly",I502,0)</x:f>
        <x:v>10.179999999999836</x:v>
      </x:c>
      <x:c r="K502" s="11" t="n">
        <x:f>ABS(E502-D502)</x:f>
        <x:v>200</x:v>
      </x:c>
      <x:c r="L502" s="11" t="n">
        <x:f>K502-J502</x:f>
        <x:v>189.82000000000016</x:v>
      </x:c>
      <x:c r="M502" s="11" t="n">
        <x:f>IF(B502="Butterfly",MAX(J502,0),IF(C502="call","Unlimited",MAX(2*E502-D502+J502,J502,0)))</x:f>
        <x:v>10.179999999999836</x:v>
      </x:c>
      <x:c r="N502" s="11" t="n">
        <x:f>IF(B502="Butterfly",IF(AND(J502&gt;0,J502&lt;K502),D502+J502,"n.a."),IF(C502="call",IF(AND(J502&gt;0,J502&lt;K502),D502+J502,"n.a."),IF(AND(K502&gt;J502,2*E502-D502+J502&gt;=0),2*E502-D502+J502,"n.a.")))</x:f>
        <x:v>4410.18</x:v>
      </x:c>
      <x:c r="O502" s="11" t="n">
        <x:f>IF(B502="Butterfly",IF(AND(J502&gt;0,J502&lt;K502),F502-J502,"n.a."),IF(C502="call",IF(K502&gt;J502,2*E502-D502-J502,"n.a."),IF(AND(J502&gt;0,J502&lt;K502),D502-J502,"n.a.")))</x:f>
        <x:v>4789.82</x:v>
      </x:c>
      <x:c r="P502" s="19" t="n">
        <x:f>IF(AND(B502="Butterfly",J502&gt;0,J502&lt;K502),L502/J502,"n.a.")</x:f>
        <x:v>18.64636542239717</x:v>
      </x:c>
      <x:c r="Q502" s="11" t="n">
        <x:f>J502*'Model inputs'!$B$8</x:f>
        <x:v>1017.9999999999836</x:v>
      </x:c>
      <x:c r="R502" s="1" t="str">
        <x:v>Flagged leg data</x:v>
      </x:c>
      <x:c r="S502" s="1" t="n">
        <x:v>34</x:v>
      </x:c>
      <x:c r="T502" s="1" t="n">
        <x:v>53</x:v>
      </x:c>
    </x:row>
    <x:row r="503" ht="21" customHeight="1">
      <x:c r="A503" s="12" t="n">
        <x:v>46274</x:v>
      </x:c>
      <x:c r="B503" s="1" t="str">
        <x:v>Butterfly</x:v>
      </x:c>
      <x:c r="C503" s="1" t="str">
        <x:v>put</x:v>
      </x:c>
      <x:c r="D503" s="11" t="n">
        <x:v>4400</x:v>
      </x:c>
      <x:c r="E503" s="11" t="n">
        <x:v>4600</x:v>
      </x:c>
      <x:c r="F503" s="11" t="n">
        <x:v>4800</x:v>
      </x:c>
      <x:c r="G503" s="11" t="n">
        <x:f>'Option source'!B519</x:f>
        <x:v>1</x:v>
      </x:c>
      <x:c r="H503" s="11" t="n">
        <x:f>'Option source'!B538</x:f>
        <x:v>1.22</x:v>
      </x:c>
      <x:c r="I503" s="11" t="n">
        <x:f>'Option source'!B557</x:f>
        <x:v>1.39</x:v>
      </x:c>
      <x:c r="J503" s="11" t="n">
        <x:f>G503-2*H503+IF(B503="Butterfly",I503,0)</x:f>
        <x:v>-0.050000000000000044</x:v>
      </x:c>
      <x:c r="K503" s="11" t="n">
        <x:f>ABS(E503-D503)</x:f>
        <x:v>200</x:v>
      </x:c>
      <x:c r="L503" s="11" t="n">
        <x:f>K503-J503</x:f>
        <x:v>200.05</x:v>
      </x:c>
      <x:c r="M503" s="11" t="n">
        <x:f>IF(B503="Butterfly",MAX(J503,0),IF(C503="call","Unlimited",MAX(2*E503-D503+J503,J503,0)))</x:f>
        <x:v>0</x:v>
      </x:c>
      <x:c r="N503" s="11" t="str">
        <x:f>IF(B503="Butterfly",IF(AND(J503&gt;0,J503&lt;K503),D503+J503,"n.a."),IF(C503="call",IF(AND(J503&gt;0,J503&lt;K503),D503+J503,"n.a."),IF(AND(K503&gt;J503,2*E503-D503+J503&gt;=0),2*E503-D503+J503,"n.a.")))</x:f>
        <x:v>n.a.</x:v>
      </x:c>
      <x:c r="O503" s="11" t="str">
        <x:f>IF(B503="Butterfly",IF(AND(J503&gt;0,J503&lt;K503),F503-J503,"n.a."),IF(C503="call",IF(K503&gt;J503,2*E503-D503-J503,"n.a."),IF(AND(J503&gt;0,J503&lt;K503),D503-J503,"n.a.")))</x:f>
        <x:v>n.a.</x:v>
      </x:c>
      <x:c r="P503" s="19" t="str">
        <x:f>IF(AND(B503="Butterfly",J503&gt;0,J503&lt;K503),L503/J503,"n.a.")</x:f>
        <x:v>n.a.</x:v>
      </x:c>
      <x:c r="Q503" s="11" t="n">
        <x:f>J503*'Model inputs'!$B$8</x:f>
        <x:v>-5.000000000000004</x:v>
      </x:c>
      <x:c r="R503" s="1" t="str">
        <x:v>Outside standard debit bounds</x:v>
      </x:c>
      <x:c r="S503" s="1" t="n">
        <x:v>514</x:v>
      </x:c>
      <x:c r="T503" s="1" t="n">
        <x:v>533</x:v>
      </x:c>
    </x:row>
    <x:row r="504" ht="21" customHeight="1">
      <x:c r="A504" s="12" t="n">
        <x:v>46274</x:v>
      </x:c>
      <x:c r="B504" s="1" t="str">
        <x:v>Butterfly</x:v>
      </x:c>
      <x:c r="C504" s="1" t="str">
        <x:v>call</x:v>
      </x:c>
      <x:c r="D504" s="11" t="n">
        <x:v>4200</x:v>
      </x:c>
      <x:c r="E504" s="11" t="n">
        <x:v>4400</x:v>
      </x:c>
      <x:c r="F504" s="11" t="n">
        <x:v>4600</x:v>
      </x:c>
      <x:c r="G504" s="11" t="n">
        <x:f>'Option source'!B20</x:f>
        <x:v>2845.62</x:v>
      </x:c>
      <x:c r="H504" s="11" t="n">
        <x:f>'Option source'!B39</x:f>
        <x:v>2762.2</x:v>
      </x:c>
      <x:c r="I504" s="11" t="n">
        <x:f>'Option source'!B58</x:f>
        <x:v>2550</x:v>
      </x:c>
      <x:c r="J504" s="11" t="n">
        <x:f>G504-2*H504+IF(B504="Butterfly",I504,0)</x:f>
        <x:v>-128.77999999999975</x:v>
      </x:c>
      <x:c r="K504" s="11" t="n">
        <x:f>ABS(E504-D504)</x:f>
        <x:v>200</x:v>
      </x:c>
      <x:c r="L504" s="11" t="n">
        <x:f>K504-J504</x:f>
        <x:v>328.77999999999975</x:v>
      </x:c>
      <x:c r="M504" s="11" t="n">
        <x:f>IF(B504="Butterfly",MAX(J504,0),IF(C504="call","Unlimited",MAX(2*E504-D504+J504,J504,0)))</x:f>
        <x:v>0</x:v>
      </x:c>
      <x:c r="N504" s="11" t="str">
        <x:f>IF(B504="Butterfly",IF(AND(J504&gt;0,J504&lt;K504),D504+J504,"n.a."),IF(C504="call",IF(AND(J504&gt;0,J504&lt;K504),D504+J504,"n.a."),IF(AND(K504&gt;J504,2*E504-D504+J504&gt;=0),2*E504-D504+J504,"n.a.")))</x:f>
        <x:v>n.a.</x:v>
      </x:c>
      <x:c r="O504" s="11" t="str">
        <x:f>IF(B504="Butterfly",IF(AND(J504&gt;0,J504&lt;K504),F504-J504,"n.a."),IF(C504="call",IF(K504&gt;J504,2*E504-D504-J504,"n.a."),IF(AND(J504&gt;0,J504&lt;K504),D504-J504,"n.a.")))</x:f>
        <x:v>n.a.</x:v>
      </x:c>
      <x:c r="P504" s="19" t="str">
        <x:f>IF(AND(B504="Butterfly",J504&gt;0,J504&lt;K504),L504/J504,"n.a.")</x:f>
        <x:v>n.a.</x:v>
      </x:c>
      <x:c r="Q504" s="11" t="n">
        <x:f>J504*'Model inputs'!$B$8</x:f>
        <x:v>-12877.999999999975</x:v>
      </x:c>
      <x:c r="R504" s="1" t="str">
        <x:v>Outside standard debit bounds</x:v>
      </x:c>
      <x:c r="S504" s="1" t="n">
        <x:v>15</x:v>
      </x:c>
      <x:c r="T504" s="1" t="n">
        <x:v>34</x:v>
      </x:c>
    </x:row>
    <x:row r="505" ht="21" customHeight="1">
      <x:c r="A505" s="12" t="n">
        <x:v>46274</x:v>
      </x:c>
      <x:c r="B505" s="1" t="str">
        <x:v>1x2 ratio</x:v>
      </x:c>
      <x:c r="C505" s="1" t="str">
        <x:v>call</x:v>
      </x:c>
      <x:c r="D505" s="11" t="n">
        <x:v>6800</x:v>
      </x:c>
      <x:c r="E505" s="11" t="n">
        <x:v>7000</x:v>
      </x:c>
      <x:c r="F505" s="11"/>
      <x:c r="G505" s="11" t="n">
        <x:f>'Option source'!B253</x:f>
        <x:v>630.86</x:v>
      </x:c>
      <x:c r="H505" s="11" t="n">
        <x:f>'Option source'!B272</x:f>
        <x:v>521.43</x:v>
      </x:c>
      <x:c r="I505" s="11"/>
      <x:c r="J505" s="11" t="n">
        <x:f>G505-2*H505+IF(B505="Butterfly",I505,0)</x:f>
        <x:v>-411.9999999999999</x:v>
      </x:c>
      <x:c r="K505" s="11" t="n">
        <x:f>ABS(E505-D505)</x:f>
        <x:v>200</x:v>
      </x:c>
      <x:c r="L505" s="11" t="n">
        <x:f>K505-J505</x:f>
        <x:v>611.9999999999999</x:v>
      </x:c>
      <x:c r="M505" s="11" t="str">
        <x:f>IF(B505="Butterfly",MAX(J505,0),IF(C505="call","Unlimited",MAX(2*E505-D505+J505,J505,0)))</x:f>
        <x:v>Unlimited</x:v>
      </x:c>
      <x:c r="N505" s="11" t="str">
        <x:f>IF(B505="Butterfly",IF(AND(J505&gt;0,J505&lt;K505),D505+J505,"n.a."),IF(C505="call",IF(AND(J505&gt;0,J505&lt;K505),D505+J505,"n.a."),IF(AND(K505&gt;J505,2*E505-D505+J505&gt;=0),2*E505-D505+J505,"n.a.")))</x:f>
        <x:v>n.a.</x:v>
      </x:c>
      <x:c r="O505" s="11" t="n">
        <x:f>IF(B505="Butterfly",IF(AND(J505&gt;0,J505&lt;K505),F505-J505,"n.a."),IF(C505="call",IF(K505&gt;J505,2*E505-D505-J505,"n.a."),IF(AND(J505&gt;0,J505&lt;K505),D505-J505,"n.a.")))</x:f>
        <x:v>7612</x:v>
      </x:c>
      <x:c r="P505" s="19" t="str">
        <x:f>IF(AND(B505="Butterfly",J505&gt;0,J505&lt;K505),L505/J505,"n.a.")</x:f>
        <x:v>n.a.</x:v>
      </x:c>
      <x:c r="Q505" s="11" t="n">
        <x:f>J505*'Model inputs'!$B$8</x:f>
        <x:v>-41199.999999999985</x:v>
      </x:c>
      <x:c r="R505" s="1" t="str">
        <x:v>Indicative only</x:v>
      </x:c>
      <x:c r="S505" s="1" t="n">
        <x:v>248</x:v>
      </x:c>
      <x:c r="T505" s="1" t="n">
        <x:v>267</x:v>
      </x:c>
    </x:row>
    <x:row r="506" ht="21" customHeight="1">
      <x:c r="A506" s="12" t="n">
        <x:v>46274</x:v>
      </x:c>
      <x:c r="B506" s="1" t="str">
        <x:v>1x2 ratio</x:v>
      </x:c>
      <x:c r="C506" s="1" t="str">
        <x:v>put</x:v>
      </x:c>
      <x:c r="D506" s="11" t="n">
        <x:v>7200</x:v>
      </x:c>
      <x:c r="E506" s="11" t="n">
        <x:v>7000</x:v>
      </x:c>
      <x:c r="F506" s="11"/>
      <x:c r="G506" s="11" t="n">
        <x:f>'Option source'!B785</x:f>
        <x:v>369.17</x:v>
      </x:c>
      <x:c r="H506" s="11" t="n">
        <x:f>'Option source'!B766</x:f>
        <x:v>279.23</x:v>
      </x:c>
      <x:c r="I506" s="11"/>
      <x:c r="J506" s="11" t="n">
        <x:f>G506-2*H506+IF(B506="Butterfly",I506,0)</x:f>
        <x:v>-189.29000000000002</x:v>
      </x:c>
      <x:c r="K506" s="11" t="n">
        <x:f>ABS(E506-D506)</x:f>
        <x:v>200</x:v>
      </x:c>
      <x:c r="L506" s="11" t="n">
        <x:f>K506-J506</x:f>
        <x:v>389.29</x:v>
      </x:c>
      <x:c r="M506" s="11" t="n">
        <x:f>IF(B506="Butterfly",MAX(J506,0),IF(C506="call","Unlimited",MAX(2*E506-D506+J506,J506,0)))</x:f>
        <x:v>6610.71</x:v>
      </x:c>
      <x:c r="N506" s="11" t="n">
        <x:f>IF(B506="Butterfly",IF(AND(J506&gt;0,J506&lt;K506),D506+J506,"n.a."),IF(C506="call",IF(AND(J506&gt;0,J506&lt;K506),D506+J506,"n.a."),IF(AND(K506&gt;J506,2*E506-D506+J506&gt;=0),2*E506-D506+J506,"n.a.")))</x:f>
        <x:v>6610.71</x:v>
      </x:c>
      <x:c r="O506" s="11" t="str">
        <x:f>IF(B506="Butterfly",IF(AND(J506&gt;0,J506&lt;K506),F506-J506,"n.a."),IF(C506="call",IF(K506&gt;J506,2*E506-D506-J506,"n.a."),IF(AND(J506&gt;0,J506&lt;K506),D506-J506,"n.a.")))</x:f>
        <x:v>n.a.</x:v>
      </x:c>
      <x:c r="P506" s="19" t="str">
        <x:f>IF(AND(B506="Butterfly",J506&gt;0,J506&lt;K506),L506/J506,"n.a.")</x:f>
        <x:v>n.a.</x:v>
      </x:c>
      <x:c r="Q506" s="11" t="n">
        <x:f>J506*'Model inputs'!$B$8</x:f>
        <x:v>-18929.000000000004</x:v>
      </x:c>
      <x:c r="R506" s="1" t="str">
        <x:v>Indicative only</x:v>
      </x:c>
      <x:c r="S506" s="1" t="n">
        <x:v>780</x:v>
      </x:c>
      <x:c r="T506" s="1" t="n">
        <x:v>761</x:v>
      </x:c>
    </x:row>
    <x:row r="507" ht="21" customHeight="1">
      <x:c r="A507" s="12" t="n">
        <x:v>46274</x:v>
      </x:c>
      <x:c r="B507" s="1" t="str">
        <x:v>1x2 ratio</x:v>
      </x:c>
      <x:c r="C507" s="1" t="str">
        <x:v>call</x:v>
      </x:c>
      <x:c r="D507" s="11" t="n">
        <x:v>7000</x:v>
      </x:c>
      <x:c r="E507" s="11" t="n">
        <x:v>7200</x:v>
      </x:c>
      <x:c r="F507" s="11"/>
      <x:c r="G507" s="11" t="n">
        <x:f>'Option source'!B272</x:f>
        <x:v>521.43</x:v>
      </x:c>
      <x:c r="H507" s="11" t="n">
        <x:f>'Option source'!B291</x:f>
        <x:v>418.29</x:v>
      </x:c>
      <x:c r="I507" s="11"/>
      <x:c r="J507" s="11" t="n">
        <x:f>G507-2*H507+IF(B507="Butterfly",I507,0)</x:f>
        <x:v>-315.1500000000001</x:v>
      </x:c>
      <x:c r="K507" s="11" t="n">
        <x:f>ABS(E507-D507)</x:f>
        <x:v>200</x:v>
      </x:c>
      <x:c r="L507" s="11" t="n">
        <x:f>K507-J507</x:f>
        <x:v>515.1500000000001</x:v>
      </x:c>
      <x:c r="M507" s="11" t="str">
        <x:f>IF(B507="Butterfly",MAX(J507,0),IF(C507="call","Unlimited",MAX(2*E507-D507+J507,J507,0)))</x:f>
        <x:v>Unlimited</x:v>
      </x:c>
      <x:c r="N507" s="11" t="str">
        <x:f>IF(B507="Butterfly",IF(AND(J507&gt;0,J507&lt;K507),D507+J507,"n.a."),IF(C507="call",IF(AND(J507&gt;0,J507&lt;K507),D507+J507,"n.a."),IF(AND(K507&gt;J507,2*E507-D507+J507&gt;=0),2*E507-D507+J507,"n.a.")))</x:f>
        <x:v>n.a.</x:v>
      </x:c>
      <x:c r="O507" s="11" t="n">
        <x:f>IF(B507="Butterfly",IF(AND(J507&gt;0,J507&lt;K507),F507-J507,"n.a."),IF(C507="call",IF(K507&gt;J507,2*E507-D507-J507,"n.a."),IF(AND(J507&gt;0,J507&lt;K507),D507-J507,"n.a.")))</x:f>
        <x:v>7715.15</x:v>
      </x:c>
      <x:c r="P507" s="19" t="str">
        <x:f>IF(AND(B507="Butterfly",J507&gt;0,J507&lt;K507),L507/J507,"n.a.")</x:f>
        <x:v>n.a.</x:v>
      </x:c>
      <x:c r="Q507" s="11" t="n">
        <x:f>J507*'Model inputs'!$B$8</x:f>
        <x:v>-31515.000000000007</x:v>
      </x:c>
      <x:c r="R507" s="1" t="str">
        <x:v>Indicative only</x:v>
      </x:c>
      <x:c r="S507" s="1" t="n">
        <x:v>267</x:v>
      </x:c>
      <x:c r="T507" s="1" t="n">
        <x:v>286</x:v>
      </x:c>
    </x:row>
    <x:row r="508" ht="21" customHeight="1">
      <x:c r="A508" s="12" t="n">
        <x:v>46274</x:v>
      </x:c>
      <x:c r="B508" s="1" t="str">
        <x:v>1x2 ratio</x:v>
      </x:c>
      <x:c r="C508" s="1" t="str">
        <x:v>put</x:v>
      </x:c>
      <x:c r="D508" s="11" t="n">
        <x:v>7400</x:v>
      </x:c>
      <x:c r="E508" s="11" t="n">
        <x:v>7200</x:v>
      </x:c>
      <x:c r="F508" s="11"/>
      <x:c r="G508" s="11" t="n">
        <x:f>'Option source'!B804</x:f>
        <x:v>480.11</x:v>
      </x:c>
      <x:c r="H508" s="11" t="n">
        <x:f>'Option source'!B785</x:f>
        <x:v>369.17</x:v>
      </x:c>
      <x:c r="I508" s="11"/>
      <x:c r="J508" s="11" t="n">
        <x:f>G508-2*H508+IF(B508="Butterfly",I508,0)</x:f>
        <x:v>-258.23</x:v>
      </x:c>
      <x:c r="K508" s="11" t="n">
        <x:f>ABS(E508-D508)</x:f>
        <x:v>200</x:v>
      </x:c>
      <x:c r="L508" s="11" t="n">
        <x:f>K508-J508</x:f>
        <x:v>458.23</x:v>
      </x:c>
      <x:c r="M508" s="11" t="n">
        <x:f>IF(B508="Butterfly",MAX(J508,0),IF(C508="call","Unlimited",MAX(2*E508-D508+J508,J508,0)))</x:f>
        <x:v>6741.77</x:v>
      </x:c>
      <x:c r="N508" s="11" t="n">
        <x:f>IF(B508="Butterfly",IF(AND(J508&gt;0,J508&lt;K508),D508+J508,"n.a."),IF(C508="call",IF(AND(J508&gt;0,J508&lt;K508),D508+J508,"n.a."),IF(AND(K508&gt;J508,2*E508-D508+J508&gt;=0),2*E508-D508+J508,"n.a.")))</x:f>
        <x:v>6741.77</x:v>
      </x:c>
      <x:c r="O508" s="11" t="str">
        <x:f>IF(B508="Butterfly",IF(AND(J508&gt;0,J508&lt;K508),F508-J508,"n.a."),IF(C508="call",IF(K508&gt;J508,2*E508-D508-J508,"n.a."),IF(AND(J508&gt;0,J508&lt;K508),D508-J508,"n.a.")))</x:f>
        <x:v>n.a.</x:v>
      </x:c>
      <x:c r="P508" s="19" t="str">
        <x:f>IF(AND(B508="Butterfly",J508&gt;0,J508&lt;K508),L508/J508,"n.a.")</x:f>
        <x:v>n.a.</x:v>
      </x:c>
      <x:c r="Q508" s="11" t="n">
        <x:f>J508*'Model inputs'!$B$8</x:f>
        <x:v>-25823</x:v>
      </x:c>
      <x:c r="R508" s="1" t="str">
        <x:v>Indicative only</x:v>
      </x:c>
      <x:c r="S508" s="1" t="n">
        <x:v>799</x:v>
      </x:c>
      <x:c r="T508" s="1" t="n">
        <x:v>780</x:v>
      </x:c>
    </x:row>
    <x:row r="509" ht="21" customHeight="1">
      <x:c r="A509" s="12" t="n">
        <x:v>46274</x:v>
      </x:c>
      <x:c r="B509" s="1" t="str">
        <x:v>1x2 ratio</x:v>
      </x:c>
      <x:c r="C509" s="1" t="str">
        <x:v>call</x:v>
      </x:c>
      <x:c r="D509" s="11" t="n">
        <x:v>6600</x:v>
      </x:c>
      <x:c r="E509" s="11" t="n">
        <x:v>6800</x:v>
      </x:c>
      <x:c r="F509" s="11"/>
      <x:c r="G509" s="11" t="n">
        <x:f>'Option source'!B234</x:f>
        <x:v>773.75</x:v>
      </x:c>
      <x:c r="H509" s="11" t="n">
        <x:f>'Option source'!B253</x:f>
        <x:v>630.86</x:v>
      </x:c>
      <x:c r="I509" s="11"/>
      <x:c r="J509" s="11" t="n">
        <x:f>G509-2*H509+IF(B509="Butterfly",I509,0)</x:f>
        <x:v>-487.97</x:v>
      </x:c>
      <x:c r="K509" s="11" t="n">
        <x:f>ABS(E509-D509)</x:f>
        <x:v>200</x:v>
      </x:c>
      <x:c r="L509" s="11" t="n">
        <x:f>K509-J509</x:f>
        <x:v>687.97</x:v>
      </x:c>
      <x:c r="M509" s="11" t="str">
        <x:f>IF(B509="Butterfly",MAX(J509,0),IF(C509="call","Unlimited",MAX(2*E509-D509+J509,J509,0)))</x:f>
        <x:v>Unlimited</x:v>
      </x:c>
      <x:c r="N509" s="11" t="str">
        <x:f>IF(B509="Butterfly",IF(AND(J509&gt;0,J509&lt;K509),D509+J509,"n.a."),IF(C509="call",IF(AND(J509&gt;0,J509&lt;K509),D509+J509,"n.a."),IF(AND(K509&gt;J509,2*E509-D509+J509&gt;=0),2*E509-D509+J509,"n.a.")))</x:f>
        <x:v>n.a.</x:v>
      </x:c>
      <x:c r="O509" s="11" t="n">
        <x:f>IF(B509="Butterfly",IF(AND(J509&gt;0,J509&lt;K509),F509-J509,"n.a."),IF(C509="call",IF(K509&gt;J509,2*E509-D509-J509,"n.a."),IF(AND(J509&gt;0,J509&lt;K509),D509-J509,"n.a.")))</x:f>
        <x:v>7487.97</x:v>
      </x:c>
      <x:c r="P509" s="19" t="str">
        <x:f>IF(AND(B509="Butterfly",J509&gt;0,J509&lt;K509),L509/J509,"n.a.")</x:f>
        <x:v>n.a.</x:v>
      </x:c>
      <x:c r="Q509" s="11" t="n">
        <x:f>J509*'Model inputs'!$B$8</x:f>
        <x:v>-48797</x:v>
      </x:c>
      <x:c r="R509" s="1" t="str">
        <x:v>Indicative only</x:v>
      </x:c>
      <x:c r="S509" s="1" t="n">
        <x:v>229</x:v>
      </x:c>
      <x:c r="T509" s="1" t="n">
        <x:v>248</x:v>
      </x:c>
    </x:row>
    <x:row r="510" ht="21" customHeight="1">
      <x:c r="A510" s="12" t="n">
        <x:v>46274</x:v>
      </x:c>
      <x:c r="B510" s="1" t="str">
        <x:v>1x2 ratio</x:v>
      </x:c>
      <x:c r="C510" s="1" t="str">
        <x:v>put</x:v>
      </x:c>
      <x:c r="D510" s="11" t="n">
        <x:v>7000</x:v>
      </x:c>
      <x:c r="E510" s="11" t="n">
        <x:v>6800</x:v>
      </x:c>
      <x:c r="F510" s="11"/>
      <x:c r="G510" s="11" t="n">
        <x:f>'Option source'!B766</x:f>
        <x:v>279.23</x:v>
      </x:c>
      <x:c r="H510" s="11" t="n">
        <x:f>'Option source'!B747</x:f>
        <x:v>195.89</x:v>
      </x:c>
      <x:c r="I510" s="11"/>
      <x:c r="J510" s="11" t="n">
        <x:f>G510-2*H510+IF(B510="Butterfly",I510,0)</x:f>
        <x:v>-112.54999999999995</x:v>
      </x:c>
      <x:c r="K510" s="11" t="n">
        <x:f>ABS(E510-D510)</x:f>
        <x:v>200</x:v>
      </x:c>
      <x:c r="L510" s="11" t="n">
        <x:f>K510-J510</x:f>
        <x:v>312.54999999999995</x:v>
      </x:c>
      <x:c r="M510" s="11" t="n">
        <x:f>IF(B510="Butterfly",MAX(J510,0),IF(C510="call","Unlimited",MAX(2*E510-D510+J510,J510,0)))</x:f>
        <x:v>6487.45</x:v>
      </x:c>
      <x:c r="N510" s="11" t="n">
        <x:f>IF(B510="Butterfly",IF(AND(J510&gt;0,J510&lt;K510),D510+J510,"n.a."),IF(C510="call",IF(AND(J510&gt;0,J510&lt;K510),D510+J510,"n.a."),IF(AND(K510&gt;J510,2*E510-D510+J510&gt;=0),2*E510-D510+J510,"n.a.")))</x:f>
        <x:v>6487.45</x:v>
      </x:c>
      <x:c r="O510" s="11" t="str">
        <x:f>IF(B510="Butterfly",IF(AND(J510&gt;0,J510&lt;K510),F510-J510,"n.a."),IF(C510="call",IF(K510&gt;J510,2*E510-D510-J510,"n.a."),IF(AND(J510&gt;0,J510&lt;K510),D510-J510,"n.a.")))</x:f>
        <x:v>n.a.</x:v>
      </x:c>
      <x:c r="P510" s="19" t="str">
        <x:f>IF(AND(B510="Butterfly",J510&gt;0,J510&lt;K510),L510/J510,"n.a.")</x:f>
        <x:v>n.a.</x:v>
      </x:c>
      <x:c r="Q510" s="11" t="n">
        <x:f>J510*'Model inputs'!$B$8</x:f>
        <x:v>-11254.999999999996</x:v>
      </x:c>
      <x:c r="R510" s="1" t="str">
        <x:v>Indicative only</x:v>
      </x:c>
      <x:c r="S510" s="1" t="n">
        <x:v>761</x:v>
      </x:c>
      <x:c r="T510" s="1" t="n">
        <x:v>742</x:v>
      </x:c>
    </x:row>
    <x:row r="511" ht="21" customHeight="1">
      <x:c r="A511" s="12" t="n">
        <x:v>46274</x:v>
      </x:c>
      <x:c r="B511" s="1" t="str">
        <x:v>1x2 ratio</x:v>
      </x:c>
      <x:c r="C511" s="1" t="str">
        <x:v>call</x:v>
      </x:c>
      <x:c r="D511" s="11" t="n">
        <x:v>7200</x:v>
      </x:c>
      <x:c r="E511" s="11" t="n">
        <x:v>7400</x:v>
      </x:c>
      <x:c r="F511" s="11"/>
      <x:c r="G511" s="11" t="n">
        <x:f>'Option source'!B291</x:f>
        <x:v>418.29</x:v>
      </x:c>
      <x:c r="H511" s="11" t="n">
        <x:f>'Option source'!B310</x:f>
        <x:v>324.41</x:v>
      </x:c>
      <x:c r="I511" s="11"/>
      <x:c r="J511" s="11" t="n">
        <x:f>G511-2*H511+IF(B511="Butterfly",I511,0)</x:f>
        <x:v>-230.53000000000003</x:v>
      </x:c>
      <x:c r="K511" s="11" t="n">
        <x:f>ABS(E511-D511)</x:f>
        <x:v>200</x:v>
      </x:c>
      <x:c r="L511" s="11" t="n">
        <x:f>K511-J511</x:f>
        <x:v>430.53000000000003</x:v>
      </x:c>
      <x:c r="M511" s="11" t="str">
        <x:f>IF(B511="Butterfly",MAX(J511,0),IF(C511="call","Unlimited",MAX(2*E511-D511+J511,J511,0)))</x:f>
        <x:v>Unlimited</x:v>
      </x:c>
      <x:c r="N511" s="11" t="str">
        <x:f>IF(B511="Butterfly",IF(AND(J511&gt;0,J511&lt;K511),D511+J511,"n.a."),IF(C511="call",IF(AND(J511&gt;0,J511&lt;K511),D511+J511,"n.a."),IF(AND(K511&gt;J511,2*E511-D511+J511&gt;=0),2*E511-D511+J511,"n.a.")))</x:f>
        <x:v>n.a.</x:v>
      </x:c>
      <x:c r="O511" s="11" t="n">
        <x:f>IF(B511="Butterfly",IF(AND(J511&gt;0,J511&lt;K511),F511-J511,"n.a."),IF(C511="call",IF(K511&gt;J511,2*E511-D511-J511,"n.a."),IF(AND(J511&gt;0,J511&lt;K511),D511-J511,"n.a.")))</x:f>
        <x:v>7830.53</x:v>
      </x:c>
      <x:c r="P511" s="19" t="str">
        <x:f>IF(AND(B511="Butterfly",J511&gt;0,J511&lt;K511),L511/J511,"n.a.")</x:f>
        <x:v>n.a.</x:v>
      </x:c>
      <x:c r="Q511" s="11" t="n">
        <x:f>J511*'Model inputs'!$B$8</x:f>
        <x:v>-23053.000000000004</x:v>
      </x:c>
      <x:c r="R511" s="1" t="str">
        <x:v>Indicative only</x:v>
      </x:c>
      <x:c r="S511" s="1" t="n">
        <x:v>286</x:v>
      </x:c>
      <x:c r="T511" s="1" t="n">
        <x:v>305</x:v>
      </x:c>
    </x:row>
    <x:row r="512" ht="21" customHeight="1">
      <x:c r="A512" s="12" t="n">
        <x:v>46274</x:v>
      </x:c>
      <x:c r="B512" s="1" t="str">
        <x:v>1x2 ratio</x:v>
      </x:c>
      <x:c r="C512" s="1" t="str">
        <x:v>put</x:v>
      </x:c>
      <x:c r="D512" s="11" t="n">
        <x:v>7600</x:v>
      </x:c>
      <x:c r="E512" s="11" t="n">
        <x:v>7400</x:v>
      </x:c>
      <x:c r="F512" s="11"/>
      <x:c r="G512" s="11" t="n">
        <x:f>'Option source'!B823</x:f>
        <x:v>593.01</x:v>
      </x:c>
      <x:c r="H512" s="11" t="n">
        <x:f>'Option source'!B804</x:f>
        <x:v>480.11</x:v>
      </x:c>
      <x:c r="I512" s="11"/>
      <x:c r="J512" s="11" t="n">
        <x:f>G512-2*H512+IF(B512="Butterfly",I512,0)</x:f>
        <x:v>-367.21000000000004</x:v>
      </x:c>
      <x:c r="K512" s="11" t="n">
        <x:f>ABS(E512-D512)</x:f>
        <x:v>200</x:v>
      </x:c>
      <x:c r="L512" s="11" t="n">
        <x:f>K512-J512</x:f>
        <x:v>567.21</x:v>
      </x:c>
      <x:c r="M512" s="11" t="n">
        <x:f>IF(B512="Butterfly",MAX(J512,0),IF(C512="call","Unlimited",MAX(2*E512-D512+J512,J512,0)))</x:f>
        <x:v>6832.79</x:v>
      </x:c>
      <x:c r="N512" s="11" t="n">
        <x:f>IF(B512="Butterfly",IF(AND(J512&gt;0,J512&lt;K512),D512+J512,"n.a."),IF(C512="call",IF(AND(J512&gt;0,J512&lt;K512),D512+J512,"n.a."),IF(AND(K512&gt;J512,2*E512-D512+J512&gt;=0),2*E512-D512+J512,"n.a.")))</x:f>
        <x:v>6832.79</x:v>
      </x:c>
      <x:c r="O512" s="11" t="str">
        <x:f>IF(B512="Butterfly",IF(AND(J512&gt;0,J512&lt;K512),F512-J512,"n.a."),IF(C512="call",IF(K512&gt;J512,2*E512-D512-J512,"n.a."),IF(AND(J512&gt;0,J512&lt;K512),D512-J512,"n.a.")))</x:f>
        <x:v>n.a.</x:v>
      </x:c>
      <x:c r="P512" s="19" t="str">
        <x:f>IF(AND(B512="Butterfly",J512&gt;0,J512&lt;K512),L512/J512,"n.a.")</x:f>
        <x:v>n.a.</x:v>
      </x:c>
      <x:c r="Q512" s="11" t="n">
        <x:f>J512*'Model inputs'!$B$8</x:f>
        <x:v>-36721</x:v>
      </x:c>
      <x:c r="R512" s="1" t="str">
        <x:v>Indicative only</x:v>
      </x:c>
      <x:c r="S512" s="1" t="n">
        <x:v>818</x:v>
      </x:c>
      <x:c r="T512" s="1" t="n">
        <x:v>799</x:v>
      </x:c>
    </x:row>
    <x:row r="513" ht="21" customHeight="1">
      <x:c r="A513" s="12" t="n">
        <x:v>46274</x:v>
      </x:c>
      <x:c r="B513" s="1" t="str">
        <x:v>1x2 ratio</x:v>
      </x:c>
      <x:c r="C513" s="1" t="str">
        <x:v>put</x:v>
      </x:c>
      <x:c r="D513" s="11" t="n">
        <x:v>6800</x:v>
      </x:c>
      <x:c r="E513" s="11" t="n">
        <x:v>6600</x:v>
      </x:c>
      <x:c r="F513" s="11"/>
      <x:c r="G513" s="11" t="n">
        <x:f>'Option source'!B747</x:f>
        <x:v>195.89</x:v>
      </x:c>
      <x:c r="H513" s="11" t="n">
        <x:f>'Option source'!B728</x:f>
        <x:v>133.95</x:v>
      </x:c>
      <x:c r="I513" s="11"/>
      <x:c r="J513" s="11" t="n">
        <x:f>G513-2*H513+IF(B513="Butterfly",I513,0)</x:f>
        <x:v>-72.00999999999999</x:v>
      </x:c>
      <x:c r="K513" s="11" t="n">
        <x:f>ABS(E513-D513)</x:f>
        <x:v>200</x:v>
      </x:c>
      <x:c r="L513" s="11" t="n">
        <x:f>K513-J513</x:f>
        <x:v>272.01</x:v>
      </x:c>
      <x:c r="M513" s="11" t="n">
        <x:f>IF(B513="Butterfly",MAX(J513,0),IF(C513="call","Unlimited",MAX(2*E513-D513+J513,J513,0)))</x:f>
        <x:v>6327.99</x:v>
      </x:c>
      <x:c r="N513" s="11" t="n">
        <x:f>IF(B513="Butterfly",IF(AND(J513&gt;0,J513&lt;K513),D513+J513,"n.a."),IF(C513="call",IF(AND(J513&gt;0,J513&lt;K513),D513+J513,"n.a."),IF(AND(K513&gt;J513,2*E513-D513+J513&gt;=0),2*E513-D513+J513,"n.a.")))</x:f>
        <x:v>6327.99</x:v>
      </x:c>
      <x:c r="O513" s="11" t="str">
        <x:f>IF(B513="Butterfly",IF(AND(J513&gt;0,J513&lt;K513),F513-J513,"n.a."),IF(C513="call",IF(K513&gt;J513,2*E513-D513-J513,"n.a."),IF(AND(J513&gt;0,J513&lt;K513),D513-J513,"n.a.")))</x:f>
        <x:v>n.a.</x:v>
      </x:c>
      <x:c r="P513" s="19" t="str">
        <x:f>IF(AND(B513="Butterfly",J513&gt;0,J513&lt;K513),L513/J513,"n.a.")</x:f>
        <x:v>n.a.</x:v>
      </x:c>
      <x:c r="Q513" s="11" t="n">
        <x:f>J513*'Model inputs'!$B$8</x:f>
        <x:v>-7200.999999999999</x:v>
      </x:c>
      <x:c r="R513" s="1" t="str">
        <x:v>Indicative only</x:v>
      </x:c>
      <x:c r="S513" s="1" t="n">
        <x:v>742</x:v>
      </x:c>
      <x:c r="T513" s="1" t="n">
        <x:v>723</x:v>
      </x:c>
    </x:row>
    <x:row r="514" ht="21" customHeight="1">
      <x:c r="A514" s="12" t="n">
        <x:v>46274</x:v>
      </x:c>
      <x:c r="B514" s="1" t="str">
        <x:v>1x2 ratio</x:v>
      </x:c>
      <x:c r="C514" s="1" t="str">
        <x:v>call</x:v>
      </x:c>
      <x:c r="D514" s="11" t="n">
        <x:v>7400</x:v>
      </x:c>
      <x:c r="E514" s="11" t="n">
        <x:v>7600</x:v>
      </x:c>
      <x:c r="F514" s="11"/>
      <x:c r="G514" s="11" t="n">
        <x:f>'Option source'!B310</x:f>
        <x:v>324.41</x:v>
      </x:c>
      <x:c r="H514" s="11" t="n">
        <x:f>'Option source'!B329</x:f>
        <x:v>247.27</x:v>
      </x:c>
      <x:c r="I514" s="11"/>
      <x:c r="J514" s="11" t="n">
        <x:f>G514-2*H514+IF(B514="Butterfly",I514,0)</x:f>
        <x:v>-170.13</x:v>
      </x:c>
      <x:c r="K514" s="11" t="n">
        <x:f>ABS(E514-D514)</x:f>
        <x:v>200</x:v>
      </x:c>
      <x:c r="L514" s="11" t="n">
        <x:f>K514-J514</x:f>
        <x:v>370.13</x:v>
      </x:c>
      <x:c r="M514" s="11" t="str">
        <x:f>IF(B514="Butterfly",MAX(J514,0),IF(C514="call","Unlimited",MAX(2*E514-D514+J514,J514,0)))</x:f>
        <x:v>Unlimited</x:v>
      </x:c>
      <x:c r="N514" s="11" t="str">
        <x:f>IF(B514="Butterfly",IF(AND(J514&gt;0,J514&lt;K514),D514+J514,"n.a."),IF(C514="call",IF(AND(J514&gt;0,J514&lt;K514),D514+J514,"n.a."),IF(AND(K514&gt;J514,2*E514-D514+J514&gt;=0),2*E514-D514+J514,"n.a.")))</x:f>
        <x:v>n.a.</x:v>
      </x:c>
      <x:c r="O514" s="11" t="n">
        <x:f>IF(B514="Butterfly",IF(AND(J514&gt;0,J514&lt;K514),F514-J514,"n.a."),IF(C514="call",IF(K514&gt;J514,2*E514-D514-J514,"n.a."),IF(AND(J514&gt;0,J514&lt;K514),D514-J514,"n.a.")))</x:f>
        <x:v>7970.13</x:v>
      </x:c>
      <x:c r="P514" s="19" t="str">
        <x:f>IF(AND(B514="Butterfly",J514&gt;0,J514&lt;K514),L514/J514,"n.a.")</x:f>
        <x:v>n.a.</x:v>
      </x:c>
      <x:c r="Q514" s="11" t="n">
        <x:f>J514*'Model inputs'!$B$8</x:f>
        <x:v>-17013</x:v>
      </x:c>
      <x:c r="R514" s="1" t="str">
        <x:v>Indicative only</x:v>
      </x:c>
      <x:c r="S514" s="1" t="n">
        <x:v>305</x:v>
      </x:c>
      <x:c r="T514" s="1" t="n">
        <x:v>324</x:v>
      </x:c>
    </x:row>
    <x:row r="515" ht="21" customHeight="1">
      <x:c r="A515" s="12" t="n">
        <x:v>46274</x:v>
      </x:c>
      <x:c r="B515" s="1" t="str">
        <x:v>1x2 ratio</x:v>
      </x:c>
      <x:c r="C515" s="1" t="str">
        <x:v>put</x:v>
      </x:c>
      <x:c r="D515" s="11" t="n">
        <x:v>6600</x:v>
      </x:c>
      <x:c r="E515" s="11" t="n">
        <x:v>6400</x:v>
      </x:c>
      <x:c r="F515" s="11"/>
      <x:c r="G515" s="11" t="n">
        <x:f>'Option source'!B728</x:f>
        <x:v>133.95</x:v>
      </x:c>
      <x:c r="H515" s="11" t="n">
        <x:f>'Option source'!B709</x:f>
        <x:v>89.43</x:v>
      </x:c>
      <x:c r="I515" s="11"/>
      <x:c r="J515" s="11" t="n">
        <x:f>G515-2*H515+IF(B515="Butterfly",I515,0)</x:f>
        <x:v>-44.910000000000025</x:v>
      </x:c>
      <x:c r="K515" s="11" t="n">
        <x:f>ABS(E515-D515)</x:f>
        <x:v>200</x:v>
      </x:c>
      <x:c r="L515" s="11" t="n">
        <x:f>K515-J515</x:f>
        <x:v>244.91000000000003</x:v>
      </x:c>
      <x:c r="M515" s="11" t="n">
        <x:f>IF(B515="Butterfly",MAX(J515,0),IF(C515="call","Unlimited",MAX(2*E515-D515+J515,J515,0)))</x:f>
        <x:v>6155.09</x:v>
      </x:c>
      <x:c r="N515" s="11" t="n">
        <x:f>IF(B515="Butterfly",IF(AND(J515&gt;0,J515&lt;K515),D515+J515,"n.a."),IF(C515="call",IF(AND(J515&gt;0,J515&lt;K515),D515+J515,"n.a."),IF(AND(K515&gt;J515,2*E515-D515+J515&gt;=0),2*E515-D515+J515,"n.a.")))</x:f>
        <x:v>6155.09</x:v>
      </x:c>
      <x:c r="O515" s="11" t="str">
        <x:f>IF(B515="Butterfly",IF(AND(J515&gt;0,J515&lt;K515),F515-J515,"n.a."),IF(C515="call",IF(K515&gt;J515,2*E515-D515-J515,"n.a."),IF(AND(J515&gt;0,J515&lt;K515),D515-J515,"n.a.")))</x:f>
        <x:v>n.a.</x:v>
      </x:c>
      <x:c r="P515" s="19" t="str">
        <x:f>IF(AND(B515="Butterfly",J515&gt;0,J515&lt;K515),L515/J515,"n.a.")</x:f>
        <x:v>n.a.</x:v>
      </x:c>
      <x:c r="Q515" s="11" t="n">
        <x:f>J515*'Model inputs'!$B$8</x:f>
        <x:v>-4491.000000000003</x:v>
      </x:c>
      <x:c r="R515" s="1" t="str">
        <x:v>Indicative only</x:v>
      </x:c>
      <x:c r="S515" s="1" t="n">
        <x:v>723</x:v>
      </x:c>
      <x:c r="T515" s="1" t="n">
        <x:v>704</x:v>
      </x:c>
    </x:row>
    <x:row r="516" ht="21" customHeight="1">
      <x:c r="A516" s="12" t="n">
        <x:v>46274</x:v>
      </x:c>
      <x:c r="B516" s="1" t="str">
        <x:v>1x2 ratio</x:v>
      </x:c>
      <x:c r="C516" s="1" t="str">
        <x:v>call</x:v>
      </x:c>
      <x:c r="D516" s="11" t="n">
        <x:v>7600</x:v>
      </x:c>
      <x:c r="E516" s="11" t="n">
        <x:v>7800</x:v>
      </x:c>
      <x:c r="F516" s="11"/>
      <x:c r="G516" s="11" t="n">
        <x:f>'Option source'!B329</x:f>
        <x:v>247.27</x:v>
      </x:c>
      <x:c r="H516" s="11" t="n">
        <x:f>'Option source'!B348</x:f>
        <x:v>187.56</x:v>
      </x:c>
      <x:c r="I516" s="11"/>
      <x:c r="J516" s="11" t="n">
        <x:f>G516-2*H516+IF(B516="Butterfly",I516,0)</x:f>
        <x:v>-127.85</x:v>
      </x:c>
      <x:c r="K516" s="11" t="n">
        <x:f>ABS(E516-D516)</x:f>
        <x:v>200</x:v>
      </x:c>
      <x:c r="L516" s="11" t="n">
        <x:f>K516-J516</x:f>
        <x:v>327.85</x:v>
      </x:c>
      <x:c r="M516" s="11" t="str">
        <x:f>IF(B516="Butterfly",MAX(J516,0),IF(C516="call","Unlimited",MAX(2*E516-D516+J516,J516,0)))</x:f>
        <x:v>Unlimited</x:v>
      </x:c>
      <x:c r="N516" s="11" t="str">
        <x:f>IF(B516="Butterfly",IF(AND(J516&gt;0,J516&lt;K516),D516+J516,"n.a."),IF(C516="call",IF(AND(J516&gt;0,J516&lt;K516),D516+J516,"n.a."),IF(AND(K516&gt;J516,2*E516-D516+J516&gt;=0),2*E516-D516+J516,"n.a.")))</x:f>
        <x:v>n.a.</x:v>
      </x:c>
      <x:c r="O516" s="11" t="n">
        <x:f>IF(B516="Butterfly",IF(AND(J516&gt;0,J516&lt;K516),F516-J516,"n.a."),IF(C516="call",IF(K516&gt;J516,2*E516-D516-J516,"n.a."),IF(AND(J516&gt;0,J516&lt;K516),D516-J516,"n.a.")))</x:f>
        <x:v>8127.85</x:v>
      </x:c>
      <x:c r="P516" s="19" t="str">
        <x:f>IF(AND(B516="Butterfly",J516&gt;0,J516&lt;K516),L516/J516,"n.a.")</x:f>
        <x:v>n.a.</x:v>
      </x:c>
      <x:c r="Q516" s="11" t="n">
        <x:f>J516*'Model inputs'!$B$8</x:f>
        <x:v>-12785</x:v>
      </x:c>
      <x:c r="R516" s="1" t="str">
        <x:v>Indicative only</x:v>
      </x:c>
      <x:c r="S516" s="1" t="n">
        <x:v>324</x:v>
      </x:c>
      <x:c r="T516" s="1" t="n">
        <x:v>343</x:v>
      </x:c>
    </x:row>
    <x:row r="517" ht="21" customHeight="1">
      <x:c r="A517" s="12" t="n">
        <x:v>46274</x:v>
      </x:c>
      <x:c r="B517" s="1" t="str">
        <x:v>1x2 ratio</x:v>
      </x:c>
      <x:c r="C517" s="1" t="str">
        <x:v>put</x:v>
      </x:c>
      <x:c r="D517" s="11" t="n">
        <x:v>6400</x:v>
      </x:c>
      <x:c r="E517" s="11" t="n">
        <x:v>6200</x:v>
      </x:c>
      <x:c r="F517" s="11"/>
      <x:c r="G517" s="11" t="n">
        <x:f>'Option source'!B709</x:f>
        <x:v>89.43</x:v>
      </x:c>
      <x:c r="H517" s="11" t="n">
        <x:f>'Option source'!B690</x:f>
        <x:v>55.42</x:v>
      </x:c>
      <x:c r="I517" s="11"/>
      <x:c r="J517" s="11" t="n">
        <x:f>G517-2*H517+IF(B517="Butterfly",I517,0)</x:f>
        <x:v>-21.409999999999997</x:v>
      </x:c>
      <x:c r="K517" s="11" t="n">
        <x:f>ABS(E517-D517)</x:f>
        <x:v>200</x:v>
      </x:c>
      <x:c r="L517" s="11" t="n">
        <x:f>K517-J517</x:f>
        <x:v>221.41</x:v>
      </x:c>
      <x:c r="M517" s="11" t="n">
        <x:f>IF(B517="Butterfly",MAX(J517,0),IF(C517="call","Unlimited",MAX(2*E517-D517+J517,J517,0)))</x:f>
        <x:v>5978.59</x:v>
      </x:c>
      <x:c r="N517" s="11" t="n">
        <x:f>IF(B517="Butterfly",IF(AND(J517&gt;0,J517&lt;K517),D517+J517,"n.a."),IF(C517="call",IF(AND(J517&gt;0,J517&lt;K517),D517+J517,"n.a."),IF(AND(K517&gt;J517,2*E517-D517+J517&gt;=0),2*E517-D517+J517,"n.a.")))</x:f>
        <x:v>5978.59</x:v>
      </x:c>
      <x:c r="O517" s="11" t="str">
        <x:f>IF(B517="Butterfly",IF(AND(J517&gt;0,J517&lt;K517),F517-J517,"n.a."),IF(C517="call",IF(K517&gt;J517,2*E517-D517-J517,"n.a."),IF(AND(J517&gt;0,J517&lt;K517),D517-J517,"n.a.")))</x:f>
        <x:v>n.a.</x:v>
      </x:c>
      <x:c r="P517" s="19" t="str">
        <x:f>IF(AND(B517="Butterfly",J517&gt;0,J517&lt;K517),L517/J517,"n.a.")</x:f>
        <x:v>n.a.</x:v>
      </x:c>
      <x:c r="Q517" s="11" t="n">
        <x:f>J517*'Model inputs'!$B$8</x:f>
        <x:v>-2140.9999999999995</x:v>
      </x:c>
      <x:c r="R517" s="1" t="str">
        <x:v>Indicative only</x:v>
      </x:c>
      <x:c r="S517" s="1" t="n">
        <x:v>704</x:v>
      </x:c>
      <x:c r="T517" s="1" t="n">
        <x:v>685</x:v>
      </x:c>
    </x:row>
    <x:row r="518" ht="21" customHeight="1">
      <x:c r="A518" s="12" t="n">
        <x:v>46274</x:v>
      </x:c>
      <x:c r="B518" s="1" t="str">
        <x:v>1x2 ratio</x:v>
      </x:c>
      <x:c r="C518" s="1" t="str">
        <x:v>call</x:v>
      </x:c>
      <x:c r="D518" s="11" t="n">
        <x:v>7800</x:v>
      </x:c>
      <x:c r="E518" s="11" t="n">
        <x:v>8000</x:v>
      </x:c>
      <x:c r="F518" s="11"/>
      <x:c r="G518" s="11" t="n">
        <x:f>'Option source'!B348</x:f>
        <x:v>187.56</x:v>
      </x:c>
      <x:c r="H518" s="11" t="n">
        <x:f>'Option source'!B367</x:f>
        <x:v>141.05</x:v>
      </x:c>
      <x:c r="I518" s="11"/>
      <x:c r="J518" s="11" t="n">
        <x:f>G518-2*H518+IF(B518="Butterfly",I518,0)</x:f>
        <x:v>-94.54000000000002</x:v>
      </x:c>
      <x:c r="K518" s="11" t="n">
        <x:f>ABS(E518-D518)</x:f>
        <x:v>200</x:v>
      </x:c>
      <x:c r="L518" s="11" t="n">
        <x:f>K518-J518</x:f>
        <x:v>294.54</x:v>
      </x:c>
      <x:c r="M518" s="11" t="str">
        <x:f>IF(B518="Butterfly",MAX(J518,0),IF(C518="call","Unlimited",MAX(2*E518-D518+J518,J518,0)))</x:f>
        <x:v>Unlimited</x:v>
      </x:c>
      <x:c r="N518" s="11" t="str">
        <x:f>IF(B518="Butterfly",IF(AND(J518&gt;0,J518&lt;K518),D518+J518,"n.a."),IF(C518="call",IF(AND(J518&gt;0,J518&lt;K518),D518+J518,"n.a."),IF(AND(K518&gt;J518,2*E518-D518+J518&gt;=0),2*E518-D518+J518,"n.a.")))</x:f>
        <x:v>n.a.</x:v>
      </x:c>
      <x:c r="O518" s="11" t="n">
        <x:f>IF(B518="Butterfly",IF(AND(J518&gt;0,J518&lt;K518),F518-J518,"n.a."),IF(C518="call",IF(K518&gt;J518,2*E518-D518-J518,"n.a."),IF(AND(J518&gt;0,J518&lt;K518),D518-J518,"n.a.")))</x:f>
        <x:v>8294.54</x:v>
      </x:c>
      <x:c r="P518" s="19" t="str">
        <x:f>IF(AND(B518="Butterfly",J518&gt;0,J518&lt;K518),L518/J518,"n.a.")</x:f>
        <x:v>n.a.</x:v>
      </x:c>
      <x:c r="Q518" s="11" t="n">
        <x:f>J518*'Model inputs'!$B$8</x:f>
        <x:v>-9454.000000000002</x:v>
      </x:c>
      <x:c r="R518" s="1" t="str">
        <x:v>Indicative only</x:v>
      </x:c>
      <x:c r="S518" s="1" t="n">
        <x:v>343</x:v>
      </x:c>
      <x:c r="T518" s="1" t="n">
        <x:v>362</x:v>
      </x:c>
    </x:row>
    <x:row r="519" ht="21" customHeight="1">
      <x:c r="A519" s="12" t="n">
        <x:v>46274</x:v>
      </x:c>
      <x:c r="B519" s="1" t="str">
        <x:v>1x2 ratio</x:v>
      </x:c>
      <x:c r="C519" s="1" t="str">
        <x:v>put</x:v>
      </x:c>
      <x:c r="D519" s="11" t="n">
        <x:v>6200</x:v>
      </x:c>
      <x:c r="E519" s="11" t="n">
        <x:v>6000</x:v>
      </x:c>
      <x:c r="F519" s="11"/>
      <x:c r="G519" s="11" t="n">
        <x:f>'Option source'!B690</x:f>
        <x:v>55.42</x:v>
      </x:c>
      <x:c r="H519" s="11" t="n">
        <x:f>'Option source'!B671</x:f>
        <x:v>32.38</x:v>
      </x:c>
      <x:c r="I519" s="11"/>
      <x:c r="J519" s="11" t="n">
        <x:f>G519-2*H519+IF(B519="Butterfly",I519,0)</x:f>
        <x:v>-9.340000000000003</x:v>
      </x:c>
      <x:c r="K519" s="11" t="n">
        <x:f>ABS(E519-D519)</x:f>
        <x:v>200</x:v>
      </x:c>
      <x:c r="L519" s="11" t="n">
        <x:f>K519-J519</x:f>
        <x:v>209.34</x:v>
      </x:c>
      <x:c r="M519" s="11" t="n">
        <x:f>IF(B519="Butterfly",MAX(J519,0),IF(C519="call","Unlimited",MAX(2*E519-D519+J519,J519,0)))</x:f>
        <x:v>5790.66</x:v>
      </x:c>
      <x:c r="N519" s="11" t="n">
        <x:f>IF(B519="Butterfly",IF(AND(J519&gt;0,J519&lt;K519),D519+J519,"n.a."),IF(C519="call",IF(AND(J519&gt;0,J519&lt;K519),D519+J519,"n.a."),IF(AND(K519&gt;J519,2*E519-D519+J519&gt;=0),2*E519-D519+J519,"n.a.")))</x:f>
        <x:v>5790.66</x:v>
      </x:c>
      <x:c r="O519" s="11" t="str">
        <x:f>IF(B519="Butterfly",IF(AND(J519&gt;0,J519&lt;K519),F519-J519,"n.a."),IF(C519="call",IF(K519&gt;J519,2*E519-D519-J519,"n.a."),IF(AND(J519&gt;0,J519&lt;K519),D519-J519,"n.a.")))</x:f>
        <x:v>n.a.</x:v>
      </x:c>
      <x:c r="P519" s="19" t="str">
        <x:f>IF(AND(B519="Butterfly",J519&gt;0,J519&lt;K519),L519/J519,"n.a.")</x:f>
        <x:v>n.a.</x:v>
      </x:c>
      <x:c r="Q519" s="11" t="n">
        <x:f>J519*'Model inputs'!$B$8</x:f>
        <x:v>-934.0000000000003</x:v>
      </x:c>
      <x:c r="R519" s="1" t="str">
        <x:v>Indicative only</x:v>
      </x:c>
      <x:c r="S519" s="1" t="n">
        <x:v>685</x:v>
      </x:c>
      <x:c r="T519" s="1" t="n">
        <x:v>666</x:v>
      </x:c>
    </x:row>
    <x:row r="520" ht="21" customHeight="1">
      <x:c r="A520" s="12" t="n">
        <x:v>46274</x:v>
      </x:c>
      <x:c r="B520" s="1" t="str">
        <x:v>1x2 ratio</x:v>
      </x:c>
      <x:c r="C520" s="1" t="str">
        <x:v>call</x:v>
      </x:c>
      <x:c r="D520" s="11" t="n">
        <x:v>8000</x:v>
      </x:c>
      <x:c r="E520" s="11" t="n">
        <x:v>8300</x:v>
      </x:c>
      <x:c r="F520" s="11"/>
      <x:c r="G520" s="11" t="n">
        <x:f>'Option source'!B367</x:f>
        <x:v>141.05</x:v>
      </x:c>
      <x:c r="H520" s="11" t="n">
        <x:f>'Option source'!B386</x:f>
        <x:v>88.96</x:v>
      </x:c>
      <x:c r="I520" s="11"/>
      <x:c r="J520" s="11" t="n">
        <x:f>G520-2*H520+IF(B520="Butterfly",I520,0)</x:f>
        <x:v>-36.869999999999976</x:v>
      </x:c>
      <x:c r="K520" s="11" t="n">
        <x:f>ABS(E520-D520)</x:f>
        <x:v>300</x:v>
      </x:c>
      <x:c r="L520" s="11" t="n">
        <x:f>K520-J520</x:f>
        <x:v>336.87</x:v>
      </x:c>
      <x:c r="M520" s="11" t="str">
        <x:f>IF(B520="Butterfly",MAX(J520,0),IF(C520="call","Unlimited",MAX(2*E520-D520+J520,J520,0)))</x:f>
        <x:v>Unlimited</x:v>
      </x:c>
      <x:c r="N520" s="11" t="str">
        <x:f>IF(B520="Butterfly",IF(AND(J520&gt;0,J520&lt;K520),D520+J520,"n.a."),IF(C520="call",IF(AND(J520&gt;0,J520&lt;K520),D520+J520,"n.a."),IF(AND(K520&gt;J520,2*E520-D520+J520&gt;=0),2*E520-D520+J520,"n.a.")))</x:f>
        <x:v>n.a.</x:v>
      </x:c>
      <x:c r="O520" s="11" t="n">
        <x:f>IF(B520="Butterfly",IF(AND(J520&gt;0,J520&lt;K520),F520-J520,"n.a."),IF(C520="call",IF(K520&gt;J520,2*E520-D520-J520,"n.a."),IF(AND(J520&gt;0,J520&lt;K520),D520-J520,"n.a.")))</x:f>
        <x:v>8636.87</x:v>
      </x:c>
      <x:c r="P520" s="19" t="str">
        <x:f>IF(AND(B520="Butterfly",J520&gt;0,J520&lt;K520),L520/J520,"n.a.")</x:f>
        <x:v>n.a.</x:v>
      </x:c>
      <x:c r="Q520" s="11" t="n">
        <x:f>J520*'Model inputs'!$B$8</x:f>
        <x:v>-3686.9999999999977</x:v>
      </x:c>
      <x:c r="R520" s="1" t="str">
        <x:v>Indicative only</x:v>
      </x:c>
      <x:c r="S520" s="1" t="n">
        <x:v>362</x:v>
      </x:c>
      <x:c r="T520" s="1" t="n">
        <x:v>381</x:v>
      </x:c>
    </x:row>
    <x:row r="521" ht="21" customHeight="1">
      <x:c r="A521" s="12" t="n">
        <x:v>46274</x:v>
      </x:c>
      <x:c r="B521" s="1" t="str">
        <x:v>1x2 ratio</x:v>
      </x:c>
      <x:c r="C521" s="1" t="str">
        <x:v>put</x:v>
      </x:c>
      <x:c r="D521" s="11" t="n">
        <x:v>6000</x:v>
      </x:c>
      <x:c r="E521" s="11" t="n">
        <x:v>5800</x:v>
      </x:c>
      <x:c r="F521" s="11"/>
      <x:c r="G521" s="11" t="n">
        <x:f>'Option source'!B671</x:f>
        <x:v>32.38</x:v>
      </x:c>
      <x:c r="H521" s="11" t="n">
        <x:f>'Option source'!B652</x:f>
        <x:v>18.33</x:v>
      </x:c>
      <x:c r="I521" s="11"/>
      <x:c r="J521" s="11" t="n">
        <x:f>G521-2*H521+IF(B521="Butterfly",I521,0)</x:f>
        <x:v>-4.279999999999994</x:v>
      </x:c>
      <x:c r="K521" s="11" t="n">
        <x:f>ABS(E521-D521)</x:f>
        <x:v>200</x:v>
      </x:c>
      <x:c r="L521" s="11" t="n">
        <x:f>K521-J521</x:f>
        <x:v>204.28</x:v>
      </x:c>
      <x:c r="M521" s="11" t="n">
        <x:f>IF(B521="Butterfly",MAX(J521,0),IF(C521="call","Unlimited",MAX(2*E521-D521+J521,J521,0)))</x:f>
        <x:v>5595.72</x:v>
      </x:c>
      <x:c r="N521" s="11" t="n">
        <x:f>IF(B521="Butterfly",IF(AND(J521&gt;0,J521&lt;K521),D521+J521,"n.a."),IF(C521="call",IF(AND(J521&gt;0,J521&lt;K521),D521+J521,"n.a."),IF(AND(K521&gt;J521,2*E521-D521+J521&gt;=0),2*E521-D521+J521,"n.a.")))</x:f>
        <x:v>5595.72</x:v>
      </x:c>
      <x:c r="O521" s="11" t="str">
        <x:f>IF(B521="Butterfly",IF(AND(J521&gt;0,J521&lt;K521),F521-J521,"n.a."),IF(C521="call",IF(K521&gt;J521,2*E521-D521-J521,"n.a."),IF(AND(J521&gt;0,J521&lt;K521),D521-J521,"n.a.")))</x:f>
        <x:v>n.a.</x:v>
      </x:c>
      <x:c r="P521" s="19" t="str">
        <x:f>IF(AND(B521="Butterfly",J521&gt;0,J521&lt;K521),L521/J521,"n.a.")</x:f>
        <x:v>n.a.</x:v>
      </x:c>
      <x:c r="Q521" s="11" t="n">
        <x:f>J521*'Model inputs'!$B$8</x:f>
        <x:v>-427.99999999999943</x:v>
      </x:c>
      <x:c r="R521" s="1" t="str">
        <x:v>Indicative only</x:v>
      </x:c>
      <x:c r="S521" s="1" t="n">
        <x:v>666</x:v>
      </x:c>
      <x:c r="T521" s="1" t="n">
        <x:v>647</x:v>
      </x:c>
    </x:row>
    <x:row r="522" ht="21" customHeight="1">
      <x:c r="A522" s="12" t="n">
        <x:v>46274</x:v>
      </x:c>
      <x:c r="B522" s="1" t="str">
        <x:v>1x2 ratio</x:v>
      </x:c>
      <x:c r="C522" s="1" t="str">
        <x:v>put</x:v>
      </x:c>
      <x:c r="D522" s="11" t="n">
        <x:v>5800</x:v>
      </x:c>
      <x:c r="E522" s="11" t="n">
        <x:v>5600</x:v>
      </x:c>
      <x:c r="F522" s="11"/>
      <x:c r="G522" s="11" t="n">
        <x:f>'Option source'!B652</x:f>
        <x:v>18.33</x:v>
      </x:c>
      <x:c r="H522" s="11" t="n">
        <x:f>'Option source'!B633</x:f>
        <x:v>9.5</x:v>
      </x:c>
      <x:c r="I522" s="11"/>
      <x:c r="J522" s="11" t="n">
        <x:f>G522-2*H522+IF(B522="Butterfly",I522,0)</x:f>
        <x:v>-0.6700000000000017</x:v>
      </x:c>
      <x:c r="K522" s="11" t="n">
        <x:f>ABS(E522-D522)</x:f>
        <x:v>200</x:v>
      </x:c>
      <x:c r="L522" s="11" t="n">
        <x:f>K522-J522</x:f>
        <x:v>200.67000000000002</x:v>
      </x:c>
      <x:c r="M522" s="11" t="n">
        <x:f>IF(B522="Butterfly",MAX(J522,0),IF(C522="call","Unlimited",MAX(2*E522-D522+J522,J522,0)))</x:f>
        <x:v>5399.33</x:v>
      </x:c>
      <x:c r="N522" s="11" t="n">
        <x:f>IF(B522="Butterfly",IF(AND(J522&gt;0,J522&lt;K522),D522+J522,"n.a."),IF(C522="call",IF(AND(J522&gt;0,J522&lt;K522),D522+J522,"n.a."),IF(AND(K522&gt;J522,2*E522-D522+J522&gt;=0),2*E522-D522+J522,"n.a.")))</x:f>
        <x:v>5399.33</x:v>
      </x:c>
      <x:c r="O522" s="11" t="str">
        <x:f>IF(B522="Butterfly",IF(AND(J522&gt;0,J522&lt;K522),F522-J522,"n.a."),IF(C522="call",IF(K522&gt;J522,2*E522-D522-J522,"n.a."),IF(AND(J522&gt;0,J522&lt;K522),D522-J522,"n.a.")))</x:f>
        <x:v>n.a.</x:v>
      </x:c>
      <x:c r="P522" s="19" t="str">
        <x:f>IF(AND(B522="Butterfly",J522&gt;0,J522&lt;K522),L522/J522,"n.a.")</x:f>
        <x:v>n.a.</x:v>
      </x:c>
      <x:c r="Q522" s="11" t="n">
        <x:f>J522*'Model inputs'!$B$8</x:f>
        <x:v>-67.00000000000017</x:v>
      </x:c>
      <x:c r="R522" s="1" t="str">
        <x:v>Indicative only</x:v>
      </x:c>
      <x:c r="S522" s="1" t="n">
        <x:v>647</x:v>
      </x:c>
      <x:c r="T522" s="1" t="n">
        <x:v>628</x:v>
      </x:c>
    </x:row>
    <x:row r="523" ht="21" customHeight="1">
      <x:c r="A523" s="12" t="n">
        <x:v>46274</x:v>
      </x:c>
      <x:c r="B523" s="1" t="str">
        <x:v>1x2 ratio</x:v>
      </x:c>
      <x:c r="C523" s="1" t="str">
        <x:v>call</x:v>
      </x:c>
      <x:c r="D523" s="11" t="n">
        <x:v>8300</x:v>
      </x:c>
      <x:c r="E523" s="11" t="n">
        <x:v>8600</x:v>
      </x:c>
      <x:c r="F523" s="11"/>
      <x:c r="G523" s="11" t="n">
        <x:f>'Option source'!B386</x:f>
        <x:v>88.96</x:v>
      </x:c>
      <x:c r="H523" s="11" t="n">
        <x:f>'Option source'!B405</x:f>
        <x:v>53.35</x:v>
      </x:c>
      <x:c r="I523" s="11"/>
      <x:c r="J523" s="11" t="n">
        <x:f>G523-2*H523+IF(B523="Butterfly",I523,0)</x:f>
        <x:v>-17.74000000000001</x:v>
      </x:c>
      <x:c r="K523" s="11" t="n">
        <x:f>ABS(E523-D523)</x:f>
        <x:v>300</x:v>
      </x:c>
      <x:c r="L523" s="11" t="n">
        <x:f>K523-J523</x:f>
        <x:v>317.74</x:v>
      </x:c>
      <x:c r="M523" s="11" t="str">
        <x:f>IF(B523="Butterfly",MAX(J523,0),IF(C523="call","Unlimited",MAX(2*E523-D523+J523,J523,0)))</x:f>
        <x:v>Unlimited</x:v>
      </x:c>
      <x:c r="N523" s="11" t="str">
        <x:f>IF(B523="Butterfly",IF(AND(J523&gt;0,J523&lt;K523),D523+J523,"n.a."),IF(C523="call",IF(AND(J523&gt;0,J523&lt;K523),D523+J523,"n.a."),IF(AND(K523&gt;J523,2*E523-D523+J523&gt;=0),2*E523-D523+J523,"n.a.")))</x:f>
        <x:v>n.a.</x:v>
      </x:c>
      <x:c r="O523" s="11" t="n">
        <x:f>IF(B523="Butterfly",IF(AND(J523&gt;0,J523&lt;K523),F523-J523,"n.a."),IF(C523="call",IF(K523&gt;J523,2*E523-D523-J523,"n.a."),IF(AND(J523&gt;0,J523&lt;K523),D523-J523,"n.a.")))</x:f>
        <x:v>8917.74</x:v>
      </x:c>
      <x:c r="P523" s="19" t="str">
        <x:f>IF(AND(B523="Butterfly",J523&gt;0,J523&lt;K523),L523/J523,"n.a.")</x:f>
        <x:v>n.a.</x:v>
      </x:c>
      <x:c r="Q523" s="11" t="n">
        <x:f>J523*'Model inputs'!$B$8</x:f>
        <x:v>-1774.000000000001</x:v>
      </x:c>
      <x:c r="R523" s="1" t="str">
        <x:v>Indicative only</x:v>
      </x:c>
      <x:c r="S523" s="1" t="n">
        <x:v>381</x:v>
      </x:c>
      <x:c r="T523" s="1" t="n">
        <x:v>400</x:v>
      </x:c>
    </x:row>
    <x:row r="524" ht="21" customHeight="1">
      <x:c r="A524" s="12" t="n">
        <x:v>46274</x:v>
      </x:c>
      <x:c r="B524" s="1" t="str">
        <x:v>1x2 ratio</x:v>
      </x:c>
      <x:c r="C524" s="1" t="str">
        <x:v>put</x:v>
      </x:c>
      <x:c r="D524" s="11" t="n">
        <x:v>5600</x:v>
      </x:c>
      <x:c r="E524" s="11" t="n">
        <x:v>5400</x:v>
      </x:c>
      <x:c r="F524" s="11"/>
      <x:c r="G524" s="11" t="n">
        <x:f>'Option source'!B633</x:f>
        <x:v>9.5</x:v>
      </x:c>
      <x:c r="H524" s="11" t="n">
        <x:f>'Option source'!B614</x:f>
        <x:v>5.7</x:v>
      </x:c>
      <x:c r="I524" s="11"/>
      <x:c r="J524" s="11" t="n">
        <x:f>G524-2*H524+IF(B524="Butterfly",I524,0)</x:f>
        <x:v>-1.9000000000000004</x:v>
      </x:c>
      <x:c r="K524" s="11" t="n">
        <x:f>ABS(E524-D524)</x:f>
        <x:v>200</x:v>
      </x:c>
      <x:c r="L524" s="11" t="n">
        <x:f>K524-J524</x:f>
        <x:v>201.9</x:v>
      </x:c>
      <x:c r="M524" s="11" t="n">
        <x:f>IF(B524="Butterfly",MAX(J524,0),IF(C524="call","Unlimited",MAX(2*E524-D524+J524,J524,0)))</x:f>
        <x:v>5198.1</x:v>
      </x:c>
      <x:c r="N524" s="11" t="n">
        <x:f>IF(B524="Butterfly",IF(AND(J524&gt;0,J524&lt;K524),D524+J524,"n.a."),IF(C524="call",IF(AND(J524&gt;0,J524&lt;K524),D524+J524,"n.a."),IF(AND(K524&gt;J524,2*E524-D524+J524&gt;=0),2*E524-D524+J524,"n.a.")))</x:f>
        <x:v>5198.1</x:v>
      </x:c>
      <x:c r="O524" s="11" t="str">
        <x:f>IF(B524="Butterfly",IF(AND(J524&gt;0,J524&lt;K524),F524-J524,"n.a."),IF(C524="call",IF(K524&gt;J524,2*E524-D524-J524,"n.a."),IF(AND(J524&gt;0,J524&lt;K524),D524-J524,"n.a.")))</x:f>
        <x:v>n.a.</x:v>
      </x:c>
      <x:c r="P524" s="19" t="str">
        <x:f>IF(AND(B524="Butterfly",J524&gt;0,J524&lt;K524),L524/J524,"n.a.")</x:f>
        <x:v>n.a.</x:v>
      </x:c>
      <x:c r="Q524" s="11" t="n">
        <x:f>J524*'Model inputs'!$B$8</x:f>
        <x:v>-190.00000000000003</x:v>
      </x:c>
      <x:c r="R524" s="1" t="str">
        <x:v>Indicative only</x:v>
      </x:c>
      <x:c r="S524" s="1" t="n">
        <x:v>628</x:v>
      </x:c>
      <x:c r="T524" s="1" t="n">
        <x:v>609</x:v>
      </x:c>
    </x:row>
    <x:row r="525" ht="21" customHeight="1">
      <x:c r="A525" s="12" t="n">
        <x:v>46274</x:v>
      </x:c>
      <x:c r="B525" s="1" t="str">
        <x:v>1x2 ratio</x:v>
      </x:c>
      <x:c r="C525" s="1" t="str">
        <x:v>call</x:v>
      </x:c>
      <x:c r="D525" s="11" t="n">
        <x:v>8600</x:v>
      </x:c>
      <x:c r="E525" s="11" t="n">
        <x:v>8900</x:v>
      </x:c>
      <x:c r="F525" s="11"/>
      <x:c r="G525" s="11" t="n">
        <x:f>'Option source'!B405</x:f>
        <x:v>53.35</x:v>
      </x:c>
      <x:c r="H525" s="11" t="n">
        <x:f>'Option source'!B424</x:f>
        <x:v>30.7</x:v>
      </x:c>
      <x:c r="I525" s="11"/>
      <x:c r="J525" s="11" t="n">
        <x:f>G525-2*H525+IF(B525="Butterfly",I525,0)</x:f>
        <x:v>-8.049999999999997</x:v>
      </x:c>
      <x:c r="K525" s="11" t="n">
        <x:f>ABS(E525-D525)</x:f>
        <x:v>300</x:v>
      </x:c>
      <x:c r="L525" s="11" t="n">
        <x:f>K525-J525</x:f>
        <x:v>308.05</x:v>
      </x:c>
      <x:c r="M525" s="11" t="str">
        <x:f>IF(B525="Butterfly",MAX(J525,0),IF(C525="call","Unlimited",MAX(2*E525-D525+J525,J525,0)))</x:f>
        <x:v>Unlimited</x:v>
      </x:c>
      <x:c r="N525" s="11" t="str">
        <x:f>IF(B525="Butterfly",IF(AND(J525&gt;0,J525&lt;K525),D525+J525,"n.a."),IF(C525="call",IF(AND(J525&gt;0,J525&lt;K525),D525+J525,"n.a."),IF(AND(K525&gt;J525,2*E525-D525+J525&gt;=0),2*E525-D525+J525,"n.a.")))</x:f>
        <x:v>n.a.</x:v>
      </x:c>
      <x:c r="O525" s="11" t="n">
        <x:f>IF(B525="Butterfly",IF(AND(J525&gt;0,J525&lt;K525),F525-J525,"n.a."),IF(C525="call",IF(K525&gt;J525,2*E525-D525-J525,"n.a."),IF(AND(J525&gt;0,J525&lt;K525),D525-J525,"n.a.")))</x:f>
        <x:v>9208.05</x:v>
      </x:c>
      <x:c r="P525" s="19" t="str">
        <x:f>IF(AND(B525="Butterfly",J525&gt;0,J525&lt;K525),L525/J525,"n.a.")</x:f>
        <x:v>n.a.</x:v>
      </x:c>
      <x:c r="Q525" s="11" t="n">
        <x:f>J525*'Model inputs'!$B$8</x:f>
        <x:v>-804.9999999999998</x:v>
      </x:c>
      <x:c r="R525" s="1" t="str">
        <x:v>Indicative only</x:v>
      </x:c>
      <x:c r="S525" s="1" t="n">
        <x:v>400</x:v>
      </x:c>
      <x:c r="T525" s="1" t="n">
        <x:v>419</x:v>
      </x:c>
    </x:row>
    <x:row r="526" ht="21" customHeight="1">
      <x:c r="A526" s="12" t="n">
        <x:v>46274</x:v>
      </x:c>
      <x:c r="B526" s="1" t="str">
        <x:v>1x2 ratio</x:v>
      </x:c>
      <x:c r="C526" s="1" t="str">
        <x:v>put</x:v>
      </x:c>
      <x:c r="D526" s="11" t="n">
        <x:v>5400</x:v>
      </x:c>
      <x:c r="E526" s="11" t="n">
        <x:v>5200</x:v>
      </x:c>
      <x:c r="F526" s="11"/>
      <x:c r="G526" s="11" t="n">
        <x:f>'Option source'!B614</x:f>
        <x:v>5.7</x:v>
      </x:c>
      <x:c r="H526" s="11" t="n">
        <x:f>'Option source'!B595</x:f>
        <x:v>2.85</x:v>
      </x:c>
      <x:c r="I526" s="11"/>
      <x:c r="J526" s="11" t="n">
        <x:f>G526-2*H526+IF(B526="Butterfly",I526,0)</x:f>
        <x:v>0</x:v>
      </x:c>
      <x:c r="K526" s="11" t="n">
        <x:f>ABS(E526-D526)</x:f>
        <x:v>200</x:v>
      </x:c>
      <x:c r="L526" s="11" t="n">
        <x:f>K526-J526</x:f>
        <x:v>200</x:v>
      </x:c>
      <x:c r="M526" s="11" t="n">
        <x:f>IF(B526="Butterfly",MAX(J526,0),IF(C526="call","Unlimited",MAX(2*E526-D526+J526,J526,0)))</x:f>
        <x:v>5000</x:v>
      </x:c>
      <x:c r="N526" s="11" t="n">
        <x:f>IF(B526="Butterfly",IF(AND(J526&gt;0,J526&lt;K526),D526+J526,"n.a."),IF(C526="call",IF(AND(J526&gt;0,J526&lt;K526),D526+J526,"n.a."),IF(AND(K526&gt;J526,2*E526-D526+J526&gt;=0),2*E526-D526+J526,"n.a.")))</x:f>
        <x:v>5000</x:v>
      </x:c>
      <x:c r="O526" s="11" t="str">
        <x:f>IF(B526="Butterfly",IF(AND(J526&gt;0,J526&lt;K526),F526-J526,"n.a."),IF(C526="call",IF(K526&gt;J526,2*E526-D526-J526,"n.a."),IF(AND(J526&gt;0,J526&lt;K526),D526-J526,"n.a.")))</x:f>
        <x:v>n.a.</x:v>
      </x:c>
      <x:c r="P526" s="19" t="str">
        <x:f>IF(AND(B526="Butterfly",J526&gt;0,J526&lt;K526),L526/J526,"n.a.")</x:f>
        <x:v>n.a.</x:v>
      </x:c>
      <x:c r="Q526" s="11" t="n">
        <x:f>J526*'Model inputs'!$B$8</x:f>
        <x:v>0</x:v>
      </x:c>
      <x:c r="R526" s="1" t="str">
        <x:v>Indicative only</x:v>
      </x:c>
      <x:c r="S526" s="1" t="n">
        <x:v>609</x:v>
      </x:c>
      <x:c r="T526" s="1" t="n">
        <x:v>590</x:v>
      </x:c>
    </x:row>
    <x:row r="527" ht="21" customHeight="1">
      <x:c r="A527" s="12" t="n">
        <x:v>46274</x:v>
      </x:c>
      <x:c r="B527" s="1" t="str">
        <x:v>1x2 ratio</x:v>
      </x:c>
      <x:c r="C527" s="1" t="str">
        <x:v>put</x:v>
      </x:c>
      <x:c r="D527" s="11" t="n">
        <x:v>5200</x:v>
      </x:c>
      <x:c r="E527" s="11" t="n">
        <x:v>5000</x:v>
      </x:c>
      <x:c r="F527" s="11"/>
      <x:c r="G527" s="11" t="n">
        <x:f>'Option source'!B595</x:f>
        <x:v>2.85</x:v>
      </x:c>
      <x:c r="H527" s="11" t="n">
        <x:f>'Option source'!B576</x:f>
        <x:v>1.66</x:v>
      </x:c>
      <x:c r="I527" s="11"/>
      <x:c r="J527" s="11" t="n">
        <x:f>G527-2*H527+IF(B527="Butterfly",I527,0)</x:f>
        <x:v>-0.46999999999999975</x:v>
      </x:c>
      <x:c r="K527" s="11" t="n">
        <x:f>ABS(E527-D527)</x:f>
        <x:v>200</x:v>
      </x:c>
      <x:c r="L527" s="11" t="n">
        <x:f>K527-J527</x:f>
        <x:v>200.47</x:v>
      </x:c>
      <x:c r="M527" s="11" t="n">
        <x:f>IF(B527="Butterfly",MAX(J527,0),IF(C527="call","Unlimited",MAX(2*E527-D527+J527,J527,0)))</x:f>
        <x:v>4799.53</x:v>
      </x:c>
      <x:c r="N527" s="11" t="n">
        <x:f>IF(B527="Butterfly",IF(AND(J527&gt;0,J527&lt;K527),D527+J527,"n.a."),IF(C527="call",IF(AND(J527&gt;0,J527&lt;K527),D527+J527,"n.a."),IF(AND(K527&gt;J527,2*E527-D527+J527&gt;=0),2*E527-D527+J527,"n.a.")))</x:f>
        <x:v>4799.53</x:v>
      </x:c>
      <x:c r="O527" s="11" t="str">
        <x:f>IF(B527="Butterfly",IF(AND(J527&gt;0,J527&lt;K527),F527-J527,"n.a."),IF(C527="call",IF(K527&gt;J527,2*E527-D527-J527,"n.a."),IF(AND(J527&gt;0,J527&lt;K527),D527-J527,"n.a.")))</x:f>
        <x:v>n.a.</x:v>
      </x:c>
      <x:c r="P527" s="19" t="str">
        <x:f>IF(AND(B527="Butterfly",J527&gt;0,J527&lt;K527),L527/J527,"n.a.")</x:f>
        <x:v>n.a.</x:v>
      </x:c>
      <x:c r="Q527" s="11" t="n">
        <x:f>J527*'Model inputs'!$B$8</x:f>
        <x:v>-46.99999999999997</x:v>
      </x:c>
      <x:c r="R527" s="1" t="str">
        <x:v>Indicative only</x:v>
      </x:c>
      <x:c r="S527" s="1" t="n">
        <x:v>590</x:v>
      </x:c>
      <x:c r="T527" s="1" t="n">
        <x:v>571</x:v>
      </x:c>
    </x:row>
    <x:row r="528" ht="21" customHeight="1">
      <x:c r="A528" s="12" t="n">
        <x:v>46274</x:v>
      </x:c>
      <x:c r="B528" s="1" t="str">
        <x:v>1x2 ratio</x:v>
      </x:c>
      <x:c r="C528" s="1" t="str">
        <x:v>call</x:v>
      </x:c>
      <x:c r="D528" s="11" t="n">
        <x:v>8900</x:v>
      </x:c>
      <x:c r="E528" s="11" t="n">
        <x:v>9200</x:v>
      </x:c>
      <x:c r="F528" s="11"/>
      <x:c r="G528" s="11" t="n">
        <x:f>'Option source'!B424</x:f>
        <x:v>30.7</x:v>
      </x:c>
      <x:c r="H528" s="11" t="n">
        <x:f>'Option source'!B443</x:f>
        <x:v>17.58</x:v>
      </x:c>
      <x:c r="I528" s="11"/>
      <x:c r="J528" s="11" t="n">
        <x:f>G528-2*H528+IF(B528="Butterfly",I528,0)</x:f>
        <x:v>-4.459999999999997</x:v>
      </x:c>
      <x:c r="K528" s="11" t="n">
        <x:f>ABS(E528-D528)</x:f>
        <x:v>300</x:v>
      </x:c>
      <x:c r="L528" s="11" t="n">
        <x:f>K528-J528</x:f>
        <x:v>304.46</x:v>
      </x:c>
      <x:c r="M528" s="11" t="str">
        <x:f>IF(B528="Butterfly",MAX(J528,0),IF(C528="call","Unlimited",MAX(2*E528-D528+J528,J528,0)))</x:f>
        <x:v>Unlimited</x:v>
      </x:c>
      <x:c r="N528" s="11" t="str">
        <x:f>IF(B528="Butterfly",IF(AND(J528&gt;0,J528&lt;K528),D528+J528,"n.a."),IF(C528="call",IF(AND(J528&gt;0,J528&lt;K528),D528+J528,"n.a."),IF(AND(K528&gt;J528,2*E528-D528+J528&gt;=0),2*E528-D528+J528,"n.a.")))</x:f>
        <x:v>n.a.</x:v>
      </x:c>
      <x:c r="O528" s="11" t="n">
        <x:f>IF(B528="Butterfly",IF(AND(J528&gt;0,J528&lt;K528),F528-J528,"n.a."),IF(C528="call",IF(K528&gt;J528,2*E528-D528-J528,"n.a."),IF(AND(J528&gt;0,J528&lt;K528),D528-J528,"n.a.")))</x:f>
        <x:v>9504.46</x:v>
      </x:c>
      <x:c r="P528" s="19" t="str">
        <x:f>IF(AND(B528="Butterfly",J528&gt;0,J528&lt;K528),L528/J528,"n.a.")</x:f>
        <x:v>n.a.</x:v>
      </x:c>
      <x:c r="Q528" s="11" t="n">
        <x:f>J528*'Model inputs'!$B$8</x:f>
        <x:v>-445.9999999999997</x:v>
      </x:c>
      <x:c r="R528" s="1" t="str">
        <x:v>Indicative only</x:v>
      </x:c>
      <x:c r="S528" s="1" t="n">
        <x:v>419</x:v>
      </x:c>
      <x:c r="T528" s="1" t="n">
        <x:v>438</x:v>
      </x:c>
    </x:row>
    <x:row r="529" ht="21" customHeight="1">
      <x:c r="A529" s="12" t="n">
        <x:v>46274</x:v>
      </x:c>
      <x:c r="B529" s="1" t="str">
        <x:v>1x2 ratio</x:v>
      </x:c>
      <x:c r="C529" s="1" t="str">
        <x:v>put</x:v>
      </x:c>
      <x:c r="D529" s="11" t="n">
        <x:v>5000</x:v>
      </x:c>
      <x:c r="E529" s="11" t="n">
        <x:v>4800</x:v>
      </x:c>
      <x:c r="F529" s="11"/>
      <x:c r="G529" s="11" t="n">
        <x:f>'Option source'!B576</x:f>
        <x:v>1.66</x:v>
      </x:c>
      <x:c r="H529" s="11" t="n">
        <x:f>'Option source'!B557</x:f>
        <x:v>1.39</x:v>
      </x:c>
      <x:c r="I529" s="11"/>
      <x:c r="J529" s="11" t="n">
        <x:f>G529-2*H529+IF(B529="Butterfly",I529,0)</x:f>
        <x:v>-1.1199999999999999</x:v>
      </x:c>
      <x:c r="K529" s="11" t="n">
        <x:f>ABS(E529-D529)</x:f>
        <x:v>200</x:v>
      </x:c>
      <x:c r="L529" s="11" t="n">
        <x:f>K529-J529</x:f>
        <x:v>201.12</x:v>
      </x:c>
      <x:c r="M529" s="11" t="n">
        <x:f>IF(B529="Butterfly",MAX(J529,0),IF(C529="call","Unlimited",MAX(2*E529-D529+J529,J529,0)))</x:f>
        <x:v>4598.88</x:v>
      </x:c>
      <x:c r="N529" s="11" t="n">
        <x:f>IF(B529="Butterfly",IF(AND(J529&gt;0,J529&lt;K529),D529+J529,"n.a."),IF(C529="call",IF(AND(J529&gt;0,J529&lt;K529),D529+J529,"n.a."),IF(AND(K529&gt;J529,2*E529-D529+J529&gt;=0),2*E529-D529+J529,"n.a.")))</x:f>
        <x:v>4598.88</x:v>
      </x:c>
      <x:c r="O529" s="11" t="str">
        <x:f>IF(B529="Butterfly",IF(AND(J529&gt;0,J529&lt;K529),F529-J529,"n.a."),IF(C529="call",IF(K529&gt;J529,2*E529-D529-J529,"n.a."),IF(AND(J529&gt;0,J529&lt;K529),D529-J529,"n.a.")))</x:f>
        <x:v>n.a.</x:v>
      </x:c>
      <x:c r="P529" s="19" t="str">
        <x:f>IF(AND(B529="Butterfly",J529&gt;0,J529&lt;K529),L529/J529,"n.a.")</x:f>
        <x:v>n.a.</x:v>
      </x:c>
      <x:c r="Q529" s="11" t="n">
        <x:f>J529*'Model inputs'!$B$8</x:f>
        <x:v>-111.99999999999999</x:v>
      </x:c>
      <x:c r="R529" s="1" t="str">
        <x:v>Indicative only</x:v>
      </x:c>
      <x:c r="S529" s="1" t="n">
        <x:v>571</x:v>
      </x:c>
      <x:c r="T529" s="1" t="n">
        <x:v>552</x:v>
      </x:c>
    </x:row>
    <x:row r="530" ht="21" customHeight="1">
      <x:c r="A530" s="12" t="n">
        <x:v>46274</x:v>
      </x:c>
      <x:c r="B530" s="1" t="str">
        <x:v>1x2 ratio</x:v>
      </x:c>
      <x:c r="C530" s="1" t="str">
        <x:v>call</x:v>
      </x:c>
      <x:c r="D530" s="11" t="n">
        <x:v>9200</x:v>
      </x:c>
      <x:c r="E530" s="11" t="n">
        <x:v>9500</x:v>
      </x:c>
      <x:c r="F530" s="11"/>
      <x:c r="G530" s="11" t="n">
        <x:f>'Option source'!B443</x:f>
        <x:v>17.58</x:v>
      </x:c>
      <x:c r="H530" s="11" t="n">
        <x:f>'Option source'!B462</x:f>
        <x:v>10.59</x:v>
      </x:c>
      <x:c r="I530" s="11"/>
      <x:c r="J530" s="11" t="n">
        <x:f>G530-2*H530+IF(B530="Butterfly",I530,0)</x:f>
        <x:v>-3.6000000000000014</x:v>
      </x:c>
      <x:c r="K530" s="11" t="n">
        <x:f>ABS(E530-D530)</x:f>
        <x:v>300</x:v>
      </x:c>
      <x:c r="L530" s="11" t="n">
        <x:f>K530-J530</x:f>
        <x:v>303.6</x:v>
      </x:c>
      <x:c r="M530" s="11" t="str">
        <x:f>IF(B530="Butterfly",MAX(J530,0),IF(C530="call","Unlimited",MAX(2*E530-D530+J530,J530,0)))</x:f>
        <x:v>Unlimited</x:v>
      </x:c>
      <x:c r="N530" s="11" t="str">
        <x:f>IF(B530="Butterfly",IF(AND(J530&gt;0,J530&lt;K530),D530+J530,"n.a."),IF(C530="call",IF(AND(J530&gt;0,J530&lt;K530),D530+J530,"n.a."),IF(AND(K530&gt;J530,2*E530-D530+J530&gt;=0),2*E530-D530+J530,"n.a.")))</x:f>
        <x:v>n.a.</x:v>
      </x:c>
      <x:c r="O530" s="11" t="n">
        <x:f>IF(B530="Butterfly",IF(AND(J530&gt;0,J530&lt;K530),F530-J530,"n.a."),IF(C530="call",IF(K530&gt;J530,2*E530-D530-J530,"n.a."),IF(AND(J530&gt;0,J530&lt;K530),D530-J530,"n.a.")))</x:f>
        <x:v>9803.6</x:v>
      </x:c>
      <x:c r="P530" s="19" t="str">
        <x:f>IF(AND(B530="Butterfly",J530&gt;0,J530&lt;K530),L530/J530,"n.a.")</x:f>
        <x:v>n.a.</x:v>
      </x:c>
      <x:c r="Q530" s="11" t="n">
        <x:f>J530*'Model inputs'!$B$8</x:f>
        <x:v>-360.0000000000001</x:v>
      </x:c>
      <x:c r="R530" s="1" t="str">
        <x:v>Indicative only</x:v>
      </x:c>
      <x:c r="S530" s="1" t="n">
        <x:v>438</x:v>
      </x:c>
      <x:c r="T530" s="1" t="n">
        <x:v>457</x:v>
      </x:c>
    </x:row>
    <x:row r="531" ht="21" customHeight="1">
      <x:c r="A531" s="12" t="n">
        <x:v>46274</x:v>
      </x:c>
      <x:c r="B531" s="1" t="str">
        <x:v>1x2 ratio</x:v>
      </x:c>
      <x:c r="C531" s="1" t="str">
        <x:v>put</x:v>
      </x:c>
      <x:c r="D531" s="11" t="n">
        <x:v>4800</x:v>
      </x:c>
      <x:c r="E531" s="11" t="n">
        <x:v>4600</x:v>
      </x:c>
      <x:c r="F531" s="11"/>
      <x:c r="G531" s="11" t="n">
        <x:f>'Option source'!B557</x:f>
        <x:v>1.39</x:v>
      </x:c>
      <x:c r="H531" s="11" t="n">
        <x:f>'Option source'!B538</x:f>
        <x:v>1.22</x:v>
      </x:c>
      <x:c r="I531" s="11"/>
      <x:c r="J531" s="11" t="n">
        <x:f>G531-2*H531+IF(B531="Butterfly",I531,0)</x:f>
        <x:v>-1.05</x:v>
      </x:c>
      <x:c r="K531" s="11" t="n">
        <x:f>ABS(E531-D531)</x:f>
        <x:v>200</x:v>
      </x:c>
      <x:c r="L531" s="11" t="n">
        <x:f>K531-J531</x:f>
        <x:v>201.05</x:v>
      </x:c>
      <x:c r="M531" s="11" t="n">
        <x:f>IF(B531="Butterfly",MAX(J531,0),IF(C531="call","Unlimited",MAX(2*E531-D531+J531,J531,0)))</x:f>
        <x:v>4398.95</x:v>
      </x:c>
      <x:c r="N531" s="11" t="n">
        <x:f>IF(B531="Butterfly",IF(AND(J531&gt;0,J531&lt;K531),D531+J531,"n.a."),IF(C531="call",IF(AND(J531&gt;0,J531&lt;K531),D531+J531,"n.a."),IF(AND(K531&gt;J531,2*E531-D531+J531&gt;=0),2*E531-D531+J531,"n.a.")))</x:f>
        <x:v>4398.95</x:v>
      </x:c>
      <x:c r="O531" s="11" t="str">
        <x:f>IF(B531="Butterfly",IF(AND(J531&gt;0,J531&lt;K531),F531-J531,"n.a."),IF(C531="call",IF(K531&gt;J531,2*E531-D531-J531,"n.a."),IF(AND(J531&gt;0,J531&lt;K531),D531-J531,"n.a.")))</x:f>
        <x:v>n.a.</x:v>
      </x:c>
      <x:c r="P531" s="19" t="str">
        <x:f>IF(AND(B531="Butterfly",J531&gt;0,J531&lt;K531),L531/J531,"n.a.")</x:f>
        <x:v>n.a.</x:v>
      </x:c>
      <x:c r="Q531" s="11" t="n">
        <x:f>J531*'Model inputs'!$B$8</x:f>
        <x:v>-105</x:v>
      </x:c>
      <x:c r="R531" s="1" t="str">
        <x:v>Indicative only</x:v>
      </x:c>
      <x:c r="S531" s="1" t="n">
        <x:v>552</x:v>
      </x:c>
      <x:c r="T531" s="1" t="n">
        <x:v>533</x:v>
      </x:c>
    </x:row>
    <x:row r="532" ht="21" customHeight="1">
      <x:c r="A532" s="12" t="n">
        <x:v>46274</x:v>
      </x:c>
      <x:c r="B532" s="1" t="str">
        <x:v>1x2 ratio</x:v>
      </x:c>
      <x:c r="C532" s="1" t="str">
        <x:v>put</x:v>
      </x:c>
      <x:c r="D532" s="11" t="n">
        <x:v>4600</x:v>
      </x:c>
      <x:c r="E532" s="11" t="n">
        <x:v>4400</x:v>
      </x:c>
      <x:c r="F532" s="11"/>
      <x:c r="G532" s="11" t="n">
        <x:f>'Option source'!B538</x:f>
        <x:v>1.22</x:v>
      </x:c>
      <x:c r="H532" s="11" t="n">
        <x:f>'Option source'!B519</x:f>
        <x:v>1</x:v>
      </x:c>
      <x:c r="I532" s="11"/>
      <x:c r="J532" s="11" t="n">
        <x:f>G532-2*H532+IF(B532="Butterfly",I532,0)</x:f>
        <x:v>-0.78</x:v>
      </x:c>
      <x:c r="K532" s="11" t="n">
        <x:f>ABS(E532-D532)</x:f>
        <x:v>200</x:v>
      </x:c>
      <x:c r="L532" s="11" t="n">
        <x:f>K532-J532</x:f>
        <x:v>200.78</x:v>
      </x:c>
      <x:c r="M532" s="11" t="n">
        <x:f>IF(B532="Butterfly",MAX(J532,0),IF(C532="call","Unlimited",MAX(2*E532-D532+J532,J532,0)))</x:f>
        <x:v>4199.22</x:v>
      </x:c>
      <x:c r="N532" s="11" t="n">
        <x:f>IF(B532="Butterfly",IF(AND(J532&gt;0,J532&lt;K532),D532+J532,"n.a."),IF(C532="call",IF(AND(J532&gt;0,J532&lt;K532),D532+J532,"n.a."),IF(AND(K532&gt;J532,2*E532-D532+J532&gt;=0),2*E532-D532+J532,"n.a.")))</x:f>
        <x:v>4199.22</x:v>
      </x:c>
      <x:c r="O532" s="11" t="str">
        <x:f>IF(B532="Butterfly",IF(AND(J532&gt;0,J532&lt;K532),F532-J532,"n.a."),IF(C532="call",IF(K532&gt;J532,2*E532-D532-J532,"n.a."),IF(AND(J532&gt;0,J532&lt;K532),D532-J532,"n.a.")))</x:f>
        <x:v>n.a.</x:v>
      </x:c>
      <x:c r="P532" s="19" t="str">
        <x:f>IF(AND(B532="Butterfly",J532&gt;0,J532&lt;K532),L532/J532,"n.a.")</x:f>
        <x:v>n.a.</x:v>
      </x:c>
      <x:c r="Q532" s="11" t="n">
        <x:f>J532*'Model inputs'!$B$8</x:f>
        <x:v>-78</x:v>
      </x:c>
      <x:c r="R532" s="1" t="str">
        <x:v>Indicative only</x:v>
      </x:c>
      <x:c r="S532" s="1" t="n">
        <x:v>533</x:v>
      </x:c>
      <x:c r="T532" s="1" t="n">
        <x:v>514</x:v>
      </x:c>
    </x:row>
    <x:row r="533" ht="21" customHeight="1">
      <x:c r="A533" s="12" t="n">
        <x:v>46274</x:v>
      </x:c>
      <x:c r="B533" s="1" t="str">
        <x:v>1x2 ratio</x:v>
      </x:c>
      <x:c r="C533" s="1" t="str">
        <x:v>call</x:v>
      </x:c>
      <x:c r="D533" s="11" t="n">
        <x:v>9500</x:v>
      </x:c>
      <x:c r="E533" s="11" t="n">
        <x:v>9900</x:v>
      </x:c>
      <x:c r="F533" s="11"/>
      <x:c r="G533" s="11" t="n">
        <x:f>'Option source'!B462</x:f>
        <x:v>10.59</x:v>
      </x:c>
      <x:c r="H533" s="11" t="n">
        <x:f>'Option source'!B481</x:f>
        <x:v>6.34</x:v>
      </x:c>
      <x:c r="I533" s="11"/>
      <x:c r="J533" s="11" t="n">
        <x:f>G533-2*H533+IF(B533="Butterfly",I533,0)</x:f>
        <x:v>-2.09</x:v>
      </x:c>
      <x:c r="K533" s="11" t="n">
        <x:f>ABS(E533-D533)</x:f>
        <x:v>400</x:v>
      </x:c>
      <x:c r="L533" s="11" t="n">
        <x:f>K533-J533</x:f>
        <x:v>402.09</x:v>
      </x:c>
      <x:c r="M533" s="11" t="str">
        <x:f>IF(B533="Butterfly",MAX(J533,0),IF(C533="call","Unlimited",MAX(2*E533-D533+J533,J533,0)))</x:f>
        <x:v>Unlimited</x:v>
      </x:c>
      <x:c r="N533" s="11" t="str">
        <x:f>IF(B533="Butterfly",IF(AND(J533&gt;0,J533&lt;K533),D533+J533,"n.a."),IF(C533="call",IF(AND(J533&gt;0,J533&lt;K533),D533+J533,"n.a."),IF(AND(K533&gt;J533,2*E533-D533+J533&gt;=0),2*E533-D533+J533,"n.a.")))</x:f>
        <x:v>n.a.</x:v>
      </x:c>
      <x:c r="O533" s="11" t="n">
        <x:f>IF(B533="Butterfly",IF(AND(J533&gt;0,J533&lt;K533),F533-J533,"n.a."),IF(C533="call",IF(K533&gt;J533,2*E533-D533-J533,"n.a."),IF(AND(J533&gt;0,J533&lt;K533),D533-J533,"n.a.")))</x:f>
        <x:v>10302.09</x:v>
      </x:c>
      <x:c r="P533" s="19" t="str">
        <x:f>IF(AND(B533="Butterfly",J533&gt;0,J533&lt;K533),L533/J533,"n.a.")</x:f>
        <x:v>n.a.</x:v>
      </x:c>
      <x:c r="Q533" s="11" t="n">
        <x:f>J533*'Model inputs'!$B$8</x:f>
        <x:v>-209</x:v>
      </x:c>
      <x:c r="R533" s="1" t="str">
        <x:v>Indicative only</x:v>
      </x:c>
      <x:c r="S533" s="1" t="n">
        <x:v>457</x:v>
      </x:c>
      <x:c r="T533" s="1" t="n">
        <x:v>476</x:v>
      </x:c>
    </x:row>
    <x:row r="534" ht="21" customHeight="1">
      <x:c r="A534" s="12" t="n">
        <x:v>46274</x:v>
      </x:c>
      <x:c r="B534" s="1" t="str">
        <x:v>1x2 ratio</x:v>
      </x:c>
      <x:c r="C534" s="1" t="str">
        <x:v>put</x:v>
      </x:c>
      <x:c r="D534" s="11" t="n">
        <x:v>4400</x:v>
      </x:c>
      <x:c r="E534" s="11" t="n">
        <x:v>4200</x:v>
      </x:c>
      <x:c r="F534" s="11"/>
      <x:c r="G534" s="11" t="n">
        <x:f>'Option source'!B519</x:f>
        <x:v>1</x:v>
      </x:c>
      <x:c r="H534" s="11" t="n">
        <x:f>'Option source'!B500</x:f>
        <x:v>0.81</x:v>
      </x:c>
      <x:c r="I534" s="11"/>
      <x:c r="J534" s="11" t="n">
        <x:f>G534-2*H534+IF(B534="Butterfly",I534,0)</x:f>
        <x:v>-0.6200000000000001</x:v>
      </x:c>
      <x:c r="K534" s="11" t="n">
        <x:f>ABS(E534-D534)</x:f>
        <x:v>200</x:v>
      </x:c>
      <x:c r="L534" s="11" t="n">
        <x:f>K534-J534</x:f>
        <x:v>200.62</x:v>
      </x:c>
      <x:c r="M534" s="11" t="n">
        <x:f>IF(B534="Butterfly",MAX(J534,0),IF(C534="call","Unlimited",MAX(2*E534-D534+J534,J534,0)))</x:f>
        <x:v>3999.38</x:v>
      </x:c>
      <x:c r="N534" s="11" t="n">
        <x:f>IF(B534="Butterfly",IF(AND(J534&gt;0,J534&lt;K534),D534+J534,"n.a."),IF(C534="call",IF(AND(J534&gt;0,J534&lt;K534),D534+J534,"n.a."),IF(AND(K534&gt;J534,2*E534-D534+J534&gt;=0),2*E534-D534+J534,"n.a.")))</x:f>
        <x:v>3999.38</x:v>
      </x:c>
      <x:c r="O534" s="11" t="str">
        <x:f>IF(B534="Butterfly",IF(AND(J534&gt;0,J534&lt;K534),F534-J534,"n.a."),IF(C534="call",IF(K534&gt;J534,2*E534-D534-J534,"n.a."),IF(AND(J534&gt;0,J534&lt;K534),D534-J534,"n.a.")))</x:f>
        <x:v>n.a.</x:v>
      </x:c>
      <x:c r="P534" s="19" t="str">
        <x:f>IF(AND(B534="Butterfly",J534&gt;0,J534&lt;K534),L534/J534,"n.a.")</x:f>
        <x:v>n.a.</x:v>
      </x:c>
      <x:c r="Q534" s="11" t="n">
        <x:f>J534*'Model inputs'!$B$8</x:f>
        <x:v>-62.000000000000014</x:v>
      </x:c>
      <x:c r="R534" s="1" t="str">
        <x:v>Indicative only</x:v>
      </x:c>
      <x:c r="S534" s="1" t="n">
        <x:v>514</x:v>
      </x:c>
      <x:c r="T534" s="1" t="n">
        <x:v>495</x:v>
      </x:c>
    </x:row>
    <x:row r="535" ht="21" customHeight="1">
      <x:c r="A535" s="12" t="n">
        <x:v>46274</x:v>
      </x:c>
      <x:c r="B535" s="1" t="str">
        <x:v>1x2 ratio</x:v>
      </x:c>
      <x:c r="C535" s="1" t="str">
        <x:v>call</x:v>
      </x:c>
      <x:c r="D535" s="11" t="n">
        <x:v>6400</x:v>
      </x:c>
      <x:c r="E535" s="11" t="n">
        <x:v>6600</x:v>
      </x:c>
      <x:c r="F535" s="11"/>
      <x:c r="G535" s="11" t="n">
        <x:f>'Option source'!B215</x:f>
        <x:v>875.61</x:v>
      </x:c>
      <x:c r="H535" s="11" t="n">
        <x:f>'Option source'!B234</x:f>
        <x:v>773.75</x:v>
      </x:c>
      <x:c r="I535" s="11"/>
      <x:c r="J535" s="11" t="n">
        <x:f>G535-2*H535+IF(B535="Butterfly",I535,0)</x:f>
        <x:v>-671.89</x:v>
      </x:c>
      <x:c r="K535" s="11" t="n">
        <x:f>ABS(E535-D535)</x:f>
        <x:v>200</x:v>
      </x:c>
      <x:c r="L535" s="11" t="n">
        <x:f>K535-J535</x:f>
        <x:v>871.89</x:v>
      </x:c>
      <x:c r="M535" s="11" t="str">
        <x:f>IF(B535="Butterfly",MAX(J535,0),IF(C535="call","Unlimited",MAX(2*E535-D535+J535,J535,0)))</x:f>
        <x:v>Unlimited</x:v>
      </x:c>
      <x:c r="N535" s="11" t="str">
        <x:f>IF(B535="Butterfly",IF(AND(J535&gt;0,J535&lt;K535),D535+J535,"n.a."),IF(C535="call",IF(AND(J535&gt;0,J535&lt;K535),D535+J535,"n.a."),IF(AND(K535&gt;J535,2*E535-D535+J535&gt;=0),2*E535-D535+J535,"n.a.")))</x:f>
        <x:v>n.a.</x:v>
      </x:c>
      <x:c r="O535" s="11" t="n">
        <x:f>IF(B535="Butterfly",IF(AND(J535&gt;0,J535&lt;K535),F535-J535,"n.a."),IF(C535="call",IF(K535&gt;J535,2*E535-D535-J535,"n.a."),IF(AND(J535&gt;0,J535&lt;K535),D535-J535,"n.a.")))</x:f>
        <x:v>7471.89</x:v>
      </x:c>
      <x:c r="P535" s="19" t="str">
        <x:f>IF(AND(B535="Butterfly",J535&gt;0,J535&lt;K535),L535/J535,"n.a.")</x:f>
        <x:v>n.a.</x:v>
      </x:c>
      <x:c r="Q535" s="11" t="n">
        <x:f>J535*'Model inputs'!$B$8</x:f>
        <x:v>-67189</x:v>
      </x:c>
      <x:c r="R535" s="1" t="str">
        <x:v>Flagged leg data</x:v>
      </x:c>
      <x:c r="S535" s="1" t="n">
        <x:v>210</x:v>
      </x:c>
      <x:c r="T535" s="1" t="n">
        <x:v>229</x:v>
      </x:c>
    </x:row>
    <x:row r="536" ht="21" customHeight="1">
      <x:c r="A536" s="12" t="n">
        <x:v>46274</x:v>
      </x:c>
      <x:c r="B536" s="1" t="str">
        <x:v>1x2 ratio</x:v>
      </x:c>
      <x:c r="C536" s="1" t="str">
        <x:v>put</x:v>
      </x:c>
      <x:c r="D536" s="11" t="n">
        <x:v>7800</x:v>
      </x:c>
      <x:c r="E536" s="11" t="n">
        <x:v>7600</x:v>
      </x:c>
      <x:c r="F536" s="11"/>
      <x:c r="G536" s="11" t="n">
        <x:f>'Option source'!B842</x:f>
        <x:v>780</x:v>
      </x:c>
      <x:c r="H536" s="11" t="n">
        <x:f>'Option source'!B823</x:f>
        <x:v>593.01</x:v>
      </x:c>
      <x:c r="I536" s="11"/>
      <x:c r="J536" s="11" t="n">
        <x:f>G536-2*H536+IF(B536="Butterfly",I536,0)</x:f>
        <x:v>-406.02</x:v>
      </x:c>
      <x:c r="K536" s="11" t="n">
        <x:f>ABS(E536-D536)</x:f>
        <x:v>200</x:v>
      </x:c>
      <x:c r="L536" s="11" t="n">
        <x:f>K536-J536</x:f>
        <x:v>606.02</x:v>
      </x:c>
      <x:c r="M536" s="11" t="n">
        <x:f>IF(B536="Butterfly",MAX(J536,0),IF(C536="call","Unlimited",MAX(2*E536-D536+J536,J536,0)))</x:f>
        <x:v>6993.98</x:v>
      </x:c>
      <x:c r="N536" s="11" t="n">
        <x:f>IF(B536="Butterfly",IF(AND(J536&gt;0,J536&lt;K536),D536+J536,"n.a."),IF(C536="call",IF(AND(J536&gt;0,J536&lt;K536),D536+J536,"n.a."),IF(AND(K536&gt;J536,2*E536-D536+J536&gt;=0),2*E536-D536+J536,"n.a.")))</x:f>
        <x:v>6993.98</x:v>
      </x:c>
      <x:c r="O536" s="11" t="str">
        <x:f>IF(B536="Butterfly",IF(AND(J536&gt;0,J536&lt;K536),F536-J536,"n.a."),IF(C536="call",IF(K536&gt;J536,2*E536-D536-J536,"n.a."),IF(AND(J536&gt;0,J536&lt;K536),D536-J536,"n.a.")))</x:f>
        <x:v>n.a.</x:v>
      </x:c>
      <x:c r="P536" s="19" t="str">
        <x:f>IF(AND(B536="Butterfly",J536&gt;0,J536&lt;K536),L536/J536,"n.a.")</x:f>
        <x:v>n.a.</x:v>
      </x:c>
      <x:c r="Q536" s="11" t="n">
        <x:f>J536*'Model inputs'!$B$8</x:f>
        <x:v>-40602</x:v>
      </x:c>
      <x:c r="R536" s="1" t="str">
        <x:v>Flagged leg data</x:v>
      </x:c>
      <x:c r="S536" s="1" t="n">
        <x:v>837</x:v>
      </x:c>
      <x:c r="T536" s="1" t="n">
        <x:v>818</x:v>
      </x:c>
    </x:row>
    <x:row r="537" ht="21" customHeight="1">
      <x:c r="A537" s="12" t="n">
        <x:v>46274</x:v>
      </x:c>
      <x:c r="B537" s="1" t="str">
        <x:v>1x2 ratio</x:v>
      </x:c>
      <x:c r="C537" s="1" t="str">
        <x:v>call</x:v>
      </x:c>
      <x:c r="D537" s="11" t="n">
        <x:v>6200</x:v>
      </x:c>
      <x:c r="E537" s="11" t="n">
        <x:v>6400</x:v>
      </x:c>
      <x:c r="F537" s="11"/>
      <x:c r="G537" s="11" t="n">
        <x:f>'Option source'!B196</x:f>
        <x:v>1070</x:v>
      </x:c>
      <x:c r="H537" s="11" t="n">
        <x:f>'Option source'!B215</x:f>
        <x:v>875.61</x:v>
      </x:c>
      <x:c r="I537" s="11"/>
      <x:c r="J537" s="11" t="n">
        <x:f>G537-2*H537+IF(B537="Butterfly",I537,0)</x:f>
        <x:v>-681.22</x:v>
      </x:c>
      <x:c r="K537" s="11" t="n">
        <x:f>ABS(E537-D537)</x:f>
        <x:v>200</x:v>
      </x:c>
      <x:c r="L537" s="11" t="n">
        <x:f>K537-J537</x:f>
        <x:v>881.22</x:v>
      </x:c>
      <x:c r="M537" s="11" t="str">
        <x:f>IF(B537="Butterfly",MAX(J537,0),IF(C537="call","Unlimited",MAX(2*E537-D537+J537,J537,0)))</x:f>
        <x:v>Unlimited</x:v>
      </x:c>
      <x:c r="N537" s="11" t="str">
        <x:f>IF(B537="Butterfly",IF(AND(J537&gt;0,J537&lt;K537),D537+J537,"n.a."),IF(C537="call",IF(AND(J537&gt;0,J537&lt;K537),D537+J537,"n.a."),IF(AND(K537&gt;J537,2*E537-D537+J537&gt;=0),2*E537-D537+J537,"n.a.")))</x:f>
        <x:v>n.a.</x:v>
      </x:c>
      <x:c r="O537" s="11" t="n">
        <x:f>IF(B537="Butterfly",IF(AND(J537&gt;0,J537&lt;K537),F537-J537,"n.a."),IF(C537="call",IF(K537&gt;J537,2*E537-D537-J537,"n.a."),IF(AND(J537&gt;0,J537&lt;K537),D537-J537,"n.a.")))</x:f>
        <x:v>7281.22</x:v>
      </x:c>
      <x:c r="P537" s="19" t="str">
        <x:f>IF(AND(B537="Butterfly",J537&gt;0,J537&lt;K537),L537/J537,"n.a.")</x:f>
        <x:v>n.a.</x:v>
      </x:c>
      <x:c r="Q537" s="11" t="n">
        <x:f>J537*'Model inputs'!$B$8</x:f>
        <x:v>-68122</x:v>
      </x:c>
      <x:c r="R537" s="1" t="str">
        <x:v>Flagged leg data</x:v>
      </x:c>
      <x:c r="S537" s="1" t="n">
        <x:v>191</x:v>
      </x:c>
      <x:c r="T537" s="1" t="n">
        <x:v>210</x:v>
      </x:c>
    </x:row>
    <x:row r="538" ht="21" customHeight="1">
      <x:c r="A538" s="12" t="n">
        <x:v>46274</x:v>
      </x:c>
      <x:c r="B538" s="1" t="str">
        <x:v>1x2 ratio</x:v>
      </x:c>
      <x:c r="C538" s="1" t="str">
        <x:v>put</x:v>
      </x:c>
      <x:c r="D538" s="11" t="n">
        <x:v>8000</x:v>
      </x:c>
      <x:c r="E538" s="11" t="n">
        <x:v>7800</x:v>
      </x:c>
      <x:c r="F538" s="11"/>
      <x:c r="G538" s="11" t="n">
        <x:f>'Option source'!B861</x:f>
        <x:v>900</x:v>
      </x:c>
      <x:c r="H538" s="11" t="n">
        <x:f>'Option source'!B842</x:f>
        <x:v>780</x:v>
      </x:c>
      <x:c r="I538" s="11"/>
      <x:c r="J538" s="11" t="n">
        <x:f>G538-2*H538+IF(B538="Butterfly",I538,0)</x:f>
        <x:v>-660</x:v>
      </x:c>
      <x:c r="K538" s="11" t="n">
        <x:f>ABS(E538-D538)</x:f>
        <x:v>200</x:v>
      </x:c>
      <x:c r="L538" s="11" t="n">
        <x:f>K538-J538</x:f>
        <x:v>860</x:v>
      </x:c>
      <x:c r="M538" s="11" t="n">
        <x:f>IF(B538="Butterfly",MAX(J538,0),IF(C538="call","Unlimited",MAX(2*E538-D538+J538,J538,0)))</x:f>
        <x:v>6940</x:v>
      </x:c>
      <x:c r="N538" s="11" t="n">
        <x:f>IF(B538="Butterfly",IF(AND(J538&gt;0,J538&lt;K538),D538+J538,"n.a."),IF(C538="call",IF(AND(J538&gt;0,J538&lt;K538),D538+J538,"n.a."),IF(AND(K538&gt;J538,2*E538-D538+J538&gt;=0),2*E538-D538+J538,"n.a.")))</x:f>
        <x:v>6940</x:v>
      </x:c>
      <x:c r="O538" s="11" t="str">
        <x:f>IF(B538="Butterfly",IF(AND(J538&gt;0,J538&lt;K538),F538-J538,"n.a."),IF(C538="call",IF(K538&gt;J538,2*E538-D538-J538,"n.a."),IF(AND(J538&gt;0,J538&lt;K538),D538-J538,"n.a.")))</x:f>
        <x:v>n.a.</x:v>
      </x:c>
      <x:c r="P538" s="19" t="str">
        <x:f>IF(AND(B538="Butterfly",J538&gt;0,J538&lt;K538),L538/J538,"n.a.")</x:f>
        <x:v>n.a.</x:v>
      </x:c>
      <x:c r="Q538" s="11" t="n">
        <x:f>J538*'Model inputs'!$B$8</x:f>
        <x:v>-66000</x:v>
      </x:c>
      <x:c r="R538" s="1" t="str">
        <x:v>Flagged leg data</x:v>
      </x:c>
      <x:c r="S538" s="1" t="n">
        <x:v>856</x:v>
      </x:c>
      <x:c r="T538" s="1" t="n">
        <x:v>837</x:v>
      </x:c>
    </x:row>
    <x:row r="539" ht="21" customHeight="1">
      <x:c r="A539" s="12" t="n">
        <x:v>46274</x:v>
      </x:c>
      <x:c r="B539" s="1" t="str">
        <x:v>1x2 ratio</x:v>
      </x:c>
      <x:c r="C539" s="1" t="str">
        <x:v>call</x:v>
      </x:c>
      <x:c r="D539" s="11" t="n">
        <x:v>6000</x:v>
      </x:c>
      <x:c r="E539" s="11" t="n">
        <x:v>6200</x:v>
      </x:c>
      <x:c r="F539" s="11"/>
      <x:c r="G539" s="11" t="n">
        <x:f>'Option source'!B177</x:f>
        <x:v>1253.91</x:v>
      </x:c>
      <x:c r="H539" s="11" t="n">
        <x:f>'Option source'!B196</x:f>
        <x:v>1070</x:v>
      </x:c>
      <x:c r="I539" s="11"/>
      <x:c r="J539" s="11" t="n">
        <x:f>G539-2*H539+IF(B539="Butterfly",I539,0)</x:f>
        <x:v>-886.0899999999999</x:v>
      </x:c>
      <x:c r="K539" s="11" t="n">
        <x:f>ABS(E539-D539)</x:f>
        <x:v>200</x:v>
      </x:c>
      <x:c r="L539" s="11" t="n">
        <x:f>K539-J539</x:f>
        <x:v>1086.09</x:v>
      </x:c>
      <x:c r="M539" s="11" t="str">
        <x:f>IF(B539="Butterfly",MAX(J539,0),IF(C539="call","Unlimited",MAX(2*E539-D539+J539,J539,0)))</x:f>
        <x:v>Unlimited</x:v>
      </x:c>
      <x:c r="N539" s="11" t="str">
        <x:f>IF(B539="Butterfly",IF(AND(J539&gt;0,J539&lt;K539),D539+J539,"n.a."),IF(C539="call",IF(AND(J539&gt;0,J539&lt;K539),D539+J539,"n.a."),IF(AND(K539&gt;J539,2*E539-D539+J539&gt;=0),2*E539-D539+J539,"n.a.")))</x:f>
        <x:v>n.a.</x:v>
      </x:c>
      <x:c r="O539" s="11" t="n">
        <x:f>IF(B539="Butterfly",IF(AND(J539&gt;0,J539&lt;K539),F539-J539,"n.a."),IF(C539="call",IF(K539&gt;J539,2*E539-D539-J539,"n.a."),IF(AND(J539&gt;0,J539&lt;K539),D539-J539,"n.a.")))</x:f>
        <x:v>7286.09</x:v>
      </x:c>
      <x:c r="P539" s="19" t="str">
        <x:f>IF(AND(B539="Butterfly",J539&gt;0,J539&lt;K539),L539/J539,"n.a.")</x:f>
        <x:v>n.a.</x:v>
      </x:c>
      <x:c r="Q539" s="11" t="n">
        <x:f>J539*'Model inputs'!$B$8</x:f>
        <x:v>-88608.99999999999</x:v>
      </x:c>
      <x:c r="R539" s="1" t="str">
        <x:v>Flagged leg data</x:v>
      </x:c>
      <x:c r="S539" s="1" t="n">
        <x:v>172</x:v>
      </x:c>
      <x:c r="T539" s="1" t="n">
        <x:v>191</x:v>
      </x:c>
    </x:row>
    <x:row r="540" ht="21" customHeight="1">
      <x:c r="A540" s="12" t="n">
        <x:v>46274</x:v>
      </x:c>
      <x:c r="B540" s="1" t="str">
        <x:v>1x2 ratio</x:v>
      </x:c>
      <x:c r="C540" s="1" t="str">
        <x:v>put</x:v>
      </x:c>
      <x:c r="D540" s="11" t="n">
        <x:v>8300</x:v>
      </x:c>
      <x:c r="E540" s="11" t="n">
        <x:v>8000</x:v>
      </x:c>
      <x:c r="F540" s="11"/>
      <x:c r="G540" s="11" t="n">
        <x:f>'Option source'!B880</x:f>
        <x:v>1234</x:v>
      </x:c>
      <x:c r="H540" s="11" t="n">
        <x:f>'Option source'!B861</x:f>
        <x:v>900</x:v>
      </x:c>
      <x:c r="I540" s="11"/>
      <x:c r="J540" s="11" t="n">
        <x:f>G540-2*H540+IF(B540="Butterfly",I540,0)</x:f>
        <x:v>-566</x:v>
      </x:c>
      <x:c r="K540" s="11" t="n">
        <x:f>ABS(E540-D540)</x:f>
        <x:v>300</x:v>
      </x:c>
      <x:c r="L540" s="11" t="n">
        <x:f>K540-J540</x:f>
        <x:v>866</x:v>
      </x:c>
      <x:c r="M540" s="11" t="n">
        <x:f>IF(B540="Butterfly",MAX(J540,0),IF(C540="call","Unlimited",MAX(2*E540-D540+J540,J540,0)))</x:f>
        <x:v>7134</x:v>
      </x:c>
      <x:c r="N540" s="11" t="n">
        <x:f>IF(B540="Butterfly",IF(AND(J540&gt;0,J540&lt;K540),D540+J540,"n.a."),IF(C540="call",IF(AND(J540&gt;0,J540&lt;K540),D540+J540,"n.a."),IF(AND(K540&gt;J540,2*E540-D540+J540&gt;=0),2*E540-D540+J540,"n.a.")))</x:f>
        <x:v>7134</x:v>
      </x:c>
      <x:c r="O540" s="11" t="str">
        <x:f>IF(B540="Butterfly",IF(AND(J540&gt;0,J540&lt;K540),F540-J540,"n.a."),IF(C540="call",IF(K540&gt;J540,2*E540-D540-J540,"n.a."),IF(AND(J540&gt;0,J540&lt;K540),D540-J540,"n.a.")))</x:f>
        <x:v>n.a.</x:v>
      </x:c>
      <x:c r="P540" s="19" t="str">
        <x:f>IF(AND(B540="Butterfly",J540&gt;0,J540&lt;K540),L540/J540,"n.a.")</x:f>
        <x:v>n.a.</x:v>
      </x:c>
      <x:c r="Q540" s="11" t="n">
        <x:f>J540*'Model inputs'!$B$8</x:f>
        <x:v>-56600</x:v>
      </x:c>
      <x:c r="R540" s="1" t="str">
        <x:v>Flagged leg data</x:v>
      </x:c>
      <x:c r="S540" s="1" t="n">
        <x:v>875</x:v>
      </x:c>
      <x:c r="T540" s="1" t="n">
        <x:v>856</x:v>
      </x:c>
    </x:row>
    <x:row r="541" ht="21" customHeight="1">
      <x:c r="A541" s="12" t="n">
        <x:v>46274</x:v>
      </x:c>
      <x:c r="B541" s="1" t="str">
        <x:v>1x2 ratio</x:v>
      </x:c>
      <x:c r="C541" s="1" t="str">
        <x:v>call</x:v>
      </x:c>
      <x:c r="D541" s="11" t="n">
        <x:v>5800</x:v>
      </x:c>
      <x:c r="E541" s="11" t="n">
        <x:v>6000</x:v>
      </x:c>
      <x:c r="F541" s="11"/>
      <x:c r="G541" s="11" t="n">
        <x:f>'Option source'!B158</x:f>
        <x:v>1403.14</x:v>
      </x:c>
      <x:c r="H541" s="11" t="n">
        <x:f>'Option source'!B177</x:f>
        <x:v>1253.91</x:v>
      </x:c>
      <x:c r="I541" s="11"/>
      <x:c r="J541" s="11" t="n">
        <x:f>G541-2*H541+IF(B541="Butterfly",I541,0)</x:f>
        <x:v>-1104.68</x:v>
      </x:c>
      <x:c r="K541" s="11" t="n">
        <x:f>ABS(E541-D541)</x:f>
        <x:v>200</x:v>
      </x:c>
      <x:c r="L541" s="11" t="n">
        <x:f>K541-J541</x:f>
        <x:v>1304.68</x:v>
      </x:c>
      <x:c r="M541" s="11" t="str">
        <x:f>IF(B541="Butterfly",MAX(J541,0),IF(C541="call","Unlimited",MAX(2*E541-D541+J541,J541,0)))</x:f>
        <x:v>Unlimited</x:v>
      </x:c>
      <x:c r="N541" s="11" t="str">
        <x:f>IF(B541="Butterfly",IF(AND(J541&gt;0,J541&lt;K541),D541+J541,"n.a."),IF(C541="call",IF(AND(J541&gt;0,J541&lt;K541),D541+J541,"n.a."),IF(AND(K541&gt;J541,2*E541-D541+J541&gt;=0),2*E541-D541+J541,"n.a.")))</x:f>
        <x:v>n.a.</x:v>
      </x:c>
      <x:c r="O541" s="11" t="n">
        <x:f>IF(B541="Butterfly",IF(AND(J541&gt;0,J541&lt;K541),F541-J541,"n.a."),IF(C541="call",IF(K541&gt;J541,2*E541-D541-J541,"n.a."),IF(AND(J541&gt;0,J541&lt;K541),D541-J541,"n.a.")))</x:f>
        <x:v>7304.68</x:v>
      </x:c>
      <x:c r="P541" s="19" t="str">
        <x:f>IF(AND(B541="Butterfly",J541&gt;0,J541&lt;K541),L541/J541,"n.a.")</x:f>
        <x:v>n.a.</x:v>
      </x:c>
      <x:c r="Q541" s="11" t="n">
        <x:f>J541*'Model inputs'!$B$8</x:f>
        <x:v>-110468</x:v>
      </x:c>
      <x:c r="R541" s="1" t="str">
        <x:v>Flagged leg data</x:v>
      </x:c>
      <x:c r="S541" s="1" t="n">
        <x:v>153</x:v>
      </x:c>
      <x:c r="T541" s="1" t="n">
        <x:v>172</x:v>
      </x:c>
    </x:row>
    <x:row r="542" ht="21" customHeight="1">
      <x:c r="A542" s="12" t="n">
        <x:v>46274</x:v>
      </x:c>
      <x:c r="B542" s="1" t="str">
        <x:v>1x2 ratio</x:v>
      </x:c>
      <x:c r="C542" s="1" t="str">
        <x:v>put</x:v>
      </x:c>
      <x:c r="D542" s="11" t="n">
        <x:v>8600</x:v>
      </x:c>
      <x:c r="E542" s="11" t="n">
        <x:v>8300</x:v>
      </x:c>
      <x:c r="F542" s="11"/>
      <x:c r="G542" s="11" t="n">
        <x:f>'Option source'!B899</x:f>
        <x:v>1559.27</x:v>
      </x:c>
      <x:c r="H542" s="11" t="n">
        <x:f>'Option source'!B880</x:f>
        <x:v>1234</x:v>
      </x:c>
      <x:c r="I542" s="11"/>
      <x:c r="J542" s="11" t="n">
        <x:f>G542-2*H542+IF(B542="Butterfly",I542,0)</x:f>
        <x:v>-908.73</x:v>
      </x:c>
      <x:c r="K542" s="11" t="n">
        <x:f>ABS(E542-D542)</x:f>
        <x:v>300</x:v>
      </x:c>
      <x:c r="L542" s="11" t="n">
        <x:f>K542-J542</x:f>
        <x:v>1208.73</x:v>
      </x:c>
      <x:c r="M542" s="11" t="n">
        <x:f>IF(B542="Butterfly",MAX(J542,0),IF(C542="call","Unlimited",MAX(2*E542-D542+J542,J542,0)))</x:f>
        <x:v>7091.27</x:v>
      </x:c>
      <x:c r="N542" s="11" t="n">
        <x:f>IF(B542="Butterfly",IF(AND(J542&gt;0,J542&lt;K542),D542+J542,"n.a."),IF(C542="call",IF(AND(J542&gt;0,J542&lt;K542),D542+J542,"n.a."),IF(AND(K542&gt;J542,2*E542-D542+J542&gt;=0),2*E542-D542+J542,"n.a.")))</x:f>
        <x:v>7091.27</x:v>
      </x:c>
      <x:c r="O542" s="11" t="str">
        <x:f>IF(B542="Butterfly",IF(AND(J542&gt;0,J542&lt;K542),F542-J542,"n.a."),IF(C542="call",IF(K542&gt;J542,2*E542-D542-J542,"n.a."),IF(AND(J542&gt;0,J542&lt;K542),D542-J542,"n.a.")))</x:f>
        <x:v>n.a.</x:v>
      </x:c>
      <x:c r="P542" s="19" t="str">
        <x:f>IF(AND(B542="Butterfly",J542&gt;0,J542&lt;K542),L542/J542,"n.a.")</x:f>
        <x:v>n.a.</x:v>
      </x:c>
      <x:c r="Q542" s="11" t="n">
        <x:f>J542*'Model inputs'!$B$8</x:f>
        <x:v>-90873</x:v>
      </x:c>
      <x:c r="R542" s="1" t="str">
        <x:v>Flagged leg data</x:v>
      </x:c>
      <x:c r="S542" s="1" t="n">
        <x:v>894</x:v>
      </x:c>
      <x:c r="T542" s="1" t="n">
        <x:v>875</x:v>
      </x:c>
    </x:row>
    <x:row r="543" ht="21" customHeight="1">
      <x:c r="A543" s="12" t="n">
        <x:v>46274</x:v>
      </x:c>
      <x:c r="B543" s="1" t="str">
        <x:v>1x2 ratio</x:v>
      </x:c>
      <x:c r="C543" s="1" t="str">
        <x:v>call</x:v>
      </x:c>
      <x:c r="D543" s="11" t="n">
        <x:v>5600</x:v>
      </x:c>
      <x:c r="E543" s="11" t="n">
        <x:v>5800</x:v>
      </x:c>
      <x:c r="F543" s="11"/>
      <x:c r="G543" s="11" t="n">
        <x:f>'Option source'!B148</x:f>
        <x:v>1490</x:v>
      </x:c>
      <x:c r="H543" s="11" t="n">
        <x:f>'Option source'!B158</x:f>
        <x:v>1403.14</x:v>
      </x:c>
      <x:c r="I543" s="11"/>
      <x:c r="J543" s="11" t="n">
        <x:f>G543-2*H543+IF(B543="Butterfly",I543,0)</x:f>
        <x:v>-1316.2800000000002</x:v>
      </x:c>
      <x:c r="K543" s="11" t="n">
        <x:f>ABS(E543-D543)</x:f>
        <x:v>200</x:v>
      </x:c>
      <x:c r="L543" s="11" t="n">
        <x:f>K543-J543</x:f>
        <x:v>1516.2800000000002</x:v>
      </x:c>
      <x:c r="M543" s="11" t="str">
        <x:f>IF(B543="Butterfly",MAX(J543,0),IF(C543="call","Unlimited",MAX(2*E543-D543+J543,J543,0)))</x:f>
        <x:v>Unlimited</x:v>
      </x:c>
      <x:c r="N543" s="11" t="str">
        <x:f>IF(B543="Butterfly",IF(AND(J543&gt;0,J543&lt;K543),D543+J543,"n.a."),IF(C543="call",IF(AND(J543&gt;0,J543&lt;K543),D543+J543,"n.a."),IF(AND(K543&gt;J543,2*E543-D543+J543&gt;=0),2*E543-D543+J543,"n.a.")))</x:f>
        <x:v>n.a.</x:v>
      </x:c>
      <x:c r="O543" s="11" t="n">
        <x:f>IF(B543="Butterfly",IF(AND(J543&gt;0,J543&lt;K543),F543-J543,"n.a."),IF(C543="call",IF(K543&gt;J543,2*E543-D543-J543,"n.a."),IF(AND(J543&gt;0,J543&lt;K543),D543-J543,"n.a.")))</x:f>
        <x:v>7316.280000000001</x:v>
      </x:c>
      <x:c r="P543" s="19" t="str">
        <x:f>IF(AND(B543="Butterfly",J543&gt;0,J543&lt;K543),L543/J543,"n.a.")</x:f>
        <x:v>n.a.</x:v>
      </x:c>
      <x:c r="Q543" s="11" t="n">
        <x:f>J543*'Model inputs'!$B$8</x:f>
        <x:v>-131628.00000000003</x:v>
      </x:c>
      <x:c r="R543" s="1" t="str">
        <x:v>Flagged leg data</x:v>
      </x:c>
      <x:c r="S543" s="1" t="n">
        <x:v>143</x:v>
      </x:c>
      <x:c r="T543" s="1" t="n">
        <x:v>153</x:v>
      </x:c>
    </x:row>
    <x:row r="544" ht="21" customHeight="1">
      <x:c r="A544" s="12" t="n">
        <x:v>46274</x:v>
      </x:c>
      <x:c r="B544" s="1" t="str">
        <x:v>1x2 ratio</x:v>
      </x:c>
      <x:c r="C544" s="1" t="str">
        <x:v>call</x:v>
      </x:c>
      <x:c r="D544" s="11" t="n">
        <x:v>5400</x:v>
      </x:c>
      <x:c r="E544" s="11" t="n">
        <x:v>5600</x:v>
      </x:c>
      <x:c r="F544" s="11"/>
      <x:c r="G544" s="11" t="n">
        <x:f>'Option source'!B130</x:f>
        <x:v>1750</x:v>
      </x:c>
      <x:c r="H544" s="11" t="n">
        <x:f>'Option source'!B148</x:f>
        <x:v>1490</x:v>
      </x:c>
      <x:c r="I544" s="11"/>
      <x:c r="J544" s="11" t="n">
        <x:f>G544-2*H544+IF(B544="Butterfly",I544,0)</x:f>
        <x:v>-1230</x:v>
      </x:c>
      <x:c r="K544" s="11" t="n">
        <x:f>ABS(E544-D544)</x:f>
        <x:v>200</x:v>
      </x:c>
      <x:c r="L544" s="11" t="n">
        <x:f>K544-J544</x:f>
        <x:v>1430</x:v>
      </x:c>
      <x:c r="M544" s="11" t="str">
        <x:f>IF(B544="Butterfly",MAX(J544,0),IF(C544="call","Unlimited",MAX(2*E544-D544+J544,J544,0)))</x:f>
        <x:v>Unlimited</x:v>
      </x:c>
      <x:c r="N544" s="11" t="str">
        <x:f>IF(B544="Butterfly",IF(AND(J544&gt;0,J544&lt;K544),D544+J544,"n.a."),IF(C544="call",IF(AND(J544&gt;0,J544&lt;K544),D544+J544,"n.a."),IF(AND(K544&gt;J544,2*E544-D544+J544&gt;=0),2*E544-D544+J544,"n.a.")))</x:f>
        <x:v>n.a.</x:v>
      </x:c>
      <x:c r="O544" s="11" t="n">
        <x:f>IF(B544="Butterfly",IF(AND(J544&gt;0,J544&lt;K544),F544-J544,"n.a."),IF(C544="call",IF(K544&gt;J544,2*E544-D544-J544,"n.a."),IF(AND(J544&gt;0,J544&lt;K544),D544-J544,"n.a.")))</x:f>
        <x:v>7030</x:v>
      </x:c>
      <x:c r="P544" s="19" t="str">
        <x:f>IF(AND(B544="Butterfly",J544&gt;0,J544&lt;K544),L544/J544,"n.a.")</x:f>
        <x:v>n.a.</x:v>
      </x:c>
      <x:c r="Q544" s="11" t="n">
        <x:f>J544*'Model inputs'!$B$8</x:f>
        <x:v>-123000</x:v>
      </x:c>
      <x:c r="R544" s="1" t="str">
        <x:v>Flagged leg data</x:v>
      </x:c>
      <x:c r="S544" s="1" t="n">
        <x:v>125</x:v>
      </x:c>
      <x:c r="T544" s="1" t="n">
        <x:v>143</x:v>
      </x:c>
    </x:row>
    <x:row r="545" ht="21" customHeight="1">
      <x:c r="A545" s="12" t="n">
        <x:v>46274</x:v>
      </x:c>
      <x:c r="B545" s="1" t="str">
        <x:v>1x2 ratio</x:v>
      </x:c>
      <x:c r="C545" s="1" t="str">
        <x:v>put</x:v>
      </x:c>
      <x:c r="D545" s="11" t="n">
        <x:v>8900</x:v>
      </x:c>
      <x:c r="E545" s="11" t="n">
        <x:v>8600</x:v>
      </x:c>
      <x:c r="F545" s="11"/>
      <x:c r="G545" s="11" t="n">
        <x:f>'Option source'!B914</x:f>
        <x:v>2022.5</x:v>
      </x:c>
      <x:c r="H545" s="11" t="n">
        <x:f>'Option source'!B899</x:f>
        <x:v>1559.27</x:v>
      </x:c>
      <x:c r="I545" s="11"/>
      <x:c r="J545" s="11" t="n">
        <x:f>G545-2*H545+IF(B545="Butterfly",I545,0)</x:f>
        <x:v>-1096.04</x:v>
      </x:c>
      <x:c r="K545" s="11" t="n">
        <x:f>ABS(E545-D545)</x:f>
        <x:v>300</x:v>
      </x:c>
      <x:c r="L545" s="11" t="n">
        <x:f>K545-J545</x:f>
        <x:v>1396.04</x:v>
      </x:c>
      <x:c r="M545" s="11" t="n">
        <x:f>IF(B545="Butterfly",MAX(J545,0),IF(C545="call","Unlimited",MAX(2*E545-D545+J545,J545,0)))</x:f>
        <x:v>7203.96</x:v>
      </x:c>
      <x:c r="N545" s="11" t="n">
        <x:f>IF(B545="Butterfly",IF(AND(J545&gt;0,J545&lt;K545),D545+J545,"n.a."),IF(C545="call",IF(AND(J545&gt;0,J545&lt;K545),D545+J545,"n.a."),IF(AND(K545&gt;J545,2*E545-D545+J545&gt;=0),2*E545-D545+J545,"n.a.")))</x:f>
        <x:v>7203.96</x:v>
      </x:c>
      <x:c r="O545" s="11" t="str">
        <x:f>IF(B545="Butterfly",IF(AND(J545&gt;0,J545&lt;K545),F545-J545,"n.a."),IF(C545="call",IF(K545&gt;J545,2*E545-D545-J545,"n.a."),IF(AND(J545&gt;0,J545&lt;K545),D545-J545,"n.a.")))</x:f>
        <x:v>n.a.</x:v>
      </x:c>
      <x:c r="P545" s="19" t="str">
        <x:f>IF(AND(B545="Butterfly",J545&gt;0,J545&lt;K545),L545/J545,"n.a.")</x:f>
        <x:v>n.a.</x:v>
      </x:c>
      <x:c r="Q545" s="11" t="n">
        <x:f>J545*'Model inputs'!$B$8</x:f>
        <x:v>-109604</x:v>
      </x:c>
      <x:c r="R545" s="1" t="str">
        <x:v>Flagged leg data</x:v>
      </x:c>
      <x:c r="S545" s="1" t="n">
        <x:v>909</x:v>
      </x:c>
      <x:c r="T545" s="1" t="n">
        <x:v>894</x:v>
      </x:c>
    </x:row>
    <x:row r="546" ht="21" customHeight="1">
      <x:c r="A546" s="12" t="n">
        <x:v>46274</x:v>
      </x:c>
      <x:c r="B546" s="1" t="str">
        <x:v>1x2 ratio</x:v>
      </x:c>
      <x:c r="C546" s="1" t="str">
        <x:v>call</x:v>
      </x:c>
      <x:c r="D546" s="11" t="n">
        <x:v>5200</x:v>
      </x:c>
      <x:c r="E546" s="11" t="n">
        <x:v>5400</x:v>
      </x:c>
      <x:c r="F546" s="11"/>
      <x:c r="G546" s="11" t="n">
        <x:f>'Option source'!B111</x:f>
        <x:v>1895.85</x:v>
      </x:c>
      <x:c r="H546" s="11" t="n">
        <x:f>'Option source'!B130</x:f>
        <x:v>1750</x:v>
      </x:c>
      <x:c r="I546" s="11"/>
      <x:c r="J546" s="11" t="n">
        <x:f>G546-2*H546+IF(B546="Butterfly",I546,0)</x:f>
        <x:v>-1604.15</x:v>
      </x:c>
      <x:c r="K546" s="11" t="n">
        <x:f>ABS(E546-D546)</x:f>
        <x:v>200</x:v>
      </x:c>
      <x:c r="L546" s="11" t="n">
        <x:f>K546-J546</x:f>
        <x:v>1804.15</x:v>
      </x:c>
      <x:c r="M546" s="11" t="str">
        <x:f>IF(B546="Butterfly",MAX(J546,0),IF(C546="call","Unlimited",MAX(2*E546-D546+J546,J546,0)))</x:f>
        <x:v>Unlimited</x:v>
      </x:c>
      <x:c r="N546" s="11" t="str">
        <x:f>IF(B546="Butterfly",IF(AND(J546&gt;0,J546&lt;K546),D546+J546,"n.a."),IF(C546="call",IF(AND(J546&gt;0,J546&lt;K546),D546+J546,"n.a."),IF(AND(K546&gt;J546,2*E546-D546+J546&gt;=0),2*E546-D546+J546,"n.a.")))</x:f>
        <x:v>n.a.</x:v>
      </x:c>
      <x:c r="O546" s="11" t="n">
        <x:f>IF(B546="Butterfly",IF(AND(J546&gt;0,J546&lt;K546),F546-J546,"n.a."),IF(C546="call",IF(K546&gt;J546,2*E546-D546-J546,"n.a."),IF(AND(J546&gt;0,J546&lt;K546),D546-J546,"n.a.")))</x:f>
        <x:v>7204.15</x:v>
      </x:c>
      <x:c r="P546" s="19" t="str">
        <x:f>IF(AND(B546="Butterfly",J546&gt;0,J546&lt;K546),L546/J546,"n.a.")</x:f>
        <x:v>n.a.</x:v>
      </x:c>
      <x:c r="Q546" s="11" t="n">
        <x:f>J546*'Model inputs'!$B$8</x:f>
        <x:v>-160415</x:v>
      </x:c>
      <x:c r="R546" s="1" t="str">
        <x:v>Flagged leg data</x:v>
      </x:c>
      <x:c r="S546" s="1" t="n">
        <x:v>106</x:v>
      </x:c>
      <x:c r="T546" s="1" t="n">
        <x:v>125</x:v>
      </x:c>
    </x:row>
    <x:row r="547" ht="21" customHeight="1">
      <x:c r="A547" s="12" t="n">
        <x:v>46274</x:v>
      </x:c>
      <x:c r="B547" s="1" t="str">
        <x:v>1x2 ratio</x:v>
      </x:c>
      <x:c r="C547" s="1" t="str">
        <x:v>put</x:v>
      </x:c>
      <x:c r="D547" s="11" t="n">
        <x:v>9200</x:v>
      </x:c>
      <x:c r="E547" s="11" t="n">
        <x:v>8900</x:v>
      </x:c>
      <x:c r="F547" s="11"/>
      <x:c r="G547" s="11" t="n">
        <x:f>'Option source'!B921</x:f>
        <x:v>2000</x:v>
      </x:c>
      <x:c r="H547" s="11" t="n">
        <x:f>'Option source'!B914</x:f>
        <x:v>2022.5</x:v>
      </x:c>
      <x:c r="I547" s="11"/>
      <x:c r="J547" s="11" t="n">
        <x:f>G547-2*H547+IF(B547="Butterfly",I547,0)</x:f>
        <x:v>-2045</x:v>
      </x:c>
      <x:c r="K547" s="11" t="n">
        <x:f>ABS(E547-D547)</x:f>
        <x:v>300</x:v>
      </x:c>
      <x:c r="L547" s="11" t="n">
        <x:f>K547-J547</x:f>
        <x:v>2345</x:v>
      </x:c>
      <x:c r="M547" s="11" t="n">
        <x:f>IF(B547="Butterfly",MAX(J547,0),IF(C547="call","Unlimited",MAX(2*E547-D547+J547,J547,0)))</x:f>
        <x:v>6555</x:v>
      </x:c>
      <x:c r="N547" s="11" t="n">
        <x:f>IF(B547="Butterfly",IF(AND(J547&gt;0,J547&lt;K547),D547+J547,"n.a."),IF(C547="call",IF(AND(J547&gt;0,J547&lt;K547),D547+J547,"n.a."),IF(AND(K547&gt;J547,2*E547-D547+J547&gt;=0),2*E547-D547+J547,"n.a.")))</x:f>
        <x:v>6555</x:v>
      </x:c>
      <x:c r="O547" s="11" t="str">
        <x:f>IF(B547="Butterfly",IF(AND(J547&gt;0,J547&lt;K547),F547-J547,"n.a."),IF(C547="call",IF(K547&gt;J547,2*E547-D547-J547,"n.a."),IF(AND(J547&gt;0,J547&lt;K547),D547-J547,"n.a.")))</x:f>
        <x:v>n.a.</x:v>
      </x:c>
      <x:c r="P547" s="19" t="str">
        <x:f>IF(AND(B547="Butterfly",J547&gt;0,J547&lt;K547),L547/J547,"n.a.")</x:f>
        <x:v>n.a.</x:v>
      </x:c>
      <x:c r="Q547" s="11" t="n">
        <x:f>J547*'Model inputs'!$B$8</x:f>
        <x:v>-204500</x:v>
      </x:c>
      <x:c r="R547" s="1" t="str">
        <x:v>Flagged leg data</x:v>
      </x:c>
      <x:c r="S547" s="1" t="n">
        <x:v>916</x:v>
      </x:c>
      <x:c r="T547" s="1" t="n">
        <x:v>909</x:v>
      </x:c>
    </x:row>
    <x:row r="548" ht="21" customHeight="1">
      <x:c r="A548" s="12" t="n">
        <x:v>46274</x:v>
      </x:c>
      <x:c r="B548" s="1" t="str">
        <x:v>1x2 ratio</x:v>
      </x:c>
      <x:c r="C548" s="1" t="str">
        <x:v>call</x:v>
      </x:c>
      <x:c r="D548" s="11" t="n">
        <x:v>5000</x:v>
      </x:c>
      <x:c r="E548" s="11" t="n">
        <x:v>5200</x:v>
      </x:c>
      <x:c r="F548" s="11"/>
      <x:c r="G548" s="11" t="n">
        <x:f>'Option source'!B92</x:f>
        <x:v>2047.78</x:v>
      </x:c>
      <x:c r="H548" s="11" t="n">
        <x:f>'Option source'!B111</x:f>
        <x:v>1895.85</x:v>
      </x:c>
      <x:c r="I548" s="11"/>
      <x:c r="J548" s="11" t="n">
        <x:f>G548-2*H548+IF(B548="Butterfly",I548,0)</x:f>
        <x:v>-1743.9199999999998</x:v>
      </x:c>
      <x:c r="K548" s="11" t="n">
        <x:f>ABS(E548-D548)</x:f>
        <x:v>200</x:v>
      </x:c>
      <x:c r="L548" s="11" t="n">
        <x:f>K548-J548</x:f>
        <x:v>1943.9199999999998</x:v>
      </x:c>
      <x:c r="M548" s="11" t="str">
        <x:f>IF(B548="Butterfly",MAX(J548,0),IF(C548="call","Unlimited",MAX(2*E548-D548+J548,J548,0)))</x:f>
        <x:v>Unlimited</x:v>
      </x:c>
      <x:c r="N548" s="11" t="str">
        <x:f>IF(B548="Butterfly",IF(AND(J548&gt;0,J548&lt;K548),D548+J548,"n.a."),IF(C548="call",IF(AND(J548&gt;0,J548&lt;K548),D548+J548,"n.a."),IF(AND(K548&gt;J548,2*E548-D548+J548&gt;=0),2*E548-D548+J548,"n.a.")))</x:f>
        <x:v>n.a.</x:v>
      </x:c>
      <x:c r="O548" s="11" t="n">
        <x:f>IF(B548="Butterfly",IF(AND(J548&gt;0,J548&lt;K548),F548-J548,"n.a."),IF(C548="call",IF(K548&gt;J548,2*E548-D548-J548,"n.a."),IF(AND(J548&gt;0,J548&lt;K548),D548-J548,"n.a.")))</x:f>
        <x:v>7143.92</x:v>
      </x:c>
      <x:c r="P548" s="19" t="str">
        <x:f>IF(AND(B548="Butterfly",J548&gt;0,J548&lt;K548),L548/J548,"n.a.")</x:f>
        <x:v>n.a.</x:v>
      </x:c>
      <x:c r="Q548" s="11" t="n">
        <x:f>J548*'Model inputs'!$B$8</x:f>
        <x:v>-174391.99999999997</x:v>
      </x:c>
      <x:c r="R548" s="1" t="str">
        <x:v>Flagged leg data</x:v>
      </x:c>
      <x:c r="S548" s="1" t="n">
        <x:v>87</x:v>
      </x:c>
      <x:c r="T548" s="1" t="n">
        <x:v>106</x:v>
      </x:c>
    </x:row>
    <x:row r="549" ht="21" customHeight="1">
      <x:c r="A549" s="12" t="n">
        <x:v>46274</x:v>
      </x:c>
      <x:c r="B549" s="1" t="str">
        <x:v>1x2 ratio</x:v>
      </x:c>
      <x:c r="C549" s="1" t="str">
        <x:v>call</x:v>
      </x:c>
      <x:c r="D549" s="11" t="n">
        <x:v>4800</x:v>
      </x:c>
      <x:c r="E549" s="11" t="n">
        <x:v>5000</x:v>
      </x:c>
      <x:c r="F549" s="11"/>
      <x:c r="G549" s="11" t="n">
        <x:f>'Option source'!B75</x:f>
        <x:v>2347.98</x:v>
      </x:c>
      <x:c r="H549" s="11" t="n">
        <x:f>'Option source'!B92</x:f>
        <x:v>2047.78</x:v>
      </x:c>
      <x:c r="I549" s="11"/>
      <x:c r="J549" s="11" t="n">
        <x:f>G549-2*H549+IF(B549="Butterfly",I549,0)</x:f>
        <x:v>-1747.58</x:v>
      </x:c>
      <x:c r="K549" s="11" t="n">
        <x:f>ABS(E549-D549)</x:f>
        <x:v>200</x:v>
      </x:c>
      <x:c r="L549" s="11" t="n">
        <x:f>K549-J549</x:f>
        <x:v>1947.58</x:v>
      </x:c>
      <x:c r="M549" s="11" t="str">
        <x:f>IF(B549="Butterfly",MAX(J549,0),IF(C549="call","Unlimited",MAX(2*E549-D549+J549,J549,0)))</x:f>
        <x:v>Unlimited</x:v>
      </x:c>
      <x:c r="N549" s="11" t="str">
        <x:f>IF(B549="Butterfly",IF(AND(J549&gt;0,J549&lt;K549),D549+J549,"n.a."),IF(C549="call",IF(AND(J549&gt;0,J549&lt;K549),D549+J549,"n.a."),IF(AND(K549&gt;J549,2*E549-D549+J549&gt;=0),2*E549-D549+J549,"n.a.")))</x:f>
        <x:v>n.a.</x:v>
      </x:c>
      <x:c r="O549" s="11" t="n">
        <x:f>IF(B549="Butterfly",IF(AND(J549&gt;0,J549&lt;K549),F549-J549,"n.a."),IF(C549="call",IF(K549&gt;J549,2*E549-D549-J549,"n.a."),IF(AND(J549&gt;0,J549&lt;K549),D549-J549,"n.a.")))</x:f>
        <x:v>6947.58</x:v>
      </x:c>
      <x:c r="P549" s="19" t="str">
        <x:f>IF(AND(B549="Butterfly",J549&gt;0,J549&lt;K549),L549/J549,"n.a.")</x:f>
        <x:v>n.a.</x:v>
      </x:c>
      <x:c r="Q549" s="11" t="n">
        <x:f>J549*'Model inputs'!$B$8</x:f>
        <x:v>-174758</x:v>
      </x:c>
      <x:c r="R549" s="1" t="str">
        <x:v>Flagged leg data</x:v>
      </x:c>
      <x:c r="S549" s="1" t="n">
        <x:v>70</x:v>
      </x:c>
      <x:c r="T549" s="1" t="n">
        <x:v>87</x:v>
      </x:c>
    </x:row>
    <x:row r="550" ht="21" customHeight="1">
      <x:c r="A550" s="12" t="n">
        <x:v>46274</x:v>
      </x:c>
      <x:c r="B550" s="1" t="str">
        <x:v>1x2 ratio</x:v>
      </x:c>
      <x:c r="C550" s="1" t="str">
        <x:v>call</x:v>
      </x:c>
      <x:c r="D550" s="11" t="n">
        <x:v>4600</x:v>
      </x:c>
      <x:c r="E550" s="11" t="n">
        <x:v>4800</x:v>
      </x:c>
      <x:c r="F550" s="11"/>
      <x:c r="G550" s="11" t="n">
        <x:f>'Option source'!B58</x:f>
        <x:v>2550</x:v>
      </x:c>
      <x:c r="H550" s="11" t="n">
        <x:f>'Option source'!B75</x:f>
        <x:v>2347.98</x:v>
      </x:c>
      <x:c r="I550" s="11"/>
      <x:c r="J550" s="11" t="n">
        <x:f>G550-2*H550+IF(B550="Butterfly",I550,0)</x:f>
        <x:v>-2145.96</x:v>
      </x:c>
      <x:c r="K550" s="11" t="n">
        <x:f>ABS(E550-D550)</x:f>
        <x:v>200</x:v>
      </x:c>
      <x:c r="L550" s="11" t="n">
        <x:f>K550-J550</x:f>
        <x:v>2345.96</x:v>
      </x:c>
      <x:c r="M550" s="11" t="str">
        <x:f>IF(B550="Butterfly",MAX(J550,0),IF(C550="call","Unlimited",MAX(2*E550-D550+J550,J550,0)))</x:f>
        <x:v>Unlimited</x:v>
      </x:c>
      <x:c r="N550" s="11" t="str">
        <x:f>IF(B550="Butterfly",IF(AND(J550&gt;0,J550&lt;K550),D550+J550,"n.a."),IF(C550="call",IF(AND(J550&gt;0,J550&lt;K550),D550+J550,"n.a."),IF(AND(K550&gt;J550,2*E550-D550+J550&gt;=0),2*E550-D550+J550,"n.a.")))</x:f>
        <x:v>n.a.</x:v>
      </x:c>
      <x:c r="O550" s="11" t="n">
        <x:f>IF(B550="Butterfly",IF(AND(J550&gt;0,J550&lt;K550),F550-J550,"n.a."),IF(C550="call",IF(K550&gt;J550,2*E550-D550-J550,"n.a."),IF(AND(J550&gt;0,J550&lt;K550),D550-J550,"n.a.")))</x:f>
        <x:v>7145.96</x:v>
      </x:c>
      <x:c r="P550" s="19" t="str">
        <x:f>IF(AND(B550="Butterfly",J550&gt;0,J550&lt;K550),L550/J550,"n.a.")</x:f>
        <x:v>n.a.</x:v>
      </x:c>
      <x:c r="Q550" s="11" t="n">
        <x:f>J550*'Model inputs'!$B$8</x:f>
        <x:v>-214596</x:v>
      </x:c>
      <x:c r="R550" s="1" t="str">
        <x:v>Flagged leg data</x:v>
      </x:c>
      <x:c r="S550" s="1" t="n">
        <x:v>53</x:v>
      </x:c>
      <x:c r="T550" s="1" t="n">
        <x:v>70</x:v>
      </x:c>
    </x:row>
    <x:row r="551" ht="21" customHeight="1">
      <x:c r="A551" s="12" t="n">
        <x:v>46274</x:v>
      </x:c>
      <x:c r="B551" s="1" t="str">
        <x:v>1x2 ratio</x:v>
      </x:c>
      <x:c r="C551" s="1" t="str">
        <x:v>call</x:v>
      </x:c>
      <x:c r="D551" s="11" t="n">
        <x:v>4400</x:v>
      </x:c>
      <x:c r="E551" s="11" t="n">
        <x:v>4600</x:v>
      </x:c>
      <x:c r="F551" s="11"/>
      <x:c r="G551" s="11" t="n">
        <x:f>'Option source'!B39</x:f>
        <x:v>2762.2</x:v>
      </x:c>
      <x:c r="H551" s="11" t="n">
        <x:f>'Option source'!B58</x:f>
        <x:v>2550</x:v>
      </x:c>
      <x:c r="I551" s="11"/>
      <x:c r="J551" s="11" t="n">
        <x:f>G551-2*H551+IF(B551="Butterfly",I551,0)</x:f>
        <x:v>-2337.8</x:v>
      </x:c>
      <x:c r="K551" s="11" t="n">
        <x:f>ABS(E551-D551)</x:f>
        <x:v>200</x:v>
      </x:c>
      <x:c r="L551" s="11" t="n">
        <x:f>K551-J551</x:f>
        <x:v>2537.8</x:v>
      </x:c>
      <x:c r="M551" s="11" t="str">
        <x:f>IF(B551="Butterfly",MAX(J551,0),IF(C551="call","Unlimited",MAX(2*E551-D551+J551,J551,0)))</x:f>
        <x:v>Unlimited</x:v>
      </x:c>
      <x:c r="N551" s="11" t="str">
        <x:f>IF(B551="Butterfly",IF(AND(J551&gt;0,J551&lt;K551),D551+J551,"n.a."),IF(C551="call",IF(AND(J551&gt;0,J551&lt;K551),D551+J551,"n.a."),IF(AND(K551&gt;J551,2*E551-D551+J551&gt;=0),2*E551-D551+J551,"n.a.")))</x:f>
        <x:v>n.a.</x:v>
      </x:c>
      <x:c r="O551" s="11" t="n">
        <x:f>IF(B551="Butterfly",IF(AND(J551&gt;0,J551&lt;K551),F551-J551,"n.a."),IF(C551="call",IF(K551&gt;J551,2*E551-D551-J551,"n.a."),IF(AND(J551&gt;0,J551&lt;K551),D551-J551,"n.a.")))</x:f>
        <x:v>7137.8</x:v>
      </x:c>
      <x:c r="P551" s="19" t="str">
        <x:f>IF(AND(B551="Butterfly",J551&gt;0,J551&lt;K551),L551/J551,"n.a.")</x:f>
        <x:v>n.a.</x:v>
      </x:c>
      <x:c r="Q551" s="11" t="n">
        <x:f>J551*'Model inputs'!$B$8</x:f>
        <x:v>-233780.00000000003</x:v>
      </x:c>
      <x:c r="R551" s="1" t="str">
        <x:v>Flagged leg data</x:v>
      </x:c>
      <x:c r="S551" s="1" t="n">
        <x:v>34</x:v>
      </x:c>
      <x:c r="T551" s="1" t="n">
        <x:v>53</x:v>
      </x:c>
    </x:row>
    <x:row r="552" ht="21" customHeight="1">
      <x:c r="A552" s="12" t="n">
        <x:v>46274</x:v>
      </x:c>
      <x:c r="B552" s="1" t="str">
        <x:v>1x2 ratio</x:v>
      </x:c>
      <x:c r="C552" s="1" t="str">
        <x:v>call</x:v>
      </x:c>
      <x:c r="D552" s="11" t="n">
        <x:v>4200</x:v>
      </x:c>
      <x:c r="E552" s="11" t="n">
        <x:v>4400</x:v>
      </x:c>
      <x:c r="F552" s="11"/>
      <x:c r="G552" s="11" t="n">
        <x:f>'Option source'!B20</x:f>
        <x:v>2845.62</x:v>
      </x:c>
      <x:c r="H552" s="11" t="n">
        <x:f>'Option source'!B39</x:f>
        <x:v>2762.2</x:v>
      </x:c>
      <x:c r="I552" s="11"/>
      <x:c r="J552" s="11" t="n">
        <x:f>G552-2*H552+IF(B552="Butterfly",I552,0)</x:f>
        <x:v>-2678.7799999999997</x:v>
      </x:c>
      <x:c r="K552" s="11" t="n">
        <x:f>ABS(E552-D552)</x:f>
        <x:v>200</x:v>
      </x:c>
      <x:c r="L552" s="11" t="n">
        <x:f>K552-J552</x:f>
        <x:v>2878.7799999999997</x:v>
      </x:c>
      <x:c r="M552" s="11" t="str">
        <x:f>IF(B552="Butterfly",MAX(J552,0),IF(C552="call","Unlimited",MAX(2*E552-D552+J552,J552,0)))</x:f>
        <x:v>Unlimited</x:v>
      </x:c>
      <x:c r="N552" s="11" t="str">
        <x:f>IF(B552="Butterfly",IF(AND(J552&gt;0,J552&lt;K552),D552+J552,"n.a."),IF(C552="call",IF(AND(J552&gt;0,J552&lt;K552),D552+J552,"n.a."),IF(AND(K552&gt;J552,2*E552-D552+J552&gt;=0),2*E552-D552+J552,"n.a.")))</x:f>
        <x:v>n.a.</x:v>
      </x:c>
      <x:c r="O552" s="11" t="n">
        <x:f>IF(B552="Butterfly",IF(AND(J552&gt;0,J552&lt;K552),F552-J552,"n.a."),IF(C552="call",IF(K552&gt;J552,2*E552-D552-J552,"n.a."),IF(AND(J552&gt;0,J552&lt;K552),D552-J552,"n.a.")))</x:f>
        <x:v>7278.78</x:v>
      </x:c>
      <x:c r="P552" s="19" t="str">
        <x:f>IF(AND(B552="Butterfly",J552&gt;0,J552&lt;K552),L552/J552,"n.a.")</x:f>
        <x:v>n.a.</x:v>
      </x:c>
      <x:c r="Q552" s="11" t="n">
        <x:f>J552*'Model inputs'!$B$8</x:f>
        <x:v>-267878</x:v>
      </x:c>
      <x:c r="R552" s="1" t="str">
        <x:v>Flagged leg data</x:v>
      </x:c>
      <x:c r="S552" s="1" t="n">
        <x:v>15</x:v>
      </x:c>
      <x:c r="T552" s="1" t="n">
        <x:v>34</x:v>
      </x:c>
    </x:row>
    <x:row r="553" ht="21" customHeight="1">
      <x:c r="A553" s="12" t="n">
        <x:v>46273</x:v>
      </x:c>
      <x:c r="B553" s="1" t="str">
        <x:v>Butterfly</x:v>
      </x:c>
      <x:c r="C553" s="1" t="str">
        <x:v>call</x:v>
      </x:c>
      <x:c r="D553" s="11" t="n">
        <x:v>6800</x:v>
      </x:c>
      <x:c r="E553" s="11" t="n">
        <x:v>7000</x:v>
      </x:c>
      <x:c r="F553" s="11" t="n">
        <x:v>7200</x:v>
      </x:c>
      <x:c r="G553" s="11" t="n">
        <x:f>'Option source'!B252</x:f>
        <x:v>595.26</x:v>
      </x:c>
      <x:c r="H553" s="11" t="n">
        <x:f>'Option source'!B271</x:f>
        <x:v>485.45</x:v>
      </x:c>
      <x:c r="I553" s="11" t="n">
        <x:f>'Option source'!B290</x:f>
        <x:v>385.82</x:v>
      </x:c>
      <x:c r="J553" s="11" t="n">
        <x:f>G553-2*H553+IF(B553="Butterfly",I553,0)</x:f>
        <x:v>10.180000000000007</x:v>
      </x:c>
      <x:c r="K553" s="11" t="n">
        <x:f>ABS(E553-D553)</x:f>
        <x:v>200</x:v>
      </x:c>
      <x:c r="L553" s="11" t="n">
        <x:f>K553-J553</x:f>
        <x:v>189.82</x:v>
      </x:c>
      <x:c r="M553" s="11" t="n">
        <x:f>IF(B553="Butterfly",MAX(J553,0),IF(C553="call","Unlimited",MAX(2*E553-D553+J553,J553,0)))</x:f>
        <x:v>10.180000000000007</x:v>
      </x:c>
      <x:c r="N553" s="11" t="n">
        <x:f>IF(B553="Butterfly",IF(AND(J553&gt;0,J553&lt;K553),D553+J553,"n.a."),IF(C553="call",IF(AND(J553&gt;0,J553&lt;K553),D553+J553,"n.a."),IF(AND(K553&gt;J553,2*E553-D553+J553&gt;=0),2*E553-D553+J553,"n.a.")))</x:f>
        <x:v>6810.18</x:v>
      </x:c>
      <x:c r="O553" s="11" t="n">
        <x:f>IF(B553="Butterfly",IF(AND(J553&gt;0,J553&lt;K553),F553-J553,"n.a."),IF(C553="call",IF(K553&gt;J553,2*E553-D553-J553,"n.a."),IF(AND(J553&gt;0,J553&lt;K553),D553-J553,"n.a.")))</x:f>
        <x:v>7189.82</x:v>
      </x:c>
      <x:c r="P553" s="19" t="n">
        <x:f>IF(AND(B553="Butterfly",J553&gt;0,J553&lt;K553),L553/J553,"n.a.")</x:f>
        <x:v>18.646365422396844</x:v>
      </x:c>
      <x:c r="Q553" s="11" t="n">
        <x:f>J553*'Model inputs'!$B$8</x:f>
        <x:v>1018.0000000000007</x:v>
      </x:c>
      <x:c r="R553" s="1" t="str">
        <x:v>Indicative only</x:v>
      </x:c>
      <x:c r="S553" s="1" t="n">
        <x:v>247</x:v>
      </x:c>
      <x:c r="T553" s="1" t="n">
        <x:v>266</x:v>
      </x:c>
    </x:row>
    <x:row r="554" ht="21" customHeight="1">
      <x:c r="A554" s="12" t="n">
        <x:v>46273</x:v>
      </x:c>
      <x:c r="B554" s="1" t="str">
        <x:v>Butterfly</x:v>
      </x:c>
      <x:c r="C554" s="1" t="str">
        <x:v>put</x:v>
      </x:c>
      <x:c r="D554" s="11" t="n">
        <x:v>6800</x:v>
      </x:c>
      <x:c r="E554" s="11" t="n">
        <x:v>7000</x:v>
      </x:c>
      <x:c r="F554" s="11" t="n">
        <x:v>7200</x:v>
      </x:c>
      <x:c r="G554" s="11" t="n">
        <x:f>'Option source'!B746</x:f>
        <x:v>224.24</x:v>
      </x:c>
      <x:c r="H554" s="11" t="n">
        <x:f>'Option source'!B765</x:f>
        <x:v>317.07</x:v>
      </x:c>
      <x:c r="I554" s="11" t="n">
        <x:f>'Option source'!B784</x:f>
        <x:v>419.99</x:v>
      </x:c>
      <x:c r="J554" s="11" t="n">
        <x:f>G554-2*H554+IF(B554="Butterfly",I554,0)</x:f>
        <x:v>10.090000000000032</x:v>
      </x:c>
      <x:c r="K554" s="11" t="n">
        <x:f>ABS(E554-D554)</x:f>
        <x:v>200</x:v>
      </x:c>
      <x:c r="L554" s="11" t="n">
        <x:f>K554-J554</x:f>
        <x:v>189.90999999999997</x:v>
      </x:c>
      <x:c r="M554" s="11" t="n">
        <x:f>IF(B554="Butterfly",MAX(J554,0),IF(C554="call","Unlimited",MAX(2*E554-D554+J554,J554,0)))</x:f>
        <x:v>10.090000000000032</x:v>
      </x:c>
      <x:c r="N554" s="11" t="n">
        <x:f>IF(B554="Butterfly",IF(AND(J554&gt;0,J554&lt;K554),D554+J554,"n.a."),IF(C554="call",IF(AND(J554&gt;0,J554&lt;K554),D554+J554,"n.a."),IF(AND(K554&gt;J554,2*E554-D554+J554&gt;=0),2*E554-D554+J554,"n.a.")))</x:f>
        <x:v>6810.09</x:v>
      </x:c>
      <x:c r="O554" s="11" t="n">
        <x:f>IF(B554="Butterfly",IF(AND(J554&gt;0,J554&lt;K554),F554-J554,"n.a."),IF(C554="call",IF(K554&gt;J554,2*E554-D554-J554,"n.a."),IF(AND(J554&gt;0,J554&lt;K554),D554-J554,"n.a.")))</x:f>
        <x:v>7189.91</x:v>
      </x:c>
      <x:c r="P554" s="19" t="n">
        <x:f>IF(AND(B554="Butterfly",J554&gt;0,J554&lt;K554),L554/J554,"n.a.")</x:f>
        <x:v>18.82160555004949</x:v>
      </x:c>
      <x:c r="Q554" s="11" t="n">
        <x:f>J554*'Model inputs'!$B$8</x:f>
        <x:v>1009.0000000000032</x:v>
      </x:c>
      <x:c r="R554" s="1" t="str">
        <x:v>Indicative only</x:v>
      </x:c>
      <x:c r="S554" s="1" t="n">
        <x:v>741</x:v>
      </x:c>
      <x:c r="T554" s="1" t="n">
        <x:v>760</x:v>
      </x:c>
    </x:row>
    <x:row r="555" ht="21" customHeight="1">
      <x:c r="A555" s="12" t="n">
        <x:v>46273</x:v>
      </x:c>
      <x:c r="B555" s="1" t="str">
        <x:v>Butterfly</x:v>
      </x:c>
      <x:c r="C555" s="1" t="str">
        <x:v>call</x:v>
      </x:c>
      <x:c r="D555" s="11" t="n">
        <x:v>7000</x:v>
      </x:c>
      <x:c r="E555" s="11" t="n">
        <x:v>7200</x:v>
      </x:c>
      <x:c r="F555" s="11" t="n">
        <x:v>7400</x:v>
      </x:c>
      <x:c r="G555" s="11" t="n">
        <x:f>'Option source'!B271</x:f>
        <x:v>485.45</x:v>
      </x:c>
      <x:c r="H555" s="11" t="n">
        <x:f>'Option source'!B290</x:f>
        <x:v>385.82</x:v>
      </x:c>
      <x:c r="I555" s="11" t="n">
        <x:f>'Option source'!B309</x:f>
        <x:v>298.68</x:v>
      </x:c>
      <x:c r="J555" s="11" t="n">
        <x:f>G555-2*H555+IF(B555="Butterfly",I555,0)</x:f>
        <x:v>12.490000000000009</x:v>
      </x:c>
      <x:c r="K555" s="11" t="n">
        <x:f>ABS(E555-D555)</x:f>
        <x:v>200</x:v>
      </x:c>
      <x:c r="L555" s="11" t="n">
        <x:f>K555-J555</x:f>
        <x:v>187.51</x:v>
      </x:c>
      <x:c r="M555" s="11" t="n">
        <x:f>IF(B555="Butterfly",MAX(J555,0),IF(C555="call","Unlimited",MAX(2*E555-D555+J555,J555,0)))</x:f>
        <x:v>12.490000000000009</x:v>
      </x:c>
      <x:c r="N555" s="11" t="n">
        <x:f>IF(B555="Butterfly",IF(AND(J555&gt;0,J555&lt;K555),D555+J555,"n.a."),IF(C555="call",IF(AND(J555&gt;0,J555&lt;K555),D555+J555,"n.a."),IF(AND(K555&gt;J555,2*E555-D555+J555&gt;=0),2*E555-D555+J555,"n.a.")))</x:f>
        <x:v>7012.49</x:v>
      </x:c>
      <x:c r="O555" s="11" t="n">
        <x:f>IF(B555="Butterfly",IF(AND(J555&gt;0,J555&lt;K555),F555-J555,"n.a."),IF(C555="call",IF(K555&gt;J555,2*E555-D555-J555,"n.a."),IF(AND(J555&gt;0,J555&lt;K555),D555-J555,"n.a.")))</x:f>
        <x:v>7387.51</x:v>
      </x:c>
      <x:c r="P555" s="19" t="n">
        <x:f>IF(AND(B555="Butterfly",J555&gt;0,J555&lt;K555),L555/J555,"n.a.")</x:f>
        <x:v>15.012810248198548</x:v>
      </x:c>
      <x:c r="Q555" s="11" t="n">
        <x:f>J555*'Model inputs'!$B$8</x:f>
        <x:v>1249.000000000001</x:v>
      </x:c>
      <x:c r="R555" s="1" t="str">
        <x:v>Indicative only</x:v>
      </x:c>
      <x:c r="S555" s="1" t="n">
        <x:v>266</x:v>
      </x:c>
      <x:c r="T555" s="1" t="n">
        <x:v>285</x:v>
      </x:c>
    </x:row>
    <x:row r="556" ht="21" customHeight="1">
      <x:c r="A556" s="12" t="n">
        <x:v>46273</x:v>
      </x:c>
      <x:c r="B556" s="1" t="str">
        <x:v>Butterfly</x:v>
      </x:c>
      <x:c r="C556" s="1" t="str">
        <x:v>put</x:v>
      </x:c>
      <x:c r="D556" s="11" t="n">
        <x:v>7000</x:v>
      </x:c>
      <x:c r="E556" s="11" t="n">
        <x:v>7200</x:v>
      </x:c>
      <x:c r="F556" s="11" t="n">
        <x:v>7400</x:v>
      </x:c>
      <x:c r="G556" s="11" t="n">
        <x:f>'Option source'!B765</x:f>
        <x:v>317.07</x:v>
      </x:c>
      <x:c r="H556" s="11" t="n">
        <x:f>'Option source'!B784</x:f>
        <x:v>419.99</x:v>
      </x:c>
      <x:c r="I556" s="11" t="n">
        <x:f>'Option source'!B803</x:f>
        <x:v>535.47</x:v>
      </x:c>
      <x:c r="J556" s="11" t="n">
        <x:f>G556-2*H556+IF(B556="Butterfly",I556,0)</x:f>
        <x:v>12.559999999999945</x:v>
      </x:c>
      <x:c r="K556" s="11" t="n">
        <x:f>ABS(E556-D556)</x:f>
        <x:v>200</x:v>
      </x:c>
      <x:c r="L556" s="11" t="n">
        <x:f>K556-J556</x:f>
        <x:v>187.44000000000005</x:v>
      </x:c>
      <x:c r="M556" s="11" t="n">
        <x:f>IF(B556="Butterfly",MAX(J556,0),IF(C556="call","Unlimited",MAX(2*E556-D556+J556,J556,0)))</x:f>
        <x:v>12.559999999999945</x:v>
      </x:c>
      <x:c r="N556" s="11" t="n">
        <x:f>IF(B556="Butterfly",IF(AND(J556&gt;0,J556&lt;K556),D556+J556,"n.a."),IF(C556="call",IF(AND(J556&gt;0,J556&lt;K556),D556+J556,"n.a."),IF(AND(K556&gt;J556,2*E556-D556+J556&gt;=0),2*E556-D556+J556,"n.a.")))</x:f>
        <x:v>7012.5599999999995</x:v>
      </x:c>
      <x:c r="O556" s="11" t="n">
        <x:f>IF(B556="Butterfly",IF(AND(J556&gt;0,J556&lt;K556),F556-J556,"n.a."),IF(C556="call",IF(K556&gt;J556,2*E556-D556-J556,"n.a."),IF(AND(J556&gt;0,J556&lt;K556),D556-J556,"n.a.")))</x:f>
        <x:v>7387.4400000000005</x:v>
      </x:c>
      <x:c r="P556" s="19" t="n">
        <x:f>IF(AND(B556="Butterfly",J556&gt;0,J556&lt;K556),L556/J556,"n.a.")</x:f>
        <x:v>14.92356687898096</x:v>
      </x:c>
      <x:c r="Q556" s="11" t="n">
        <x:f>J556*'Model inputs'!$B$8</x:f>
        <x:v>1255.9999999999945</x:v>
      </x:c>
      <x:c r="R556" s="1" t="str">
        <x:v>Indicative only</x:v>
      </x:c>
      <x:c r="S556" s="1" t="n">
        <x:v>760</x:v>
      </x:c>
      <x:c r="T556" s="1" t="n">
        <x:v>779</x:v>
      </x:c>
    </x:row>
    <x:row r="557" ht="21" customHeight="1">
      <x:c r="A557" s="12" t="n">
        <x:v>46273</x:v>
      </x:c>
      <x:c r="B557" s="1" t="str">
        <x:v>Butterfly</x:v>
      </x:c>
      <x:c r="C557" s="1" t="str">
        <x:v>call</x:v>
      </x:c>
      <x:c r="D557" s="11" t="n">
        <x:v>6600</x:v>
      </x:c>
      <x:c r="E557" s="11" t="n">
        <x:v>6800</x:v>
      </x:c>
      <x:c r="F557" s="11" t="n">
        <x:v>7000</x:v>
      </x:c>
      <x:c r="G557" s="11" t="n">
        <x:f>'Option source'!B233</x:f>
        <x:v>731.04</x:v>
      </x:c>
      <x:c r="H557" s="11" t="n">
        <x:f>'Option source'!B252</x:f>
        <x:v>595.26</x:v>
      </x:c>
      <x:c r="I557" s="11" t="n">
        <x:f>'Option source'!B271</x:f>
        <x:v>485.45</x:v>
      </x:c>
      <x:c r="J557" s="11" t="n">
        <x:f>G557-2*H557+IF(B557="Butterfly",I557,0)</x:f>
        <x:v>25.96999999999997</x:v>
      </x:c>
      <x:c r="K557" s="11" t="n">
        <x:f>ABS(E557-D557)</x:f>
        <x:v>200</x:v>
      </x:c>
      <x:c r="L557" s="11" t="n">
        <x:f>K557-J557</x:f>
        <x:v>174.03000000000003</x:v>
      </x:c>
      <x:c r="M557" s="11" t="n">
        <x:f>IF(B557="Butterfly",MAX(J557,0),IF(C557="call","Unlimited",MAX(2*E557-D557+J557,J557,0)))</x:f>
        <x:v>25.96999999999997</x:v>
      </x:c>
      <x:c r="N557" s="11" t="n">
        <x:f>IF(B557="Butterfly",IF(AND(J557&gt;0,J557&lt;K557),D557+J557,"n.a."),IF(C557="call",IF(AND(J557&gt;0,J557&lt;K557),D557+J557,"n.a."),IF(AND(K557&gt;J557,2*E557-D557+J557&gt;=0),2*E557-D557+J557,"n.a.")))</x:f>
        <x:v>6625.97</x:v>
      </x:c>
      <x:c r="O557" s="11" t="n">
        <x:f>IF(B557="Butterfly",IF(AND(J557&gt;0,J557&lt;K557),F557-J557,"n.a."),IF(C557="call",IF(K557&gt;J557,2*E557-D557-J557,"n.a."),IF(AND(J557&gt;0,J557&lt;K557),D557-J557,"n.a.")))</x:f>
        <x:v>6974.03</x:v>
      </x:c>
      <x:c r="P557" s="19" t="n">
        <x:f>IF(AND(B557="Butterfly",J557&gt;0,J557&lt;K557),L557/J557,"n.a.")</x:f>
        <x:v>6.701193685021187</x:v>
      </x:c>
      <x:c r="Q557" s="11" t="n">
        <x:f>J557*'Model inputs'!$B$8</x:f>
        <x:v>2596.9999999999973</x:v>
      </x:c>
      <x:c r="R557" s="1" t="str">
        <x:v>Indicative only</x:v>
      </x:c>
      <x:c r="S557" s="1" t="n">
        <x:v>228</x:v>
      </x:c>
      <x:c r="T557" s="1" t="n">
        <x:v>247</x:v>
      </x:c>
    </x:row>
    <x:row r="558" ht="21" customHeight="1">
      <x:c r="A558" s="12" t="n">
        <x:v>46273</x:v>
      </x:c>
      <x:c r="B558" s="1" t="str">
        <x:v>Butterfly</x:v>
      </x:c>
      <x:c r="C558" s="1" t="str">
        <x:v>put</x:v>
      </x:c>
      <x:c r="D558" s="11" t="n">
        <x:v>6600</x:v>
      </x:c>
      <x:c r="E558" s="11" t="n">
        <x:v>6800</x:v>
      </x:c>
      <x:c r="F558" s="11" t="n">
        <x:v>7000</x:v>
      </x:c>
      <x:c r="G558" s="11" t="n">
        <x:f>'Option source'!B727</x:f>
        <x:v>164.7</x:v>
      </x:c>
      <x:c r="H558" s="11" t="n">
        <x:f>'Option source'!B746</x:f>
        <x:v>224.24</x:v>
      </x:c>
      <x:c r="I558" s="11" t="n">
        <x:f>'Option source'!B765</x:f>
        <x:v>317.07</x:v>
      </x:c>
      <x:c r="J558" s="11" t="n">
        <x:f>G558-2*H558+IF(B558="Butterfly",I558,0)</x:f>
        <x:v>33.289999999999964</x:v>
      </x:c>
      <x:c r="K558" s="11" t="n">
        <x:f>ABS(E558-D558)</x:f>
        <x:v>200</x:v>
      </x:c>
      <x:c r="L558" s="11" t="n">
        <x:f>K558-J558</x:f>
        <x:v>166.71000000000004</x:v>
      </x:c>
      <x:c r="M558" s="11" t="n">
        <x:f>IF(B558="Butterfly",MAX(J558,0),IF(C558="call","Unlimited",MAX(2*E558-D558+J558,J558,0)))</x:f>
        <x:v>33.289999999999964</x:v>
      </x:c>
      <x:c r="N558" s="11" t="n">
        <x:f>IF(B558="Butterfly",IF(AND(J558&gt;0,J558&lt;K558),D558+J558,"n.a."),IF(C558="call",IF(AND(J558&gt;0,J558&lt;K558),D558+J558,"n.a."),IF(AND(K558&gt;J558,2*E558-D558+J558&gt;=0),2*E558-D558+J558,"n.a.")))</x:f>
        <x:v>6633.29</x:v>
      </x:c>
      <x:c r="O558" s="11" t="n">
        <x:f>IF(B558="Butterfly",IF(AND(J558&gt;0,J558&lt;K558),F558-J558,"n.a."),IF(C558="call",IF(K558&gt;J558,2*E558-D558-J558,"n.a."),IF(AND(J558&gt;0,J558&lt;K558),D558-J558,"n.a.")))</x:f>
        <x:v>6966.71</x:v>
      </x:c>
      <x:c r="P558" s="19" t="n">
        <x:f>IF(AND(B558="Butterfly",J558&gt;0,J558&lt;K558),L558/J558,"n.a.")</x:f>
        <x:v>5.0078101531991654</x:v>
      </x:c>
      <x:c r="Q558" s="11" t="n">
        <x:f>J558*'Model inputs'!$B$8</x:f>
        <x:v>3328.9999999999964</x:v>
      </x:c>
      <x:c r="R558" s="1" t="str">
        <x:v>Indicative only</x:v>
      </x:c>
      <x:c r="S558" s="1" t="n">
        <x:v>722</x:v>
      </x:c>
      <x:c r="T558" s="1" t="n">
        <x:v>741</x:v>
      </x:c>
    </x:row>
    <x:row r="559" ht="21" customHeight="1">
      <x:c r="A559" s="12" t="n">
        <x:v>46273</x:v>
      </x:c>
      <x:c r="B559" s="1" t="str">
        <x:v>Butterfly</x:v>
      </x:c>
      <x:c r="C559" s="1" t="str">
        <x:v>call</x:v>
      </x:c>
      <x:c r="D559" s="11" t="n">
        <x:v>7200</x:v>
      </x:c>
      <x:c r="E559" s="11" t="n">
        <x:v>7400</x:v>
      </x:c>
      <x:c r="F559" s="11" t="n">
        <x:v>7600</x:v>
      </x:c>
      <x:c r="G559" s="11" t="n">
        <x:f>'Option source'!B290</x:f>
        <x:v>385.82</x:v>
      </x:c>
      <x:c r="H559" s="11" t="n">
        <x:f>'Option source'!B309</x:f>
        <x:v>298.68</x:v>
      </x:c>
      <x:c r="I559" s="11" t="n">
        <x:f>'Option source'!B328</x:f>
        <x:v>227.39</x:v>
      </x:c>
      <x:c r="J559" s="11" t="n">
        <x:f>G559-2*H559+IF(B559="Butterfly",I559,0)</x:f>
        <x:v>15.849999999999966</x:v>
      </x:c>
      <x:c r="K559" s="11" t="n">
        <x:f>ABS(E559-D559)</x:f>
        <x:v>200</x:v>
      </x:c>
      <x:c r="L559" s="11" t="n">
        <x:f>K559-J559</x:f>
        <x:v>184.15000000000003</x:v>
      </x:c>
      <x:c r="M559" s="11" t="n">
        <x:f>IF(B559="Butterfly",MAX(J559,0),IF(C559="call","Unlimited",MAX(2*E559-D559+J559,J559,0)))</x:f>
        <x:v>15.849999999999966</x:v>
      </x:c>
      <x:c r="N559" s="11" t="n">
        <x:f>IF(B559="Butterfly",IF(AND(J559&gt;0,J559&lt;K559),D559+J559,"n.a."),IF(C559="call",IF(AND(J559&gt;0,J559&lt;K559),D559+J559,"n.a."),IF(AND(K559&gt;J559,2*E559-D559+J559&gt;=0),2*E559-D559+J559,"n.a.")))</x:f>
        <x:v>7215.85</x:v>
      </x:c>
      <x:c r="O559" s="11" t="n">
        <x:f>IF(B559="Butterfly",IF(AND(J559&gt;0,J559&lt;K559),F559-J559,"n.a."),IF(C559="call",IF(K559&gt;J559,2*E559-D559-J559,"n.a."),IF(AND(J559&gt;0,J559&lt;K559),D559-J559,"n.a.")))</x:f>
        <x:v>7584.15</x:v>
      </x:c>
      <x:c r="P559" s="19" t="n">
        <x:f>IF(AND(B559="Butterfly",J559&gt;0,J559&lt;K559),L559/J559,"n.a.")</x:f>
        <x:v>11.61829652996848</x:v>
      </x:c>
      <x:c r="Q559" s="11" t="n">
        <x:f>J559*'Model inputs'!$B$8</x:f>
        <x:v>1584.9999999999966</x:v>
      </x:c>
      <x:c r="R559" s="1" t="str">
        <x:v>Indicative only</x:v>
      </x:c>
      <x:c r="S559" s="1" t="n">
        <x:v>285</x:v>
      </x:c>
      <x:c r="T559" s="1" t="n">
        <x:v>304</x:v>
      </x:c>
    </x:row>
    <x:row r="560" ht="21" customHeight="1">
      <x:c r="A560" s="12" t="n">
        <x:v>46273</x:v>
      </x:c>
      <x:c r="B560" s="1" t="str">
        <x:v>Butterfly</x:v>
      </x:c>
      <x:c r="C560" s="1" t="str">
        <x:v>call</x:v>
      </x:c>
      <x:c r="D560" s="11" t="n">
        <x:v>6400</x:v>
      </x:c>
      <x:c r="E560" s="11" t="n">
        <x:v>6600</x:v>
      </x:c>
      <x:c r="F560" s="11" t="n">
        <x:v>6800</x:v>
      </x:c>
      <x:c r="G560" s="11" t="n">
        <x:f>'Option source'!B214</x:f>
        <x:v>900</x:v>
      </x:c>
      <x:c r="H560" s="11" t="n">
        <x:f>'Option source'!B233</x:f>
        <x:v>731.04</x:v>
      </x:c>
      <x:c r="I560" s="11" t="n">
        <x:f>'Option source'!B252</x:f>
        <x:v>595.26</x:v>
      </x:c>
      <x:c r="J560" s="11" t="n">
        <x:f>G560-2*H560+IF(B560="Butterfly",I560,0)</x:f>
        <x:v>33.180000000000064</x:v>
      </x:c>
      <x:c r="K560" s="11" t="n">
        <x:f>ABS(E560-D560)</x:f>
        <x:v>200</x:v>
      </x:c>
      <x:c r="L560" s="11" t="n">
        <x:f>K560-J560</x:f>
        <x:v>166.81999999999994</x:v>
      </x:c>
      <x:c r="M560" s="11" t="n">
        <x:f>IF(B560="Butterfly",MAX(J560,0),IF(C560="call","Unlimited",MAX(2*E560-D560+J560,J560,0)))</x:f>
        <x:v>33.180000000000064</x:v>
      </x:c>
      <x:c r="N560" s="11" t="n">
        <x:f>IF(B560="Butterfly",IF(AND(J560&gt;0,J560&lt;K560),D560+J560,"n.a."),IF(C560="call",IF(AND(J560&gt;0,J560&lt;K560),D560+J560,"n.a."),IF(AND(K560&gt;J560,2*E560-D560+J560&gt;=0),2*E560-D560+J560,"n.a.")))</x:f>
        <x:v>6433.18</x:v>
      </x:c>
      <x:c r="O560" s="11" t="n">
        <x:f>IF(B560="Butterfly",IF(AND(J560&gt;0,J560&lt;K560),F560-J560,"n.a."),IF(C560="call",IF(K560&gt;J560,2*E560-D560-J560,"n.a."),IF(AND(J560&gt;0,J560&lt;K560),D560-J560,"n.a.")))</x:f>
        <x:v>6766.82</x:v>
      </x:c>
      <x:c r="P560" s="19" t="n">
        <x:f>IF(AND(B560="Butterfly",J560&gt;0,J560&lt;K560),L560/J560,"n.a.")</x:f>
        <x:v>5.0277275467148765</x:v>
      </x:c>
      <x:c r="Q560" s="11" t="n">
        <x:f>J560*'Model inputs'!$B$8</x:f>
        <x:v>3318.0000000000064</x:v>
      </x:c>
      <x:c r="R560" s="1" t="str">
        <x:v>Indicative only</x:v>
      </x:c>
      <x:c r="S560" s="1" t="n">
        <x:v>209</x:v>
      </x:c>
      <x:c r="T560" s="1" t="n">
        <x:v>228</x:v>
      </x:c>
    </x:row>
    <x:row r="561" ht="21" customHeight="1">
      <x:c r="A561" s="12" t="n">
        <x:v>46273</x:v>
      </x:c>
      <x:c r="B561" s="1" t="str">
        <x:v>Butterfly</x:v>
      </x:c>
      <x:c r="C561" s="1" t="str">
        <x:v>put</x:v>
      </x:c>
      <x:c r="D561" s="11" t="n">
        <x:v>6400</x:v>
      </x:c>
      <x:c r="E561" s="11" t="n">
        <x:v>6600</x:v>
      </x:c>
      <x:c r="F561" s="11" t="n">
        <x:v>6800</x:v>
      </x:c>
      <x:c r="G561" s="11" t="n">
        <x:f>'Option source'!B708</x:f>
        <x:v>109.53</x:v>
      </x:c>
      <x:c r="H561" s="11" t="n">
        <x:f>'Option source'!B727</x:f>
        <x:v>164.7</x:v>
      </x:c>
      <x:c r="I561" s="11" t="n">
        <x:f>'Option source'!B746</x:f>
        <x:v>224.24</x:v>
      </x:c>
      <x:c r="J561" s="11" t="n">
        <x:f>G561-2*H561+IF(B561="Butterfly",I561,0)</x:f>
        <x:v>4.370000000000033</x:v>
      </x:c>
      <x:c r="K561" s="11" t="n">
        <x:f>ABS(E561-D561)</x:f>
        <x:v>200</x:v>
      </x:c>
      <x:c r="L561" s="11" t="n">
        <x:f>K561-J561</x:f>
        <x:v>195.62999999999997</x:v>
      </x:c>
      <x:c r="M561" s="11" t="n">
        <x:f>IF(B561="Butterfly",MAX(J561,0),IF(C561="call","Unlimited",MAX(2*E561-D561+J561,J561,0)))</x:f>
        <x:v>4.370000000000033</x:v>
      </x:c>
      <x:c r="N561" s="11" t="n">
        <x:f>IF(B561="Butterfly",IF(AND(J561&gt;0,J561&lt;K561),D561+J561,"n.a."),IF(C561="call",IF(AND(J561&gt;0,J561&lt;K561),D561+J561,"n.a."),IF(AND(K561&gt;J561,2*E561-D561+J561&gt;=0),2*E561-D561+J561,"n.a.")))</x:f>
        <x:v>6404.37</x:v>
      </x:c>
      <x:c r="O561" s="11" t="n">
        <x:f>IF(B561="Butterfly",IF(AND(J561&gt;0,J561&lt;K561),F561-J561,"n.a."),IF(C561="call",IF(K561&gt;J561,2*E561-D561-J561,"n.a."),IF(AND(J561&gt;0,J561&lt;K561),D561-J561,"n.a.")))</x:f>
        <x:v>6795.63</x:v>
      </x:c>
      <x:c r="P561" s="19" t="n">
        <x:f>IF(AND(B561="Butterfly",J561&gt;0,J561&lt;K561),L561/J561,"n.a.")</x:f>
        <x:v>44.766590389015676</x:v>
      </x:c>
      <x:c r="Q561" s="11" t="n">
        <x:f>J561*'Model inputs'!$B$8</x:f>
        <x:v>437.0000000000033</x:v>
      </x:c>
      <x:c r="R561" s="1" t="str">
        <x:v>Indicative only</x:v>
      </x:c>
      <x:c r="S561" s="1" t="n">
        <x:v>703</x:v>
      </x:c>
      <x:c r="T561" s="1" t="n">
        <x:v>722</x:v>
      </x:c>
    </x:row>
    <x:row r="562" ht="21" customHeight="1">
      <x:c r="A562" s="12" t="n">
        <x:v>46273</x:v>
      </x:c>
      <x:c r="B562" s="1" t="str">
        <x:v>Butterfly</x:v>
      </x:c>
      <x:c r="C562" s="1" t="str">
        <x:v>call</x:v>
      </x:c>
      <x:c r="D562" s="11" t="n">
        <x:v>7400</x:v>
      </x:c>
      <x:c r="E562" s="11" t="n">
        <x:v>7600</x:v>
      </x:c>
      <x:c r="F562" s="11" t="n">
        <x:v>7800</x:v>
      </x:c>
      <x:c r="G562" s="11" t="n">
        <x:f>'Option source'!B309</x:f>
        <x:v>298.68</x:v>
      </x:c>
      <x:c r="H562" s="11" t="n">
        <x:f>'Option source'!B328</x:f>
        <x:v>227.39</x:v>
      </x:c>
      <x:c r="I562" s="11" t="n">
        <x:f>'Option source'!B347</x:f>
        <x:v>174.8</x:v>
      </x:c>
      <x:c r="J562" s="11" t="n">
        <x:f>G562-2*H562+IF(B562="Butterfly",I562,0)</x:f>
        <x:v>18.700000000000045</x:v>
      </x:c>
      <x:c r="K562" s="11" t="n">
        <x:f>ABS(E562-D562)</x:f>
        <x:v>200</x:v>
      </x:c>
      <x:c r="L562" s="11" t="n">
        <x:f>K562-J562</x:f>
        <x:v>181.29999999999995</x:v>
      </x:c>
      <x:c r="M562" s="11" t="n">
        <x:f>IF(B562="Butterfly",MAX(J562,0),IF(C562="call","Unlimited",MAX(2*E562-D562+J562,J562,0)))</x:f>
        <x:v>18.700000000000045</x:v>
      </x:c>
      <x:c r="N562" s="11" t="n">
        <x:f>IF(B562="Butterfly",IF(AND(J562&gt;0,J562&lt;K562),D562+J562,"n.a."),IF(C562="call",IF(AND(J562&gt;0,J562&lt;K562),D562+J562,"n.a."),IF(AND(K562&gt;J562,2*E562-D562+J562&gt;=0),2*E562-D562+J562,"n.a.")))</x:f>
        <x:v>7418.7</x:v>
      </x:c>
      <x:c r="O562" s="11" t="n">
        <x:f>IF(B562="Butterfly",IF(AND(J562&gt;0,J562&lt;K562),F562-J562,"n.a."),IF(C562="call",IF(K562&gt;J562,2*E562-D562-J562,"n.a."),IF(AND(J562&gt;0,J562&lt;K562),D562-J562,"n.a.")))</x:f>
        <x:v>7781.3</x:v>
      </x:c>
      <x:c r="P562" s="19" t="n">
        <x:f>IF(AND(B562="Butterfly",J562&gt;0,J562&lt;K562),L562/J562,"n.a.")</x:f>
        <x:v>9.695187165775375</x:v>
      </x:c>
      <x:c r="Q562" s="11" t="n">
        <x:f>J562*'Model inputs'!$B$8</x:f>
        <x:v>1870.0000000000045</x:v>
      </x:c>
      <x:c r="R562" s="1" t="str">
        <x:v>Indicative only</x:v>
      </x:c>
      <x:c r="S562" s="1" t="n">
        <x:v>304</x:v>
      </x:c>
      <x:c r="T562" s="1" t="n">
        <x:v>323</x:v>
      </x:c>
    </x:row>
    <x:row r="563" ht="21" customHeight="1">
      <x:c r="A563" s="12" t="n">
        <x:v>46273</x:v>
      </x:c>
      <x:c r="B563" s="1" t="str">
        <x:v>Butterfly</x:v>
      </x:c>
      <x:c r="C563" s="1" t="str">
        <x:v>put</x:v>
      </x:c>
      <x:c r="D563" s="11" t="n">
        <x:v>6200</x:v>
      </x:c>
      <x:c r="E563" s="11" t="n">
        <x:v>6400</x:v>
      </x:c>
      <x:c r="F563" s="11" t="n">
        <x:v>6600</x:v>
      </x:c>
      <x:c r="G563" s="11" t="n">
        <x:f>'Option source'!B689</x:f>
        <x:v>68.23</x:v>
      </x:c>
      <x:c r="H563" s="11" t="n">
        <x:f>'Option source'!B708</x:f>
        <x:v>109.53</x:v>
      </x:c>
      <x:c r="I563" s="11" t="n">
        <x:f>'Option source'!B727</x:f>
        <x:v>164.7</x:v>
      </x:c>
      <x:c r="J563" s="11" t="n">
        <x:f>G563-2*H563+IF(B563="Butterfly",I563,0)</x:f>
        <x:v>13.870000000000005</x:v>
      </x:c>
      <x:c r="K563" s="11" t="n">
        <x:f>ABS(E563-D563)</x:f>
        <x:v>200</x:v>
      </x:c>
      <x:c r="L563" s="11" t="n">
        <x:f>K563-J563</x:f>
        <x:v>186.13</x:v>
      </x:c>
      <x:c r="M563" s="11" t="n">
        <x:f>IF(B563="Butterfly",MAX(J563,0),IF(C563="call","Unlimited",MAX(2*E563-D563+J563,J563,0)))</x:f>
        <x:v>13.870000000000005</x:v>
      </x:c>
      <x:c r="N563" s="11" t="n">
        <x:f>IF(B563="Butterfly",IF(AND(J563&gt;0,J563&lt;K563),D563+J563,"n.a."),IF(C563="call",IF(AND(J563&gt;0,J563&lt;K563),D563+J563,"n.a."),IF(AND(K563&gt;J563,2*E563-D563+J563&gt;=0),2*E563-D563+J563,"n.a.")))</x:f>
        <x:v>6213.87</x:v>
      </x:c>
      <x:c r="O563" s="11" t="n">
        <x:f>IF(B563="Butterfly",IF(AND(J563&gt;0,J563&lt;K563),F563-J563,"n.a."),IF(C563="call",IF(K563&gt;J563,2*E563-D563-J563,"n.a."),IF(AND(J563&gt;0,J563&lt;K563),D563-J563,"n.a.")))</x:f>
        <x:v>6586.13</x:v>
      </x:c>
      <x:c r="P563" s="19" t="n">
        <x:f>IF(AND(B563="Butterfly",J563&gt;0,J563&lt;K563),L563/J563,"n.a.")</x:f>
        <x:v>13.419610670511892</x:v>
      </x:c>
      <x:c r="Q563" s="11" t="n">
        <x:f>J563*'Model inputs'!$B$8</x:f>
        <x:v>1387.0000000000005</x:v>
      </x:c>
      <x:c r="R563" s="1" t="str">
        <x:v>Indicative only</x:v>
      </x:c>
      <x:c r="S563" s="1" t="n">
        <x:v>684</x:v>
      </x:c>
      <x:c r="T563" s="1" t="n">
        <x:v>703</x:v>
      </x:c>
    </x:row>
    <x:row r="564" ht="21" customHeight="1">
      <x:c r="A564" s="12" t="n">
        <x:v>46273</x:v>
      </x:c>
      <x:c r="B564" s="1" t="str">
        <x:v>Butterfly</x:v>
      </x:c>
      <x:c r="C564" s="1" t="str">
        <x:v>call</x:v>
      </x:c>
      <x:c r="D564" s="11" t="n">
        <x:v>7600</x:v>
      </x:c>
      <x:c r="E564" s="11" t="n">
        <x:v>7800</x:v>
      </x:c>
      <x:c r="F564" s="11" t="n">
        <x:v>8000</x:v>
      </x:c>
      <x:c r="G564" s="11" t="n">
        <x:f>'Option source'!B328</x:f>
        <x:v>227.39</x:v>
      </x:c>
      <x:c r="H564" s="11" t="n">
        <x:f>'Option source'!B347</x:f>
        <x:v>174.8</x:v>
      </x:c>
      <x:c r="I564" s="11" t="n">
        <x:f>'Option source'!B366</x:f>
        <x:v>128.68</x:v>
      </x:c>
      <x:c r="J564" s="11" t="n">
        <x:f>G564-2*H564+IF(B564="Butterfly",I564,0)</x:f>
        <x:v>6.46999999999997</x:v>
      </x:c>
      <x:c r="K564" s="11" t="n">
        <x:f>ABS(E564-D564)</x:f>
        <x:v>200</x:v>
      </x:c>
      <x:c r="L564" s="11" t="n">
        <x:f>K564-J564</x:f>
        <x:v>193.53000000000003</x:v>
      </x:c>
      <x:c r="M564" s="11" t="n">
        <x:f>IF(B564="Butterfly",MAX(J564,0),IF(C564="call","Unlimited",MAX(2*E564-D564+J564,J564,0)))</x:f>
        <x:v>6.46999999999997</x:v>
      </x:c>
      <x:c r="N564" s="11" t="n">
        <x:f>IF(B564="Butterfly",IF(AND(J564&gt;0,J564&lt;K564),D564+J564,"n.a."),IF(C564="call",IF(AND(J564&gt;0,J564&lt;K564),D564+J564,"n.a."),IF(AND(K564&gt;J564,2*E564-D564+J564&gt;=0),2*E564-D564+J564,"n.a.")))</x:f>
        <x:v>7606.47</x:v>
      </x:c>
      <x:c r="O564" s="11" t="n">
        <x:f>IF(B564="Butterfly",IF(AND(J564&gt;0,J564&lt;K564),F564-J564,"n.a."),IF(C564="call",IF(K564&gt;J564,2*E564-D564-J564,"n.a."),IF(AND(J564&gt;0,J564&lt;K564),D564-J564,"n.a.")))</x:f>
        <x:v>7993.53</x:v>
      </x:c>
      <x:c r="P564" s="19" t="n">
        <x:f>IF(AND(B564="Butterfly",J564&gt;0,J564&lt;K564),L564/J564,"n.a.")</x:f>
        <x:v>29.911901081916678</x:v>
      </x:c>
      <x:c r="Q564" s="11" t="n">
        <x:f>J564*'Model inputs'!$B$8</x:f>
        <x:v>646.999999999997</x:v>
      </x:c>
      <x:c r="R564" s="1" t="str">
        <x:v>Indicative only</x:v>
      </x:c>
      <x:c r="S564" s="1" t="n">
        <x:v>323</x:v>
      </x:c>
      <x:c r="T564" s="1" t="n">
        <x:v>342</x:v>
      </x:c>
    </x:row>
    <x:row r="565" ht="21" customHeight="1">
      <x:c r="A565" s="12" t="n">
        <x:v>46273</x:v>
      </x:c>
      <x:c r="B565" s="1" t="str">
        <x:v>Butterfly</x:v>
      </x:c>
      <x:c r="C565" s="1" t="str">
        <x:v>put</x:v>
      </x:c>
      <x:c r="D565" s="11" t="n">
        <x:v>6000</x:v>
      </x:c>
      <x:c r="E565" s="11" t="n">
        <x:v>6200</x:v>
      </x:c>
      <x:c r="F565" s="11" t="n">
        <x:v>6400</x:v>
      </x:c>
      <x:c r="G565" s="11" t="n">
        <x:f>'Option source'!B670</x:f>
        <x:v>42.06</x:v>
      </x:c>
      <x:c r="H565" s="11" t="n">
        <x:f>'Option source'!B689</x:f>
        <x:v>68.23</x:v>
      </x:c>
      <x:c r="I565" s="11" t="n">
        <x:f>'Option source'!B708</x:f>
        <x:v>109.53</x:v>
      </x:c>
      <x:c r="J565" s="11" t="n">
        <x:f>G565-2*H565+IF(B565="Butterfly",I565,0)</x:f>
        <x:v>15.129999999999995</x:v>
      </x:c>
      <x:c r="K565" s="11" t="n">
        <x:f>ABS(E565-D565)</x:f>
        <x:v>200</x:v>
      </x:c>
      <x:c r="L565" s="11" t="n">
        <x:f>K565-J565</x:f>
        <x:v>184.87</x:v>
      </x:c>
      <x:c r="M565" s="11" t="n">
        <x:f>IF(B565="Butterfly",MAX(J565,0),IF(C565="call","Unlimited",MAX(2*E565-D565+J565,J565,0)))</x:f>
        <x:v>15.129999999999995</x:v>
      </x:c>
      <x:c r="N565" s="11" t="n">
        <x:f>IF(B565="Butterfly",IF(AND(J565&gt;0,J565&lt;K565),D565+J565,"n.a."),IF(C565="call",IF(AND(J565&gt;0,J565&lt;K565),D565+J565,"n.a."),IF(AND(K565&gt;J565,2*E565-D565+J565&gt;=0),2*E565-D565+J565,"n.a.")))</x:f>
        <x:v>6015.13</x:v>
      </x:c>
      <x:c r="O565" s="11" t="n">
        <x:f>IF(B565="Butterfly",IF(AND(J565&gt;0,J565&lt;K565),F565-J565,"n.a."),IF(C565="call",IF(K565&gt;J565,2*E565-D565-J565,"n.a."),IF(AND(J565&gt;0,J565&lt;K565),D565-J565,"n.a.")))</x:f>
        <x:v>6384.87</x:v>
      </x:c>
      <x:c r="P565" s="19" t="n">
        <x:f>IF(AND(B565="Butterfly",J565&gt;0,J565&lt;K565),L565/J565,"n.a.")</x:f>
        <x:v>12.218770654329152</x:v>
      </x:c>
      <x:c r="Q565" s="11" t="n">
        <x:f>J565*'Model inputs'!$B$8</x:f>
        <x:v>1512.9999999999995</x:v>
      </x:c>
      <x:c r="R565" s="1" t="str">
        <x:v>Indicative only</x:v>
      </x:c>
      <x:c r="S565" s="1" t="n">
        <x:v>665</x:v>
      </x:c>
      <x:c r="T565" s="1" t="n">
        <x:v>684</x:v>
      </x:c>
    </x:row>
    <x:row r="566" ht="21" customHeight="1">
      <x:c r="A566" s="12" t="n">
        <x:v>46273</x:v>
      </x:c>
      <x:c r="B566" s="1" t="str">
        <x:v>Butterfly</x:v>
      </x:c>
      <x:c r="C566" s="1" t="str">
        <x:v>put</x:v>
      </x:c>
      <x:c r="D566" s="11" t="n">
        <x:v>5800</x:v>
      </x:c>
      <x:c r="E566" s="11" t="n">
        <x:v>6000</x:v>
      </x:c>
      <x:c r="F566" s="11" t="n">
        <x:v>6200</x:v>
      </x:c>
      <x:c r="G566" s="11" t="n">
        <x:f>'Option source'!B651</x:f>
        <x:v>23.9</x:v>
      </x:c>
      <x:c r="H566" s="11" t="n">
        <x:f>'Option source'!B670</x:f>
        <x:v>42.06</x:v>
      </x:c>
      <x:c r="I566" s="11" t="n">
        <x:f>'Option source'!B689</x:f>
        <x:v>68.23</x:v>
      </x:c>
      <x:c r="J566" s="11" t="n">
        <x:f>G566-2*H566+IF(B566="Butterfly",I566,0)</x:f>
        <x:v>8.009999999999998</x:v>
      </x:c>
      <x:c r="K566" s="11" t="n">
        <x:f>ABS(E566-D566)</x:f>
        <x:v>200</x:v>
      </x:c>
      <x:c r="L566" s="11" t="n">
        <x:f>K566-J566</x:f>
        <x:v>191.99</x:v>
      </x:c>
      <x:c r="M566" s="11" t="n">
        <x:f>IF(B566="Butterfly",MAX(J566,0),IF(C566="call","Unlimited",MAX(2*E566-D566+J566,J566,0)))</x:f>
        <x:v>8.009999999999998</x:v>
      </x:c>
      <x:c r="N566" s="11" t="n">
        <x:f>IF(B566="Butterfly",IF(AND(J566&gt;0,J566&lt;K566),D566+J566,"n.a."),IF(C566="call",IF(AND(J566&gt;0,J566&lt;K566),D566+J566,"n.a."),IF(AND(K566&gt;J566,2*E566-D566+J566&gt;=0),2*E566-D566+J566,"n.a.")))</x:f>
        <x:v>5808.01</x:v>
      </x:c>
      <x:c r="O566" s="11" t="n">
        <x:f>IF(B566="Butterfly",IF(AND(J566&gt;0,J566&lt;K566),F566-J566,"n.a."),IF(C566="call",IF(K566&gt;J566,2*E566-D566-J566,"n.a."),IF(AND(J566&gt;0,J566&lt;K566),D566-J566,"n.a.")))</x:f>
        <x:v>6191.99</x:v>
      </x:c>
      <x:c r="P566" s="19" t="n">
        <x:f>IF(AND(B566="Butterfly",J566&gt;0,J566&lt;K566),L566/J566,"n.a.")</x:f>
        <x:v>23.96878901373284</x:v>
      </x:c>
      <x:c r="Q566" s="11" t="n">
        <x:f>J566*'Model inputs'!$B$8</x:f>
        <x:v>800.9999999999998</x:v>
      </x:c>
      <x:c r="R566" s="1" t="str">
        <x:v>Indicative only</x:v>
      </x:c>
      <x:c r="S566" s="1" t="n">
        <x:v>646</x:v>
      </x:c>
      <x:c r="T566" s="1" t="n">
        <x:v>665</x:v>
      </x:c>
    </x:row>
    <x:row r="567" ht="21" customHeight="1">
      <x:c r="A567" s="12" t="n">
        <x:v>46273</x:v>
      </x:c>
      <x:c r="B567" s="1" t="str">
        <x:v>Butterfly</x:v>
      </x:c>
      <x:c r="C567" s="1" t="str">
        <x:v>put</x:v>
      </x:c>
      <x:c r="D567" s="11" t="n">
        <x:v>5600</x:v>
      </x:c>
      <x:c r="E567" s="11" t="n">
        <x:v>5800</x:v>
      </x:c>
      <x:c r="F567" s="11" t="n">
        <x:v>6000</x:v>
      </x:c>
      <x:c r="G567" s="11" t="n">
        <x:f>'Option source'!B632</x:f>
        <x:v>13.29</x:v>
      </x:c>
      <x:c r="H567" s="11" t="n">
        <x:f>'Option source'!B651</x:f>
        <x:v>23.9</x:v>
      </x:c>
      <x:c r="I567" s="11" t="n">
        <x:f>'Option source'!B670</x:f>
        <x:v>42.06</x:v>
      </x:c>
      <x:c r="J567" s="11" t="n">
        <x:f>G567-2*H567+IF(B567="Butterfly",I567,0)</x:f>
        <x:v>7.550000000000004</x:v>
      </x:c>
      <x:c r="K567" s="11" t="n">
        <x:f>ABS(E567-D567)</x:f>
        <x:v>200</x:v>
      </x:c>
      <x:c r="L567" s="11" t="n">
        <x:f>K567-J567</x:f>
        <x:v>192.45</x:v>
      </x:c>
      <x:c r="M567" s="11" t="n">
        <x:f>IF(B567="Butterfly",MAX(J567,0),IF(C567="call","Unlimited",MAX(2*E567-D567+J567,J567,0)))</x:f>
        <x:v>7.550000000000004</x:v>
      </x:c>
      <x:c r="N567" s="11" t="n">
        <x:f>IF(B567="Butterfly",IF(AND(J567&gt;0,J567&lt;K567),D567+J567,"n.a."),IF(C567="call",IF(AND(J567&gt;0,J567&lt;K567),D567+J567,"n.a."),IF(AND(K567&gt;J567,2*E567-D567+J567&gt;=0),2*E567-D567+J567,"n.a.")))</x:f>
        <x:v>5607.55</x:v>
      </x:c>
      <x:c r="O567" s="11" t="n">
        <x:f>IF(B567="Butterfly",IF(AND(J567&gt;0,J567&lt;K567),F567-J567,"n.a."),IF(C567="call",IF(K567&gt;J567,2*E567-D567-J567,"n.a."),IF(AND(J567&gt;0,J567&lt;K567),D567-J567,"n.a.")))</x:f>
        <x:v>5992.45</x:v>
      </x:c>
      <x:c r="P567" s="19" t="n">
        <x:f>IF(AND(B567="Butterfly",J567&gt;0,J567&lt;K567),L567/J567,"n.a.")</x:f>
        <x:v>25.490066225165545</x:v>
      </x:c>
      <x:c r="Q567" s="11" t="n">
        <x:f>J567*'Model inputs'!$B$8</x:f>
        <x:v>755.0000000000005</x:v>
      </x:c>
      <x:c r="R567" s="1" t="str">
        <x:v>Indicative only</x:v>
      </x:c>
      <x:c r="S567" s="1" t="n">
        <x:v>627</x:v>
      </x:c>
      <x:c r="T567" s="1" t="n">
        <x:v>646</x:v>
      </x:c>
    </x:row>
    <x:row r="568" ht="21" customHeight="1">
      <x:c r="A568" s="12" t="n">
        <x:v>46273</x:v>
      </x:c>
      <x:c r="B568" s="1" t="str">
        <x:v>Butterfly</x:v>
      </x:c>
      <x:c r="C568" s="1" t="str">
        <x:v>call</x:v>
      </x:c>
      <x:c r="D568" s="11" t="n">
        <x:v>8000</x:v>
      </x:c>
      <x:c r="E568" s="11" t="n">
        <x:v>8300</x:v>
      </x:c>
      <x:c r="F568" s="11" t="n">
        <x:v>8600</x:v>
      </x:c>
      <x:c r="G568" s="11" t="n">
        <x:f>'Option source'!B366</x:f>
        <x:v>128.68</x:v>
      </x:c>
      <x:c r="H568" s="11" t="n">
        <x:f>'Option source'!B385</x:f>
        <x:v>81.94</x:v>
      </x:c>
      <x:c r="I568" s="11" t="n">
        <x:f>'Option source'!B404</x:f>
        <x:v>51.36</x:v>
      </x:c>
      <x:c r="J568" s="11" t="n">
        <x:f>G568-2*H568+IF(B568="Butterfly",I568,0)</x:f>
        <x:v>16.16000000000001</x:v>
      </x:c>
      <x:c r="K568" s="11" t="n">
        <x:f>ABS(E568-D568)</x:f>
        <x:v>300</x:v>
      </x:c>
      <x:c r="L568" s="11" t="n">
        <x:f>K568-J568</x:f>
        <x:v>283.84</x:v>
      </x:c>
      <x:c r="M568" s="11" t="n">
        <x:f>IF(B568="Butterfly",MAX(J568,0),IF(C568="call","Unlimited",MAX(2*E568-D568+J568,J568,0)))</x:f>
        <x:v>16.16000000000001</x:v>
      </x:c>
      <x:c r="N568" s="11" t="n">
        <x:f>IF(B568="Butterfly",IF(AND(J568&gt;0,J568&lt;K568),D568+J568,"n.a."),IF(C568="call",IF(AND(J568&gt;0,J568&lt;K568),D568+J568,"n.a."),IF(AND(K568&gt;J568,2*E568-D568+J568&gt;=0),2*E568-D568+J568,"n.a.")))</x:f>
        <x:v>8016.16</x:v>
      </x:c>
      <x:c r="O568" s="11" t="n">
        <x:f>IF(B568="Butterfly",IF(AND(J568&gt;0,J568&lt;K568),F568-J568,"n.a."),IF(C568="call",IF(K568&gt;J568,2*E568-D568-J568,"n.a."),IF(AND(J568&gt;0,J568&lt;K568),D568-J568,"n.a.")))</x:f>
        <x:v>8583.84</x:v>
      </x:c>
      <x:c r="P568" s="19" t="n">
        <x:f>IF(AND(B568="Butterfly",J568&gt;0,J568&lt;K568),L568/J568,"n.a.")</x:f>
        <x:v>17.56435643564355</x:v>
      </x:c>
      <x:c r="Q568" s="11" t="n">
        <x:f>J568*'Model inputs'!$B$8</x:f>
        <x:v>1616.0000000000011</x:v>
      </x:c>
      <x:c r="R568" s="1" t="str">
        <x:v>Indicative only</x:v>
      </x:c>
      <x:c r="S568" s="1" t="n">
        <x:v>361</x:v>
      </x:c>
      <x:c r="T568" s="1" t="n">
        <x:v>380</x:v>
      </x:c>
    </x:row>
    <x:row r="569" ht="21" customHeight="1">
      <x:c r="A569" s="12" t="n">
        <x:v>46273</x:v>
      </x:c>
      <x:c r="B569" s="1" t="str">
        <x:v>Butterfly</x:v>
      </x:c>
      <x:c r="C569" s="1" t="str">
        <x:v>put</x:v>
      </x:c>
      <x:c r="D569" s="11" t="n">
        <x:v>5400</x:v>
      </x:c>
      <x:c r="E569" s="11" t="n">
        <x:v>5600</x:v>
      </x:c>
      <x:c r="F569" s="11" t="n">
        <x:v>5800</x:v>
      </x:c>
      <x:c r="G569" s="11" t="n">
        <x:f>'Option source'!B613</x:f>
        <x:v>7.99</x:v>
      </x:c>
      <x:c r="H569" s="11" t="n">
        <x:f>'Option source'!B632</x:f>
        <x:v>13.29</x:v>
      </x:c>
      <x:c r="I569" s="11" t="n">
        <x:f>'Option source'!B651</x:f>
        <x:v>23.9</x:v>
      </x:c>
      <x:c r="J569" s="11" t="n">
        <x:f>G569-2*H569+IF(B569="Butterfly",I569,0)</x:f>
        <x:v>5.310000000000002</x:v>
      </x:c>
      <x:c r="K569" s="11" t="n">
        <x:f>ABS(E569-D569)</x:f>
        <x:v>200</x:v>
      </x:c>
      <x:c r="L569" s="11" t="n">
        <x:f>K569-J569</x:f>
        <x:v>194.69</x:v>
      </x:c>
      <x:c r="M569" s="11" t="n">
        <x:f>IF(B569="Butterfly",MAX(J569,0),IF(C569="call","Unlimited",MAX(2*E569-D569+J569,J569,0)))</x:f>
        <x:v>5.310000000000002</x:v>
      </x:c>
      <x:c r="N569" s="11" t="n">
        <x:f>IF(B569="Butterfly",IF(AND(J569&gt;0,J569&lt;K569),D569+J569,"n.a."),IF(C569="call",IF(AND(J569&gt;0,J569&lt;K569),D569+J569,"n.a."),IF(AND(K569&gt;J569,2*E569-D569+J569&gt;=0),2*E569-D569+J569,"n.a.")))</x:f>
        <x:v>5405.31</x:v>
      </x:c>
      <x:c r="O569" s="11" t="n">
        <x:f>IF(B569="Butterfly",IF(AND(J569&gt;0,J569&lt;K569),F569-J569,"n.a."),IF(C569="call",IF(K569&gt;J569,2*E569-D569-J569,"n.a."),IF(AND(J569&gt;0,J569&lt;K569),D569-J569,"n.a.")))</x:f>
        <x:v>5794.69</x:v>
      </x:c>
      <x:c r="P569" s="19" t="n">
        <x:f>IF(AND(B569="Butterfly",J569&gt;0,J569&lt;K569),L569/J569,"n.a.")</x:f>
        <x:v>36.66478342749527</x:v>
      </x:c>
      <x:c r="Q569" s="11" t="n">
        <x:f>J569*'Model inputs'!$B$8</x:f>
        <x:v>531.0000000000002</x:v>
      </x:c>
      <x:c r="R569" s="1" t="str">
        <x:v>Indicative only</x:v>
      </x:c>
      <x:c r="S569" s="1" t="n">
        <x:v>608</x:v>
      </x:c>
      <x:c r="T569" s="1" t="n">
        <x:v>627</x:v>
      </x:c>
    </x:row>
    <x:row r="570" ht="21" customHeight="1">
      <x:c r="A570" s="12" t="n">
        <x:v>46273</x:v>
      </x:c>
      <x:c r="B570" s="1" t="str">
        <x:v>Butterfly</x:v>
      </x:c>
      <x:c r="C570" s="1" t="str">
        <x:v>call</x:v>
      </x:c>
      <x:c r="D570" s="11" t="n">
        <x:v>8300</x:v>
      </x:c>
      <x:c r="E570" s="11" t="n">
        <x:v>8600</x:v>
      </x:c>
      <x:c r="F570" s="11" t="n">
        <x:v>8900</x:v>
      </x:c>
      <x:c r="G570" s="11" t="n">
        <x:f>'Option source'!B385</x:f>
        <x:v>81.94</x:v>
      </x:c>
      <x:c r="H570" s="11" t="n">
        <x:f>'Option source'!B404</x:f>
        <x:v>51.36</x:v>
      </x:c>
      <x:c r="I570" s="11" t="n">
        <x:f>'Option source'!B423</x:f>
        <x:v>29.55</x:v>
      </x:c>
      <x:c r="J570" s="11" t="n">
        <x:f>G570-2*H570+IF(B570="Butterfly",I570,0)</x:f>
        <x:v>8.77</x:v>
      </x:c>
      <x:c r="K570" s="11" t="n">
        <x:f>ABS(E570-D570)</x:f>
        <x:v>300</x:v>
      </x:c>
      <x:c r="L570" s="11" t="n">
        <x:f>K570-J570</x:f>
        <x:v>291.23</x:v>
      </x:c>
      <x:c r="M570" s="11" t="n">
        <x:f>IF(B570="Butterfly",MAX(J570,0),IF(C570="call","Unlimited",MAX(2*E570-D570+J570,J570,0)))</x:f>
        <x:v>8.77</x:v>
      </x:c>
      <x:c r="N570" s="11" t="n">
        <x:f>IF(B570="Butterfly",IF(AND(J570&gt;0,J570&lt;K570),D570+J570,"n.a."),IF(C570="call",IF(AND(J570&gt;0,J570&lt;K570),D570+J570,"n.a."),IF(AND(K570&gt;J570,2*E570-D570+J570&gt;=0),2*E570-D570+J570,"n.a.")))</x:f>
        <x:v>8308.77</x:v>
      </x:c>
      <x:c r="O570" s="11" t="n">
        <x:f>IF(B570="Butterfly",IF(AND(J570&gt;0,J570&lt;K570),F570-J570,"n.a."),IF(C570="call",IF(K570&gt;J570,2*E570-D570-J570,"n.a."),IF(AND(J570&gt;0,J570&lt;K570),D570-J570,"n.a.")))</x:f>
        <x:v>8891.23</x:v>
      </x:c>
      <x:c r="P570" s="19" t="n">
        <x:f>IF(AND(B570="Butterfly",J570&gt;0,J570&lt;K570),L570/J570,"n.a.")</x:f>
        <x:v>33.20752565564425</x:v>
      </x:c>
      <x:c r="Q570" s="11" t="n">
        <x:f>J570*'Model inputs'!$B$8</x:f>
        <x:v>877</x:v>
      </x:c>
      <x:c r="R570" s="1" t="str">
        <x:v>Indicative only</x:v>
      </x:c>
      <x:c r="S570" s="1" t="n">
        <x:v>380</x:v>
      </x:c>
      <x:c r="T570" s="1" t="n">
        <x:v>399</x:v>
      </x:c>
    </x:row>
    <x:row r="571" ht="21" customHeight="1">
      <x:c r="A571" s="12" t="n">
        <x:v>46273</x:v>
      </x:c>
      <x:c r="B571" s="1" t="str">
        <x:v>Butterfly</x:v>
      </x:c>
      <x:c r="C571" s="1" t="str">
        <x:v>put</x:v>
      </x:c>
      <x:c r="D571" s="11" t="n">
        <x:v>5200</x:v>
      </x:c>
      <x:c r="E571" s="11" t="n">
        <x:v>5400</x:v>
      </x:c>
      <x:c r="F571" s="11" t="n">
        <x:v>5600</x:v>
      </x:c>
      <x:c r="G571" s="11" t="n">
        <x:f>'Option source'!B594</x:f>
        <x:v>4</x:v>
      </x:c>
      <x:c r="H571" s="11" t="n">
        <x:f>'Option source'!B613</x:f>
        <x:v>7.99</x:v>
      </x:c>
      <x:c r="I571" s="11" t="n">
        <x:f>'Option source'!B632</x:f>
        <x:v>13.29</x:v>
      </x:c>
      <x:c r="J571" s="11" t="n">
        <x:f>G571-2*H571+IF(B571="Butterfly",I571,0)</x:f>
        <x:v>1.3099999999999987</x:v>
      </x:c>
      <x:c r="K571" s="11" t="n">
        <x:f>ABS(E571-D571)</x:f>
        <x:v>200</x:v>
      </x:c>
      <x:c r="L571" s="11" t="n">
        <x:f>K571-J571</x:f>
        <x:v>198.69</x:v>
      </x:c>
      <x:c r="M571" s="11" t="n">
        <x:f>IF(B571="Butterfly",MAX(J571,0),IF(C571="call","Unlimited",MAX(2*E571-D571+J571,J571,0)))</x:f>
        <x:v>1.3099999999999987</x:v>
      </x:c>
      <x:c r="N571" s="11" t="n">
        <x:f>IF(B571="Butterfly",IF(AND(J571&gt;0,J571&lt;K571),D571+J571,"n.a."),IF(C571="call",IF(AND(J571&gt;0,J571&lt;K571),D571+J571,"n.a."),IF(AND(K571&gt;J571,2*E571-D571+J571&gt;=0),2*E571-D571+J571,"n.a.")))</x:f>
        <x:v>5201.31</x:v>
      </x:c>
      <x:c r="O571" s="11" t="n">
        <x:f>IF(B571="Butterfly",IF(AND(J571&gt;0,J571&lt;K571),F571-J571,"n.a."),IF(C571="call",IF(K571&gt;J571,2*E571-D571-J571,"n.a."),IF(AND(J571&gt;0,J571&lt;K571),D571-J571,"n.a.")))</x:f>
        <x:v>5598.69</x:v>
      </x:c>
      <x:c r="P571" s="19" t="n">
        <x:f>IF(AND(B571="Butterfly",J571&gt;0,J571&lt;K571),L571/J571,"n.a.")</x:f>
        <x:v>151.671755725191</x:v>
      </x:c>
      <x:c r="Q571" s="11" t="n">
        <x:f>J571*'Model inputs'!$B$8</x:f>
        <x:v>130.9999999999999</x:v>
      </x:c>
      <x:c r="R571" s="1" t="str">
        <x:v>Indicative only</x:v>
      </x:c>
      <x:c r="S571" s="1" t="n">
        <x:v>589</x:v>
      </x:c>
      <x:c r="T571" s="1" t="n">
        <x:v>608</x:v>
      </x:c>
    </x:row>
    <x:row r="572" ht="21" customHeight="1">
      <x:c r="A572" s="12" t="n">
        <x:v>46273</x:v>
      </x:c>
      <x:c r="B572" s="1" t="str">
        <x:v>Butterfly</x:v>
      </x:c>
      <x:c r="C572" s="1" t="str">
        <x:v>put</x:v>
      </x:c>
      <x:c r="D572" s="11" t="n">
        <x:v>5000</x:v>
      </x:c>
      <x:c r="E572" s="11" t="n">
        <x:v>5200</x:v>
      </x:c>
      <x:c r="F572" s="11" t="n">
        <x:v>5400</x:v>
      </x:c>
      <x:c r="G572" s="11" t="n">
        <x:f>'Option source'!B575</x:f>
        <x:v>2.32</x:v>
      </x:c>
      <x:c r="H572" s="11" t="n">
        <x:f>'Option source'!B594</x:f>
        <x:v>4</x:v>
      </x:c>
      <x:c r="I572" s="11" t="n">
        <x:f>'Option source'!B613</x:f>
        <x:v>7.99</x:v>
      </x:c>
      <x:c r="J572" s="11" t="n">
        <x:f>G572-2*H572+IF(B572="Butterfly",I572,0)</x:f>
        <x:v>2.3100000000000005</x:v>
      </x:c>
      <x:c r="K572" s="11" t="n">
        <x:f>ABS(E572-D572)</x:f>
        <x:v>200</x:v>
      </x:c>
      <x:c r="L572" s="11" t="n">
        <x:f>K572-J572</x:f>
        <x:v>197.69</x:v>
      </x:c>
      <x:c r="M572" s="11" t="n">
        <x:f>IF(B572="Butterfly",MAX(J572,0),IF(C572="call","Unlimited",MAX(2*E572-D572+J572,J572,0)))</x:f>
        <x:v>2.3100000000000005</x:v>
      </x:c>
      <x:c r="N572" s="11" t="n">
        <x:f>IF(B572="Butterfly",IF(AND(J572&gt;0,J572&lt;K572),D572+J572,"n.a."),IF(C572="call",IF(AND(J572&gt;0,J572&lt;K572),D572+J572,"n.a."),IF(AND(K572&gt;J572,2*E572-D572+J572&gt;=0),2*E572-D572+J572,"n.a.")))</x:f>
        <x:v>5002.31</x:v>
      </x:c>
      <x:c r="O572" s="11" t="n">
        <x:f>IF(B572="Butterfly",IF(AND(J572&gt;0,J572&lt;K572),F572-J572,"n.a."),IF(C572="call",IF(K572&gt;J572,2*E572-D572-J572,"n.a."),IF(AND(J572&gt;0,J572&lt;K572),D572-J572,"n.a.")))</x:f>
        <x:v>5397.69</x:v>
      </x:c>
      <x:c r="P572" s="19" t="n">
        <x:f>IF(AND(B572="Butterfly",J572&gt;0,J572&lt;K572),L572/J572,"n.a.")</x:f>
        <x:v>85.58008658008656</x:v>
      </x:c>
      <x:c r="Q572" s="11" t="n">
        <x:f>J572*'Model inputs'!$B$8</x:f>
        <x:v>231.00000000000006</x:v>
      </x:c>
      <x:c r="R572" s="1" t="str">
        <x:v>Indicative only</x:v>
      </x:c>
      <x:c r="S572" s="1" t="n">
        <x:v>570</x:v>
      </x:c>
      <x:c r="T572" s="1" t="n">
        <x:v>589</x:v>
      </x:c>
    </x:row>
    <x:row r="573" ht="21" customHeight="1">
      <x:c r="A573" s="12" t="n">
        <x:v>46273</x:v>
      </x:c>
      <x:c r="B573" s="1" t="str">
        <x:v>Butterfly</x:v>
      </x:c>
      <x:c r="C573" s="1" t="str">
        <x:v>call</x:v>
      </x:c>
      <x:c r="D573" s="11" t="n">
        <x:v>8600</x:v>
      </x:c>
      <x:c r="E573" s="11" t="n">
        <x:v>8900</x:v>
      </x:c>
      <x:c r="F573" s="11" t="n">
        <x:v>9200</x:v>
      </x:c>
      <x:c r="G573" s="11" t="n">
        <x:f>'Option source'!B404</x:f>
        <x:v>51.36</x:v>
      </x:c>
      <x:c r="H573" s="11" t="n">
        <x:f>'Option source'!B423</x:f>
        <x:v>29.55</x:v>
      </x:c>
      <x:c r="I573" s="11" t="n">
        <x:f>'Option source'!B442</x:f>
        <x:v>17.97</x:v>
      </x:c>
      <x:c r="J573" s="11" t="n">
        <x:f>G573-2*H573+IF(B573="Butterfly",I573,0)</x:f>
        <x:v>10.229999999999997</x:v>
      </x:c>
      <x:c r="K573" s="11" t="n">
        <x:f>ABS(E573-D573)</x:f>
        <x:v>300</x:v>
      </x:c>
      <x:c r="L573" s="11" t="n">
        <x:f>K573-J573</x:f>
        <x:v>289.77</x:v>
      </x:c>
      <x:c r="M573" s="11" t="n">
        <x:f>IF(B573="Butterfly",MAX(J573,0),IF(C573="call","Unlimited",MAX(2*E573-D573+J573,J573,0)))</x:f>
        <x:v>10.229999999999997</x:v>
      </x:c>
      <x:c r="N573" s="11" t="n">
        <x:f>IF(B573="Butterfly",IF(AND(J573&gt;0,J573&lt;K573),D573+J573,"n.a."),IF(C573="call",IF(AND(J573&gt;0,J573&lt;K573),D573+J573,"n.a."),IF(AND(K573&gt;J573,2*E573-D573+J573&gt;=0),2*E573-D573+J573,"n.a.")))</x:f>
        <x:v>8610.23</x:v>
      </x:c>
      <x:c r="O573" s="11" t="n">
        <x:f>IF(B573="Butterfly",IF(AND(J573&gt;0,J573&lt;K573),F573-J573,"n.a."),IF(C573="call",IF(K573&gt;J573,2*E573-D573-J573,"n.a."),IF(AND(J573&gt;0,J573&lt;K573),D573-J573,"n.a.")))</x:f>
        <x:v>9189.77</x:v>
      </x:c>
      <x:c r="P573" s="19" t="n">
        <x:f>IF(AND(B573="Butterfly",J573&gt;0,J573&lt;K573),L573/J573,"n.a.")</x:f>
        <x:v>28.325513196480944</x:v>
      </x:c>
      <x:c r="Q573" s="11" t="n">
        <x:f>J573*'Model inputs'!$B$8</x:f>
        <x:v>1022.9999999999997</x:v>
      </x:c>
      <x:c r="R573" s="1" t="str">
        <x:v>Indicative only</x:v>
      </x:c>
      <x:c r="S573" s="1" t="n">
        <x:v>399</x:v>
      </x:c>
      <x:c r="T573" s="1" t="n">
        <x:v>418</x:v>
      </x:c>
    </x:row>
    <x:row r="574" ht="21" customHeight="1">
      <x:c r="A574" s="12" t="n">
        <x:v>46273</x:v>
      </x:c>
      <x:c r="B574" s="1" t="str">
        <x:v>Butterfly</x:v>
      </x:c>
      <x:c r="C574" s="1" t="str">
        <x:v>put</x:v>
      </x:c>
      <x:c r="D574" s="11" t="n">
        <x:v>4800</x:v>
      </x:c>
      <x:c r="E574" s="11" t="n">
        <x:v>5000</x:v>
      </x:c>
      <x:c r="F574" s="11" t="n">
        <x:v>5200</x:v>
      </x:c>
      <x:c r="G574" s="11" t="n">
        <x:f>'Option source'!B556</x:f>
        <x:v>1.68</x:v>
      </x:c>
      <x:c r="H574" s="11" t="n">
        <x:f>'Option source'!B575</x:f>
        <x:v>2.32</x:v>
      </x:c>
      <x:c r="I574" s="11" t="n">
        <x:f>'Option source'!B594</x:f>
        <x:v>4</x:v>
      </x:c>
      <x:c r="J574" s="11" t="n">
        <x:f>G574-2*H574+IF(B574="Butterfly",I574,0)</x:f>
        <x:v>1.04</x:v>
      </x:c>
      <x:c r="K574" s="11" t="n">
        <x:f>ABS(E574-D574)</x:f>
        <x:v>200</x:v>
      </x:c>
      <x:c r="L574" s="11" t="n">
        <x:f>K574-J574</x:f>
        <x:v>198.96</x:v>
      </x:c>
      <x:c r="M574" s="11" t="n">
        <x:f>IF(B574="Butterfly",MAX(J574,0),IF(C574="call","Unlimited",MAX(2*E574-D574+J574,J574,0)))</x:f>
        <x:v>1.04</x:v>
      </x:c>
      <x:c r="N574" s="11" t="n">
        <x:f>IF(B574="Butterfly",IF(AND(J574&gt;0,J574&lt;K574),D574+J574,"n.a."),IF(C574="call",IF(AND(J574&gt;0,J574&lt;K574),D574+J574,"n.a."),IF(AND(K574&gt;J574,2*E574-D574+J574&gt;=0),2*E574-D574+J574,"n.a.")))</x:f>
        <x:v>4801.04</x:v>
      </x:c>
      <x:c r="O574" s="11" t="n">
        <x:f>IF(B574="Butterfly",IF(AND(J574&gt;0,J574&lt;K574),F574-J574,"n.a."),IF(C574="call",IF(K574&gt;J574,2*E574-D574-J574,"n.a."),IF(AND(J574&gt;0,J574&lt;K574),D574-J574,"n.a.")))</x:f>
        <x:v>5198.96</x:v>
      </x:c>
      <x:c r="P574" s="19" t="n">
        <x:f>IF(AND(B574="Butterfly",J574&gt;0,J574&lt;K574),L574/J574,"n.a.")</x:f>
        <x:v>191.30769230769232</x:v>
      </x:c>
      <x:c r="Q574" s="11" t="n">
        <x:f>J574*'Model inputs'!$B$8</x:f>
        <x:v>104</x:v>
      </x:c>
      <x:c r="R574" s="1" t="str">
        <x:v>Indicative only</x:v>
      </x:c>
      <x:c r="S574" s="1" t="n">
        <x:v>551</x:v>
      </x:c>
      <x:c r="T574" s="1" t="n">
        <x:v>570</x:v>
      </x:c>
    </x:row>
    <x:row r="575" ht="21" customHeight="1">
      <x:c r="A575" s="12" t="n">
        <x:v>46273</x:v>
      </x:c>
      <x:c r="B575" s="1" t="str">
        <x:v>Butterfly</x:v>
      </x:c>
      <x:c r="C575" s="1" t="str">
        <x:v>call</x:v>
      </x:c>
      <x:c r="D575" s="11" t="n">
        <x:v>8900</x:v>
      </x:c>
      <x:c r="E575" s="11" t="n">
        <x:v>9200</x:v>
      </x:c>
      <x:c r="F575" s="11" t="n">
        <x:v>9500</x:v>
      </x:c>
      <x:c r="G575" s="11" t="n">
        <x:f>'Option source'!B423</x:f>
        <x:v>29.55</x:v>
      </x:c>
      <x:c r="H575" s="11" t="n">
        <x:f>'Option source'!B442</x:f>
        <x:v>17.97</x:v>
      </x:c>
      <x:c r="I575" s="11" t="n">
        <x:f>'Option source'!B461</x:f>
        <x:v>11.36</x:v>
      </x:c>
      <x:c r="J575" s="11" t="n">
        <x:f>G575-2*H575+IF(B575="Butterfly",I575,0)</x:f>
        <x:v>4.970000000000002</x:v>
      </x:c>
      <x:c r="K575" s="11" t="n">
        <x:f>ABS(E575-D575)</x:f>
        <x:v>300</x:v>
      </x:c>
      <x:c r="L575" s="11" t="n">
        <x:f>K575-J575</x:f>
        <x:v>295.03</x:v>
      </x:c>
      <x:c r="M575" s="11" t="n">
        <x:f>IF(B575="Butterfly",MAX(J575,0),IF(C575="call","Unlimited",MAX(2*E575-D575+J575,J575,0)))</x:f>
        <x:v>4.970000000000002</x:v>
      </x:c>
      <x:c r="N575" s="11" t="n">
        <x:f>IF(B575="Butterfly",IF(AND(J575&gt;0,J575&lt;K575),D575+J575,"n.a."),IF(C575="call",IF(AND(J575&gt;0,J575&lt;K575),D575+J575,"n.a."),IF(AND(K575&gt;J575,2*E575-D575+J575&gt;=0),2*E575-D575+J575,"n.a.")))</x:f>
        <x:v>8904.97</x:v>
      </x:c>
      <x:c r="O575" s="11" t="n">
        <x:f>IF(B575="Butterfly",IF(AND(J575&gt;0,J575&lt;K575),F575-J575,"n.a."),IF(C575="call",IF(K575&gt;J575,2*E575-D575-J575,"n.a."),IF(AND(J575&gt;0,J575&lt;K575),D575-J575,"n.a.")))</x:f>
        <x:v>9495.03</x:v>
      </x:c>
      <x:c r="P575" s="19" t="n">
        <x:f>IF(AND(B575="Butterfly",J575&gt;0,J575&lt;K575),L575/J575,"n.a.")</x:f>
        <x:v>59.36217303822934</x:v>
      </x:c>
      <x:c r="Q575" s="11" t="n">
        <x:f>J575*'Model inputs'!$B$8</x:f>
        <x:v>497.0000000000002</x:v>
      </x:c>
      <x:c r="R575" s="1" t="str">
        <x:v>Indicative only</x:v>
      </x:c>
      <x:c r="S575" s="1" t="n">
        <x:v>418</x:v>
      </x:c>
      <x:c r="T575" s="1" t="n">
        <x:v>437</x:v>
      </x:c>
    </x:row>
    <x:row r="576" ht="21" customHeight="1">
      <x:c r="A576" s="12" t="n">
        <x:v>46273</x:v>
      </x:c>
      <x:c r="B576" s="1" t="str">
        <x:v>Butterfly</x:v>
      </x:c>
      <x:c r="C576" s="1" t="str">
        <x:v>put</x:v>
      </x:c>
      <x:c r="D576" s="11" t="n">
        <x:v>4600</x:v>
      </x:c>
      <x:c r="E576" s="11" t="n">
        <x:v>4800</x:v>
      </x:c>
      <x:c r="F576" s="11" t="n">
        <x:v>5000</x:v>
      </x:c>
      <x:c r="G576" s="11" t="n">
        <x:f>'Option source'!B537</x:f>
        <x:v>1.45</x:v>
      </x:c>
      <x:c r="H576" s="11" t="n">
        <x:f>'Option source'!B556</x:f>
        <x:v>1.68</x:v>
      </x:c>
      <x:c r="I576" s="11" t="n">
        <x:f>'Option source'!B575</x:f>
        <x:v>2.32</x:v>
      </x:c>
      <x:c r="J576" s="11" t="n">
        <x:f>G576-2*H576+IF(B576="Butterfly",I576,0)</x:f>
        <x:v>0.4099999999999999</x:v>
      </x:c>
      <x:c r="K576" s="11" t="n">
        <x:f>ABS(E576-D576)</x:f>
        <x:v>200</x:v>
      </x:c>
      <x:c r="L576" s="11" t="n">
        <x:f>K576-J576</x:f>
        <x:v>199.59</x:v>
      </x:c>
      <x:c r="M576" s="11" t="n">
        <x:f>IF(B576="Butterfly",MAX(J576,0),IF(C576="call","Unlimited",MAX(2*E576-D576+J576,J576,0)))</x:f>
        <x:v>0.4099999999999999</x:v>
      </x:c>
      <x:c r="N576" s="11" t="n">
        <x:f>IF(B576="Butterfly",IF(AND(J576&gt;0,J576&lt;K576),D576+J576,"n.a."),IF(C576="call",IF(AND(J576&gt;0,J576&lt;K576),D576+J576,"n.a."),IF(AND(K576&gt;J576,2*E576-D576+J576&gt;=0),2*E576-D576+J576,"n.a.")))</x:f>
        <x:v>4600.41</x:v>
      </x:c>
      <x:c r="O576" s="11" t="n">
        <x:f>IF(B576="Butterfly",IF(AND(J576&gt;0,J576&lt;K576),F576-J576,"n.a."),IF(C576="call",IF(K576&gt;J576,2*E576-D576-J576,"n.a."),IF(AND(J576&gt;0,J576&lt;K576),D576-J576,"n.a.")))</x:f>
        <x:v>4999.59</x:v>
      </x:c>
      <x:c r="P576" s="19" t="n">
        <x:f>IF(AND(B576="Butterfly",J576&gt;0,J576&lt;K576),L576/J576,"n.a.")</x:f>
        <x:v>486.8048780487806</x:v>
      </x:c>
      <x:c r="Q576" s="11" t="n">
        <x:f>J576*'Model inputs'!$B$8</x:f>
        <x:v>40.99999999999999</x:v>
      </x:c>
      <x:c r="R576" s="1" t="str">
        <x:v>Indicative only</x:v>
      </x:c>
      <x:c r="S576" s="1" t="n">
        <x:v>532</x:v>
      </x:c>
      <x:c r="T576" s="1" t="n">
        <x:v>551</x:v>
      </x:c>
    </x:row>
    <x:row r="577" ht="21" customHeight="1">
      <x:c r="A577" s="12" t="n">
        <x:v>46273</x:v>
      </x:c>
      <x:c r="B577" s="1" t="str">
        <x:v>Butterfly</x:v>
      </x:c>
      <x:c r="C577" s="1" t="str">
        <x:v>put</x:v>
      </x:c>
      <x:c r="D577" s="11" t="n">
        <x:v>4200</x:v>
      </x:c>
      <x:c r="E577" s="11" t="n">
        <x:v>4400</x:v>
      </x:c>
      <x:c r="F577" s="11" t="n">
        <x:v>4600</x:v>
      </x:c>
      <x:c r="G577" s="11" t="n">
        <x:f>'Option source'!B499</x:f>
        <x:v>0.98</x:v>
      </x:c>
      <x:c r="H577" s="11" t="n">
        <x:f>'Option source'!B518</x:f>
        <x:v>1.09</x:v>
      </x:c>
      <x:c r="I577" s="11" t="n">
        <x:f>'Option source'!B537</x:f>
        <x:v>1.45</x:v>
      </x:c>
      <x:c r="J577" s="11" t="n">
        <x:f>G577-2*H577+IF(B577="Butterfly",I577,0)</x:f>
        <x:v>0.24999999999999978</x:v>
      </x:c>
      <x:c r="K577" s="11" t="n">
        <x:f>ABS(E577-D577)</x:f>
        <x:v>200</x:v>
      </x:c>
      <x:c r="L577" s="11" t="n">
        <x:f>K577-J577</x:f>
        <x:v>199.75</x:v>
      </x:c>
      <x:c r="M577" s="11" t="n">
        <x:f>IF(B577="Butterfly",MAX(J577,0),IF(C577="call","Unlimited",MAX(2*E577-D577+J577,J577,0)))</x:f>
        <x:v>0.24999999999999978</x:v>
      </x:c>
      <x:c r="N577" s="11" t="n">
        <x:f>IF(B577="Butterfly",IF(AND(J577&gt;0,J577&lt;K577),D577+J577,"n.a."),IF(C577="call",IF(AND(J577&gt;0,J577&lt;K577),D577+J577,"n.a."),IF(AND(K577&gt;J577,2*E577-D577+J577&gt;=0),2*E577-D577+J577,"n.a.")))</x:f>
        <x:v>4200.25</x:v>
      </x:c>
      <x:c r="O577" s="11" t="n">
        <x:f>IF(B577="Butterfly",IF(AND(J577&gt;0,J577&lt;K577),F577-J577,"n.a."),IF(C577="call",IF(K577&gt;J577,2*E577-D577-J577,"n.a."),IF(AND(J577&gt;0,J577&lt;K577),D577-J577,"n.a.")))</x:f>
        <x:v>4599.75</x:v>
      </x:c>
      <x:c r="P577" s="19" t="n">
        <x:f>IF(AND(B577="Butterfly",J577&gt;0,J577&lt;K577),L577/J577,"n.a.")</x:f>
        <x:v>799.0000000000007</x:v>
      </x:c>
      <x:c r="Q577" s="11" t="n">
        <x:f>J577*'Model inputs'!$B$8</x:f>
        <x:v>24.99999999999998</x:v>
      </x:c>
      <x:c r="R577" s="1" t="str">
        <x:v>Indicative only</x:v>
      </x:c>
      <x:c r="S577" s="1" t="n">
        <x:v>494</x:v>
      </x:c>
      <x:c r="T577" s="1" t="n">
        <x:v>513</x:v>
      </x:c>
    </x:row>
    <x:row r="578" ht="21" customHeight="1">
      <x:c r="A578" s="12" t="n">
        <x:v>46273</x:v>
      </x:c>
      <x:c r="B578" s="1" t="str">
        <x:v>Butterfly</x:v>
      </x:c>
      <x:c r="C578" s="1" t="str">
        <x:v>put</x:v>
      </x:c>
      <x:c r="D578" s="11" t="n">
        <x:v>7200</x:v>
      </x:c>
      <x:c r="E578" s="11" t="n">
        <x:v>7400</x:v>
      </x:c>
      <x:c r="F578" s="11" t="n">
        <x:v>7600</x:v>
      </x:c>
      <x:c r="G578" s="11" t="n">
        <x:f>'Option source'!B784</x:f>
        <x:v>419.99</x:v>
      </x:c>
      <x:c r="H578" s="11" t="n">
        <x:f>'Option source'!B803</x:f>
        <x:v>535.47</x:v>
      </x:c>
      <x:c r="I578" s="11" t="n">
        <x:f>'Option source'!B822</x:f>
        <x:v>643.01</x:v>
      </x:c>
      <x:c r="J578" s="11" t="n">
        <x:f>G578-2*H578+IF(B578="Butterfly",I578,0)</x:f>
        <x:v>-7.940000000000055</x:v>
      </x:c>
      <x:c r="K578" s="11" t="n">
        <x:f>ABS(E578-D578)</x:f>
        <x:v>200</x:v>
      </x:c>
      <x:c r="L578" s="11" t="n">
        <x:f>K578-J578</x:f>
        <x:v>207.94000000000005</x:v>
      </x:c>
      <x:c r="M578" s="11" t="n">
        <x:f>IF(B578="Butterfly",MAX(J578,0),IF(C578="call","Unlimited",MAX(2*E578-D578+J578,J578,0)))</x:f>
        <x:v>0</x:v>
      </x:c>
      <x:c r="N578" s="11" t="str">
        <x:f>IF(B578="Butterfly",IF(AND(J578&gt;0,J578&lt;K578),D578+J578,"n.a."),IF(C578="call",IF(AND(J578&gt;0,J578&lt;K578),D578+J578,"n.a."),IF(AND(K578&gt;J578,2*E578-D578+J578&gt;=0),2*E578-D578+J578,"n.a.")))</x:f>
        <x:v>n.a.</x:v>
      </x:c>
      <x:c r="O578" s="11" t="str">
        <x:f>IF(B578="Butterfly",IF(AND(J578&gt;0,J578&lt;K578),F578-J578,"n.a."),IF(C578="call",IF(K578&gt;J578,2*E578-D578-J578,"n.a."),IF(AND(J578&gt;0,J578&lt;K578),D578-J578,"n.a.")))</x:f>
        <x:v>n.a.</x:v>
      </x:c>
      <x:c r="P578" s="19" t="str">
        <x:f>IF(AND(B578="Butterfly",J578&gt;0,J578&lt;K578),L578/J578,"n.a.")</x:f>
        <x:v>n.a.</x:v>
      </x:c>
      <x:c r="Q578" s="11" t="n">
        <x:f>J578*'Model inputs'!$B$8</x:f>
        <x:v>-794.0000000000055</x:v>
      </x:c>
      <x:c r="R578" s="1" t="str">
        <x:v>Outside standard debit bounds</x:v>
      </x:c>
      <x:c r="S578" s="1" t="n">
        <x:v>779</x:v>
      </x:c>
      <x:c r="T578" s="1" t="n">
        <x:v>798</x:v>
      </x:c>
    </x:row>
    <x:row r="579" ht="21" customHeight="1">
      <x:c r="A579" s="12" t="n">
        <x:v>46273</x:v>
      </x:c>
      <x:c r="B579" s="1" t="str">
        <x:v>Butterfly</x:v>
      </x:c>
      <x:c r="C579" s="1" t="str">
        <x:v>put</x:v>
      </x:c>
      <x:c r="D579" s="11" t="n">
        <x:v>7400</x:v>
      </x:c>
      <x:c r="E579" s="11" t="n">
        <x:v>7600</x:v>
      </x:c>
      <x:c r="F579" s="11" t="n">
        <x:v>7800</x:v>
      </x:c>
      <x:c r="G579" s="11" t="n">
        <x:f>'Option source'!B803</x:f>
        <x:v>535.47</x:v>
      </x:c>
      <x:c r="H579" s="11" t="n">
        <x:f>'Option source'!B822</x:f>
        <x:v>643.01</x:v>
      </x:c>
      <x:c r="I579" s="11" t="n">
        <x:f>'Option source'!B841</x:f>
        <x:v>780</x:v>
      </x:c>
      <x:c r="J579" s="11" t="n">
        <x:f>G579-2*H579+IF(B579="Butterfly",I579,0)</x:f>
        <x:v>29.450000000000045</x:v>
      </x:c>
      <x:c r="K579" s="11" t="n">
        <x:f>ABS(E579-D579)</x:f>
        <x:v>200</x:v>
      </x:c>
      <x:c r="L579" s="11" t="n">
        <x:f>K579-J579</x:f>
        <x:v>170.54999999999995</x:v>
      </x:c>
      <x:c r="M579" s="11" t="n">
        <x:f>IF(B579="Butterfly",MAX(J579,0),IF(C579="call","Unlimited",MAX(2*E579-D579+J579,J579,0)))</x:f>
        <x:v>29.450000000000045</x:v>
      </x:c>
      <x:c r="N579" s="11" t="n">
        <x:f>IF(B579="Butterfly",IF(AND(J579&gt;0,J579&lt;K579),D579+J579,"n.a."),IF(C579="call",IF(AND(J579&gt;0,J579&lt;K579),D579+J579,"n.a."),IF(AND(K579&gt;J579,2*E579-D579+J579&gt;=0),2*E579-D579+J579,"n.a.")))</x:f>
        <x:v>7429.45</x:v>
      </x:c>
      <x:c r="O579" s="11" t="n">
        <x:f>IF(B579="Butterfly",IF(AND(J579&gt;0,J579&lt;K579),F579-J579,"n.a."),IF(C579="call",IF(K579&gt;J579,2*E579-D579-J579,"n.a."),IF(AND(J579&gt;0,J579&lt;K579),D579-J579,"n.a.")))</x:f>
        <x:v>7770.55</x:v>
      </x:c>
      <x:c r="P579" s="19" t="n">
        <x:f>IF(AND(B579="Butterfly",J579&gt;0,J579&lt;K579),L579/J579,"n.a.")</x:f>
        <x:v>5.791171477079786</x:v>
      </x:c>
      <x:c r="Q579" s="11" t="n">
        <x:f>J579*'Model inputs'!$B$8</x:f>
        <x:v>2945.0000000000045</x:v>
      </x:c>
      <x:c r="R579" s="1" t="str">
        <x:v>Flagged leg data</x:v>
      </x:c>
      <x:c r="S579" s="1" t="n">
        <x:v>798</x:v>
      </x:c>
      <x:c r="T579" s="1" t="n">
        <x:v>817</x:v>
      </x:c>
    </x:row>
    <x:row r="580" ht="21" customHeight="1">
      <x:c r="A580" s="12" t="n">
        <x:v>46273</x:v>
      </x:c>
      <x:c r="B580" s="1" t="str">
        <x:v>Butterfly</x:v>
      </x:c>
      <x:c r="C580" s="1" t="str">
        <x:v>call</x:v>
      </x:c>
      <x:c r="D580" s="11" t="n">
        <x:v>6200</x:v>
      </x:c>
      <x:c r="E580" s="11" t="n">
        <x:v>6400</x:v>
      </x:c>
      <x:c r="F580" s="11" t="n">
        <x:v>6600</x:v>
      </x:c>
      <x:c r="G580" s="11" t="n">
        <x:f>'Option source'!B195</x:f>
        <x:v>1065</x:v>
      </x:c>
      <x:c r="H580" s="11" t="n">
        <x:f>'Option source'!B214</x:f>
        <x:v>900</x:v>
      </x:c>
      <x:c r="I580" s="11" t="n">
        <x:f>'Option source'!B233</x:f>
        <x:v>731.04</x:v>
      </x:c>
      <x:c r="J580" s="11" t="n">
        <x:f>G580-2*H580+IF(B580="Butterfly",I580,0)</x:f>
        <x:v>-3.9600000000000364</x:v>
      </x:c>
      <x:c r="K580" s="11" t="n">
        <x:f>ABS(E580-D580)</x:f>
        <x:v>200</x:v>
      </x:c>
      <x:c r="L580" s="11" t="n">
        <x:f>K580-J580</x:f>
        <x:v>203.96000000000004</x:v>
      </x:c>
      <x:c r="M580" s="11" t="n">
        <x:f>IF(B580="Butterfly",MAX(J580,0),IF(C580="call","Unlimited",MAX(2*E580-D580+J580,J580,0)))</x:f>
        <x:v>0</x:v>
      </x:c>
      <x:c r="N580" s="11" t="str">
        <x:f>IF(B580="Butterfly",IF(AND(J580&gt;0,J580&lt;K580),D580+J580,"n.a."),IF(C580="call",IF(AND(J580&gt;0,J580&lt;K580),D580+J580,"n.a."),IF(AND(K580&gt;J580,2*E580-D580+J580&gt;=0),2*E580-D580+J580,"n.a.")))</x:f>
        <x:v>n.a.</x:v>
      </x:c>
      <x:c r="O580" s="11" t="str">
        <x:f>IF(B580="Butterfly",IF(AND(J580&gt;0,J580&lt;K580),F580-J580,"n.a."),IF(C580="call",IF(K580&gt;J580,2*E580-D580-J580,"n.a."),IF(AND(J580&gt;0,J580&lt;K580),D580-J580,"n.a.")))</x:f>
        <x:v>n.a.</x:v>
      </x:c>
      <x:c r="P580" s="19" t="str">
        <x:f>IF(AND(B580="Butterfly",J580&gt;0,J580&lt;K580),L580/J580,"n.a.")</x:f>
        <x:v>n.a.</x:v>
      </x:c>
      <x:c r="Q580" s="11" t="n">
        <x:f>J580*'Model inputs'!$B$8</x:f>
        <x:v>-396.00000000000364</x:v>
      </x:c>
      <x:c r="R580" s="1" t="str">
        <x:v>Outside standard debit bounds</x:v>
      </x:c>
      <x:c r="S580" s="1" t="n">
        <x:v>190</x:v>
      </x:c>
      <x:c r="T580" s="1" t="n">
        <x:v>209</x:v>
      </x:c>
    </x:row>
    <x:row r="581" ht="21" customHeight="1">
      <x:c r="A581" s="12" t="n">
        <x:v>46273</x:v>
      </x:c>
      <x:c r="B581" s="1" t="str">
        <x:v>Butterfly</x:v>
      </x:c>
      <x:c r="C581" s="1" t="str">
        <x:v>put</x:v>
      </x:c>
      <x:c r="D581" s="11" t="n">
        <x:v>7600</x:v>
      </x:c>
      <x:c r="E581" s="11" t="n">
        <x:v>7800</x:v>
      </x:c>
      <x:c r="F581" s="11" t="n">
        <x:v>8000</x:v>
      </x:c>
      <x:c r="G581" s="11" t="n">
        <x:f>'Option source'!B822</x:f>
        <x:v>643.01</x:v>
      </x:c>
      <x:c r="H581" s="11" t="n">
        <x:f>'Option source'!B841</x:f>
        <x:v>780</x:v>
      </x:c>
      <x:c r="I581" s="11" t="n">
        <x:f>'Option source'!B860</x:f>
        <x:v>960</x:v>
      </x:c>
      <x:c r="J581" s="11" t="n">
        <x:f>G581-2*H581+IF(B581="Butterfly",I581,0)</x:f>
        <x:v>43.00999999999999</x:v>
      </x:c>
      <x:c r="K581" s="11" t="n">
        <x:f>ABS(E581-D581)</x:f>
        <x:v>200</x:v>
      </x:c>
      <x:c r="L581" s="11" t="n">
        <x:f>K581-J581</x:f>
        <x:v>156.99</x:v>
      </x:c>
      <x:c r="M581" s="11" t="n">
        <x:f>IF(B581="Butterfly",MAX(J581,0),IF(C581="call","Unlimited",MAX(2*E581-D581+J581,J581,0)))</x:f>
        <x:v>43.00999999999999</x:v>
      </x:c>
      <x:c r="N581" s="11" t="n">
        <x:f>IF(B581="Butterfly",IF(AND(J581&gt;0,J581&lt;K581),D581+J581,"n.a."),IF(C581="call",IF(AND(J581&gt;0,J581&lt;K581),D581+J581,"n.a."),IF(AND(K581&gt;J581,2*E581-D581+J581&gt;=0),2*E581-D581+J581,"n.a.")))</x:f>
        <x:v>7643.01</x:v>
      </x:c>
      <x:c r="O581" s="11" t="n">
        <x:f>IF(B581="Butterfly",IF(AND(J581&gt;0,J581&lt;K581),F581-J581,"n.a."),IF(C581="call",IF(K581&gt;J581,2*E581-D581-J581,"n.a."),IF(AND(J581&gt;0,J581&lt;K581),D581-J581,"n.a.")))</x:f>
        <x:v>7956.99</x:v>
      </x:c>
      <x:c r="P581" s="19" t="n">
        <x:f>IF(AND(B581="Butterfly",J581&gt;0,J581&lt;K581),L581/J581,"n.a.")</x:f>
        <x:v>3.6500813764240885</x:v>
      </x:c>
      <x:c r="Q581" s="11" t="n">
        <x:f>J581*'Model inputs'!$B$8</x:f>
        <x:v>4300.999999999999</x:v>
      </x:c>
      <x:c r="R581" s="1" t="str">
        <x:v>Flagged leg data</x:v>
      </x:c>
      <x:c r="S581" s="1" t="n">
        <x:v>817</x:v>
      </x:c>
      <x:c r="T581" s="1" t="n">
        <x:v>836</x:v>
      </x:c>
    </x:row>
    <x:row r="582" ht="21" customHeight="1">
      <x:c r="A582" s="12" t="n">
        <x:v>46273</x:v>
      </x:c>
      <x:c r="B582" s="1" t="str">
        <x:v>Butterfly</x:v>
      </x:c>
      <x:c r="C582" s="1" t="str">
        <x:v>call</x:v>
      </x:c>
      <x:c r="D582" s="11" t="n">
        <x:v>6000</x:v>
      </x:c>
      <x:c r="E582" s="11" t="n">
        <x:v>6200</x:v>
      </x:c>
      <x:c r="F582" s="11" t="n">
        <x:v>6400</x:v>
      </x:c>
      <x:c r="G582" s="11" t="n">
        <x:f>'Option source'!B176</x:f>
        <x:v>1200</x:v>
      </x:c>
      <x:c r="H582" s="11" t="n">
        <x:f>'Option source'!B195</x:f>
        <x:v>1065</x:v>
      </x:c>
      <x:c r="I582" s="11" t="n">
        <x:f>'Option source'!B214</x:f>
        <x:v>900</x:v>
      </x:c>
      <x:c r="J582" s="11" t="n">
        <x:f>G582-2*H582+IF(B582="Butterfly",I582,0)</x:f>
        <x:v>-30</x:v>
      </x:c>
      <x:c r="K582" s="11" t="n">
        <x:f>ABS(E582-D582)</x:f>
        <x:v>200</x:v>
      </x:c>
      <x:c r="L582" s="11" t="n">
        <x:f>K582-J582</x:f>
        <x:v>230</x:v>
      </x:c>
      <x:c r="M582" s="11" t="n">
        <x:f>IF(B582="Butterfly",MAX(J582,0),IF(C582="call","Unlimited",MAX(2*E582-D582+J582,J582,0)))</x:f>
        <x:v>0</x:v>
      </x:c>
      <x:c r="N582" s="11" t="str">
        <x:f>IF(B582="Butterfly",IF(AND(J582&gt;0,J582&lt;K582),D582+J582,"n.a."),IF(C582="call",IF(AND(J582&gt;0,J582&lt;K582),D582+J582,"n.a."),IF(AND(K582&gt;J582,2*E582-D582+J582&gt;=0),2*E582-D582+J582,"n.a.")))</x:f>
        <x:v>n.a.</x:v>
      </x:c>
      <x:c r="O582" s="11" t="str">
        <x:f>IF(B582="Butterfly",IF(AND(J582&gt;0,J582&lt;K582),F582-J582,"n.a."),IF(C582="call",IF(K582&gt;J582,2*E582-D582-J582,"n.a."),IF(AND(J582&gt;0,J582&lt;K582),D582-J582,"n.a.")))</x:f>
        <x:v>n.a.</x:v>
      </x:c>
      <x:c r="P582" s="19" t="str">
        <x:f>IF(AND(B582="Butterfly",J582&gt;0,J582&lt;K582),L582/J582,"n.a.")</x:f>
        <x:v>n.a.</x:v>
      </x:c>
      <x:c r="Q582" s="11" t="n">
        <x:f>J582*'Model inputs'!$B$8</x:f>
        <x:v>-3000</x:v>
      </x:c>
      <x:c r="R582" s="1" t="str">
        <x:v>Outside standard debit bounds</x:v>
      </x:c>
      <x:c r="S582" s="1" t="n">
        <x:v>171</x:v>
      </x:c>
      <x:c r="T582" s="1" t="n">
        <x:v>190</x:v>
      </x:c>
    </x:row>
    <x:row r="583" ht="21" customHeight="1">
      <x:c r="A583" s="12" t="n">
        <x:v>46273</x:v>
      </x:c>
      <x:c r="B583" s="1" t="str">
        <x:v>Butterfly</x:v>
      </x:c>
      <x:c r="C583" s="1" t="str">
        <x:v>call</x:v>
      </x:c>
      <x:c r="D583" s="11" t="n">
        <x:v>5800</x:v>
      </x:c>
      <x:c r="E583" s="11" t="n">
        <x:v>6000</x:v>
      </x:c>
      <x:c r="F583" s="11" t="n">
        <x:v>6200</x:v>
      </x:c>
      <x:c r="G583" s="11" t="n">
        <x:f>'Option source'!B157</x:f>
        <x:v>1310</x:v>
      </x:c>
      <x:c r="H583" s="11" t="n">
        <x:f>'Option source'!B176</x:f>
        <x:v>1200</x:v>
      </x:c>
      <x:c r="I583" s="11" t="n">
        <x:f>'Option source'!B195</x:f>
        <x:v>1065</x:v>
      </x:c>
      <x:c r="J583" s="11" t="n">
        <x:f>G583-2*H583+IF(B583="Butterfly",I583,0)</x:f>
        <x:v>-25</x:v>
      </x:c>
      <x:c r="K583" s="11" t="n">
        <x:f>ABS(E583-D583)</x:f>
        <x:v>200</x:v>
      </x:c>
      <x:c r="L583" s="11" t="n">
        <x:f>K583-J583</x:f>
        <x:v>225</x:v>
      </x:c>
      <x:c r="M583" s="11" t="n">
        <x:f>IF(B583="Butterfly",MAX(J583,0),IF(C583="call","Unlimited",MAX(2*E583-D583+J583,J583,0)))</x:f>
        <x:v>0</x:v>
      </x:c>
      <x:c r="N583" s="11" t="str">
        <x:f>IF(B583="Butterfly",IF(AND(J583&gt;0,J583&lt;K583),D583+J583,"n.a."),IF(C583="call",IF(AND(J583&gt;0,J583&lt;K583),D583+J583,"n.a."),IF(AND(K583&gt;J583,2*E583-D583+J583&gt;=0),2*E583-D583+J583,"n.a.")))</x:f>
        <x:v>n.a.</x:v>
      </x:c>
      <x:c r="O583" s="11" t="str">
        <x:f>IF(B583="Butterfly",IF(AND(J583&gt;0,J583&lt;K583),F583-J583,"n.a."),IF(C583="call",IF(K583&gt;J583,2*E583-D583-J583,"n.a."),IF(AND(J583&gt;0,J583&lt;K583),D583-J583,"n.a.")))</x:f>
        <x:v>n.a.</x:v>
      </x:c>
      <x:c r="P583" s="19" t="str">
        <x:f>IF(AND(B583="Butterfly",J583&gt;0,J583&lt;K583),L583/J583,"n.a.")</x:f>
        <x:v>n.a.</x:v>
      </x:c>
      <x:c r="Q583" s="11" t="n">
        <x:f>J583*'Model inputs'!$B$8</x:f>
        <x:v>-2500</x:v>
      </x:c>
      <x:c r="R583" s="1" t="str">
        <x:v>Outside standard debit bounds</x:v>
      </x:c>
      <x:c r="S583" s="1" t="n">
        <x:v>152</x:v>
      </x:c>
      <x:c r="T583" s="1" t="n">
        <x:v>171</x:v>
      </x:c>
    </x:row>
    <x:row r="584" ht="21" customHeight="1">
      <x:c r="A584" s="12" t="n">
        <x:v>46273</x:v>
      </x:c>
      <x:c r="B584" s="1" t="str">
        <x:v>Butterfly</x:v>
      </x:c>
      <x:c r="C584" s="1" t="str">
        <x:v>call</x:v>
      </x:c>
      <x:c r="D584" s="11" t="n">
        <x:v>5600</x:v>
      </x:c>
      <x:c r="E584" s="11" t="n">
        <x:v>5800</x:v>
      </x:c>
      <x:c r="F584" s="11" t="n">
        <x:v>6000</x:v>
      </x:c>
      <x:c r="G584" s="11" t="n">
        <x:f>'Option source'!B147</x:f>
        <x:v>1490</x:v>
      </x:c>
      <x:c r="H584" s="11" t="n">
        <x:f>'Option source'!B157</x:f>
        <x:v>1310</x:v>
      </x:c>
      <x:c r="I584" s="11" t="n">
        <x:f>'Option source'!B176</x:f>
        <x:v>1200</x:v>
      </x:c>
      <x:c r="J584" s="11" t="n">
        <x:f>G584-2*H584+IF(B584="Butterfly",I584,0)</x:f>
        <x:v>70</x:v>
      </x:c>
      <x:c r="K584" s="11" t="n">
        <x:f>ABS(E584-D584)</x:f>
        <x:v>200</x:v>
      </x:c>
      <x:c r="L584" s="11" t="n">
        <x:f>K584-J584</x:f>
        <x:v>130</x:v>
      </x:c>
      <x:c r="M584" s="11" t="n">
        <x:f>IF(B584="Butterfly",MAX(J584,0),IF(C584="call","Unlimited",MAX(2*E584-D584+J584,J584,0)))</x:f>
        <x:v>70</x:v>
      </x:c>
      <x:c r="N584" s="11" t="n">
        <x:f>IF(B584="Butterfly",IF(AND(J584&gt;0,J584&lt;K584),D584+J584,"n.a."),IF(C584="call",IF(AND(J584&gt;0,J584&lt;K584),D584+J584,"n.a."),IF(AND(K584&gt;J584,2*E584-D584+J584&gt;=0),2*E584-D584+J584,"n.a.")))</x:f>
        <x:v>5670</x:v>
      </x:c>
      <x:c r="O584" s="11" t="n">
        <x:f>IF(B584="Butterfly",IF(AND(J584&gt;0,J584&lt;K584),F584-J584,"n.a."),IF(C584="call",IF(K584&gt;J584,2*E584-D584-J584,"n.a."),IF(AND(J584&gt;0,J584&lt;K584),D584-J584,"n.a.")))</x:f>
        <x:v>5930</x:v>
      </x:c>
      <x:c r="P584" s="19" t="n">
        <x:f>IF(AND(B584="Butterfly",J584&gt;0,J584&lt;K584),L584/J584,"n.a.")</x:f>
        <x:v>1.8571428571428572</x:v>
      </x:c>
      <x:c r="Q584" s="11" t="n">
        <x:f>J584*'Model inputs'!$B$8</x:f>
        <x:v>7000</x:v>
      </x:c>
      <x:c r="R584" s="1" t="str">
        <x:v>Flagged leg data</x:v>
      </x:c>
      <x:c r="S584" s="1" t="n">
        <x:v>142</x:v>
      </x:c>
      <x:c r="T584" s="1" t="n">
        <x:v>152</x:v>
      </x:c>
    </x:row>
    <x:row r="585" ht="21" customHeight="1">
      <x:c r="A585" s="12" t="n">
        <x:v>46273</x:v>
      </x:c>
      <x:c r="B585" s="1" t="str">
        <x:v>Butterfly</x:v>
      </x:c>
      <x:c r="C585" s="1" t="str">
        <x:v>put</x:v>
      </x:c>
      <x:c r="D585" s="11" t="n">
        <x:v>8000</x:v>
      </x:c>
      <x:c r="E585" s="11" t="n">
        <x:v>8300</x:v>
      </x:c>
      <x:c r="F585" s="11" t="n">
        <x:v>8600</x:v>
      </x:c>
      <x:c r="G585" s="11" t="n">
        <x:f>'Option source'!B860</x:f>
        <x:v>960</x:v>
      </x:c>
      <x:c r="H585" s="11" t="n">
        <x:f>'Option source'!B879</x:f>
        <x:v>1350</x:v>
      </x:c>
      <x:c r="I585" s="11" t="n">
        <x:f>'Option source'!B898</x:f>
        <x:v>1463.59</x:v>
      </x:c>
      <x:c r="J585" s="11" t="n">
        <x:f>G585-2*H585+IF(B585="Butterfly",I585,0)</x:f>
        <x:v>-276.4100000000001</x:v>
      </x:c>
      <x:c r="K585" s="11" t="n">
        <x:f>ABS(E585-D585)</x:f>
        <x:v>300</x:v>
      </x:c>
      <x:c r="L585" s="11" t="n">
        <x:f>K585-J585</x:f>
        <x:v>576.4100000000001</x:v>
      </x:c>
      <x:c r="M585" s="11" t="n">
        <x:f>IF(B585="Butterfly",MAX(J585,0),IF(C585="call","Unlimited",MAX(2*E585-D585+J585,J585,0)))</x:f>
        <x:v>0</x:v>
      </x:c>
      <x:c r="N585" s="11" t="str">
        <x:f>IF(B585="Butterfly",IF(AND(J585&gt;0,J585&lt;K585),D585+J585,"n.a."),IF(C585="call",IF(AND(J585&gt;0,J585&lt;K585),D585+J585,"n.a."),IF(AND(K585&gt;J585,2*E585-D585+J585&gt;=0),2*E585-D585+J585,"n.a.")))</x:f>
        <x:v>n.a.</x:v>
      </x:c>
      <x:c r="O585" s="11" t="str">
        <x:f>IF(B585="Butterfly",IF(AND(J585&gt;0,J585&lt;K585),F585-J585,"n.a."),IF(C585="call",IF(K585&gt;J585,2*E585-D585-J585,"n.a."),IF(AND(J585&gt;0,J585&lt;K585),D585-J585,"n.a.")))</x:f>
        <x:v>n.a.</x:v>
      </x:c>
      <x:c r="P585" s="19" t="str">
        <x:f>IF(AND(B585="Butterfly",J585&gt;0,J585&lt;K585),L585/J585,"n.a.")</x:f>
        <x:v>n.a.</x:v>
      </x:c>
      <x:c r="Q585" s="11" t="n">
        <x:f>J585*'Model inputs'!$B$8</x:f>
        <x:v>-27641.000000000007</x:v>
      </x:c>
      <x:c r="R585" s="1" t="str">
        <x:v>Outside standard debit bounds</x:v>
      </x:c>
      <x:c r="S585" s="1" t="n">
        <x:v>855</x:v>
      </x:c>
      <x:c r="T585" s="1" t="n">
        <x:v>874</x:v>
      </x:c>
    </x:row>
    <x:row r="586" ht="21" customHeight="1">
      <x:c r="A586" s="12" t="n">
        <x:v>46273</x:v>
      </x:c>
      <x:c r="B586" s="1" t="str">
        <x:v>Butterfly</x:v>
      </x:c>
      <x:c r="C586" s="1" t="str">
        <x:v>call</x:v>
      </x:c>
      <x:c r="D586" s="11" t="n">
        <x:v>5400</x:v>
      </x:c>
      <x:c r="E586" s="11" t="n">
        <x:v>5600</x:v>
      </x:c>
      <x:c r="F586" s="11" t="n">
        <x:v>5800</x:v>
      </x:c>
      <x:c r="G586" s="11" t="n">
        <x:f>'Option source'!B129</x:f>
        <x:v>1636.72</x:v>
      </x:c>
      <x:c r="H586" s="11" t="n">
        <x:f>'Option source'!B147</x:f>
        <x:v>1490</x:v>
      </x:c>
      <x:c r="I586" s="11" t="n">
        <x:f>'Option source'!B157</x:f>
        <x:v>1310</x:v>
      </x:c>
      <x:c r="J586" s="11" t="n">
        <x:f>G586-2*H586+IF(B586="Butterfly",I586,0)</x:f>
        <x:v>-33.27999999999997</x:v>
      </x:c>
      <x:c r="K586" s="11" t="n">
        <x:f>ABS(E586-D586)</x:f>
        <x:v>200</x:v>
      </x:c>
      <x:c r="L586" s="11" t="n">
        <x:f>K586-J586</x:f>
        <x:v>233.27999999999997</x:v>
      </x:c>
      <x:c r="M586" s="11" t="n">
        <x:f>IF(B586="Butterfly",MAX(J586,0),IF(C586="call","Unlimited",MAX(2*E586-D586+J586,J586,0)))</x:f>
        <x:v>0</x:v>
      </x:c>
      <x:c r="N586" s="11" t="str">
        <x:f>IF(B586="Butterfly",IF(AND(J586&gt;0,J586&lt;K586),D586+J586,"n.a."),IF(C586="call",IF(AND(J586&gt;0,J586&lt;K586),D586+J586,"n.a."),IF(AND(K586&gt;J586,2*E586-D586+J586&gt;=0),2*E586-D586+J586,"n.a.")))</x:f>
        <x:v>n.a.</x:v>
      </x:c>
      <x:c r="O586" s="11" t="str">
        <x:f>IF(B586="Butterfly",IF(AND(J586&gt;0,J586&lt;K586),F586-J586,"n.a."),IF(C586="call",IF(K586&gt;J586,2*E586-D586-J586,"n.a."),IF(AND(J586&gt;0,J586&lt;K586),D586-J586,"n.a.")))</x:f>
        <x:v>n.a.</x:v>
      </x:c>
      <x:c r="P586" s="19" t="str">
        <x:f>IF(AND(B586="Butterfly",J586&gt;0,J586&lt;K586),L586/J586,"n.a.")</x:f>
        <x:v>n.a.</x:v>
      </x:c>
      <x:c r="Q586" s="11" t="n">
        <x:f>J586*'Model inputs'!$B$8</x:f>
        <x:v>-3327.9999999999973</x:v>
      </x:c>
      <x:c r="R586" s="1" t="str">
        <x:v>Outside standard debit bounds</x:v>
      </x:c>
      <x:c r="S586" s="1" t="n">
        <x:v>124</x:v>
      </x:c>
      <x:c r="T586" s="1" t="n">
        <x:v>142</x:v>
      </x:c>
    </x:row>
    <x:row r="587" ht="21" customHeight="1">
      <x:c r="A587" s="12" t="n">
        <x:v>46273</x:v>
      </x:c>
      <x:c r="B587" s="1" t="str">
        <x:v>Butterfly</x:v>
      </x:c>
      <x:c r="C587" s="1" t="str">
        <x:v>put</x:v>
      </x:c>
      <x:c r="D587" s="11" t="n">
        <x:v>8300</x:v>
      </x:c>
      <x:c r="E587" s="11" t="n">
        <x:v>8600</x:v>
      </x:c>
      <x:c r="F587" s="11" t="n">
        <x:v>8900</x:v>
      </x:c>
      <x:c r="G587" s="11" t="n">
        <x:f>'Option source'!B879</x:f>
        <x:v>1350</x:v>
      </x:c>
      <x:c r="H587" s="11" t="n">
        <x:f>'Option source'!B898</x:f>
        <x:v>1463.59</x:v>
      </x:c>
      <x:c r="I587" s="11" t="n">
        <x:f>'Option source'!B913</x:f>
        <x:v>2022.5</x:v>
      </x:c>
      <x:c r="J587" s="11" t="n">
        <x:f>G587-2*H587+IF(B587="Butterfly",I587,0)</x:f>
        <x:v>445.32000000000016</x:v>
      </x:c>
      <x:c r="K587" s="11" t="n">
        <x:f>ABS(E587-D587)</x:f>
        <x:v>300</x:v>
      </x:c>
      <x:c r="L587" s="11" t="n">
        <x:f>K587-J587</x:f>
        <x:v>-145.32000000000016</x:v>
      </x:c>
      <x:c r="M587" s="11" t="n">
        <x:f>IF(B587="Butterfly",MAX(J587,0),IF(C587="call","Unlimited",MAX(2*E587-D587+J587,J587,0)))</x:f>
        <x:v>445.32000000000016</x:v>
      </x:c>
      <x:c r="N587" s="11" t="str">
        <x:f>IF(B587="Butterfly",IF(AND(J587&gt;0,J587&lt;K587),D587+J587,"n.a."),IF(C587="call",IF(AND(J587&gt;0,J587&lt;K587),D587+J587,"n.a."),IF(AND(K587&gt;J587,2*E587-D587+J587&gt;=0),2*E587-D587+J587,"n.a.")))</x:f>
        <x:v>n.a.</x:v>
      </x:c>
      <x:c r="O587" s="11" t="str">
        <x:f>IF(B587="Butterfly",IF(AND(J587&gt;0,J587&lt;K587),F587-J587,"n.a."),IF(C587="call",IF(K587&gt;J587,2*E587-D587-J587,"n.a."),IF(AND(J587&gt;0,J587&lt;K587),D587-J587,"n.a.")))</x:f>
        <x:v>n.a.</x:v>
      </x:c>
      <x:c r="P587" s="19" t="str">
        <x:f>IF(AND(B587="Butterfly",J587&gt;0,J587&lt;K587),L587/J587,"n.a.")</x:f>
        <x:v>n.a.</x:v>
      </x:c>
      <x:c r="Q587" s="11" t="n">
        <x:f>J587*'Model inputs'!$B$8</x:f>
        <x:v>44532.000000000015</x:v>
      </x:c>
      <x:c r="R587" s="1" t="str">
        <x:v>Outside standard debit bounds</x:v>
      </x:c>
      <x:c r="S587" s="1" t="n">
        <x:v>874</x:v>
      </x:c>
      <x:c r="T587" s="1" t="n">
        <x:v>893</x:v>
      </x:c>
    </x:row>
    <x:row r="588" ht="21" customHeight="1">
      <x:c r="A588" s="12" t="n">
        <x:v>46273</x:v>
      </x:c>
      <x:c r="B588" s="1" t="str">
        <x:v>Butterfly</x:v>
      </x:c>
      <x:c r="C588" s="1" t="str">
        <x:v>call</x:v>
      </x:c>
      <x:c r="D588" s="11" t="n">
        <x:v>5200</x:v>
      </x:c>
      <x:c r="E588" s="11" t="n">
        <x:v>5400</x:v>
      </x:c>
      <x:c r="F588" s="11" t="n">
        <x:v>5600</x:v>
      </x:c>
      <x:c r="G588" s="11" t="n">
        <x:f>'Option source'!B110</x:f>
        <x:v>1880.26</x:v>
      </x:c>
      <x:c r="H588" s="11" t="n">
        <x:f>'Option source'!B129</x:f>
        <x:v>1636.72</x:v>
      </x:c>
      <x:c r="I588" s="11" t="n">
        <x:f>'Option source'!B147</x:f>
        <x:v>1490</x:v>
      </x:c>
      <x:c r="J588" s="11" t="n">
        <x:f>G588-2*H588+IF(B588="Butterfly",I588,0)</x:f>
        <x:v>96.81999999999994</x:v>
      </x:c>
      <x:c r="K588" s="11" t="n">
        <x:f>ABS(E588-D588)</x:f>
        <x:v>200</x:v>
      </x:c>
      <x:c r="L588" s="11" t="n">
        <x:f>K588-J588</x:f>
        <x:v>103.18000000000006</x:v>
      </x:c>
      <x:c r="M588" s="11" t="n">
        <x:f>IF(B588="Butterfly",MAX(J588,0),IF(C588="call","Unlimited",MAX(2*E588-D588+J588,J588,0)))</x:f>
        <x:v>96.81999999999994</x:v>
      </x:c>
      <x:c r="N588" s="11" t="n">
        <x:f>IF(B588="Butterfly",IF(AND(J588&gt;0,J588&lt;K588),D588+J588,"n.a."),IF(C588="call",IF(AND(J588&gt;0,J588&lt;K588),D588+J588,"n.a."),IF(AND(K588&gt;J588,2*E588-D588+J588&gt;=0),2*E588-D588+J588,"n.a.")))</x:f>
        <x:v>5296.82</x:v>
      </x:c>
      <x:c r="O588" s="11" t="n">
        <x:f>IF(B588="Butterfly",IF(AND(J588&gt;0,J588&lt;K588),F588-J588,"n.a."),IF(C588="call",IF(K588&gt;J588,2*E588-D588-J588,"n.a."),IF(AND(J588&gt;0,J588&lt;K588),D588-J588,"n.a.")))</x:f>
        <x:v>5503.18</x:v>
      </x:c>
      <x:c r="P588" s="19" t="n">
        <x:f>IF(AND(B588="Butterfly",J588&gt;0,J588&lt;K588),L588/J588,"n.a.")</x:f>
        <x:v>1.0656889072505695</x:v>
      </x:c>
      <x:c r="Q588" s="11" t="n">
        <x:f>J588*'Model inputs'!$B$8</x:f>
        <x:v>9681.999999999993</x:v>
      </x:c>
      <x:c r="R588" s="1" t="str">
        <x:v>Flagged leg data</x:v>
      </x:c>
      <x:c r="S588" s="1" t="n">
        <x:v>105</x:v>
      </x:c>
      <x:c r="T588" s="1" t="n">
        <x:v>124</x:v>
      </x:c>
    </x:row>
    <x:row r="589" ht="21" customHeight="1">
      <x:c r="A589" s="12" t="n">
        <x:v>46273</x:v>
      </x:c>
      <x:c r="B589" s="1" t="str">
        <x:v>Butterfly</x:v>
      </x:c>
      <x:c r="C589" s="1" t="str">
        <x:v>call</x:v>
      </x:c>
      <x:c r="D589" s="11" t="n">
        <x:v>5000</x:v>
      </x:c>
      <x:c r="E589" s="11" t="n">
        <x:v>5200</x:v>
      </x:c>
      <x:c r="F589" s="11" t="n">
        <x:v>5400</x:v>
      </x:c>
      <x:c r="G589" s="11" t="n">
        <x:f>'Option source'!B91</x:f>
        <x:v>2094.25</x:v>
      </x:c>
      <x:c r="H589" s="11" t="n">
        <x:f>'Option source'!B110</x:f>
        <x:v>1880.26</x:v>
      </x:c>
      <x:c r="I589" s="11" t="n">
        <x:f>'Option source'!B129</x:f>
        <x:v>1636.72</x:v>
      </x:c>
      <x:c r="J589" s="11" t="n">
        <x:f>G589-2*H589+IF(B589="Butterfly",I589,0)</x:f>
        <x:v>-29.549999999999955</x:v>
      </x:c>
      <x:c r="K589" s="11" t="n">
        <x:f>ABS(E589-D589)</x:f>
        <x:v>200</x:v>
      </x:c>
      <x:c r="L589" s="11" t="n">
        <x:f>K589-J589</x:f>
        <x:v>229.54999999999995</x:v>
      </x:c>
      <x:c r="M589" s="11" t="n">
        <x:f>IF(B589="Butterfly",MAX(J589,0),IF(C589="call","Unlimited",MAX(2*E589-D589+J589,J589,0)))</x:f>
        <x:v>0</x:v>
      </x:c>
      <x:c r="N589" s="11" t="str">
        <x:f>IF(B589="Butterfly",IF(AND(J589&gt;0,J589&lt;K589),D589+J589,"n.a."),IF(C589="call",IF(AND(J589&gt;0,J589&lt;K589),D589+J589,"n.a."),IF(AND(K589&gt;J589,2*E589-D589+J589&gt;=0),2*E589-D589+J589,"n.a.")))</x:f>
        <x:v>n.a.</x:v>
      </x:c>
      <x:c r="O589" s="11" t="str">
        <x:f>IF(B589="Butterfly",IF(AND(J589&gt;0,J589&lt;K589),F589-J589,"n.a."),IF(C589="call",IF(K589&gt;J589,2*E589-D589-J589,"n.a."),IF(AND(J589&gt;0,J589&lt;K589),D589-J589,"n.a.")))</x:f>
        <x:v>n.a.</x:v>
      </x:c>
      <x:c r="P589" s="19" t="str">
        <x:f>IF(AND(B589="Butterfly",J589&gt;0,J589&lt;K589),L589/J589,"n.a.")</x:f>
        <x:v>n.a.</x:v>
      </x:c>
      <x:c r="Q589" s="11" t="n">
        <x:f>J589*'Model inputs'!$B$8</x:f>
        <x:v>-2954.9999999999955</x:v>
      </x:c>
      <x:c r="R589" s="1" t="str">
        <x:v>Outside standard debit bounds</x:v>
      </x:c>
      <x:c r="S589" s="1" t="n">
        <x:v>86</x:v>
      </x:c>
      <x:c r="T589" s="1" t="n">
        <x:v>105</x:v>
      </x:c>
    </x:row>
    <x:row r="590" ht="21" customHeight="1">
      <x:c r="A590" s="12" t="n">
        <x:v>46273</x:v>
      </x:c>
      <x:c r="B590" s="1" t="str">
        <x:v>Butterfly</x:v>
      </x:c>
      <x:c r="C590" s="1" t="str">
        <x:v>put</x:v>
      </x:c>
      <x:c r="D590" s="11" t="n">
        <x:v>8600</x:v>
      </x:c>
      <x:c r="E590" s="11" t="n">
        <x:v>8900</x:v>
      </x:c>
      <x:c r="F590" s="11" t="n">
        <x:v>9200</x:v>
      </x:c>
      <x:c r="G590" s="11" t="n">
        <x:f>'Option source'!B898</x:f>
        <x:v>1463.59</x:v>
      </x:c>
      <x:c r="H590" s="11" t="n">
        <x:f>'Option source'!B913</x:f>
        <x:v>2022.5</x:v>
      </x:c>
      <x:c r="I590" s="11" t="n">
        <x:f>'Option source'!B920</x:f>
        <x:v>2000</x:v>
      </x:c>
      <x:c r="J590" s="11" t="n">
        <x:f>G590-2*H590+IF(B590="Butterfly",I590,0)</x:f>
        <x:v>-581.4099999999999</x:v>
      </x:c>
      <x:c r="K590" s="11" t="n">
        <x:f>ABS(E590-D590)</x:f>
        <x:v>300</x:v>
      </x:c>
      <x:c r="L590" s="11" t="n">
        <x:f>K590-J590</x:f>
        <x:v>881.4099999999999</x:v>
      </x:c>
      <x:c r="M590" s="11" t="n">
        <x:f>IF(B590="Butterfly",MAX(J590,0),IF(C590="call","Unlimited",MAX(2*E590-D590+J590,J590,0)))</x:f>
        <x:v>0</x:v>
      </x:c>
      <x:c r="N590" s="11" t="str">
        <x:f>IF(B590="Butterfly",IF(AND(J590&gt;0,J590&lt;K590),D590+J590,"n.a."),IF(C590="call",IF(AND(J590&gt;0,J590&lt;K590),D590+J590,"n.a."),IF(AND(K590&gt;J590,2*E590-D590+J590&gt;=0),2*E590-D590+J590,"n.a.")))</x:f>
        <x:v>n.a.</x:v>
      </x:c>
      <x:c r="O590" s="11" t="str">
        <x:f>IF(B590="Butterfly",IF(AND(J590&gt;0,J590&lt;K590),F590-J590,"n.a."),IF(C590="call",IF(K590&gt;J590,2*E590-D590-J590,"n.a."),IF(AND(J590&gt;0,J590&lt;K590),D590-J590,"n.a.")))</x:f>
        <x:v>n.a.</x:v>
      </x:c>
      <x:c r="P590" s="19" t="str">
        <x:f>IF(AND(B590="Butterfly",J590&gt;0,J590&lt;K590),L590/J590,"n.a.")</x:f>
        <x:v>n.a.</x:v>
      </x:c>
      <x:c r="Q590" s="11" t="n">
        <x:f>J590*'Model inputs'!$B$8</x:f>
        <x:v>-58140.999999999985</x:v>
      </x:c>
      <x:c r="R590" s="1" t="str">
        <x:v>Outside standard debit bounds</x:v>
      </x:c>
      <x:c r="S590" s="1" t="n">
        <x:v>893</x:v>
      </x:c>
      <x:c r="T590" s="1" t="n">
        <x:v>908</x:v>
      </x:c>
    </x:row>
    <x:row r="591" ht="21" customHeight="1">
      <x:c r="A591" s="12" t="n">
        <x:v>46273</x:v>
      </x:c>
      <x:c r="B591" s="1" t="str">
        <x:v>Butterfly</x:v>
      </x:c>
      <x:c r="C591" s="1" t="str">
        <x:v>call</x:v>
      </x:c>
      <x:c r="D591" s="11" t="n">
        <x:v>4800</x:v>
      </x:c>
      <x:c r="E591" s="11" t="n">
        <x:v>5000</x:v>
      </x:c>
      <x:c r="F591" s="11" t="n">
        <x:v>5200</x:v>
      </x:c>
      <x:c r="G591" s="11" t="n">
        <x:f>'Option source'!B74</x:f>
        <x:v>2347.98</x:v>
      </x:c>
      <x:c r="H591" s="11" t="n">
        <x:f>'Option source'!B91</x:f>
        <x:v>2094.25</x:v>
      </x:c>
      <x:c r="I591" s="11" t="n">
        <x:f>'Option source'!B110</x:f>
        <x:v>1880.26</x:v>
      </x:c>
      <x:c r="J591" s="11" t="n">
        <x:f>G591-2*H591+IF(B591="Butterfly",I591,0)</x:f>
        <x:v>39.74000000000001</x:v>
      </x:c>
      <x:c r="K591" s="11" t="n">
        <x:f>ABS(E591-D591)</x:f>
        <x:v>200</x:v>
      </x:c>
      <x:c r="L591" s="11" t="n">
        <x:f>K591-J591</x:f>
        <x:v>160.26</x:v>
      </x:c>
      <x:c r="M591" s="11" t="n">
        <x:f>IF(B591="Butterfly",MAX(J591,0),IF(C591="call","Unlimited",MAX(2*E591-D591+J591,J591,0)))</x:f>
        <x:v>39.74000000000001</x:v>
      </x:c>
      <x:c r="N591" s="11" t="n">
        <x:f>IF(B591="Butterfly",IF(AND(J591&gt;0,J591&lt;K591),D591+J591,"n.a."),IF(C591="call",IF(AND(J591&gt;0,J591&lt;K591),D591+J591,"n.a."),IF(AND(K591&gt;J591,2*E591-D591+J591&gt;=0),2*E591-D591+J591,"n.a.")))</x:f>
        <x:v>4839.74</x:v>
      </x:c>
      <x:c r="O591" s="11" t="n">
        <x:f>IF(B591="Butterfly",IF(AND(J591&gt;0,J591&lt;K591),F591-J591,"n.a."),IF(C591="call",IF(K591&gt;J591,2*E591-D591-J591,"n.a."),IF(AND(J591&gt;0,J591&lt;K591),D591-J591,"n.a.")))</x:f>
        <x:v>5160.26</x:v>
      </x:c>
      <x:c r="P591" s="19" t="n">
        <x:f>IF(AND(B591="Butterfly",J591&gt;0,J591&lt;K591),L591/J591,"n.a.")</x:f>
        <x:v>4.032712632108705</x:v>
      </x:c>
      <x:c r="Q591" s="11" t="n">
        <x:f>J591*'Model inputs'!$B$8</x:f>
        <x:v>3974.000000000001</x:v>
      </x:c>
      <x:c r="R591" s="1" t="str">
        <x:v>Flagged leg data</x:v>
      </x:c>
      <x:c r="S591" s="1" t="n">
        <x:v>69</x:v>
      </x:c>
      <x:c r="T591" s="1" t="n">
        <x:v>86</x:v>
      </x:c>
    </x:row>
    <x:row r="592" ht="21" customHeight="1">
      <x:c r="A592" s="12" t="n">
        <x:v>46273</x:v>
      </x:c>
      <x:c r="B592" s="1" t="str">
        <x:v>Butterfly</x:v>
      </x:c>
      <x:c r="C592" s="1" t="str">
        <x:v>call</x:v>
      </x:c>
      <x:c r="D592" s="11" t="n">
        <x:v>4600</x:v>
      </x:c>
      <x:c r="E592" s="11" t="n">
        <x:v>4800</x:v>
      </x:c>
      <x:c r="F592" s="11" t="n">
        <x:v>5000</x:v>
      </x:c>
      <x:c r="G592" s="11" t="n">
        <x:f>'Option source'!B57</x:f>
        <x:v>2453.9</x:v>
      </x:c>
      <x:c r="H592" s="11" t="n">
        <x:f>'Option source'!B74</x:f>
        <x:v>2347.98</x:v>
      </x:c>
      <x:c r="I592" s="11" t="n">
        <x:f>'Option source'!B91</x:f>
        <x:v>2094.25</x:v>
      </x:c>
      <x:c r="J592" s="11" t="n">
        <x:f>G592-2*H592+IF(B592="Butterfly",I592,0)</x:f>
        <x:v>-147.80999999999995</x:v>
      </x:c>
      <x:c r="K592" s="11" t="n">
        <x:f>ABS(E592-D592)</x:f>
        <x:v>200</x:v>
      </x:c>
      <x:c r="L592" s="11" t="n">
        <x:f>K592-J592</x:f>
        <x:v>347.80999999999995</x:v>
      </x:c>
      <x:c r="M592" s="11" t="n">
        <x:f>IF(B592="Butterfly",MAX(J592,0),IF(C592="call","Unlimited",MAX(2*E592-D592+J592,J592,0)))</x:f>
        <x:v>0</x:v>
      </x:c>
      <x:c r="N592" s="11" t="str">
        <x:f>IF(B592="Butterfly",IF(AND(J592&gt;0,J592&lt;K592),D592+J592,"n.a."),IF(C592="call",IF(AND(J592&gt;0,J592&lt;K592),D592+J592,"n.a."),IF(AND(K592&gt;J592,2*E592-D592+J592&gt;=0),2*E592-D592+J592,"n.a.")))</x:f>
        <x:v>n.a.</x:v>
      </x:c>
      <x:c r="O592" s="11" t="str">
        <x:f>IF(B592="Butterfly",IF(AND(J592&gt;0,J592&lt;K592),F592-J592,"n.a."),IF(C592="call",IF(K592&gt;J592,2*E592-D592-J592,"n.a."),IF(AND(J592&gt;0,J592&lt;K592),D592-J592,"n.a.")))</x:f>
        <x:v>n.a.</x:v>
      </x:c>
      <x:c r="P592" s="19" t="str">
        <x:f>IF(AND(B592="Butterfly",J592&gt;0,J592&lt;K592),L592/J592,"n.a.")</x:f>
        <x:v>n.a.</x:v>
      </x:c>
      <x:c r="Q592" s="11" t="n">
        <x:f>J592*'Model inputs'!$B$8</x:f>
        <x:v>-14780.999999999995</x:v>
      </x:c>
      <x:c r="R592" s="1" t="str">
        <x:v>Outside standard debit bounds</x:v>
      </x:c>
      <x:c r="S592" s="1" t="n">
        <x:v>52</x:v>
      </x:c>
      <x:c r="T592" s="1" t="n">
        <x:v>69</x:v>
      </x:c>
    </x:row>
    <x:row r="593" ht="21" customHeight="1">
      <x:c r="A593" s="12" t="n">
        <x:v>46273</x:v>
      </x:c>
      <x:c r="B593" s="1" t="str">
        <x:v>Butterfly</x:v>
      </x:c>
      <x:c r="C593" s="1" t="str">
        <x:v>call</x:v>
      </x:c>
      <x:c r="D593" s="11" t="n">
        <x:v>4400</x:v>
      </x:c>
      <x:c r="E593" s="11" t="n">
        <x:v>4600</x:v>
      </x:c>
      <x:c r="F593" s="11" t="n">
        <x:v>4800</x:v>
      </x:c>
      <x:c r="G593" s="11" t="n">
        <x:f>'Option source'!B38</x:f>
        <x:v>2762.2</x:v>
      </x:c>
      <x:c r="H593" s="11" t="n">
        <x:f>'Option source'!B57</x:f>
        <x:v>2453.9</x:v>
      </x:c>
      <x:c r="I593" s="11" t="n">
        <x:f>'Option source'!B74</x:f>
        <x:v>2347.98</x:v>
      </x:c>
      <x:c r="J593" s="11" t="n">
        <x:f>G593-2*H593+IF(B593="Butterfly",I593,0)</x:f>
        <x:v>202.37999999999965</x:v>
      </x:c>
      <x:c r="K593" s="11" t="n">
        <x:f>ABS(E593-D593)</x:f>
        <x:v>200</x:v>
      </x:c>
      <x:c r="L593" s="11" t="n">
        <x:f>K593-J593</x:f>
        <x:v>-2.3799999999996544</x:v>
      </x:c>
      <x:c r="M593" s="11" t="n">
        <x:f>IF(B593="Butterfly",MAX(J593,0),IF(C593="call","Unlimited",MAX(2*E593-D593+J593,J593,0)))</x:f>
        <x:v>202.37999999999965</x:v>
      </x:c>
      <x:c r="N593" s="11" t="str">
        <x:f>IF(B593="Butterfly",IF(AND(J593&gt;0,J593&lt;K593),D593+J593,"n.a."),IF(C593="call",IF(AND(J593&gt;0,J593&lt;K593),D593+J593,"n.a."),IF(AND(K593&gt;J593,2*E593-D593+J593&gt;=0),2*E593-D593+J593,"n.a.")))</x:f>
        <x:v>n.a.</x:v>
      </x:c>
      <x:c r="O593" s="11" t="str">
        <x:f>IF(B593="Butterfly",IF(AND(J593&gt;0,J593&lt;K593),F593-J593,"n.a."),IF(C593="call",IF(K593&gt;J593,2*E593-D593-J593,"n.a."),IF(AND(J593&gt;0,J593&lt;K593),D593-J593,"n.a.")))</x:f>
        <x:v>n.a.</x:v>
      </x:c>
      <x:c r="P593" s="19" t="str">
        <x:f>IF(AND(B593="Butterfly",J593&gt;0,J593&lt;K593),L593/J593,"n.a.")</x:f>
        <x:v>n.a.</x:v>
      </x:c>
      <x:c r="Q593" s="11" t="n">
        <x:f>J593*'Model inputs'!$B$8</x:f>
        <x:v>20237.999999999964</x:v>
      </x:c>
      <x:c r="R593" s="1" t="str">
        <x:v>Outside standard debit bounds</x:v>
      </x:c>
      <x:c r="S593" s="1" t="n">
        <x:v>33</x:v>
      </x:c>
      <x:c r="T593" s="1" t="n">
        <x:v>52</x:v>
      </x:c>
    </x:row>
    <x:row r="594" ht="21" customHeight="1">
      <x:c r="A594" s="12" t="n">
        <x:v>46273</x:v>
      </x:c>
      <x:c r="B594" s="1" t="str">
        <x:v>Butterfly</x:v>
      </x:c>
      <x:c r="C594" s="1" t="str">
        <x:v>put</x:v>
      </x:c>
      <x:c r="D594" s="11" t="n">
        <x:v>4400</x:v>
      </x:c>
      <x:c r="E594" s="11" t="n">
        <x:v>4600</x:v>
      </x:c>
      <x:c r="F594" s="11" t="n">
        <x:v>4800</x:v>
      </x:c>
      <x:c r="G594" s="11" t="n">
        <x:f>'Option source'!B518</x:f>
        <x:v>1.09</x:v>
      </x:c>
      <x:c r="H594" s="11" t="n">
        <x:f>'Option source'!B537</x:f>
        <x:v>1.45</x:v>
      </x:c>
      <x:c r="I594" s="11" t="n">
        <x:f>'Option source'!B556</x:f>
        <x:v>1.68</x:v>
      </x:c>
      <x:c r="J594" s="11" t="n">
        <x:f>G594-2*H594+IF(B594="Butterfly",I594,0)</x:f>
        <x:v>-0.1299999999999999</x:v>
      </x:c>
      <x:c r="K594" s="11" t="n">
        <x:f>ABS(E594-D594)</x:f>
        <x:v>200</x:v>
      </x:c>
      <x:c r="L594" s="11" t="n">
        <x:f>K594-J594</x:f>
        <x:v>200.13</x:v>
      </x:c>
      <x:c r="M594" s="11" t="n">
        <x:f>IF(B594="Butterfly",MAX(J594,0),IF(C594="call","Unlimited",MAX(2*E594-D594+J594,J594,0)))</x:f>
        <x:v>0</x:v>
      </x:c>
      <x:c r="N594" s="11" t="str">
        <x:f>IF(B594="Butterfly",IF(AND(J594&gt;0,J594&lt;K594),D594+J594,"n.a."),IF(C594="call",IF(AND(J594&gt;0,J594&lt;K594),D594+J594,"n.a."),IF(AND(K594&gt;J594,2*E594-D594+J594&gt;=0),2*E594-D594+J594,"n.a.")))</x:f>
        <x:v>n.a.</x:v>
      </x:c>
      <x:c r="O594" s="11" t="str">
        <x:f>IF(B594="Butterfly",IF(AND(J594&gt;0,J594&lt;K594),F594-J594,"n.a."),IF(C594="call",IF(K594&gt;J594,2*E594-D594-J594,"n.a."),IF(AND(J594&gt;0,J594&lt;K594),D594-J594,"n.a.")))</x:f>
        <x:v>n.a.</x:v>
      </x:c>
      <x:c r="P594" s="19" t="str">
        <x:f>IF(AND(B594="Butterfly",J594&gt;0,J594&lt;K594),L594/J594,"n.a.")</x:f>
        <x:v>n.a.</x:v>
      </x:c>
      <x:c r="Q594" s="11" t="n">
        <x:f>J594*'Model inputs'!$B$8</x:f>
        <x:v>-12.99999999999999</x:v>
      </x:c>
      <x:c r="R594" s="1" t="str">
        <x:v>Outside standard debit bounds</x:v>
      </x:c>
      <x:c r="S594" s="1" t="n">
        <x:v>513</x:v>
      </x:c>
      <x:c r="T594" s="1" t="n">
        <x:v>532</x:v>
      </x:c>
    </x:row>
    <x:row r="595" ht="21" customHeight="1">
      <x:c r="A595" s="12" t="n">
        <x:v>46273</x:v>
      </x:c>
      <x:c r="B595" s="1" t="str">
        <x:v>Butterfly</x:v>
      </x:c>
      <x:c r="C595" s="1" t="str">
        <x:v>call</x:v>
      </x:c>
      <x:c r="D595" s="11" t="n">
        <x:v>4200</x:v>
      </x:c>
      <x:c r="E595" s="11" t="n">
        <x:v>4400</x:v>
      </x:c>
      <x:c r="F595" s="11" t="n">
        <x:v>4600</x:v>
      </x:c>
      <x:c r="G595" s="11" t="n">
        <x:f>'Option source'!B19</x:f>
        <x:v>2845.62</x:v>
      </x:c>
      <x:c r="H595" s="11" t="n">
        <x:f>'Option source'!B38</x:f>
        <x:v>2762.2</x:v>
      </x:c>
      <x:c r="I595" s="11" t="n">
        <x:f>'Option source'!B57</x:f>
        <x:v>2453.9</x:v>
      </x:c>
      <x:c r="J595" s="11" t="n">
        <x:f>G595-2*H595+IF(B595="Butterfly",I595,0)</x:f>
        <x:v>-224.87999999999965</x:v>
      </x:c>
      <x:c r="K595" s="11" t="n">
        <x:f>ABS(E595-D595)</x:f>
        <x:v>200</x:v>
      </x:c>
      <x:c r="L595" s="11" t="n">
        <x:f>K595-J595</x:f>
        <x:v>424.87999999999965</x:v>
      </x:c>
      <x:c r="M595" s="11" t="n">
        <x:f>IF(B595="Butterfly",MAX(J595,0),IF(C595="call","Unlimited",MAX(2*E595-D595+J595,J595,0)))</x:f>
        <x:v>0</x:v>
      </x:c>
      <x:c r="N595" s="11" t="str">
        <x:f>IF(B595="Butterfly",IF(AND(J595&gt;0,J595&lt;K595),D595+J595,"n.a."),IF(C595="call",IF(AND(J595&gt;0,J595&lt;K595),D595+J595,"n.a."),IF(AND(K595&gt;J595,2*E595-D595+J595&gt;=0),2*E595-D595+J595,"n.a.")))</x:f>
        <x:v>n.a.</x:v>
      </x:c>
      <x:c r="O595" s="11" t="str">
        <x:f>IF(B595="Butterfly",IF(AND(J595&gt;0,J595&lt;K595),F595-J595,"n.a."),IF(C595="call",IF(K595&gt;J595,2*E595-D595-J595,"n.a."),IF(AND(J595&gt;0,J595&lt;K595),D595-J595,"n.a.")))</x:f>
        <x:v>n.a.</x:v>
      </x:c>
      <x:c r="P595" s="19" t="str">
        <x:f>IF(AND(B595="Butterfly",J595&gt;0,J595&lt;K595),L595/J595,"n.a.")</x:f>
        <x:v>n.a.</x:v>
      </x:c>
      <x:c r="Q595" s="11" t="n">
        <x:f>J595*'Model inputs'!$B$8</x:f>
        <x:v>-22487.999999999964</x:v>
      </x:c>
      <x:c r="R595" s="1" t="str">
        <x:v>Outside standard debit bounds</x:v>
      </x:c>
      <x:c r="S595" s="1" t="n">
        <x:v>14</x:v>
      </x:c>
      <x:c r="T595" s="1" t="n">
        <x:v>33</x:v>
      </x:c>
    </x:row>
    <x:row r="596" ht="21" customHeight="1">
      <x:c r="A596" s="12" t="n">
        <x:v>46273</x:v>
      </x:c>
      <x:c r="B596" s="1" t="str">
        <x:v>1x2 ratio</x:v>
      </x:c>
      <x:c r="C596" s="1" t="str">
        <x:v>call</x:v>
      </x:c>
      <x:c r="D596" s="11" t="n">
        <x:v>6800</x:v>
      </x:c>
      <x:c r="E596" s="11" t="n">
        <x:v>7000</x:v>
      </x:c>
      <x:c r="F596" s="11"/>
      <x:c r="G596" s="11" t="n">
        <x:f>'Option source'!B252</x:f>
        <x:v>595.26</x:v>
      </x:c>
      <x:c r="H596" s="11" t="n">
        <x:f>'Option source'!B271</x:f>
        <x:v>485.45</x:v>
      </x:c>
      <x:c r="I596" s="11"/>
      <x:c r="J596" s="11" t="n">
        <x:f>G596-2*H596+IF(B596="Butterfly",I596,0)</x:f>
        <x:v>-375.64</x:v>
      </x:c>
      <x:c r="K596" s="11" t="n">
        <x:f>ABS(E596-D596)</x:f>
        <x:v>200</x:v>
      </x:c>
      <x:c r="L596" s="11" t="n">
        <x:f>K596-J596</x:f>
        <x:v>575.64</x:v>
      </x:c>
      <x:c r="M596" s="11" t="str">
        <x:f>IF(B596="Butterfly",MAX(J596,0),IF(C596="call","Unlimited",MAX(2*E596-D596+J596,J596,0)))</x:f>
        <x:v>Unlimited</x:v>
      </x:c>
      <x:c r="N596" s="11" t="str">
        <x:f>IF(B596="Butterfly",IF(AND(J596&gt;0,J596&lt;K596),D596+J596,"n.a."),IF(C596="call",IF(AND(J596&gt;0,J596&lt;K596),D596+J596,"n.a."),IF(AND(K596&gt;J596,2*E596-D596+J596&gt;=0),2*E596-D596+J596,"n.a.")))</x:f>
        <x:v>n.a.</x:v>
      </x:c>
      <x:c r="O596" s="11" t="n">
        <x:f>IF(B596="Butterfly",IF(AND(J596&gt;0,J596&lt;K596),F596-J596,"n.a."),IF(C596="call",IF(K596&gt;J596,2*E596-D596-J596,"n.a."),IF(AND(J596&gt;0,J596&lt;K596),D596-J596,"n.a.")))</x:f>
        <x:v>7575.64</x:v>
      </x:c>
      <x:c r="P596" s="19" t="str">
        <x:f>IF(AND(B596="Butterfly",J596&gt;0,J596&lt;K596),L596/J596,"n.a.")</x:f>
        <x:v>n.a.</x:v>
      </x:c>
      <x:c r="Q596" s="11" t="n">
        <x:f>J596*'Model inputs'!$B$8</x:f>
        <x:v>-37564</x:v>
      </x:c>
      <x:c r="R596" s="1" t="str">
        <x:v>Indicative only</x:v>
      </x:c>
      <x:c r="S596" s="1" t="n">
        <x:v>247</x:v>
      </x:c>
      <x:c r="T596" s="1" t="n">
        <x:v>266</x:v>
      </x:c>
    </x:row>
    <x:row r="597" ht="21" customHeight="1">
      <x:c r="A597" s="12" t="n">
        <x:v>46273</x:v>
      </x:c>
      <x:c r="B597" s="1" t="str">
        <x:v>1x2 ratio</x:v>
      </x:c>
      <x:c r="C597" s="1" t="str">
        <x:v>put</x:v>
      </x:c>
      <x:c r="D597" s="11" t="n">
        <x:v>7200</x:v>
      </x:c>
      <x:c r="E597" s="11" t="n">
        <x:v>7000</x:v>
      </x:c>
      <x:c r="F597" s="11"/>
      <x:c r="G597" s="11" t="n">
        <x:f>'Option source'!B784</x:f>
        <x:v>419.99</x:v>
      </x:c>
      <x:c r="H597" s="11" t="n">
        <x:f>'Option source'!B765</x:f>
        <x:v>317.07</x:v>
      </x:c>
      <x:c r="I597" s="11"/>
      <x:c r="J597" s="11" t="n">
        <x:f>G597-2*H597+IF(B597="Butterfly",I597,0)</x:f>
        <x:v>-214.14999999999998</x:v>
      </x:c>
      <x:c r="K597" s="11" t="n">
        <x:f>ABS(E597-D597)</x:f>
        <x:v>200</x:v>
      </x:c>
      <x:c r="L597" s="11" t="n">
        <x:f>K597-J597</x:f>
        <x:v>414.15</x:v>
      </x:c>
      <x:c r="M597" s="11" t="n">
        <x:f>IF(B597="Butterfly",MAX(J597,0),IF(C597="call","Unlimited",MAX(2*E597-D597+J597,J597,0)))</x:f>
        <x:v>6585.85</x:v>
      </x:c>
      <x:c r="N597" s="11" t="n">
        <x:f>IF(B597="Butterfly",IF(AND(J597&gt;0,J597&lt;K597),D597+J597,"n.a."),IF(C597="call",IF(AND(J597&gt;0,J597&lt;K597),D597+J597,"n.a."),IF(AND(K597&gt;J597,2*E597-D597+J597&gt;=0),2*E597-D597+J597,"n.a.")))</x:f>
        <x:v>6585.85</x:v>
      </x:c>
      <x:c r="O597" s="11" t="str">
        <x:f>IF(B597="Butterfly",IF(AND(J597&gt;0,J597&lt;K597),F597-J597,"n.a."),IF(C597="call",IF(K597&gt;J597,2*E597-D597-J597,"n.a."),IF(AND(J597&gt;0,J597&lt;K597),D597-J597,"n.a.")))</x:f>
        <x:v>n.a.</x:v>
      </x:c>
      <x:c r="P597" s="19" t="str">
        <x:f>IF(AND(B597="Butterfly",J597&gt;0,J597&lt;K597),L597/J597,"n.a.")</x:f>
        <x:v>n.a.</x:v>
      </x:c>
      <x:c r="Q597" s="11" t="n">
        <x:f>J597*'Model inputs'!$B$8</x:f>
        <x:v>-21414.999999999996</x:v>
      </x:c>
      <x:c r="R597" s="1" t="str">
        <x:v>Indicative only</x:v>
      </x:c>
      <x:c r="S597" s="1" t="n">
        <x:v>779</x:v>
      </x:c>
      <x:c r="T597" s="1" t="n">
        <x:v>760</x:v>
      </x:c>
    </x:row>
    <x:row r="598" ht="21" customHeight="1">
      <x:c r="A598" s="12" t="n">
        <x:v>46273</x:v>
      </x:c>
      <x:c r="B598" s="1" t="str">
        <x:v>1x2 ratio</x:v>
      </x:c>
      <x:c r="C598" s="1" t="str">
        <x:v>call</x:v>
      </x:c>
      <x:c r="D598" s="11" t="n">
        <x:v>7000</x:v>
      </x:c>
      <x:c r="E598" s="11" t="n">
        <x:v>7200</x:v>
      </x:c>
      <x:c r="F598" s="11"/>
      <x:c r="G598" s="11" t="n">
        <x:f>'Option source'!B271</x:f>
        <x:v>485.45</x:v>
      </x:c>
      <x:c r="H598" s="11" t="n">
        <x:f>'Option source'!B290</x:f>
        <x:v>385.82</x:v>
      </x:c>
      <x:c r="I598" s="11"/>
      <x:c r="J598" s="11" t="n">
        <x:f>G598-2*H598+IF(B598="Butterfly",I598,0)</x:f>
        <x:v>-286.19</x:v>
      </x:c>
      <x:c r="K598" s="11" t="n">
        <x:f>ABS(E598-D598)</x:f>
        <x:v>200</x:v>
      </x:c>
      <x:c r="L598" s="11" t="n">
        <x:f>K598-J598</x:f>
        <x:v>486.19</x:v>
      </x:c>
      <x:c r="M598" s="11" t="str">
        <x:f>IF(B598="Butterfly",MAX(J598,0),IF(C598="call","Unlimited",MAX(2*E598-D598+J598,J598,0)))</x:f>
        <x:v>Unlimited</x:v>
      </x:c>
      <x:c r="N598" s="11" t="str">
        <x:f>IF(B598="Butterfly",IF(AND(J598&gt;0,J598&lt;K598),D598+J598,"n.a."),IF(C598="call",IF(AND(J598&gt;0,J598&lt;K598),D598+J598,"n.a."),IF(AND(K598&gt;J598,2*E598-D598+J598&gt;=0),2*E598-D598+J598,"n.a.")))</x:f>
        <x:v>n.a.</x:v>
      </x:c>
      <x:c r="O598" s="11" t="n">
        <x:f>IF(B598="Butterfly",IF(AND(J598&gt;0,J598&lt;K598),F598-J598,"n.a."),IF(C598="call",IF(K598&gt;J598,2*E598-D598-J598,"n.a."),IF(AND(J598&gt;0,J598&lt;K598),D598-J598,"n.a.")))</x:f>
        <x:v>7686.19</x:v>
      </x:c>
      <x:c r="P598" s="19" t="str">
        <x:f>IF(AND(B598="Butterfly",J598&gt;0,J598&lt;K598),L598/J598,"n.a.")</x:f>
        <x:v>n.a.</x:v>
      </x:c>
      <x:c r="Q598" s="11" t="n">
        <x:f>J598*'Model inputs'!$B$8</x:f>
        <x:v>-28619</x:v>
      </x:c>
      <x:c r="R598" s="1" t="str">
        <x:v>Indicative only</x:v>
      </x:c>
      <x:c r="S598" s="1" t="n">
        <x:v>266</x:v>
      </x:c>
      <x:c r="T598" s="1" t="n">
        <x:v>285</x:v>
      </x:c>
    </x:row>
    <x:row r="599" ht="21" customHeight="1">
      <x:c r="A599" s="12" t="n">
        <x:v>46273</x:v>
      </x:c>
      <x:c r="B599" s="1" t="str">
        <x:v>1x2 ratio</x:v>
      </x:c>
      <x:c r="C599" s="1" t="str">
        <x:v>put</x:v>
      </x:c>
      <x:c r="D599" s="11" t="n">
        <x:v>7400</x:v>
      </x:c>
      <x:c r="E599" s="11" t="n">
        <x:v>7200</x:v>
      </x:c>
      <x:c r="F599" s="11"/>
      <x:c r="G599" s="11" t="n">
        <x:f>'Option source'!B803</x:f>
        <x:v>535.47</x:v>
      </x:c>
      <x:c r="H599" s="11" t="n">
        <x:f>'Option source'!B784</x:f>
        <x:v>419.99</x:v>
      </x:c>
      <x:c r="I599" s="11"/>
      <x:c r="J599" s="11" t="n">
        <x:f>G599-2*H599+IF(B599="Butterfly",I599,0)</x:f>
        <x:v>-304.51</x:v>
      </x:c>
      <x:c r="K599" s="11" t="n">
        <x:f>ABS(E599-D599)</x:f>
        <x:v>200</x:v>
      </x:c>
      <x:c r="L599" s="11" t="n">
        <x:f>K599-J599</x:f>
        <x:v>504.51</x:v>
      </x:c>
      <x:c r="M599" s="11" t="n">
        <x:f>IF(B599="Butterfly",MAX(J599,0),IF(C599="call","Unlimited",MAX(2*E599-D599+J599,J599,0)))</x:f>
        <x:v>6695.49</x:v>
      </x:c>
      <x:c r="N599" s="11" t="n">
        <x:f>IF(B599="Butterfly",IF(AND(J599&gt;0,J599&lt;K599),D599+J599,"n.a."),IF(C599="call",IF(AND(J599&gt;0,J599&lt;K599),D599+J599,"n.a."),IF(AND(K599&gt;J599,2*E599-D599+J599&gt;=0),2*E599-D599+J599,"n.a.")))</x:f>
        <x:v>6695.49</x:v>
      </x:c>
      <x:c r="O599" s="11" t="str">
        <x:f>IF(B599="Butterfly",IF(AND(J599&gt;0,J599&lt;K599),F599-J599,"n.a."),IF(C599="call",IF(K599&gt;J599,2*E599-D599-J599,"n.a."),IF(AND(J599&gt;0,J599&lt;K599),D599-J599,"n.a.")))</x:f>
        <x:v>n.a.</x:v>
      </x:c>
      <x:c r="P599" s="19" t="str">
        <x:f>IF(AND(B599="Butterfly",J599&gt;0,J599&lt;K599),L599/J599,"n.a.")</x:f>
        <x:v>n.a.</x:v>
      </x:c>
      <x:c r="Q599" s="11" t="n">
        <x:f>J599*'Model inputs'!$B$8</x:f>
        <x:v>-30451</x:v>
      </x:c>
      <x:c r="R599" s="1" t="str">
        <x:v>Indicative only</x:v>
      </x:c>
      <x:c r="S599" s="1" t="n">
        <x:v>798</x:v>
      </x:c>
      <x:c r="T599" s="1" t="n">
        <x:v>779</x:v>
      </x:c>
    </x:row>
    <x:row r="600" ht="21" customHeight="1">
      <x:c r="A600" s="12" t="n">
        <x:v>46273</x:v>
      </x:c>
      <x:c r="B600" s="1" t="str">
        <x:v>1x2 ratio</x:v>
      </x:c>
      <x:c r="C600" s="1" t="str">
        <x:v>call</x:v>
      </x:c>
      <x:c r="D600" s="11" t="n">
        <x:v>6600</x:v>
      </x:c>
      <x:c r="E600" s="11" t="n">
        <x:v>6800</x:v>
      </x:c>
      <x:c r="F600" s="11"/>
      <x:c r="G600" s="11" t="n">
        <x:f>'Option source'!B233</x:f>
        <x:v>731.04</x:v>
      </x:c>
      <x:c r="H600" s="11" t="n">
        <x:f>'Option source'!B252</x:f>
        <x:v>595.26</x:v>
      </x:c>
      <x:c r="I600" s="11"/>
      <x:c r="J600" s="11" t="n">
        <x:f>G600-2*H600+IF(B600="Butterfly",I600,0)</x:f>
        <x:v>-459.48</x:v>
      </x:c>
      <x:c r="K600" s="11" t="n">
        <x:f>ABS(E600-D600)</x:f>
        <x:v>200</x:v>
      </x:c>
      <x:c r="L600" s="11" t="n">
        <x:f>K600-J600</x:f>
        <x:v>659.48</x:v>
      </x:c>
      <x:c r="M600" s="11" t="str">
        <x:f>IF(B600="Butterfly",MAX(J600,0),IF(C600="call","Unlimited",MAX(2*E600-D600+J600,J600,0)))</x:f>
        <x:v>Unlimited</x:v>
      </x:c>
      <x:c r="N600" s="11" t="str">
        <x:f>IF(B600="Butterfly",IF(AND(J600&gt;0,J600&lt;K600),D600+J600,"n.a."),IF(C600="call",IF(AND(J600&gt;0,J600&lt;K600),D600+J600,"n.a."),IF(AND(K600&gt;J600,2*E600-D600+J600&gt;=0),2*E600-D600+J600,"n.a.")))</x:f>
        <x:v>n.a.</x:v>
      </x:c>
      <x:c r="O600" s="11" t="n">
        <x:f>IF(B600="Butterfly",IF(AND(J600&gt;0,J600&lt;K600),F600-J600,"n.a."),IF(C600="call",IF(K600&gt;J600,2*E600-D600-J600,"n.a."),IF(AND(J600&gt;0,J600&lt;K600),D600-J600,"n.a.")))</x:f>
        <x:v>7459.48</x:v>
      </x:c>
      <x:c r="P600" s="19" t="str">
        <x:f>IF(AND(B600="Butterfly",J600&gt;0,J600&lt;K600),L600/J600,"n.a.")</x:f>
        <x:v>n.a.</x:v>
      </x:c>
      <x:c r="Q600" s="11" t="n">
        <x:f>J600*'Model inputs'!$B$8</x:f>
        <x:v>-45948</x:v>
      </x:c>
      <x:c r="R600" s="1" t="str">
        <x:v>Indicative only</x:v>
      </x:c>
      <x:c r="S600" s="1" t="n">
        <x:v>228</x:v>
      </x:c>
      <x:c r="T600" s="1" t="n">
        <x:v>247</x:v>
      </x:c>
    </x:row>
    <x:row r="601" ht="21" customHeight="1">
      <x:c r="A601" s="12" t="n">
        <x:v>46273</x:v>
      </x:c>
      <x:c r="B601" s="1" t="str">
        <x:v>1x2 ratio</x:v>
      </x:c>
      <x:c r="C601" s="1" t="str">
        <x:v>put</x:v>
      </x:c>
      <x:c r="D601" s="11" t="n">
        <x:v>7000</x:v>
      </x:c>
      <x:c r="E601" s="11" t="n">
        <x:v>6800</x:v>
      </x:c>
      <x:c r="F601" s="11"/>
      <x:c r="G601" s="11" t="n">
        <x:f>'Option source'!B765</x:f>
        <x:v>317.07</x:v>
      </x:c>
      <x:c r="H601" s="11" t="n">
        <x:f>'Option source'!B746</x:f>
        <x:v>224.24</x:v>
      </x:c>
      <x:c r="I601" s="11"/>
      <x:c r="J601" s="11" t="n">
        <x:f>G601-2*H601+IF(B601="Butterfly",I601,0)</x:f>
        <x:v>-131.41000000000003</x:v>
      </x:c>
      <x:c r="K601" s="11" t="n">
        <x:f>ABS(E601-D601)</x:f>
        <x:v>200</x:v>
      </x:c>
      <x:c r="L601" s="11" t="n">
        <x:f>K601-J601</x:f>
        <x:v>331.41</x:v>
      </x:c>
      <x:c r="M601" s="11" t="n">
        <x:f>IF(B601="Butterfly",MAX(J601,0),IF(C601="call","Unlimited",MAX(2*E601-D601+J601,J601,0)))</x:f>
        <x:v>6468.59</x:v>
      </x:c>
      <x:c r="N601" s="11" t="n">
        <x:f>IF(B601="Butterfly",IF(AND(J601&gt;0,J601&lt;K601),D601+J601,"n.a."),IF(C601="call",IF(AND(J601&gt;0,J601&lt;K601),D601+J601,"n.a."),IF(AND(K601&gt;J601,2*E601-D601+J601&gt;=0),2*E601-D601+J601,"n.a.")))</x:f>
        <x:v>6468.59</x:v>
      </x:c>
      <x:c r="O601" s="11" t="str">
        <x:f>IF(B601="Butterfly",IF(AND(J601&gt;0,J601&lt;K601),F601-J601,"n.a."),IF(C601="call",IF(K601&gt;J601,2*E601-D601-J601,"n.a."),IF(AND(J601&gt;0,J601&lt;K601),D601-J601,"n.a.")))</x:f>
        <x:v>n.a.</x:v>
      </x:c>
      <x:c r="P601" s="19" t="str">
        <x:f>IF(AND(B601="Butterfly",J601&gt;0,J601&lt;K601),L601/J601,"n.a.")</x:f>
        <x:v>n.a.</x:v>
      </x:c>
      <x:c r="Q601" s="11" t="n">
        <x:f>J601*'Model inputs'!$B$8</x:f>
        <x:v>-13141.000000000002</x:v>
      </x:c>
      <x:c r="R601" s="1" t="str">
        <x:v>Indicative only</x:v>
      </x:c>
      <x:c r="S601" s="1" t="n">
        <x:v>760</x:v>
      </x:c>
      <x:c r="T601" s="1" t="n">
        <x:v>741</x:v>
      </x:c>
    </x:row>
    <x:row r="602" ht="21" customHeight="1">
      <x:c r="A602" s="12" t="n">
        <x:v>46273</x:v>
      </x:c>
      <x:c r="B602" s="1" t="str">
        <x:v>1x2 ratio</x:v>
      </x:c>
      <x:c r="C602" s="1" t="str">
        <x:v>call</x:v>
      </x:c>
      <x:c r="D602" s="11" t="n">
        <x:v>7200</x:v>
      </x:c>
      <x:c r="E602" s="11" t="n">
        <x:v>7400</x:v>
      </x:c>
      <x:c r="F602" s="11"/>
      <x:c r="G602" s="11" t="n">
        <x:f>'Option source'!B290</x:f>
        <x:v>385.82</x:v>
      </x:c>
      <x:c r="H602" s="11" t="n">
        <x:f>'Option source'!B309</x:f>
        <x:v>298.68</x:v>
      </x:c>
      <x:c r="I602" s="11"/>
      <x:c r="J602" s="11" t="n">
        <x:f>G602-2*H602+IF(B602="Butterfly",I602,0)</x:f>
        <x:v>-211.54000000000002</x:v>
      </x:c>
      <x:c r="K602" s="11" t="n">
        <x:f>ABS(E602-D602)</x:f>
        <x:v>200</x:v>
      </x:c>
      <x:c r="L602" s="11" t="n">
        <x:f>K602-J602</x:f>
        <x:v>411.54</x:v>
      </x:c>
      <x:c r="M602" s="11" t="str">
        <x:f>IF(B602="Butterfly",MAX(J602,0),IF(C602="call","Unlimited",MAX(2*E602-D602+J602,J602,0)))</x:f>
        <x:v>Unlimited</x:v>
      </x:c>
      <x:c r="N602" s="11" t="str">
        <x:f>IF(B602="Butterfly",IF(AND(J602&gt;0,J602&lt;K602),D602+J602,"n.a."),IF(C602="call",IF(AND(J602&gt;0,J602&lt;K602),D602+J602,"n.a."),IF(AND(K602&gt;J602,2*E602-D602+J602&gt;=0),2*E602-D602+J602,"n.a.")))</x:f>
        <x:v>n.a.</x:v>
      </x:c>
      <x:c r="O602" s="11" t="n">
        <x:f>IF(B602="Butterfly",IF(AND(J602&gt;0,J602&lt;K602),F602-J602,"n.a."),IF(C602="call",IF(K602&gt;J602,2*E602-D602-J602,"n.a."),IF(AND(J602&gt;0,J602&lt;K602),D602-J602,"n.a.")))</x:f>
        <x:v>7811.54</x:v>
      </x:c>
      <x:c r="P602" s="19" t="str">
        <x:f>IF(AND(B602="Butterfly",J602&gt;0,J602&lt;K602),L602/J602,"n.a.")</x:f>
        <x:v>n.a.</x:v>
      </x:c>
      <x:c r="Q602" s="11" t="n">
        <x:f>J602*'Model inputs'!$B$8</x:f>
        <x:v>-21154.000000000004</x:v>
      </x:c>
      <x:c r="R602" s="1" t="str">
        <x:v>Indicative only</x:v>
      </x:c>
      <x:c r="S602" s="1" t="n">
        <x:v>285</x:v>
      </x:c>
      <x:c r="T602" s="1" t="n">
        <x:v>304</x:v>
      </x:c>
    </x:row>
    <x:row r="603" ht="21" customHeight="1">
      <x:c r="A603" s="12" t="n">
        <x:v>46273</x:v>
      </x:c>
      <x:c r="B603" s="1" t="str">
        <x:v>1x2 ratio</x:v>
      </x:c>
      <x:c r="C603" s="1" t="str">
        <x:v>call</x:v>
      </x:c>
      <x:c r="D603" s="11" t="n">
        <x:v>6400</x:v>
      </x:c>
      <x:c r="E603" s="11" t="n">
        <x:v>6600</x:v>
      </x:c>
      <x:c r="F603" s="11"/>
      <x:c r="G603" s="11" t="n">
        <x:f>'Option source'!B214</x:f>
        <x:v>900</x:v>
      </x:c>
      <x:c r="H603" s="11" t="n">
        <x:f>'Option source'!B233</x:f>
        <x:v>731.04</x:v>
      </x:c>
      <x:c r="I603" s="11"/>
      <x:c r="J603" s="11" t="n">
        <x:f>G603-2*H603+IF(B603="Butterfly",I603,0)</x:f>
        <x:v>-562.0799999999999</x:v>
      </x:c>
      <x:c r="K603" s="11" t="n">
        <x:f>ABS(E603-D603)</x:f>
        <x:v>200</x:v>
      </x:c>
      <x:c r="L603" s="11" t="n">
        <x:f>K603-J603</x:f>
        <x:v>762.0799999999999</x:v>
      </x:c>
      <x:c r="M603" s="11" t="str">
        <x:f>IF(B603="Butterfly",MAX(J603,0),IF(C603="call","Unlimited",MAX(2*E603-D603+J603,J603,0)))</x:f>
        <x:v>Unlimited</x:v>
      </x:c>
      <x:c r="N603" s="11" t="str">
        <x:f>IF(B603="Butterfly",IF(AND(J603&gt;0,J603&lt;K603),D603+J603,"n.a."),IF(C603="call",IF(AND(J603&gt;0,J603&lt;K603),D603+J603,"n.a."),IF(AND(K603&gt;J603,2*E603-D603+J603&gt;=0),2*E603-D603+J603,"n.a.")))</x:f>
        <x:v>n.a.</x:v>
      </x:c>
      <x:c r="O603" s="11" t="n">
        <x:f>IF(B603="Butterfly",IF(AND(J603&gt;0,J603&lt;K603),F603-J603,"n.a."),IF(C603="call",IF(K603&gt;J603,2*E603-D603-J603,"n.a."),IF(AND(J603&gt;0,J603&lt;K603),D603-J603,"n.a.")))</x:f>
        <x:v>7362.08</x:v>
      </x:c>
      <x:c r="P603" s="19" t="str">
        <x:f>IF(AND(B603="Butterfly",J603&gt;0,J603&lt;K603),L603/J603,"n.a.")</x:f>
        <x:v>n.a.</x:v>
      </x:c>
      <x:c r="Q603" s="11" t="n">
        <x:f>J603*'Model inputs'!$B$8</x:f>
        <x:v>-56207.99999999999</x:v>
      </x:c>
      <x:c r="R603" s="1" t="str">
        <x:v>Indicative only</x:v>
      </x:c>
      <x:c r="S603" s="1" t="n">
        <x:v>209</x:v>
      </x:c>
      <x:c r="T603" s="1" t="n">
        <x:v>228</x:v>
      </x:c>
    </x:row>
    <x:row r="604" ht="21" customHeight="1">
      <x:c r="A604" s="12" t="n">
        <x:v>46273</x:v>
      </x:c>
      <x:c r="B604" s="1" t="str">
        <x:v>1x2 ratio</x:v>
      </x:c>
      <x:c r="C604" s="1" t="str">
        <x:v>put</x:v>
      </x:c>
      <x:c r="D604" s="11" t="n">
        <x:v>6800</x:v>
      </x:c>
      <x:c r="E604" s="11" t="n">
        <x:v>6600</x:v>
      </x:c>
      <x:c r="F604" s="11"/>
      <x:c r="G604" s="11" t="n">
        <x:f>'Option source'!B746</x:f>
        <x:v>224.24</x:v>
      </x:c>
      <x:c r="H604" s="11" t="n">
        <x:f>'Option source'!B727</x:f>
        <x:v>164.7</x:v>
      </x:c>
      <x:c r="I604" s="11"/>
      <x:c r="J604" s="11" t="n">
        <x:f>G604-2*H604+IF(B604="Butterfly",I604,0)</x:f>
        <x:v>-105.15999999999997</x:v>
      </x:c>
      <x:c r="K604" s="11" t="n">
        <x:f>ABS(E604-D604)</x:f>
        <x:v>200</x:v>
      </x:c>
      <x:c r="L604" s="11" t="n">
        <x:f>K604-J604</x:f>
        <x:v>305.15999999999997</x:v>
      </x:c>
      <x:c r="M604" s="11" t="n">
        <x:f>IF(B604="Butterfly",MAX(J604,0),IF(C604="call","Unlimited",MAX(2*E604-D604+J604,J604,0)))</x:f>
        <x:v>6294.84</x:v>
      </x:c>
      <x:c r="N604" s="11" t="n">
        <x:f>IF(B604="Butterfly",IF(AND(J604&gt;0,J604&lt;K604),D604+J604,"n.a."),IF(C604="call",IF(AND(J604&gt;0,J604&lt;K604),D604+J604,"n.a."),IF(AND(K604&gt;J604,2*E604-D604+J604&gt;=0),2*E604-D604+J604,"n.a.")))</x:f>
        <x:v>6294.84</x:v>
      </x:c>
      <x:c r="O604" s="11" t="str">
        <x:f>IF(B604="Butterfly",IF(AND(J604&gt;0,J604&lt;K604),F604-J604,"n.a."),IF(C604="call",IF(K604&gt;J604,2*E604-D604-J604,"n.a."),IF(AND(J604&gt;0,J604&lt;K604),D604-J604,"n.a.")))</x:f>
        <x:v>n.a.</x:v>
      </x:c>
      <x:c r="P604" s="19" t="str">
        <x:f>IF(AND(B604="Butterfly",J604&gt;0,J604&lt;K604),L604/J604,"n.a.")</x:f>
        <x:v>n.a.</x:v>
      </x:c>
      <x:c r="Q604" s="11" t="n">
        <x:f>J604*'Model inputs'!$B$8</x:f>
        <x:v>-10515.999999999996</x:v>
      </x:c>
      <x:c r="R604" s="1" t="str">
        <x:v>Indicative only</x:v>
      </x:c>
      <x:c r="S604" s="1" t="n">
        <x:v>741</x:v>
      </x:c>
      <x:c r="T604" s="1" t="n">
        <x:v>722</x:v>
      </x:c>
    </x:row>
    <x:row r="605" ht="21" customHeight="1">
      <x:c r="A605" s="12" t="n">
        <x:v>46273</x:v>
      </x:c>
      <x:c r="B605" s="1" t="str">
        <x:v>1x2 ratio</x:v>
      </x:c>
      <x:c r="C605" s="1" t="str">
        <x:v>call</x:v>
      </x:c>
      <x:c r="D605" s="11" t="n">
        <x:v>7400</x:v>
      </x:c>
      <x:c r="E605" s="11" t="n">
        <x:v>7600</x:v>
      </x:c>
      <x:c r="F605" s="11"/>
      <x:c r="G605" s="11" t="n">
        <x:f>'Option source'!B309</x:f>
        <x:v>298.68</x:v>
      </x:c>
      <x:c r="H605" s="11" t="n">
        <x:f>'Option source'!B328</x:f>
        <x:v>227.39</x:v>
      </x:c>
      <x:c r="I605" s="11"/>
      <x:c r="J605" s="11" t="n">
        <x:f>G605-2*H605+IF(B605="Butterfly",I605,0)</x:f>
        <x:v>-156.09999999999997</x:v>
      </x:c>
      <x:c r="K605" s="11" t="n">
        <x:f>ABS(E605-D605)</x:f>
        <x:v>200</x:v>
      </x:c>
      <x:c r="L605" s="11" t="n">
        <x:f>K605-J605</x:f>
        <x:v>356.09999999999997</x:v>
      </x:c>
      <x:c r="M605" s="11" t="str">
        <x:f>IF(B605="Butterfly",MAX(J605,0),IF(C605="call","Unlimited",MAX(2*E605-D605+J605,J605,0)))</x:f>
        <x:v>Unlimited</x:v>
      </x:c>
      <x:c r="N605" s="11" t="str">
        <x:f>IF(B605="Butterfly",IF(AND(J605&gt;0,J605&lt;K605),D605+J605,"n.a."),IF(C605="call",IF(AND(J605&gt;0,J605&lt;K605),D605+J605,"n.a."),IF(AND(K605&gt;J605,2*E605-D605+J605&gt;=0),2*E605-D605+J605,"n.a.")))</x:f>
        <x:v>n.a.</x:v>
      </x:c>
      <x:c r="O605" s="11" t="n">
        <x:f>IF(B605="Butterfly",IF(AND(J605&gt;0,J605&lt;K605),F605-J605,"n.a."),IF(C605="call",IF(K605&gt;J605,2*E605-D605-J605,"n.a."),IF(AND(J605&gt;0,J605&lt;K605),D605-J605,"n.a.")))</x:f>
        <x:v>7956.1</x:v>
      </x:c>
      <x:c r="P605" s="19" t="str">
        <x:f>IF(AND(B605="Butterfly",J605&gt;0,J605&lt;K605),L605/J605,"n.a.")</x:f>
        <x:v>n.a.</x:v>
      </x:c>
      <x:c r="Q605" s="11" t="n">
        <x:f>J605*'Model inputs'!$B$8</x:f>
        <x:v>-15609.999999999996</x:v>
      </x:c>
      <x:c r="R605" s="1" t="str">
        <x:v>Indicative only</x:v>
      </x:c>
      <x:c r="S605" s="1" t="n">
        <x:v>304</x:v>
      </x:c>
      <x:c r="T605" s="1" t="n">
        <x:v>323</x:v>
      </x:c>
    </x:row>
    <x:row r="606" ht="21" customHeight="1">
      <x:c r="A606" s="12" t="n">
        <x:v>46273</x:v>
      </x:c>
      <x:c r="B606" s="1" t="str">
        <x:v>1x2 ratio</x:v>
      </x:c>
      <x:c r="C606" s="1" t="str">
        <x:v>call</x:v>
      </x:c>
      <x:c r="D606" s="11" t="n">
        <x:v>6200</x:v>
      </x:c>
      <x:c r="E606" s="11" t="n">
        <x:v>6400</x:v>
      </x:c>
      <x:c r="F606" s="11"/>
      <x:c r="G606" s="11" t="n">
        <x:f>'Option source'!B195</x:f>
        <x:v>1065</x:v>
      </x:c>
      <x:c r="H606" s="11" t="n">
        <x:f>'Option source'!B214</x:f>
        <x:v>900</x:v>
      </x:c>
      <x:c r="I606" s="11"/>
      <x:c r="J606" s="11" t="n">
        <x:f>G606-2*H606+IF(B606="Butterfly",I606,0)</x:f>
        <x:v>-735</x:v>
      </x:c>
      <x:c r="K606" s="11" t="n">
        <x:f>ABS(E606-D606)</x:f>
        <x:v>200</x:v>
      </x:c>
      <x:c r="L606" s="11" t="n">
        <x:f>K606-J606</x:f>
        <x:v>935</x:v>
      </x:c>
      <x:c r="M606" s="11" t="str">
        <x:f>IF(B606="Butterfly",MAX(J606,0),IF(C606="call","Unlimited",MAX(2*E606-D606+J606,J606,0)))</x:f>
        <x:v>Unlimited</x:v>
      </x:c>
      <x:c r="N606" s="11" t="str">
        <x:f>IF(B606="Butterfly",IF(AND(J606&gt;0,J606&lt;K606),D606+J606,"n.a."),IF(C606="call",IF(AND(J606&gt;0,J606&lt;K606),D606+J606,"n.a."),IF(AND(K606&gt;J606,2*E606-D606+J606&gt;=0),2*E606-D606+J606,"n.a.")))</x:f>
        <x:v>n.a.</x:v>
      </x:c>
      <x:c r="O606" s="11" t="n">
        <x:f>IF(B606="Butterfly",IF(AND(J606&gt;0,J606&lt;K606),F606-J606,"n.a."),IF(C606="call",IF(K606&gt;J606,2*E606-D606-J606,"n.a."),IF(AND(J606&gt;0,J606&lt;K606),D606-J606,"n.a.")))</x:f>
        <x:v>7335</x:v>
      </x:c>
      <x:c r="P606" s="19" t="str">
        <x:f>IF(AND(B606="Butterfly",J606&gt;0,J606&lt;K606),L606/J606,"n.a.")</x:f>
        <x:v>n.a.</x:v>
      </x:c>
      <x:c r="Q606" s="11" t="n">
        <x:f>J606*'Model inputs'!$B$8</x:f>
        <x:v>-73500</x:v>
      </x:c>
      <x:c r="R606" s="1" t="str">
        <x:v>Indicative only</x:v>
      </x:c>
      <x:c r="S606" s="1" t="n">
        <x:v>190</x:v>
      </x:c>
      <x:c r="T606" s="1" t="n">
        <x:v>209</x:v>
      </x:c>
    </x:row>
    <x:row r="607" ht="21" customHeight="1">
      <x:c r="A607" s="12" t="n">
        <x:v>46273</x:v>
      </x:c>
      <x:c r="B607" s="1" t="str">
        <x:v>1x2 ratio</x:v>
      </x:c>
      <x:c r="C607" s="1" t="str">
        <x:v>put</x:v>
      </x:c>
      <x:c r="D607" s="11" t="n">
        <x:v>6600</x:v>
      </x:c>
      <x:c r="E607" s="11" t="n">
        <x:v>6400</x:v>
      </x:c>
      <x:c r="F607" s="11"/>
      <x:c r="G607" s="11" t="n">
        <x:f>'Option source'!B727</x:f>
        <x:v>164.7</x:v>
      </x:c>
      <x:c r="H607" s="11" t="n">
        <x:f>'Option source'!B708</x:f>
        <x:v>109.53</x:v>
      </x:c>
      <x:c r="I607" s="11"/>
      <x:c r="J607" s="11" t="n">
        <x:f>G607-2*H607+IF(B607="Butterfly",I607,0)</x:f>
        <x:v>-54.360000000000014</x:v>
      </x:c>
      <x:c r="K607" s="11" t="n">
        <x:f>ABS(E607-D607)</x:f>
        <x:v>200</x:v>
      </x:c>
      <x:c r="L607" s="11" t="n">
        <x:f>K607-J607</x:f>
        <x:v>254.36</x:v>
      </x:c>
      <x:c r="M607" s="11" t="n">
        <x:f>IF(B607="Butterfly",MAX(J607,0),IF(C607="call","Unlimited",MAX(2*E607-D607+J607,J607,0)))</x:f>
        <x:v>6145.64</x:v>
      </x:c>
      <x:c r="N607" s="11" t="n">
        <x:f>IF(B607="Butterfly",IF(AND(J607&gt;0,J607&lt;K607),D607+J607,"n.a."),IF(C607="call",IF(AND(J607&gt;0,J607&lt;K607),D607+J607,"n.a."),IF(AND(K607&gt;J607,2*E607-D607+J607&gt;=0),2*E607-D607+J607,"n.a.")))</x:f>
        <x:v>6145.64</x:v>
      </x:c>
      <x:c r="O607" s="11" t="str">
        <x:f>IF(B607="Butterfly",IF(AND(J607&gt;0,J607&lt;K607),F607-J607,"n.a."),IF(C607="call",IF(K607&gt;J607,2*E607-D607-J607,"n.a."),IF(AND(J607&gt;0,J607&lt;K607),D607-J607,"n.a.")))</x:f>
        <x:v>n.a.</x:v>
      </x:c>
      <x:c r="P607" s="19" t="str">
        <x:f>IF(AND(B607="Butterfly",J607&gt;0,J607&lt;K607),L607/J607,"n.a.")</x:f>
        <x:v>n.a.</x:v>
      </x:c>
      <x:c r="Q607" s="11" t="n">
        <x:f>J607*'Model inputs'!$B$8</x:f>
        <x:v>-5436.000000000002</x:v>
      </x:c>
      <x:c r="R607" s="1" t="str">
        <x:v>Indicative only</x:v>
      </x:c>
      <x:c r="S607" s="1" t="n">
        <x:v>722</x:v>
      </x:c>
      <x:c r="T607" s="1" t="n">
        <x:v>703</x:v>
      </x:c>
    </x:row>
    <x:row r="608" ht="21" customHeight="1">
      <x:c r="A608" s="12" t="n">
        <x:v>46273</x:v>
      </x:c>
      <x:c r="B608" s="1" t="str">
        <x:v>1x2 ratio</x:v>
      </x:c>
      <x:c r="C608" s="1" t="str">
        <x:v>call</x:v>
      </x:c>
      <x:c r="D608" s="11" t="n">
        <x:v>7600</x:v>
      </x:c>
      <x:c r="E608" s="11" t="n">
        <x:v>7800</x:v>
      </x:c>
      <x:c r="F608" s="11"/>
      <x:c r="G608" s="11" t="n">
        <x:f>'Option source'!B328</x:f>
        <x:v>227.39</x:v>
      </x:c>
      <x:c r="H608" s="11" t="n">
        <x:f>'Option source'!B347</x:f>
        <x:v>174.8</x:v>
      </x:c>
      <x:c r="I608" s="11"/>
      <x:c r="J608" s="11" t="n">
        <x:f>G608-2*H608+IF(B608="Butterfly",I608,0)</x:f>
        <x:v>-122.21000000000004</x:v>
      </x:c>
      <x:c r="K608" s="11" t="n">
        <x:f>ABS(E608-D608)</x:f>
        <x:v>200</x:v>
      </x:c>
      <x:c r="L608" s="11" t="n">
        <x:f>K608-J608</x:f>
        <x:v>322.21000000000004</x:v>
      </x:c>
      <x:c r="M608" s="11" t="str">
        <x:f>IF(B608="Butterfly",MAX(J608,0),IF(C608="call","Unlimited",MAX(2*E608-D608+J608,J608,0)))</x:f>
        <x:v>Unlimited</x:v>
      </x:c>
      <x:c r="N608" s="11" t="str">
        <x:f>IF(B608="Butterfly",IF(AND(J608&gt;0,J608&lt;K608),D608+J608,"n.a."),IF(C608="call",IF(AND(J608&gt;0,J608&lt;K608),D608+J608,"n.a."),IF(AND(K608&gt;J608,2*E608-D608+J608&gt;=0),2*E608-D608+J608,"n.a.")))</x:f>
        <x:v>n.a.</x:v>
      </x:c>
      <x:c r="O608" s="11" t="n">
        <x:f>IF(B608="Butterfly",IF(AND(J608&gt;0,J608&lt;K608),F608-J608,"n.a."),IF(C608="call",IF(K608&gt;J608,2*E608-D608-J608,"n.a."),IF(AND(J608&gt;0,J608&lt;K608),D608-J608,"n.a.")))</x:f>
        <x:v>8122.21</x:v>
      </x:c>
      <x:c r="P608" s="19" t="str">
        <x:f>IF(AND(B608="Butterfly",J608&gt;0,J608&lt;K608),L608/J608,"n.a.")</x:f>
        <x:v>n.a.</x:v>
      </x:c>
      <x:c r="Q608" s="11" t="n">
        <x:f>J608*'Model inputs'!$B$8</x:f>
        <x:v>-12221.000000000004</x:v>
      </x:c>
      <x:c r="R608" s="1" t="str">
        <x:v>Indicative only</x:v>
      </x:c>
      <x:c r="S608" s="1" t="n">
        <x:v>323</x:v>
      </x:c>
      <x:c r="T608" s="1" t="n">
        <x:v>342</x:v>
      </x:c>
    </x:row>
    <x:row r="609" ht="21" customHeight="1">
      <x:c r="A609" s="12" t="n">
        <x:v>46273</x:v>
      </x:c>
      <x:c r="B609" s="1" t="str">
        <x:v>1x2 ratio</x:v>
      </x:c>
      <x:c r="C609" s="1" t="str">
        <x:v>call</x:v>
      </x:c>
      <x:c r="D609" s="11" t="n">
        <x:v>6000</x:v>
      </x:c>
      <x:c r="E609" s="11" t="n">
        <x:v>6200</x:v>
      </x:c>
      <x:c r="F609" s="11"/>
      <x:c r="G609" s="11" t="n">
        <x:f>'Option source'!B176</x:f>
        <x:v>1200</x:v>
      </x:c>
      <x:c r="H609" s="11" t="n">
        <x:f>'Option source'!B195</x:f>
        <x:v>1065</x:v>
      </x:c>
      <x:c r="I609" s="11"/>
      <x:c r="J609" s="11" t="n">
        <x:f>G609-2*H609+IF(B609="Butterfly",I609,0)</x:f>
        <x:v>-930</x:v>
      </x:c>
      <x:c r="K609" s="11" t="n">
        <x:f>ABS(E609-D609)</x:f>
        <x:v>200</x:v>
      </x:c>
      <x:c r="L609" s="11" t="n">
        <x:f>K609-J609</x:f>
        <x:v>1130</x:v>
      </x:c>
      <x:c r="M609" s="11" t="str">
        <x:f>IF(B609="Butterfly",MAX(J609,0),IF(C609="call","Unlimited",MAX(2*E609-D609+J609,J609,0)))</x:f>
        <x:v>Unlimited</x:v>
      </x:c>
      <x:c r="N609" s="11" t="str">
        <x:f>IF(B609="Butterfly",IF(AND(J609&gt;0,J609&lt;K609),D609+J609,"n.a."),IF(C609="call",IF(AND(J609&gt;0,J609&lt;K609),D609+J609,"n.a."),IF(AND(K609&gt;J609,2*E609-D609+J609&gt;=0),2*E609-D609+J609,"n.a.")))</x:f>
        <x:v>n.a.</x:v>
      </x:c>
      <x:c r="O609" s="11" t="n">
        <x:f>IF(B609="Butterfly",IF(AND(J609&gt;0,J609&lt;K609),F609-J609,"n.a."),IF(C609="call",IF(K609&gt;J609,2*E609-D609-J609,"n.a."),IF(AND(J609&gt;0,J609&lt;K609),D609-J609,"n.a.")))</x:f>
        <x:v>7330</x:v>
      </x:c>
      <x:c r="P609" s="19" t="str">
        <x:f>IF(AND(B609="Butterfly",J609&gt;0,J609&lt;K609),L609/J609,"n.a.")</x:f>
        <x:v>n.a.</x:v>
      </x:c>
      <x:c r="Q609" s="11" t="n">
        <x:f>J609*'Model inputs'!$B$8</x:f>
        <x:v>-93000</x:v>
      </x:c>
      <x:c r="R609" s="1" t="str">
        <x:v>Indicative only</x:v>
      </x:c>
      <x:c r="S609" s="1" t="n">
        <x:v>171</x:v>
      </x:c>
      <x:c r="T609" s="1" t="n">
        <x:v>190</x:v>
      </x:c>
    </x:row>
    <x:row r="610" ht="21" customHeight="1">
      <x:c r="A610" s="12" t="n">
        <x:v>46273</x:v>
      </x:c>
      <x:c r="B610" s="1" t="str">
        <x:v>1x2 ratio</x:v>
      </x:c>
      <x:c r="C610" s="1" t="str">
        <x:v>put</x:v>
      </x:c>
      <x:c r="D610" s="11" t="n">
        <x:v>6400</x:v>
      </x:c>
      <x:c r="E610" s="11" t="n">
        <x:v>6200</x:v>
      </x:c>
      <x:c r="F610" s="11"/>
      <x:c r="G610" s="11" t="n">
        <x:f>'Option source'!B708</x:f>
        <x:v>109.53</x:v>
      </x:c>
      <x:c r="H610" s="11" t="n">
        <x:f>'Option source'!B689</x:f>
        <x:v>68.23</x:v>
      </x:c>
      <x:c r="I610" s="11"/>
      <x:c r="J610" s="11" t="n">
        <x:f>G610-2*H610+IF(B610="Butterfly",I610,0)</x:f>
        <x:v>-26.930000000000007</x:v>
      </x:c>
      <x:c r="K610" s="11" t="n">
        <x:f>ABS(E610-D610)</x:f>
        <x:v>200</x:v>
      </x:c>
      <x:c r="L610" s="11" t="n">
        <x:f>K610-J610</x:f>
        <x:v>226.93</x:v>
      </x:c>
      <x:c r="M610" s="11" t="n">
        <x:f>IF(B610="Butterfly",MAX(J610,0),IF(C610="call","Unlimited",MAX(2*E610-D610+J610,J610,0)))</x:f>
        <x:v>5973.07</x:v>
      </x:c>
      <x:c r="N610" s="11" t="n">
        <x:f>IF(B610="Butterfly",IF(AND(J610&gt;0,J610&lt;K610),D610+J610,"n.a."),IF(C610="call",IF(AND(J610&gt;0,J610&lt;K610),D610+J610,"n.a."),IF(AND(K610&gt;J610,2*E610-D610+J610&gt;=0),2*E610-D610+J610,"n.a.")))</x:f>
        <x:v>5973.07</x:v>
      </x:c>
      <x:c r="O610" s="11" t="str">
        <x:f>IF(B610="Butterfly",IF(AND(J610&gt;0,J610&lt;K610),F610-J610,"n.a."),IF(C610="call",IF(K610&gt;J610,2*E610-D610-J610,"n.a."),IF(AND(J610&gt;0,J610&lt;K610),D610-J610,"n.a.")))</x:f>
        <x:v>n.a.</x:v>
      </x:c>
      <x:c r="P610" s="19" t="str">
        <x:f>IF(AND(B610="Butterfly",J610&gt;0,J610&lt;K610),L610/J610,"n.a.")</x:f>
        <x:v>n.a.</x:v>
      </x:c>
      <x:c r="Q610" s="11" t="n">
        <x:f>J610*'Model inputs'!$B$8</x:f>
        <x:v>-2693.000000000001</x:v>
      </x:c>
      <x:c r="R610" s="1" t="str">
        <x:v>Indicative only</x:v>
      </x:c>
      <x:c r="S610" s="1" t="n">
        <x:v>703</x:v>
      </x:c>
      <x:c r="T610" s="1" t="n">
        <x:v>684</x:v>
      </x:c>
    </x:row>
    <x:row r="611" ht="21" customHeight="1">
      <x:c r="A611" s="12" t="n">
        <x:v>46273</x:v>
      </x:c>
      <x:c r="B611" s="1" t="str">
        <x:v>1x2 ratio</x:v>
      </x:c>
      <x:c r="C611" s="1" t="str">
        <x:v>call</x:v>
      </x:c>
      <x:c r="D611" s="11" t="n">
        <x:v>7800</x:v>
      </x:c>
      <x:c r="E611" s="11" t="n">
        <x:v>8000</x:v>
      </x:c>
      <x:c r="F611" s="11"/>
      <x:c r="G611" s="11" t="n">
        <x:f>'Option source'!B347</x:f>
        <x:v>174.8</x:v>
      </x:c>
      <x:c r="H611" s="11" t="n">
        <x:f>'Option source'!B366</x:f>
        <x:v>128.68</x:v>
      </x:c>
      <x:c r="I611" s="11"/>
      <x:c r="J611" s="11" t="n">
        <x:f>G611-2*H611+IF(B611="Butterfly",I611,0)</x:f>
        <x:v>-82.56</x:v>
      </x:c>
      <x:c r="K611" s="11" t="n">
        <x:f>ABS(E611-D611)</x:f>
        <x:v>200</x:v>
      </x:c>
      <x:c r="L611" s="11" t="n">
        <x:f>K611-J611</x:f>
        <x:v>282.56</x:v>
      </x:c>
      <x:c r="M611" s="11" t="str">
        <x:f>IF(B611="Butterfly",MAX(J611,0),IF(C611="call","Unlimited",MAX(2*E611-D611+J611,J611,0)))</x:f>
        <x:v>Unlimited</x:v>
      </x:c>
      <x:c r="N611" s="11" t="str">
        <x:f>IF(B611="Butterfly",IF(AND(J611&gt;0,J611&lt;K611),D611+J611,"n.a."),IF(C611="call",IF(AND(J611&gt;0,J611&lt;K611),D611+J611,"n.a."),IF(AND(K611&gt;J611,2*E611-D611+J611&gt;=0),2*E611-D611+J611,"n.a.")))</x:f>
        <x:v>n.a.</x:v>
      </x:c>
      <x:c r="O611" s="11" t="n">
        <x:f>IF(B611="Butterfly",IF(AND(J611&gt;0,J611&lt;K611),F611-J611,"n.a."),IF(C611="call",IF(K611&gt;J611,2*E611-D611-J611,"n.a."),IF(AND(J611&gt;0,J611&lt;K611),D611-J611,"n.a.")))</x:f>
        <x:v>8282.56</x:v>
      </x:c>
      <x:c r="P611" s="19" t="str">
        <x:f>IF(AND(B611="Butterfly",J611&gt;0,J611&lt;K611),L611/J611,"n.a.")</x:f>
        <x:v>n.a.</x:v>
      </x:c>
      <x:c r="Q611" s="11" t="n">
        <x:f>J611*'Model inputs'!$B$8</x:f>
        <x:v>-8256</x:v>
      </x:c>
      <x:c r="R611" s="1" t="str">
        <x:v>Indicative only</x:v>
      </x:c>
      <x:c r="S611" s="1" t="n">
        <x:v>342</x:v>
      </x:c>
      <x:c r="T611" s="1" t="n">
        <x:v>361</x:v>
      </x:c>
    </x:row>
    <x:row r="612" ht="21" customHeight="1">
      <x:c r="A612" s="12" t="n">
        <x:v>46273</x:v>
      </x:c>
      <x:c r="B612" s="1" t="str">
        <x:v>1x2 ratio</x:v>
      </x:c>
      <x:c r="C612" s="1" t="str">
        <x:v>put</x:v>
      </x:c>
      <x:c r="D612" s="11" t="n">
        <x:v>6200</x:v>
      </x:c>
      <x:c r="E612" s="11" t="n">
        <x:v>6000</x:v>
      </x:c>
      <x:c r="F612" s="11"/>
      <x:c r="G612" s="11" t="n">
        <x:f>'Option source'!B689</x:f>
        <x:v>68.23</x:v>
      </x:c>
      <x:c r="H612" s="11" t="n">
        <x:f>'Option source'!B670</x:f>
        <x:v>42.06</x:v>
      </x:c>
      <x:c r="I612" s="11"/>
      <x:c r="J612" s="11" t="n">
        <x:f>G612-2*H612+IF(B612="Butterfly",I612,0)</x:f>
        <x:v>-15.89</x:v>
      </x:c>
      <x:c r="K612" s="11" t="n">
        <x:f>ABS(E612-D612)</x:f>
        <x:v>200</x:v>
      </x:c>
      <x:c r="L612" s="11" t="n">
        <x:f>K612-J612</x:f>
        <x:v>215.89</x:v>
      </x:c>
      <x:c r="M612" s="11" t="n">
        <x:f>IF(B612="Butterfly",MAX(J612,0),IF(C612="call","Unlimited",MAX(2*E612-D612+J612,J612,0)))</x:f>
        <x:v>5784.11</x:v>
      </x:c>
      <x:c r="N612" s="11" t="n">
        <x:f>IF(B612="Butterfly",IF(AND(J612&gt;0,J612&lt;K612),D612+J612,"n.a."),IF(C612="call",IF(AND(J612&gt;0,J612&lt;K612),D612+J612,"n.a."),IF(AND(K612&gt;J612,2*E612-D612+J612&gt;=0),2*E612-D612+J612,"n.a.")))</x:f>
        <x:v>5784.11</x:v>
      </x:c>
      <x:c r="O612" s="11" t="str">
        <x:f>IF(B612="Butterfly",IF(AND(J612&gt;0,J612&lt;K612),F612-J612,"n.a."),IF(C612="call",IF(K612&gt;J612,2*E612-D612-J612,"n.a."),IF(AND(J612&gt;0,J612&lt;K612),D612-J612,"n.a.")))</x:f>
        <x:v>n.a.</x:v>
      </x:c>
      <x:c r="P612" s="19" t="str">
        <x:f>IF(AND(B612="Butterfly",J612&gt;0,J612&lt;K612),L612/J612,"n.a.")</x:f>
        <x:v>n.a.</x:v>
      </x:c>
      <x:c r="Q612" s="11" t="n">
        <x:f>J612*'Model inputs'!$B$8</x:f>
        <x:v>-1589</x:v>
      </x:c>
      <x:c r="R612" s="1" t="str">
        <x:v>Indicative only</x:v>
      </x:c>
      <x:c r="S612" s="1" t="n">
        <x:v>684</x:v>
      </x:c>
      <x:c r="T612" s="1" t="n">
        <x:v>665</x:v>
      </x:c>
    </x:row>
    <x:row r="613" ht="21" customHeight="1">
      <x:c r="A613" s="12" t="n">
        <x:v>46273</x:v>
      </x:c>
      <x:c r="B613" s="1" t="str">
        <x:v>1x2 ratio</x:v>
      </x:c>
      <x:c r="C613" s="1" t="str">
        <x:v>put</x:v>
      </x:c>
      <x:c r="D613" s="11" t="n">
        <x:v>6000</x:v>
      </x:c>
      <x:c r="E613" s="11" t="n">
        <x:v>5800</x:v>
      </x:c>
      <x:c r="F613" s="11"/>
      <x:c r="G613" s="11" t="n">
        <x:f>'Option source'!B670</x:f>
        <x:v>42.06</x:v>
      </x:c>
      <x:c r="H613" s="11" t="n">
        <x:f>'Option source'!B651</x:f>
        <x:v>23.9</x:v>
      </x:c>
      <x:c r="I613" s="11"/>
      <x:c r="J613" s="11" t="n">
        <x:f>G613-2*H613+IF(B613="Butterfly",I613,0)</x:f>
        <x:v>-5.739999999999995</x:v>
      </x:c>
      <x:c r="K613" s="11" t="n">
        <x:f>ABS(E613-D613)</x:f>
        <x:v>200</x:v>
      </x:c>
      <x:c r="L613" s="11" t="n">
        <x:f>K613-J613</x:f>
        <x:v>205.74</x:v>
      </x:c>
      <x:c r="M613" s="11" t="n">
        <x:f>IF(B613="Butterfly",MAX(J613,0),IF(C613="call","Unlimited",MAX(2*E613-D613+J613,J613,0)))</x:f>
        <x:v>5594.26</x:v>
      </x:c>
      <x:c r="N613" s="11" t="n">
        <x:f>IF(B613="Butterfly",IF(AND(J613&gt;0,J613&lt;K613),D613+J613,"n.a."),IF(C613="call",IF(AND(J613&gt;0,J613&lt;K613),D613+J613,"n.a."),IF(AND(K613&gt;J613,2*E613-D613+J613&gt;=0),2*E613-D613+J613,"n.a.")))</x:f>
        <x:v>5594.26</x:v>
      </x:c>
      <x:c r="O613" s="11" t="str">
        <x:f>IF(B613="Butterfly",IF(AND(J613&gt;0,J613&lt;K613),F613-J613,"n.a."),IF(C613="call",IF(K613&gt;J613,2*E613-D613-J613,"n.a."),IF(AND(J613&gt;0,J613&lt;K613),D613-J613,"n.a.")))</x:f>
        <x:v>n.a.</x:v>
      </x:c>
      <x:c r="P613" s="19" t="str">
        <x:f>IF(AND(B613="Butterfly",J613&gt;0,J613&lt;K613),L613/J613,"n.a.")</x:f>
        <x:v>n.a.</x:v>
      </x:c>
      <x:c r="Q613" s="11" t="n">
        <x:f>J613*'Model inputs'!$B$8</x:f>
        <x:v>-573.9999999999995</x:v>
      </x:c>
      <x:c r="R613" s="1" t="str">
        <x:v>Indicative only</x:v>
      </x:c>
      <x:c r="S613" s="1" t="n">
        <x:v>665</x:v>
      </x:c>
      <x:c r="T613" s="1" t="n">
        <x:v>646</x:v>
      </x:c>
    </x:row>
    <x:row r="614" ht="21" customHeight="1">
      <x:c r="A614" s="12" t="n">
        <x:v>46273</x:v>
      </x:c>
      <x:c r="B614" s="1" t="str">
        <x:v>1x2 ratio</x:v>
      </x:c>
      <x:c r="C614" s="1" t="str">
        <x:v>call</x:v>
      </x:c>
      <x:c r="D614" s="11" t="n">
        <x:v>8000</x:v>
      </x:c>
      <x:c r="E614" s="11" t="n">
        <x:v>8300</x:v>
      </x:c>
      <x:c r="F614" s="11"/>
      <x:c r="G614" s="11" t="n">
        <x:f>'Option source'!B366</x:f>
        <x:v>128.68</x:v>
      </x:c>
      <x:c r="H614" s="11" t="n">
        <x:f>'Option source'!B385</x:f>
        <x:v>81.94</x:v>
      </x:c>
      <x:c r="I614" s="11"/>
      <x:c r="J614" s="11" t="n">
        <x:f>G614-2*H614+IF(B614="Butterfly",I614,0)</x:f>
        <x:v>-35.19999999999999</x:v>
      </x:c>
      <x:c r="K614" s="11" t="n">
        <x:f>ABS(E614-D614)</x:f>
        <x:v>300</x:v>
      </x:c>
      <x:c r="L614" s="11" t="n">
        <x:f>K614-J614</x:f>
        <x:v>335.2</x:v>
      </x:c>
      <x:c r="M614" s="11" t="str">
        <x:f>IF(B614="Butterfly",MAX(J614,0),IF(C614="call","Unlimited",MAX(2*E614-D614+J614,J614,0)))</x:f>
        <x:v>Unlimited</x:v>
      </x:c>
      <x:c r="N614" s="11" t="str">
        <x:f>IF(B614="Butterfly",IF(AND(J614&gt;0,J614&lt;K614),D614+J614,"n.a."),IF(C614="call",IF(AND(J614&gt;0,J614&lt;K614),D614+J614,"n.a."),IF(AND(K614&gt;J614,2*E614-D614+J614&gt;=0),2*E614-D614+J614,"n.a.")))</x:f>
        <x:v>n.a.</x:v>
      </x:c>
      <x:c r="O614" s="11" t="n">
        <x:f>IF(B614="Butterfly",IF(AND(J614&gt;0,J614&lt;K614),F614-J614,"n.a."),IF(C614="call",IF(K614&gt;J614,2*E614-D614-J614,"n.a."),IF(AND(J614&gt;0,J614&lt;K614),D614-J614,"n.a.")))</x:f>
        <x:v>8635.2</x:v>
      </x:c>
      <x:c r="P614" s="19" t="str">
        <x:f>IF(AND(B614="Butterfly",J614&gt;0,J614&lt;K614),L614/J614,"n.a.")</x:f>
        <x:v>n.a.</x:v>
      </x:c>
      <x:c r="Q614" s="11" t="n">
        <x:f>J614*'Model inputs'!$B$8</x:f>
        <x:v>-3519.999999999999</x:v>
      </x:c>
      <x:c r="R614" s="1" t="str">
        <x:v>Indicative only</x:v>
      </x:c>
      <x:c r="S614" s="1" t="n">
        <x:v>361</x:v>
      </x:c>
      <x:c r="T614" s="1" t="n">
        <x:v>380</x:v>
      </x:c>
    </x:row>
    <x:row r="615" ht="21" customHeight="1">
      <x:c r="A615" s="12" t="n">
        <x:v>46273</x:v>
      </x:c>
      <x:c r="B615" s="1" t="str">
        <x:v>1x2 ratio</x:v>
      </x:c>
      <x:c r="C615" s="1" t="str">
        <x:v>put</x:v>
      </x:c>
      <x:c r="D615" s="11" t="n">
        <x:v>5800</x:v>
      </x:c>
      <x:c r="E615" s="11" t="n">
        <x:v>5600</x:v>
      </x:c>
      <x:c r="F615" s="11"/>
      <x:c r="G615" s="11" t="n">
        <x:f>'Option source'!B651</x:f>
        <x:v>23.9</x:v>
      </x:c>
      <x:c r="H615" s="11" t="n">
        <x:f>'Option source'!B632</x:f>
        <x:v>13.29</x:v>
      </x:c>
      <x:c r="I615" s="11"/>
      <x:c r="J615" s="11" t="n">
        <x:f>G615-2*H615+IF(B615="Butterfly",I615,0)</x:f>
        <x:v>-2.6799999999999997</x:v>
      </x:c>
      <x:c r="K615" s="11" t="n">
        <x:f>ABS(E615-D615)</x:f>
        <x:v>200</x:v>
      </x:c>
      <x:c r="L615" s="11" t="n">
        <x:f>K615-J615</x:f>
        <x:v>202.68</x:v>
      </x:c>
      <x:c r="M615" s="11" t="n">
        <x:f>IF(B615="Butterfly",MAX(J615,0),IF(C615="call","Unlimited",MAX(2*E615-D615+J615,J615,0)))</x:f>
        <x:v>5397.32</x:v>
      </x:c>
      <x:c r="N615" s="11" t="n">
        <x:f>IF(B615="Butterfly",IF(AND(J615&gt;0,J615&lt;K615),D615+J615,"n.a."),IF(C615="call",IF(AND(J615&gt;0,J615&lt;K615),D615+J615,"n.a."),IF(AND(K615&gt;J615,2*E615-D615+J615&gt;=0),2*E615-D615+J615,"n.a.")))</x:f>
        <x:v>5397.32</x:v>
      </x:c>
      <x:c r="O615" s="11" t="str">
        <x:f>IF(B615="Butterfly",IF(AND(J615&gt;0,J615&lt;K615),F615-J615,"n.a."),IF(C615="call",IF(K615&gt;J615,2*E615-D615-J615,"n.a."),IF(AND(J615&gt;0,J615&lt;K615),D615-J615,"n.a.")))</x:f>
        <x:v>n.a.</x:v>
      </x:c>
      <x:c r="P615" s="19" t="str">
        <x:f>IF(AND(B615="Butterfly",J615&gt;0,J615&lt;K615),L615/J615,"n.a.")</x:f>
        <x:v>n.a.</x:v>
      </x:c>
      <x:c r="Q615" s="11" t="n">
        <x:f>J615*'Model inputs'!$B$8</x:f>
        <x:v>-268</x:v>
      </x:c>
      <x:c r="R615" s="1" t="str">
        <x:v>Indicative only</x:v>
      </x:c>
      <x:c r="S615" s="1" t="n">
        <x:v>646</x:v>
      </x:c>
      <x:c r="T615" s="1" t="n">
        <x:v>627</x:v>
      </x:c>
    </x:row>
    <x:row r="616" ht="21" customHeight="1">
      <x:c r="A616" s="12" t="n">
        <x:v>46273</x:v>
      </x:c>
      <x:c r="B616" s="1" t="str">
        <x:v>1x2 ratio</x:v>
      </x:c>
      <x:c r="C616" s="1" t="str">
        <x:v>call</x:v>
      </x:c>
      <x:c r="D616" s="11" t="n">
        <x:v>8300</x:v>
      </x:c>
      <x:c r="E616" s="11" t="n">
        <x:v>8600</x:v>
      </x:c>
      <x:c r="F616" s="11"/>
      <x:c r="G616" s="11" t="n">
        <x:f>'Option source'!B385</x:f>
        <x:v>81.94</x:v>
      </x:c>
      <x:c r="H616" s="11" t="n">
        <x:f>'Option source'!B404</x:f>
        <x:v>51.36</x:v>
      </x:c>
      <x:c r="I616" s="11"/>
      <x:c r="J616" s="11" t="n">
        <x:f>G616-2*H616+IF(B616="Butterfly",I616,0)</x:f>
        <x:v>-20.78</x:v>
      </x:c>
      <x:c r="K616" s="11" t="n">
        <x:f>ABS(E616-D616)</x:f>
        <x:v>300</x:v>
      </x:c>
      <x:c r="L616" s="11" t="n">
        <x:f>K616-J616</x:f>
        <x:v>320.78</x:v>
      </x:c>
      <x:c r="M616" s="11" t="str">
        <x:f>IF(B616="Butterfly",MAX(J616,0),IF(C616="call","Unlimited",MAX(2*E616-D616+J616,J616,0)))</x:f>
        <x:v>Unlimited</x:v>
      </x:c>
      <x:c r="N616" s="11" t="str">
        <x:f>IF(B616="Butterfly",IF(AND(J616&gt;0,J616&lt;K616),D616+J616,"n.a."),IF(C616="call",IF(AND(J616&gt;0,J616&lt;K616),D616+J616,"n.a."),IF(AND(K616&gt;J616,2*E616-D616+J616&gt;=0),2*E616-D616+J616,"n.a.")))</x:f>
        <x:v>n.a.</x:v>
      </x:c>
      <x:c r="O616" s="11" t="n">
        <x:f>IF(B616="Butterfly",IF(AND(J616&gt;0,J616&lt;K616),F616-J616,"n.a."),IF(C616="call",IF(K616&gt;J616,2*E616-D616-J616,"n.a."),IF(AND(J616&gt;0,J616&lt;K616),D616-J616,"n.a.")))</x:f>
        <x:v>8920.78</x:v>
      </x:c>
      <x:c r="P616" s="19" t="str">
        <x:f>IF(AND(B616="Butterfly",J616&gt;0,J616&lt;K616),L616/J616,"n.a.")</x:f>
        <x:v>n.a.</x:v>
      </x:c>
      <x:c r="Q616" s="11" t="n">
        <x:f>J616*'Model inputs'!$B$8</x:f>
        <x:v>-2078</x:v>
      </x:c>
      <x:c r="R616" s="1" t="str">
        <x:v>Indicative only</x:v>
      </x:c>
      <x:c r="S616" s="1" t="n">
        <x:v>380</x:v>
      </x:c>
      <x:c r="T616" s="1" t="n">
        <x:v>399</x:v>
      </x:c>
    </x:row>
    <x:row r="617" ht="21" customHeight="1">
      <x:c r="A617" s="12" t="n">
        <x:v>46273</x:v>
      </x:c>
      <x:c r="B617" s="1" t="str">
        <x:v>1x2 ratio</x:v>
      </x:c>
      <x:c r="C617" s="1" t="str">
        <x:v>put</x:v>
      </x:c>
      <x:c r="D617" s="11" t="n">
        <x:v>5600</x:v>
      </x:c>
      <x:c r="E617" s="11" t="n">
        <x:v>5400</x:v>
      </x:c>
      <x:c r="F617" s="11"/>
      <x:c r="G617" s="11" t="n">
        <x:f>'Option source'!B632</x:f>
        <x:v>13.29</x:v>
      </x:c>
      <x:c r="H617" s="11" t="n">
        <x:f>'Option source'!B613</x:f>
        <x:v>7.99</x:v>
      </x:c>
      <x:c r="I617" s="11"/>
      <x:c r="J617" s="11" t="n">
        <x:f>G617-2*H617+IF(B617="Butterfly",I617,0)</x:f>
        <x:v>-2.6900000000000013</x:v>
      </x:c>
      <x:c r="K617" s="11" t="n">
        <x:f>ABS(E617-D617)</x:f>
        <x:v>200</x:v>
      </x:c>
      <x:c r="L617" s="11" t="n">
        <x:f>K617-J617</x:f>
        <x:v>202.69</x:v>
      </x:c>
      <x:c r="M617" s="11" t="n">
        <x:f>IF(B617="Butterfly",MAX(J617,0),IF(C617="call","Unlimited",MAX(2*E617-D617+J617,J617,0)))</x:f>
        <x:v>5197.31</x:v>
      </x:c>
      <x:c r="N617" s="11" t="n">
        <x:f>IF(B617="Butterfly",IF(AND(J617&gt;0,J617&lt;K617),D617+J617,"n.a."),IF(C617="call",IF(AND(J617&gt;0,J617&lt;K617),D617+J617,"n.a."),IF(AND(K617&gt;J617,2*E617-D617+J617&gt;=0),2*E617-D617+J617,"n.a.")))</x:f>
        <x:v>5197.31</x:v>
      </x:c>
      <x:c r="O617" s="11" t="str">
        <x:f>IF(B617="Butterfly",IF(AND(J617&gt;0,J617&lt;K617),F617-J617,"n.a."),IF(C617="call",IF(K617&gt;J617,2*E617-D617-J617,"n.a."),IF(AND(J617&gt;0,J617&lt;K617),D617-J617,"n.a.")))</x:f>
        <x:v>n.a.</x:v>
      </x:c>
      <x:c r="P617" s="19" t="str">
        <x:f>IF(AND(B617="Butterfly",J617&gt;0,J617&lt;K617),L617/J617,"n.a.")</x:f>
        <x:v>n.a.</x:v>
      </x:c>
      <x:c r="Q617" s="11" t="n">
        <x:f>J617*'Model inputs'!$B$8</x:f>
        <x:v>-269.0000000000001</x:v>
      </x:c>
      <x:c r="R617" s="1" t="str">
        <x:v>Indicative only</x:v>
      </x:c>
      <x:c r="S617" s="1" t="n">
        <x:v>627</x:v>
      </x:c>
      <x:c r="T617" s="1" t="n">
        <x:v>608</x:v>
      </x:c>
    </x:row>
    <x:row r="618" ht="21" customHeight="1">
      <x:c r="A618" s="12" t="n">
        <x:v>46273</x:v>
      </x:c>
      <x:c r="B618" s="1" t="str">
        <x:v>1x2 ratio</x:v>
      </x:c>
      <x:c r="C618" s="1" t="str">
        <x:v>put</x:v>
      </x:c>
      <x:c r="D618" s="11" t="n">
        <x:v>5400</x:v>
      </x:c>
      <x:c r="E618" s="11" t="n">
        <x:v>5200</x:v>
      </x:c>
      <x:c r="F618" s="11"/>
      <x:c r="G618" s="11" t="n">
        <x:f>'Option source'!B613</x:f>
        <x:v>7.99</x:v>
      </x:c>
      <x:c r="H618" s="11" t="n">
        <x:f>'Option source'!B594</x:f>
        <x:v>4</x:v>
      </x:c>
      <x:c r="I618" s="11"/>
      <x:c r="J618" s="11" t="n">
        <x:f>G618-2*H618+IF(B618="Butterfly",I618,0)</x:f>
        <x:v>-0.009999999999999787</x:v>
      </x:c>
      <x:c r="K618" s="11" t="n">
        <x:f>ABS(E618-D618)</x:f>
        <x:v>200</x:v>
      </x:c>
      <x:c r="L618" s="11" t="n">
        <x:f>K618-J618</x:f>
        <x:v>200.01</x:v>
      </x:c>
      <x:c r="M618" s="11" t="n">
        <x:f>IF(B618="Butterfly",MAX(J618,0),IF(C618="call","Unlimited",MAX(2*E618-D618+J618,J618,0)))</x:f>
        <x:v>4999.99</x:v>
      </x:c>
      <x:c r="N618" s="11" t="n">
        <x:f>IF(B618="Butterfly",IF(AND(J618&gt;0,J618&lt;K618),D618+J618,"n.a."),IF(C618="call",IF(AND(J618&gt;0,J618&lt;K618),D618+J618,"n.a."),IF(AND(K618&gt;J618,2*E618-D618+J618&gt;=0),2*E618-D618+J618,"n.a.")))</x:f>
        <x:v>4999.99</x:v>
      </x:c>
      <x:c r="O618" s="11" t="str">
        <x:f>IF(B618="Butterfly",IF(AND(J618&gt;0,J618&lt;K618),F618-J618,"n.a."),IF(C618="call",IF(K618&gt;J618,2*E618-D618-J618,"n.a."),IF(AND(J618&gt;0,J618&lt;K618),D618-J618,"n.a.")))</x:f>
        <x:v>n.a.</x:v>
      </x:c>
      <x:c r="P618" s="19" t="str">
        <x:f>IF(AND(B618="Butterfly",J618&gt;0,J618&lt;K618),L618/J618,"n.a.")</x:f>
        <x:v>n.a.</x:v>
      </x:c>
      <x:c r="Q618" s="11" t="n">
        <x:f>J618*'Model inputs'!$B$8</x:f>
        <x:v>-0.9999999999999787</x:v>
      </x:c>
      <x:c r="R618" s="1" t="str">
        <x:v>Indicative only</x:v>
      </x:c>
      <x:c r="S618" s="1" t="n">
        <x:v>608</x:v>
      </x:c>
      <x:c r="T618" s="1" t="n">
        <x:v>589</x:v>
      </x:c>
    </x:row>
    <x:row r="619" ht="21" customHeight="1">
      <x:c r="A619" s="12" t="n">
        <x:v>46273</x:v>
      </x:c>
      <x:c r="B619" s="1" t="str">
        <x:v>1x2 ratio</x:v>
      </x:c>
      <x:c r="C619" s="1" t="str">
        <x:v>call</x:v>
      </x:c>
      <x:c r="D619" s="11" t="n">
        <x:v>8600</x:v>
      </x:c>
      <x:c r="E619" s="11" t="n">
        <x:v>8900</x:v>
      </x:c>
      <x:c r="F619" s="11"/>
      <x:c r="G619" s="11" t="n">
        <x:f>'Option source'!B404</x:f>
        <x:v>51.36</x:v>
      </x:c>
      <x:c r="H619" s="11" t="n">
        <x:f>'Option source'!B423</x:f>
        <x:v>29.55</x:v>
      </x:c>
      <x:c r="I619" s="11"/>
      <x:c r="J619" s="11" t="n">
        <x:f>G619-2*H619+IF(B619="Butterfly",I619,0)</x:f>
        <x:v>-7.740000000000002</x:v>
      </x:c>
      <x:c r="K619" s="11" t="n">
        <x:f>ABS(E619-D619)</x:f>
        <x:v>300</x:v>
      </x:c>
      <x:c r="L619" s="11" t="n">
        <x:f>K619-J619</x:f>
        <x:v>307.74</x:v>
      </x:c>
      <x:c r="M619" s="11" t="str">
        <x:f>IF(B619="Butterfly",MAX(J619,0),IF(C619="call","Unlimited",MAX(2*E619-D619+J619,J619,0)))</x:f>
        <x:v>Unlimited</x:v>
      </x:c>
      <x:c r="N619" s="11" t="str">
        <x:f>IF(B619="Butterfly",IF(AND(J619&gt;0,J619&lt;K619),D619+J619,"n.a."),IF(C619="call",IF(AND(J619&gt;0,J619&lt;K619),D619+J619,"n.a."),IF(AND(K619&gt;J619,2*E619-D619+J619&gt;=0),2*E619-D619+J619,"n.a.")))</x:f>
        <x:v>n.a.</x:v>
      </x:c>
      <x:c r="O619" s="11" t="n">
        <x:f>IF(B619="Butterfly",IF(AND(J619&gt;0,J619&lt;K619),F619-J619,"n.a."),IF(C619="call",IF(K619&gt;J619,2*E619-D619-J619,"n.a."),IF(AND(J619&gt;0,J619&lt;K619),D619-J619,"n.a.")))</x:f>
        <x:v>9207.74</x:v>
      </x:c>
      <x:c r="P619" s="19" t="str">
        <x:f>IF(AND(B619="Butterfly",J619&gt;0,J619&lt;K619),L619/J619,"n.a.")</x:f>
        <x:v>n.a.</x:v>
      </x:c>
      <x:c r="Q619" s="11" t="n">
        <x:f>J619*'Model inputs'!$B$8</x:f>
        <x:v>-774.0000000000002</x:v>
      </x:c>
      <x:c r="R619" s="1" t="str">
        <x:v>Indicative only</x:v>
      </x:c>
      <x:c r="S619" s="1" t="n">
        <x:v>399</x:v>
      </x:c>
      <x:c r="T619" s="1" t="n">
        <x:v>418</x:v>
      </x:c>
    </x:row>
    <x:row r="620" ht="21" customHeight="1">
      <x:c r="A620" s="12" t="n">
        <x:v>46273</x:v>
      </x:c>
      <x:c r="B620" s="1" t="str">
        <x:v>1x2 ratio</x:v>
      </x:c>
      <x:c r="C620" s="1" t="str">
        <x:v>put</x:v>
      </x:c>
      <x:c r="D620" s="11" t="n">
        <x:v>5200</x:v>
      </x:c>
      <x:c r="E620" s="11" t="n">
        <x:v>5000</x:v>
      </x:c>
      <x:c r="F620" s="11"/>
      <x:c r="G620" s="11" t="n">
        <x:f>'Option source'!B594</x:f>
        <x:v>4</x:v>
      </x:c>
      <x:c r="H620" s="11" t="n">
        <x:f>'Option source'!B575</x:f>
        <x:v>2.32</x:v>
      </x:c>
      <x:c r="I620" s="11"/>
      <x:c r="J620" s="11" t="n">
        <x:f>G620-2*H620+IF(B620="Butterfly",I620,0)</x:f>
        <x:v>-0.6399999999999997</x:v>
      </x:c>
      <x:c r="K620" s="11" t="n">
        <x:f>ABS(E620-D620)</x:f>
        <x:v>200</x:v>
      </x:c>
      <x:c r="L620" s="11" t="n">
        <x:f>K620-J620</x:f>
        <x:v>200.64</x:v>
      </x:c>
      <x:c r="M620" s="11" t="n">
        <x:f>IF(B620="Butterfly",MAX(J620,0),IF(C620="call","Unlimited",MAX(2*E620-D620+J620,J620,0)))</x:f>
        <x:v>4799.36</x:v>
      </x:c>
      <x:c r="N620" s="11" t="n">
        <x:f>IF(B620="Butterfly",IF(AND(J620&gt;0,J620&lt;K620),D620+J620,"n.a."),IF(C620="call",IF(AND(J620&gt;0,J620&lt;K620),D620+J620,"n.a."),IF(AND(K620&gt;J620,2*E620-D620+J620&gt;=0),2*E620-D620+J620,"n.a.")))</x:f>
        <x:v>4799.36</x:v>
      </x:c>
      <x:c r="O620" s="11" t="str">
        <x:f>IF(B620="Butterfly",IF(AND(J620&gt;0,J620&lt;K620),F620-J620,"n.a."),IF(C620="call",IF(K620&gt;J620,2*E620-D620-J620,"n.a."),IF(AND(J620&gt;0,J620&lt;K620),D620-J620,"n.a.")))</x:f>
        <x:v>n.a.</x:v>
      </x:c>
      <x:c r="P620" s="19" t="str">
        <x:f>IF(AND(B620="Butterfly",J620&gt;0,J620&lt;K620),L620/J620,"n.a.")</x:f>
        <x:v>n.a.</x:v>
      </x:c>
      <x:c r="Q620" s="11" t="n">
        <x:f>J620*'Model inputs'!$B$8</x:f>
        <x:v>-63.99999999999997</x:v>
      </x:c>
      <x:c r="R620" s="1" t="str">
        <x:v>Indicative only</x:v>
      </x:c>
      <x:c r="S620" s="1" t="n">
        <x:v>589</x:v>
      </x:c>
      <x:c r="T620" s="1" t="n">
        <x:v>570</x:v>
      </x:c>
    </x:row>
    <x:row r="621" ht="21" customHeight="1">
      <x:c r="A621" s="12" t="n">
        <x:v>46273</x:v>
      </x:c>
      <x:c r="B621" s="1" t="str">
        <x:v>1x2 ratio</x:v>
      </x:c>
      <x:c r="C621" s="1" t="str">
        <x:v>call</x:v>
      </x:c>
      <x:c r="D621" s="11" t="n">
        <x:v>8900</x:v>
      </x:c>
      <x:c r="E621" s="11" t="n">
        <x:v>9200</x:v>
      </x:c>
      <x:c r="F621" s="11"/>
      <x:c r="G621" s="11" t="n">
        <x:f>'Option source'!B423</x:f>
        <x:v>29.55</x:v>
      </x:c>
      <x:c r="H621" s="11" t="n">
        <x:f>'Option source'!B442</x:f>
        <x:v>17.97</x:v>
      </x:c>
      <x:c r="I621" s="11"/>
      <x:c r="J621" s="11" t="n">
        <x:f>G621-2*H621+IF(B621="Butterfly",I621,0)</x:f>
        <x:v>-6.389999999999997</x:v>
      </x:c>
      <x:c r="K621" s="11" t="n">
        <x:f>ABS(E621-D621)</x:f>
        <x:v>300</x:v>
      </x:c>
      <x:c r="L621" s="11" t="n">
        <x:f>K621-J621</x:f>
        <x:v>306.39</x:v>
      </x:c>
      <x:c r="M621" s="11" t="str">
        <x:f>IF(B621="Butterfly",MAX(J621,0),IF(C621="call","Unlimited",MAX(2*E621-D621+J621,J621,0)))</x:f>
        <x:v>Unlimited</x:v>
      </x:c>
      <x:c r="N621" s="11" t="str">
        <x:f>IF(B621="Butterfly",IF(AND(J621&gt;0,J621&lt;K621),D621+J621,"n.a."),IF(C621="call",IF(AND(J621&gt;0,J621&lt;K621),D621+J621,"n.a."),IF(AND(K621&gt;J621,2*E621-D621+J621&gt;=0),2*E621-D621+J621,"n.a.")))</x:f>
        <x:v>n.a.</x:v>
      </x:c>
      <x:c r="O621" s="11" t="n">
        <x:f>IF(B621="Butterfly",IF(AND(J621&gt;0,J621&lt;K621),F621-J621,"n.a."),IF(C621="call",IF(K621&gt;J621,2*E621-D621-J621,"n.a."),IF(AND(J621&gt;0,J621&lt;K621),D621-J621,"n.a.")))</x:f>
        <x:v>9506.39</x:v>
      </x:c>
      <x:c r="P621" s="19" t="str">
        <x:f>IF(AND(B621="Butterfly",J621&gt;0,J621&lt;K621),L621/J621,"n.a.")</x:f>
        <x:v>n.a.</x:v>
      </x:c>
      <x:c r="Q621" s="11" t="n">
        <x:f>J621*'Model inputs'!$B$8</x:f>
        <x:v>-638.9999999999997</x:v>
      </x:c>
      <x:c r="R621" s="1" t="str">
        <x:v>Indicative only</x:v>
      </x:c>
      <x:c r="S621" s="1" t="n">
        <x:v>418</x:v>
      </x:c>
      <x:c r="T621" s="1" t="n">
        <x:v>437</x:v>
      </x:c>
    </x:row>
    <x:row r="622" ht="21" customHeight="1">
      <x:c r="A622" s="12" t="n">
        <x:v>46273</x:v>
      </x:c>
      <x:c r="B622" s="1" t="str">
        <x:v>1x2 ratio</x:v>
      </x:c>
      <x:c r="C622" s="1" t="str">
        <x:v>put</x:v>
      </x:c>
      <x:c r="D622" s="11" t="n">
        <x:v>5000</x:v>
      </x:c>
      <x:c r="E622" s="11" t="n">
        <x:v>4800</x:v>
      </x:c>
      <x:c r="F622" s="11"/>
      <x:c r="G622" s="11" t="n">
        <x:f>'Option source'!B575</x:f>
        <x:v>2.32</x:v>
      </x:c>
      <x:c r="H622" s="11" t="n">
        <x:f>'Option source'!B556</x:f>
        <x:v>1.68</x:v>
      </x:c>
      <x:c r="I622" s="11"/>
      <x:c r="J622" s="11" t="n">
        <x:f>G622-2*H622+IF(B622="Butterfly",I622,0)</x:f>
        <x:v>-1.04</x:v>
      </x:c>
      <x:c r="K622" s="11" t="n">
        <x:f>ABS(E622-D622)</x:f>
        <x:v>200</x:v>
      </x:c>
      <x:c r="L622" s="11" t="n">
        <x:f>K622-J622</x:f>
        <x:v>201.04</x:v>
      </x:c>
      <x:c r="M622" s="11" t="n">
        <x:f>IF(B622="Butterfly",MAX(J622,0),IF(C622="call","Unlimited",MAX(2*E622-D622+J622,J622,0)))</x:f>
        <x:v>4598.96</x:v>
      </x:c>
      <x:c r="N622" s="11" t="n">
        <x:f>IF(B622="Butterfly",IF(AND(J622&gt;0,J622&lt;K622),D622+J622,"n.a."),IF(C622="call",IF(AND(J622&gt;0,J622&lt;K622),D622+J622,"n.a."),IF(AND(K622&gt;J622,2*E622-D622+J622&gt;=0),2*E622-D622+J622,"n.a.")))</x:f>
        <x:v>4598.96</x:v>
      </x:c>
      <x:c r="O622" s="11" t="str">
        <x:f>IF(B622="Butterfly",IF(AND(J622&gt;0,J622&lt;K622),F622-J622,"n.a."),IF(C622="call",IF(K622&gt;J622,2*E622-D622-J622,"n.a."),IF(AND(J622&gt;0,J622&lt;K622),D622-J622,"n.a.")))</x:f>
        <x:v>n.a.</x:v>
      </x:c>
      <x:c r="P622" s="19" t="str">
        <x:f>IF(AND(B622="Butterfly",J622&gt;0,J622&lt;K622),L622/J622,"n.a.")</x:f>
        <x:v>n.a.</x:v>
      </x:c>
      <x:c r="Q622" s="11" t="n">
        <x:f>J622*'Model inputs'!$B$8</x:f>
        <x:v>-104</x:v>
      </x:c>
      <x:c r="R622" s="1" t="str">
        <x:v>Indicative only</x:v>
      </x:c>
      <x:c r="S622" s="1" t="n">
        <x:v>570</x:v>
      </x:c>
      <x:c r="T622" s="1" t="n">
        <x:v>551</x:v>
      </x:c>
    </x:row>
    <x:row r="623" ht="21" customHeight="1">
      <x:c r="A623" s="12" t="n">
        <x:v>46273</x:v>
      </x:c>
      <x:c r="B623" s="1" t="str">
        <x:v>1x2 ratio</x:v>
      </x:c>
      <x:c r="C623" s="1" t="str">
        <x:v>put</x:v>
      </x:c>
      <x:c r="D623" s="11" t="n">
        <x:v>4800</x:v>
      </x:c>
      <x:c r="E623" s="11" t="n">
        <x:v>4600</x:v>
      </x:c>
      <x:c r="F623" s="11"/>
      <x:c r="G623" s="11" t="n">
        <x:f>'Option source'!B556</x:f>
        <x:v>1.68</x:v>
      </x:c>
      <x:c r="H623" s="11" t="n">
        <x:f>'Option source'!B537</x:f>
        <x:v>1.45</x:v>
      </x:c>
      <x:c r="I623" s="11"/>
      <x:c r="J623" s="11" t="n">
        <x:f>G623-2*H623+IF(B623="Butterfly",I623,0)</x:f>
        <x:v>-1.22</x:v>
      </x:c>
      <x:c r="K623" s="11" t="n">
        <x:f>ABS(E623-D623)</x:f>
        <x:v>200</x:v>
      </x:c>
      <x:c r="L623" s="11" t="n">
        <x:f>K623-J623</x:f>
        <x:v>201.22</x:v>
      </x:c>
      <x:c r="M623" s="11" t="n">
        <x:f>IF(B623="Butterfly",MAX(J623,0),IF(C623="call","Unlimited",MAX(2*E623-D623+J623,J623,0)))</x:f>
        <x:v>4398.78</x:v>
      </x:c>
      <x:c r="N623" s="11" t="n">
        <x:f>IF(B623="Butterfly",IF(AND(J623&gt;0,J623&lt;K623),D623+J623,"n.a."),IF(C623="call",IF(AND(J623&gt;0,J623&lt;K623),D623+J623,"n.a."),IF(AND(K623&gt;J623,2*E623-D623+J623&gt;=0),2*E623-D623+J623,"n.a.")))</x:f>
        <x:v>4398.78</x:v>
      </x:c>
      <x:c r="O623" s="11" t="str">
        <x:f>IF(B623="Butterfly",IF(AND(J623&gt;0,J623&lt;K623),F623-J623,"n.a."),IF(C623="call",IF(K623&gt;J623,2*E623-D623-J623,"n.a."),IF(AND(J623&gt;0,J623&lt;K623),D623-J623,"n.a.")))</x:f>
        <x:v>n.a.</x:v>
      </x:c>
      <x:c r="P623" s="19" t="str">
        <x:f>IF(AND(B623="Butterfly",J623&gt;0,J623&lt;K623),L623/J623,"n.a.")</x:f>
        <x:v>n.a.</x:v>
      </x:c>
      <x:c r="Q623" s="11" t="n">
        <x:f>J623*'Model inputs'!$B$8</x:f>
        <x:v>-122</x:v>
      </x:c>
      <x:c r="R623" s="1" t="str">
        <x:v>Indicative only</x:v>
      </x:c>
      <x:c r="S623" s="1" t="n">
        <x:v>551</x:v>
      </x:c>
      <x:c r="T623" s="1" t="n">
        <x:v>532</x:v>
      </x:c>
    </x:row>
    <x:row r="624" ht="21" customHeight="1">
      <x:c r="A624" s="12" t="n">
        <x:v>46273</x:v>
      </x:c>
      <x:c r="B624" s="1" t="str">
        <x:v>1x2 ratio</x:v>
      </x:c>
      <x:c r="C624" s="1" t="str">
        <x:v>call</x:v>
      </x:c>
      <x:c r="D624" s="11" t="n">
        <x:v>9200</x:v>
      </x:c>
      <x:c r="E624" s="11" t="n">
        <x:v>9500</x:v>
      </x:c>
      <x:c r="F624" s="11"/>
      <x:c r="G624" s="11" t="n">
        <x:f>'Option source'!B442</x:f>
        <x:v>17.97</x:v>
      </x:c>
      <x:c r="H624" s="11" t="n">
        <x:f>'Option source'!B461</x:f>
        <x:v>11.36</x:v>
      </x:c>
      <x:c r="I624" s="11"/>
      <x:c r="J624" s="11" t="n">
        <x:f>G624-2*H624+IF(B624="Butterfly",I624,0)</x:f>
        <x:v>-4.75</x:v>
      </x:c>
      <x:c r="K624" s="11" t="n">
        <x:f>ABS(E624-D624)</x:f>
        <x:v>300</x:v>
      </x:c>
      <x:c r="L624" s="11" t="n">
        <x:f>K624-J624</x:f>
        <x:v>304.75</x:v>
      </x:c>
      <x:c r="M624" s="11" t="str">
        <x:f>IF(B624="Butterfly",MAX(J624,0),IF(C624="call","Unlimited",MAX(2*E624-D624+J624,J624,0)))</x:f>
        <x:v>Unlimited</x:v>
      </x:c>
      <x:c r="N624" s="11" t="str">
        <x:f>IF(B624="Butterfly",IF(AND(J624&gt;0,J624&lt;K624),D624+J624,"n.a."),IF(C624="call",IF(AND(J624&gt;0,J624&lt;K624),D624+J624,"n.a."),IF(AND(K624&gt;J624,2*E624-D624+J624&gt;=0),2*E624-D624+J624,"n.a.")))</x:f>
        <x:v>n.a.</x:v>
      </x:c>
      <x:c r="O624" s="11" t="n">
        <x:f>IF(B624="Butterfly",IF(AND(J624&gt;0,J624&lt;K624),F624-J624,"n.a."),IF(C624="call",IF(K624&gt;J624,2*E624-D624-J624,"n.a."),IF(AND(J624&gt;0,J624&lt;K624),D624-J624,"n.a.")))</x:f>
        <x:v>9804.75</x:v>
      </x:c>
      <x:c r="P624" s="19" t="str">
        <x:f>IF(AND(B624="Butterfly",J624&gt;0,J624&lt;K624),L624/J624,"n.a.")</x:f>
        <x:v>n.a.</x:v>
      </x:c>
      <x:c r="Q624" s="11" t="n">
        <x:f>J624*'Model inputs'!$B$8</x:f>
        <x:v>-475</x:v>
      </x:c>
      <x:c r="R624" s="1" t="str">
        <x:v>Indicative only</x:v>
      </x:c>
      <x:c r="S624" s="1" t="n">
        <x:v>437</x:v>
      </x:c>
      <x:c r="T624" s="1" t="n">
        <x:v>456</x:v>
      </x:c>
    </x:row>
    <x:row r="625" ht="21" customHeight="1">
      <x:c r="A625" s="12" t="n">
        <x:v>46273</x:v>
      </x:c>
      <x:c r="B625" s="1" t="str">
        <x:v>1x2 ratio</x:v>
      </x:c>
      <x:c r="C625" s="1" t="str">
        <x:v>put</x:v>
      </x:c>
      <x:c r="D625" s="11" t="n">
        <x:v>4600</x:v>
      </x:c>
      <x:c r="E625" s="11" t="n">
        <x:v>4400</x:v>
      </x:c>
      <x:c r="F625" s="11"/>
      <x:c r="G625" s="11" t="n">
        <x:f>'Option source'!B537</x:f>
        <x:v>1.45</x:v>
      </x:c>
      <x:c r="H625" s="11" t="n">
        <x:f>'Option source'!B518</x:f>
        <x:v>1.09</x:v>
      </x:c>
      <x:c r="I625" s="11"/>
      <x:c r="J625" s="11" t="n">
        <x:f>G625-2*H625+IF(B625="Butterfly",I625,0)</x:f>
        <x:v>-0.7300000000000002</x:v>
      </x:c>
      <x:c r="K625" s="11" t="n">
        <x:f>ABS(E625-D625)</x:f>
        <x:v>200</x:v>
      </x:c>
      <x:c r="L625" s="11" t="n">
        <x:f>K625-J625</x:f>
        <x:v>200.73</x:v>
      </x:c>
      <x:c r="M625" s="11" t="n">
        <x:f>IF(B625="Butterfly",MAX(J625,0),IF(C625="call","Unlimited",MAX(2*E625-D625+J625,J625,0)))</x:f>
        <x:v>4199.27</x:v>
      </x:c>
      <x:c r="N625" s="11" t="n">
        <x:f>IF(B625="Butterfly",IF(AND(J625&gt;0,J625&lt;K625),D625+J625,"n.a."),IF(C625="call",IF(AND(J625&gt;0,J625&lt;K625),D625+J625,"n.a."),IF(AND(K625&gt;J625,2*E625-D625+J625&gt;=0),2*E625-D625+J625,"n.a.")))</x:f>
        <x:v>4199.27</x:v>
      </x:c>
      <x:c r="O625" s="11" t="str">
        <x:f>IF(B625="Butterfly",IF(AND(J625&gt;0,J625&lt;K625),F625-J625,"n.a."),IF(C625="call",IF(K625&gt;J625,2*E625-D625-J625,"n.a."),IF(AND(J625&gt;0,J625&lt;K625),D625-J625,"n.a.")))</x:f>
        <x:v>n.a.</x:v>
      </x:c>
      <x:c r="P625" s="19" t="str">
        <x:f>IF(AND(B625="Butterfly",J625&gt;0,J625&lt;K625),L625/J625,"n.a.")</x:f>
        <x:v>n.a.</x:v>
      </x:c>
      <x:c r="Q625" s="11" t="n">
        <x:f>J625*'Model inputs'!$B$8</x:f>
        <x:v>-73.00000000000001</x:v>
      </x:c>
      <x:c r="R625" s="1" t="str">
        <x:v>Indicative only</x:v>
      </x:c>
      <x:c r="S625" s="1" t="n">
        <x:v>532</x:v>
      </x:c>
      <x:c r="T625" s="1" t="n">
        <x:v>513</x:v>
      </x:c>
    </x:row>
    <x:row r="626" ht="21" customHeight="1">
      <x:c r="A626" s="12" t="n">
        <x:v>46273</x:v>
      </x:c>
      <x:c r="B626" s="1" t="str">
        <x:v>1x2 ratio</x:v>
      </x:c>
      <x:c r="C626" s="1" t="str">
        <x:v>put</x:v>
      </x:c>
      <x:c r="D626" s="11" t="n">
        <x:v>4400</x:v>
      </x:c>
      <x:c r="E626" s="11" t="n">
        <x:v>4200</x:v>
      </x:c>
      <x:c r="F626" s="11"/>
      <x:c r="G626" s="11" t="n">
        <x:f>'Option source'!B518</x:f>
        <x:v>1.09</x:v>
      </x:c>
      <x:c r="H626" s="11" t="n">
        <x:f>'Option source'!B499</x:f>
        <x:v>0.98</x:v>
      </x:c>
      <x:c r="I626" s="11"/>
      <x:c r="J626" s="11" t="n">
        <x:f>G626-2*H626+IF(B626="Butterfly",I626,0)</x:f>
        <x:v>-0.8699999999999999</x:v>
      </x:c>
      <x:c r="K626" s="11" t="n">
        <x:f>ABS(E626-D626)</x:f>
        <x:v>200</x:v>
      </x:c>
      <x:c r="L626" s="11" t="n">
        <x:f>K626-J626</x:f>
        <x:v>200.87</x:v>
      </x:c>
      <x:c r="M626" s="11" t="n">
        <x:f>IF(B626="Butterfly",MAX(J626,0),IF(C626="call","Unlimited",MAX(2*E626-D626+J626,J626,0)))</x:f>
        <x:v>3999.13</x:v>
      </x:c>
      <x:c r="N626" s="11" t="n">
        <x:f>IF(B626="Butterfly",IF(AND(J626&gt;0,J626&lt;K626),D626+J626,"n.a."),IF(C626="call",IF(AND(J626&gt;0,J626&lt;K626),D626+J626,"n.a."),IF(AND(K626&gt;J626,2*E626-D626+J626&gt;=0),2*E626-D626+J626,"n.a.")))</x:f>
        <x:v>3999.13</x:v>
      </x:c>
      <x:c r="O626" s="11" t="str">
        <x:f>IF(B626="Butterfly",IF(AND(J626&gt;0,J626&lt;K626),F626-J626,"n.a."),IF(C626="call",IF(K626&gt;J626,2*E626-D626-J626,"n.a."),IF(AND(J626&gt;0,J626&lt;K626),D626-J626,"n.a.")))</x:f>
        <x:v>n.a.</x:v>
      </x:c>
      <x:c r="P626" s="19" t="str">
        <x:f>IF(AND(B626="Butterfly",J626&gt;0,J626&lt;K626),L626/J626,"n.a.")</x:f>
        <x:v>n.a.</x:v>
      </x:c>
      <x:c r="Q626" s="11" t="n">
        <x:f>J626*'Model inputs'!$B$8</x:f>
        <x:v>-86.99999999999999</x:v>
      </x:c>
      <x:c r="R626" s="1" t="str">
        <x:v>Indicative only</x:v>
      </x:c>
      <x:c r="S626" s="1" t="n">
        <x:v>513</x:v>
      </x:c>
      <x:c r="T626" s="1" t="n">
        <x:v>494</x:v>
      </x:c>
    </x:row>
    <x:row r="627" ht="21" customHeight="1">
      <x:c r="A627" s="12" t="n">
        <x:v>46273</x:v>
      </x:c>
      <x:c r="B627" s="1" t="str">
        <x:v>1x2 ratio</x:v>
      </x:c>
      <x:c r="C627" s="1" t="str">
        <x:v>call</x:v>
      </x:c>
      <x:c r="D627" s="11" t="n">
        <x:v>9500</x:v>
      </x:c>
      <x:c r="E627" s="11" t="n">
        <x:v>9900</x:v>
      </x:c>
      <x:c r="F627" s="11"/>
      <x:c r="G627" s="11" t="n">
        <x:f>'Option source'!B461</x:f>
        <x:v>11.36</x:v>
      </x:c>
      <x:c r="H627" s="11" t="n">
        <x:f>'Option source'!B480</x:f>
        <x:v>6.97</x:v>
      </x:c>
      <x:c r="I627" s="11"/>
      <x:c r="J627" s="11" t="n">
        <x:f>G627-2*H627+IF(B627="Butterfly",I627,0)</x:f>
        <x:v>-2.58</x:v>
      </x:c>
      <x:c r="K627" s="11" t="n">
        <x:f>ABS(E627-D627)</x:f>
        <x:v>400</x:v>
      </x:c>
      <x:c r="L627" s="11" t="n">
        <x:f>K627-J627</x:f>
        <x:v>402.58</x:v>
      </x:c>
      <x:c r="M627" s="11" t="str">
        <x:f>IF(B627="Butterfly",MAX(J627,0),IF(C627="call","Unlimited",MAX(2*E627-D627+J627,J627,0)))</x:f>
        <x:v>Unlimited</x:v>
      </x:c>
      <x:c r="N627" s="11" t="str">
        <x:f>IF(B627="Butterfly",IF(AND(J627&gt;0,J627&lt;K627),D627+J627,"n.a."),IF(C627="call",IF(AND(J627&gt;0,J627&lt;K627),D627+J627,"n.a."),IF(AND(K627&gt;J627,2*E627-D627+J627&gt;=0),2*E627-D627+J627,"n.a.")))</x:f>
        <x:v>n.a.</x:v>
      </x:c>
      <x:c r="O627" s="11" t="n">
        <x:f>IF(B627="Butterfly",IF(AND(J627&gt;0,J627&lt;K627),F627-J627,"n.a."),IF(C627="call",IF(K627&gt;J627,2*E627-D627-J627,"n.a."),IF(AND(J627&gt;0,J627&lt;K627),D627-J627,"n.a.")))</x:f>
        <x:v>10302.58</x:v>
      </x:c>
      <x:c r="P627" s="19" t="str">
        <x:f>IF(AND(B627="Butterfly",J627&gt;0,J627&lt;K627),L627/J627,"n.a.")</x:f>
        <x:v>n.a.</x:v>
      </x:c>
      <x:c r="Q627" s="11" t="n">
        <x:f>J627*'Model inputs'!$B$8</x:f>
        <x:v>-258</x:v>
      </x:c>
      <x:c r="R627" s="1" t="str">
        <x:v>Indicative only</x:v>
      </x:c>
      <x:c r="S627" s="1" t="n">
        <x:v>456</x:v>
      </x:c>
      <x:c r="T627" s="1" t="n">
        <x:v>475</x:v>
      </x:c>
    </x:row>
    <x:row r="628" ht="21" customHeight="1">
      <x:c r="A628" s="12" t="n">
        <x:v>46273</x:v>
      </x:c>
      <x:c r="B628" s="1" t="str">
        <x:v>1x2 ratio</x:v>
      </x:c>
      <x:c r="C628" s="1" t="str">
        <x:v>put</x:v>
      </x:c>
      <x:c r="D628" s="11" t="n">
        <x:v>7600</x:v>
      </x:c>
      <x:c r="E628" s="11" t="n">
        <x:v>7400</x:v>
      </x:c>
      <x:c r="F628" s="11"/>
      <x:c r="G628" s="11" t="n">
        <x:f>'Option source'!B822</x:f>
        <x:v>643.01</x:v>
      </x:c>
      <x:c r="H628" s="11" t="n">
        <x:f>'Option source'!B803</x:f>
        <x:v>535.47</x:v>
      </x:c>
      <x:c r="I628" s="11"/>
      <x:c r="J628" s="11" t="n">
        <x:f>G628-2*H628+IF(B628="Butterfly",I628,0)</x:f>
        <x:v>-427.93000000000006</x:v>
      </x:c>
      <x:c r="K628" s="11" t="n">
        <x:f>ABS(E628-D628)</x:f>
        <x:v>200</x:v>
      </x:c>
      <x:c r="L628" s="11" t="n">
        <x:f>K628-J628</x:f>
        <x:v>627.9300000000001</x:v>
      </x:c>
      <x:c r="M628" s="11" t="n">
        <x:f>IF(B628="Butterfly",MAX(J628,0),IF(C628="call","Unlimited",MAX(2*E628-D628+J628,J628,0)))</x:f>
        <x:v>6772.07</x:v>
      </x:c>
      <x:c r="N628" s="11" t="n">
        <x:f>IF(B628="Butterfly",IF(AND(J628&gt;0,J628&lt;K628),D628+J628,"n.a."),IF(C628="call",IF(AND(J628&gt;0,J628&lt;K628),D628+J628,"n.a."),IF(AND(K628&gt;J628,2*E628-D628+J628&gt;=0),2*E628-D628+J628,"n.a.")))</x:f>
        <x:v>6772.07</x:v>
      </x:c>
      <x:c r="O628" s="11" t="str">
        <x:f>IF(B628="Butterfly",IF(AND(J628&gt;0,J628&lt;K628),F628-J628,"n.a."),IF(C628="call",IF(K628&gt;J628,2*E628-D628-J628,"n.a."),IF(AND(J628&gt;0,J628&lt;K628),D628-J628,"n.a.")))</x:f>
        <x:v>n.a.</x:v>
      </x:c>
      <x:c r="P628" s="19" t="str">
        <x:f>IF(AND(B628="Butterfly",J628&gt;0,J628&lt;K628),L628/J628,"n.a.")</x:f>
        <x:v>n.a.</x:v>
      </x:c>
      <x:c r="Q628" s="11" t="n">
        <x:f>J628*'Model inputs'!$B$8</x:f>
        <x:v>-42793.00000000001</x:v>
      </x:c>
      <x:c r="R628" s="1" t="str">
        <x:v>Flagged leg data</x:v>
      </x:c>
      <x:c r="S628" s="1" t="n">
        <x:v>817</x:v>
      </x:c>
      <x:c r="T628" s="1" t="n">
        <x:v>798</x:v>
      </x:c>
    </x:row>
    <x:row r="629" ht="21" customHeight="1">
      <x:c r="A629" s="12" t="n">
        <x:v>46273</x:v>
      </x:c>
      <x:c r="B629" s="1" t="str">
        <x:v>1x2 ratio</x:v>
      </x:c>
      <x:c r="C629" s="1" t="str">
        <x:v>put</x:v>
      </x:c>
      <x:c r="D629" s="11" t="n">
        <x:v>7800</x:v>
      </x:c>
      <x:c r="E629" s="11" t="n">
        <x:v>7600</x:v>
      </x:c>
      <x:c r="F629" s="11"/>
      <x:c r="G629" s="11" t="n">
        <x:f>'Option source'!B841</x:f>
        <x:v>780</x:v>
      </x:c>
      <x:c r="H629" s="11" t="n">
        <x:f>'Option source'!B822</x:f>
        <x:v>643.01</x:v>
      </x:c>
      <x:c r="I629" s="11"/>
      <x:c r="J629" s="11" t="n">
        <x:f>G629-2*H629+IF(B629="Butterfly",I629,0)</x:f>
        <x:v>-506.02</x:v>
      </x:c>
      <x:c r="K629" s="11" t="n">
        <x:f>ABS(E629-D629)</x:f>
        <x:v>200</x:v>
      </x:c>
      <x:c r="L629" s="11" t="n">
        <x:f>K629-J629</x:f>
        <x:v>706.02</x:v>
      </x:c>
      <x:c r="M629" s="11" t="n">
        <x:f>IF(B629="Butterfly",MAX(J629,0),IF(C629="call","Unlimited",MAX(2*E629-D629+J629,J629,0)))</x:f>
        <x:v>6893.98</x:v>
      </x:c>
      <x:c r="N629" s="11" t="n">
        <x:f>IF(B629="Butterfly",IF(AND(J629&gt;0,J629&lt;K629),D629+J629,"n.a."),IF(C629="call",IF(AND(J629&gt;0,J629&lt;K629),D629+J629,"n.a."),IF(AND(K629&gt;J629,2*E629-D629+J629&gt;=0),2*E629-D629+J629,"n.a.")))</x:f>
        <x:v>6893.98</x:v>
      </x:c>
      <x:c r="O629" s="11" t="str">
        <x:f>IF(B629="Butterfly",IF(AND(J629&gt;0,J629&lt;K629),F629-J629,"n.a."),IF(C629="call",IF(K629&gt;J629,2*E629-D629-J629,"n.a."),IF(AND(J629&gt;0,J629&lt;K629),D629-J629,"n.a.")))</x:f>
        <x:v>n.a.</x:v>
      </x:c>
      <x:c r="P629" s="19" t="str">
        <x:f>IF(AND(B629="Butterfly",J629&gt;0,J629&lt;K629),L629/J629,"n.a.")</x:f>
        <x:v>n.a.</x:v>
      </x:c>
      <x:c r="Q629" s="11" t="n">
        <x:f>J629*'Model inputs'!$B$8</x:f>
        <x:v>-50602</x:v>
      </x:c>
      <x:c r="R629" s="1" t="str">
        <x:v>Flagged leg data</x:v>
      </x:c>
      <x:c r="S629" s="1" t="n">
        <x:v>836</x:v>
      </x:c>
      <x:c r="T629" s="1" t="n">
        <x:v>817</x:v>
      </x:c>
    </x:row>
    <x:row r="630" ht="21" customHeight="1">
      <x:c r="A630" s="12" t="n">
        <x:v>46273</x:v>
      </x:c>
      <x:c r="B630" s="1" t="str">
        <x:v>1x2 ratio</x:v>
      </x:c>
      <x:c r="C630" s="1" t="str">
        <x:v>put</x:v>
      </x:c>
      <x:c r="D630" s="11" t="n">
        <x:v>8000</x:v>
      </x:c>
      <x:c r="E630" s="11" t="n">
        <x:v>7800</x:v>
      </x:c>
      <x:c r="F630" s="11"/>
      <x:c r="G630" s="11" t="n">
        <x:f>'Option source'!B860</x:f>
        <x:v>960</x:v>
      </x:c>
      <x:c r="H630" s="11" t="n">
        <x:f>'Option source'!B841</x:f>
        <x:v>780</x:v>
      </x:c>
      <x:c r="I630" s="11"/>
      <x:c r="J630" s="11" t="n">
        <x:f>G630-2*H630+IF(B630="Butterfly",I630,0)</x:f>
        <x:v>-600</x:v>
      </x:c>
      <x:c r="K630" s="11" t="n">
        <x:f>ABS(E630-D630)</x:f>
        <x:v>200</x:v>
      </x:c>
      <x:c r="L630" s="11" t="n">
        <x:f>K630-J630</x:f>
        <x:v>800</x:v>
      </x:c>
      <x:c r="M630" s="11" t="n">
        <x:f>IF(B630="Butterfly",MAX(J630,0),IF(C630="call","Unlimited",MAX(2*E630-D630+J630,J630,0)))</x:f>
        <x:v>7000</x:v>
      </x:c>
      <x:c r="N630" s="11" t="n">
        <x:f>IF(B630="Butterfly",IF(AND(J630&gt;0,J630&lt;K630),D630+J630,"n.a."),IF(C630="call",IF(AND(J630&gt;0,J630&lt;K630),D630+J630,"n.a."),IF(AND(K630&gt;J630,2*E630-D630+J630&gt;=0),2*E630-D630+J630,"n.a.")))</x:f>
        <x:v>7000</x:v>
      </x:c>
      <x:c r="O630" s="11" t="str">
        <x:f>IF(B630="Butterfly",IF(AND(J630&gt;0,J630&lt;K630),F630-J630,"n.a."),IF(C630="call",IF(K630&gt;J630,2*E630-D630-J630,"n.a."),IF(AND(J630&gt;0,J630&lt;K630),D630-J630,"n.a.")))</x:f>
        <x:v>n.a.</x:v>
      </x:c>
      <x:c r="P630" s="19" t="str">
        <x:f>IF(AND(B630="Butterfly",J630&gt;0,J630&lt;K630),L630/J630,"n.a.")</x:f>
        <x:v>n.a.</x:v>
      </x:c>
      <x:c r="Q630" s="11" t="n">
        <x:f>J630*'Model inputs'!$B$8</x:f>
        <x:v>-60000</x:v>
      </x:c>
      <x:c r="R630" s="1" t="str">
        <x:v>Flagged leg data</x:v>
      </x:c>
      <x:c r="S630" s="1" t="n">
        <x:v>855</x:v>
      </x:c>
      <x:c r="T630" s="1" t="n">
        <x:v>836</x:v>
      </x:c>
    </x:row>
    <x:row r="631" ht="21" customHeight="1">
      <x:c r="A631" s="12" t="n">
        <x:v>46273</x:v>
      </x:c>
      <x:c r="B631" s="1" t="str">
        <x:v>1x2 ratio</x:v>
      </x:c>
      <x:c r="C631" s="1" t="str">
        <x:v>put</x:v>
      </x:c>
      <x:c r="D631" s="11" t="n">
        <x:v>8300</x:v>
      </x:c>
      <x:c r="E631" s="11" t="n">
        <x:v>8000</x:v>
      </x:c>
      <x:c r="F631" s="11"/>
      <x:c r="G631" s="11" t="n">
        <x:f>'Option source'!B879</x:f>
        <x:v>1350</x:v>
      </x:c>
      <x:c r="H631" s="11" t="n">
        <x:f>'Option source'!B860</x:f>
        <x:v>960</x:v>
      </x:c>
      <x:c r="I631" s="11"/>
      <x:c r="J631" s="11" t="n">
        <x:f>G631-2*H631+IF(B631="Butterfly",I631,0)</x:f>
        <x:v>-570</x:v>
      </x:c>
      <x:c r="K631" s="11" t="n">
        <x:f>ABS(E631-D631)</x:f>
        <x:v>300</x:v>
      </x:c>
      <x:c r="L631" s="11" t="n">
        <x:f>K631-J631</x:f>
        <x:v>870</x:v>
      </x:c>
      <x:c r="M631" s="11" t="n">
        <x:f>IF(B631="Butterfly",MAX(J631,0),IF(C631="call","Unlimited",MAX(2*E631-D631+J631,J631,0)))</x:f>
        <x:v>7130</x:v>
      </x:c>
      <x:c r="N631" s="11" t="n">
        <x:f>IF(B631="Butterfly",IF(AND(J631&gt;0,J631&lt;K631),D631+J631,"n.a."),IF(C631="call",IF(AND(J631&gt;0,J631&lt;K631),D631+J631,"n.a."),IF(AND(K631&gt;J631,2*E631-D631+J631&gt;=0),2*E631-D631+J631,"n.a.")))</x:f>
        <x:v>7130</x:v>
      </x:c>
      <x:c r="O631" s="11" t="str">
        <x:f>IF(B631="Butterfly",IF(AND(J631&gt;0,J631&lt;K631),F631-J631,"n.a."),IF(C631="call",IF(K631&gt;J631,2*E631-D631-J631,"n.a."),IF(AND(J631&gt;0,J631&lt;K631),D631-J631,"n.a.")))</x:f>
        <x:v>n.a.</x:v>
      </x:c>
      <x:c r="P631" s="19" t="str">
        <x:f>IF(AND(B631="Butterfly",J631&gt;0,J631&lt;K631),L631/J631,"n.a.")</x:f>
        <x:v>n.a.</x:v>
      </x:c>
      <x:c r="Q631" s="11" t="n">
        <x:f>J631*'Model inputs'!$B$8</x:f>
        <x:v>-57000</x:v>
      </x:c>
      <x:c r="R631" s="1" t="str">
        <x:v>Flagged leg data</x:v>
      </x:c>
      <x:c r="S631" s="1" t="n">
        <x:v>874</x:v>
      </x:c>
      <x:c r="T631" s="1" t="n">
        <x:v>855</x:v>
      </x:c>
    </x:row>
    <x:row r="632" ht="21" customHeight="1">
      <x:c r="A632" s="12" t="n">
        <x:v>46273</x:v>
      </x:c>
      <x:c r="B632" s="1" t="str">
        <x:v>1x2 ratio</x:v>
      </x:c>
      <x:c r="C632" s="1" t="str">
        <x:v>call</x:v>
      </x:c>
      <x:c r="D632" s="11" t="n">
        <x:v>5800</x:v>
      </x:c>
      <x:c r="E632" s="11" t="n">
        <x:v>6000</x:v>
      </x:c>
      <x:c r="F632" s="11"/>
      <x:c r="G632" s="11" t="n">
        <x:f>'Option source'!B157</x:f>
        <x:v>1310</x:v>
      </x:c>
      <x:c r="H632" s="11" t="n">
        <x:f>'Option source'!B176</x:f>
        <x:v>1200</x:v>
      </x:c>
      <x:c r="I632" s="11"/>
      <x:c r="J632" s="11" t="n">
        <x:f>G632-2*H632+IF(B632="Butterfly",I632,0)</x:f>
        <x:v>-1090</x:v>
      </x:c>
      <x:c r="K632" s="11" t="n">
        <x:f>ABS(E632-D632)</x:f>
        <x:v>200</x:v>
      </x:c>
      <x:c r="L632" s="11" t="n">
        <x:f>K632-J632</x:f>
        <x:v>1290</x:v>
      </x:c>
      <x:c r="M632" s="11" t="str">
        <x:f>IF(B632="Butterfly",MAX(J632,0),IF(C632="call","Unlimited",MAX(2*E632-D632+J632,J632,0)))</x:f>
        <x:v>Unlimited</x:v>
      </x:c>
      <x:c r="N632" s="11" t="str">
        <x:f>IF(B632="Butterfly",IF(AND(J632&gt;0,J632&lt;K632),D632+J632,"n.a."),IF(C632="call",IF(AND(J632&gt;0,J632&lt;K632),D632+J632,"n.a."),IF(AND(K632&gt;J632,2*E632-D632+J632&gt;=0),2*E632-D632+J632,"n.a.")))</x:f>
        <x:v>n.a.</x:v>
      </x:c>
      <x:c r="O632" s="11" t="n">
        <x:f>IF(B632="Butterfly",IF(AND(J632&gt;0,J632&lt;K632),F632-J632,"n.a."),IF(C632="call",IF(K632&gt;J632,2*E632-D632-J632,"n.a."),IF(AND(J632&gt;0,J632&lt;K632),D632-J632,"n.a.")))</x:f>
        <x:v>7290</x:v>
      </x:c>
      <x:c r="P632" s="19" t="str">
        <x:f>IF(AND(B632="Butterfly",J632&gt;0,J632&lt;K632),L632/J632,"n.a.")</x:f>
        <x:v>n.a.</x:v>
      </x:c>
      <x:c r="Q632" s="11" t="n">
        <x:f>J632*'Model inputs'!$B$8</x:f>
        <x:v>-109000</x:v>
      </x:c>
      <x:c r="R632" s="1" t="str">
        <x:v>Flagged leg data</x:v>
      </x:c>
      <x:c r="S632" s="1" t="n">
        <x:v>152</x:v>
      </x:c>
      <x:c r="T632" s="1" t="n">
        <x:v>171</x:v>
      </x:c>
    </x:row>
    <x:row r="633" ht="21" customHeight="1">
      <x:c r="A633" s="12" t="n">
        <x:v>46273</x:v>
      </x:c>
      <x:c r="B633" s="1" t="str">
        <x:v>1x2 ratio</x:v>
      </x:c>
      <x:c r="C633" s="1" t="str">
        <x:v>call</x:v>
      </x:c>
      <x:c r="D633" s="11" t="n">
        <x:v>5600</x:v>
      </x:c>
      <x:c r="E633" s="11" t="n">
        <x:v>5800</x:v>
      </x:c>
      <x:c r="F633" s="11"/>
      <x:c r="G633" s="11" t="n">
        <x:f>'Option source'!B147</x:f>
        <x:v>1490</x:v>
      </x:c>
      <x:c r="H633" s="11" t="n">
        <x:f>'Option source'!B157</x:f>
        <x:v>1310</x:v>
      </x:c>
      <x:c r="I633" s="11"/>
      <x:c r="J633" s="11" t="n">
        <x:f>G633-2*H633+IF(B633="Butterfly",I633,0)</x:f>
        <x:v>-1130</x:v>
      </x:c>
      <x:c r="K633" s="11" t="n">
        <x:f>ABS(E633-D633)</x:f>
        <x:v>200</x:v>
      </x:c>
      <x:c r="L633" s="11" t="n">
        <x:f>K633-J633</x:f>
        <x:v>1330</x:v>
      </x:c>
      <x:c r="M633" s="11" t="str">
        <x:f>IF(B633="Butterfly",MAX(J633,0),IF(C633="call","Unlimited",MAX(2*E633-D633+J633,J633,0)))</x:f>
        <x:v>Unlimited</x:v>
      </x:c>
      <x:c r="N633" s="11" t="str">
        <x:f>IF(B633="Butterfly",IF(AND(J633&gt;0,J633&lt;K633),D633+J633,"n.a."),IF(C633="call",IF(AND(J633&gt;0,J633&lt;K633),D633+J633,"n.a."),IF(AND(K633&gt;J633,2*E633-D633+J633&gt;=0),2*E633-D633+J633,"n.a.")))</x:f>
        <x:v>n.a.</x:v>
      </x:c>
      <x:c r="O633" s="11" t="n">
        <x:f>IF(B633="Butterfly",IF(AND(J633&gt;0,J633&lt;K633),F633-J633,"n.a."),IF(C633="call",IF(K633&gt;J633,2*E633-D633-J633,"n.a."),IF(AND(J633&gt;0,J633&lt;K633),D633-J633,"n.a.")))</x:f>
        <x:v>7130</x:v>
      </x:c>
      <x:c r="P633" s="19" t="str">
        <x:f>IF(AND(B633="Butterfly",J633&gt;0,J633&lt;K633),L633/J633,"n.a.")</x:f>
        <x:v>n.a.</x:v>
      </x:c>
      <x:c r="Q633" s="11" t="n">
        <x:f>J633*'Model inputs'!$B$8</x:f>
        <x:v>-113000</x:v>
      </x:c>
      <x:c r="R633" s="1" t="str">
        <x:v>Flagged leg data</x:v>
      </x:c>
      <x:c r="S633" s="1" t="n">
        <x:v>142</x:v>
      </x:c>
      <x:c r="T633" s="1" t="n">
        <x:v>152</x:v>
      </x:c>
    </x:row>
    <x:row r="634" ht="21" customHeight="1">
      <x:c r="A634" s="12" t="n">
        <x:v>46273</x:v>
      </x:c>
      <x:c r="B634" s="1" t="str">
        <x:v>1x2 ratio</x:v>
      </x:c>
      <x:c r="C634" s="1" t="str">
        <x:v>put</x:v>
      </x:c>
      <x:c r="D634" s="11" t="n">
        <x:v>8600</x:v>
      </x:c>
      <x:c r="E634" s="11" t="n">
        <x:v>8300</x:v>
      </x:c>
      <x:c r="F634" s="11"/>
      <x:c r="G634" s="11" t="n">
        <x:f>'Option source'!B898</x:f>
        <x:v>1463.59</x:v>
      </x:c>
      <x:c r="H634" s="11" t="n">
        <x:f>'Option source'!B879</x:f>
        <x:v>1350</x:v>
      </x:c>
      <x:c r="I634" s="11"/>
      <x:c r="J634" s="11" t="n">
        <x:f>G634-2*H634+IF(B634="Butterfly",I634,0)</x:f>
        <x:v>-1236.41</x:v>
      </x:c>
      <x:c r="K634" s="11" t="n">
        <x:f>ABS(E634-D634)</x:f>
        <x:v>300</x:v>
      </x:c>
      <x:c r="L634" s="11" t="n">
        <x:f>K634-J634</x:f>
        <x:v>1536.41</x:v>
      </x:c>
      <x:c r="M634" s="11" t="n">
        <x:f>IF(B634="Butterfly",MAX(J634,0),IF(C634="call","Unlimited",MAX(2*E634-D634+J634,J634,0)))</x:f>
        <x:v>6763.59</x:v>
      </x:c>
      <x:c r="N634" s="11" t="n">
        <x:f>IF(B634="Butterfly",IF(AND(J634&gt;0,J634&lt;K634),D634+J634,"n.a."),IF(C634="call",IF(AND(J634&gt;0,J634&lt;K634),D634+J634,"n.a."),IF(AND(K634&gt;J634,2*E634-D634+J634&gt;=0),2*E634-D634+J634,"n.a.")))</x:f>
        <x:v>6763.59</x:v>
      </x:c>
      <x:c r="O634" s="11" t="str">
        <x:f>IF(B634="Butterfly",IF(AND(J634&gt;0,J634&lt;K634),F634-J634,"n.a."),IF(C634="call",IF(K634&gt;J634,2*E634-D634-J634,"n.a."),IF(AND(J634&gt;0,J634&lt;K634),D634-J634,"n.a.")))</x:f>
        <x:v>n.a.</x:v>
      </x:c>
      <x:c r="P634" s="19" t="str">
        <x:f>IF(AND(B634="Butterfly",J634&gt;0,J634&lt;K634),L634/J634,"n.a.")</x:f>
        <x:v>n.a.</x:v>
      </x:c>
      <x:c r="Q634" s="11" t="n">
        <x:f>J634*'Model inputs'!$B$8</x:f>
        <x:v>-123641.00000000001</x:v>
      </x:c>
      <x:c r="R634" s="1" t="str">
        <x:v>Flagged leg data</x:v>
      </x:c>
      <x:c r="S634" s="1" t="n">
        <x:v>893</x:v>
      </x:c>
      <x:c r="T634" s="1" t="n">
        <x:v>874</x:v>
      </x:c>
    </x:row>
    <x:row r="635" ht="21" customHeight="1">
      <x:c r="A635" s="12" t="n">
        <x:v>46273</x:v>
      </x:c>
      <x:c r="B635" s="1" t="str">
        <x:v>1x2 ratio</x:v>
      </x:c>
      <x:c r="C635" s="1" t="str">
        <x:v>call</x:v>
      </x:c>
      <x:c r="D635" s="11" t="n">
        <x:v>5400</x:v>
      </x:c>
      <x:c r="E635" s="11" t="n">
        <x:v>5600</x:v>
      </x:c>
      <x:c r="F635" s="11"/>
      <x:c r="G635" s="11" t="n">
        <x:f>'Option source'!B129</x:f>
        <x:v>1636.72</x:v>
      </x:c>
      <x:c r="H635" s="11" t="n">
        <x:f>'Option source'!B147</x:f>
        <x:v>1490</x:v>
      </x:c>
      <x:c r="I635" s="11"/>
      <x:c r="J635" s="11" t="n">
        <x:f>G635-2*H635+IF(B635="Butterfly",I635,0)</x:f>
        <x:v>-1343.28</x:v>
      </x:c>
      <x:c r="K635" s="11" t="n">
        <x:f>ABS(E635-D635)</x:f>
        <x:v>200</x:v>
      </x:c>
      <x:c r="L635" s="11" t="n">
        <x:f>K635-J635</x:f>
        <x:v>1543.28</x:v>
      </x:c>
      <x:c r="M635" s="11" t="str">
        <x:f>IF(B635="Butterfly",MAX(J635,0),IF(C635="call","Unlimited",MAX(2*E635-D635+J635,J635,0)))</x:f>
        <x:v>Unlimited</x:v>
      </x:c>
      <x:c r="N635" s="11" t="str">
        <x:f>IF(B635="Butterfly",IF(AND(J635&gt;0,J635&lt;K635),D635+J635,"n.a."),IF(C635="call",IF(AND(J635&gt;0,J635&lt;K635),D635+J635,"n.a."),IF(AND(K635&gt;J635,2*E635-D635+J635&gt;=0),2*E635-D635+J635,"n.a.")))</x:f>
        <x:v>n.a.</x:v>
      </x:c>
      <x:c r="O635" s="11" t="n">
        <x:f>IF(B635="Butterfly",IF(AND(J635&gt;0,J635&lt;K635),F635-J635,"n.a."),IF(C635="call",IF(K635&gt;J635,2*E635-D635-J635,"n.a."),IF(AND(J635&gt;0,J635&lt;K635),D635-J635,"n.a.")))</x:f>
        <x:v>7143.28</x:v>
      </x:c>
      <x:c r="P635" s="19" t="str">
        <x:f>IF(AND(B635="Butterfly",J635&gt;0,J635&lt;K635),L635/J635,"n.a.")</x:f>
        <x:v>n.a.</x:v>
      </x:c>
      <x:c r="Q635" s="11" t="n">
        <x:f>J635*'Model inputs'!$B$8</x:f>
        <x:v>-134328</x:v>
      </x:c>
      <x:c r="R635" s="1" t="str">
        <x:v>Flagged leg data</x:v>
      </x:c>
      <x:c r="S635" s="1" t="n">
        <x:v>124</x:v>
      </x:c>
      <x:c r="T635" s="1" t="n">
        <x:v>142</x:v>
      </x:c>
    </x:row>
    <x:row r="636" ht="21" customHeight="1">
      <x:c r="A636" s="12" t="n">
        <x:v>46273</x:v>
      </x:c>
      <x:c r="B636" s="1" t="str">
        <x:v>1x2 ratio</x:v>
      </x:c>
      <x:c r="C636" s="1" t="str">
        <x:v>put</x:v>
      </x:c>
      <x:c r="D636" s="11" t="n">
        <x:v>8900</x:v>
      </x:c>
      <x:c r="E636" s="11" t="n">
        <x:v>8600</x:v>
      </x:c>
      <x:c r="F636" s="11"/>
      <x:c r="G636" s="11" t="n">
        <x:f>'Option source'!B913</x:f>
        <x:v>2022.5</x:v>
      </x:c>
      <x:c r="H636" s="11" t="n">
        <x:f>'Option source'!B898</x:f>
        <x:v>1463.59</x:v>
      </x:c>
      <x:c r="I636" s="11"/>
      <x:c r="J636" s="11" t="n">
        <x:f>G636-2*H636+IF(B636="Butterfly",I636,0)</x:f>
        <x:v>-904.6799999999998</x:v>
      </x:c>
      <x:c r="K636" s="11" t="n">
        <x:f>ABS(E636-D636)</x:f>
        <x:v>300</x:v>
      </x:c>
      <x:c r="L636" s="11" t="n">
        <x:f>K636-J636</x:f>
        <x:v>1204.6799999999998</x:v>
      </x:c>
      <x:c r="M636" s="11" t="n">
        <x:f>IF(B636="Butterfly",MAX(J636,0),IF(C636="call","Unlimited",MAX(2*E636-D636+J636,J636,0)))</x:f>
        <x:v>7395.32</x:v>
      </x:c>
      <x:c r="N636" s="11" t="n">
        <x:f>IF(B636="Butterfly",IF(AND(J636&gt;0,J636&lt;K636),D636+J636,"n.a."),IF(C636="call",IF(AND(J636&gt;0,J636&lt;K636),D636+J636,"n.a."),IF(AND(K636&gt;J636,2*E636-D636+J636&gt;=0),2*E636-D636+J636,"n.a.")))</x:f>
        <x:v>7395.32</x:v>
      </x:c>
      <x:c r="O636" s="11" t="str">
        <x:f>IF(B636="Butterfly",IF(AND(J636&gt;0,J636&lt;K636),F636-J636,"n.a."),IF(C636="call",IF(K636&gt;J636,2*E636-D636-J636,"n.a."),IF(AND(J636&gt;0,J636&lt;K636),D636-J636,"n.a.")))</x:f>
        <x:v>n.a.</x:v>
      </x:c>
      <x:c r="P636" s="19" t="str">
        <x:f>IF(AND(B636="Butterfly",J636&gt;0,J636&lt;K636),L636/J636,"n.a.")</x:f>
        <x:v>n.a.</x:v>
      </x:c>
      <x:c r="Q636" s="11" t="n">
        <x:f>J636*'Model inputs'!$B$8</x:f>
        <x:v>-90467.99999999999</x:v>
      </x:c>
      <x:c r="R636" s="1" t="str">
        <x:v>Flagged leg data</x:v>
      </x:c>
      <x:c r="S636" s="1" t="n">
        <x:v>908</x:v>
      </x:c>
      <x:c r="T636" s="1" t="n">
        <x:v>893</x:v>
      </x:c>
    </x:row>
    <x:row r="637" ht="21" customHeight="1">
      <x:c r="A637" s="12" t="n">
        <x:v>46273</x:v>
      </x:c>
      <x:c r="B637" s="1" t="str">
        <x:v>1x2 ratio</x:v>
      </x:c>
      <x:c r="C637" s="1" t="str">
        <x:v>call</x:v>
      </x:c>
      <x:c r="D637" s="11" t="n">
        <x:v>5200</x:v>
      </x:c>
      <x:c r="E637" s="11" t="n">
        <x:v>5400</x:v>
      </x:c>
      <x:c r="F637" s="11"/>
      <x:c r="G637" s="11" t="n">
        <x:f>'Option source'!B110</x:f>
        <x:v>1880.26</x:v>
      </x:c>
      <x:c r="H637" s="11" t="n">
        <x:f>'Option source'!B129</x:f>
        <x:v>1636.72</x:v>
      </x:c>
      <x:c r="I637" s="11"/>
      <x:c r="J637" s="11" t="n">
        <x:f>G637-2*H637+IF(B637="Butterfly",I637,0)</x:f>
        <x:v>-1393.18</x:v>
      </x:c>
      <x:c r="K637" s="11" t="n">
        <x:f>ABS(E637-D637)</x:f>
        <x:v>200</x:v>
      </x:c>
      <x:c r="L637" s="11" t="n">
        <x:f>K637-J637</x:f>
        <x:v>1593.18</x:v>
      </x:c>
      <x:c r="M637" s="11" t="str">
        <x:f>IF(B637="Butterfly",MAX(J637,0),IF(C637="call","Unlimited",MAX(2*E637-D637+J637,J637,0)))</x:f>
        <x:v>Unlimited</x:v>
      </x:c>
      <x:c r="N637" s="11" t="str">
        <x:f>IF(B637="Butterfly",IF(AND(J637&gt;0,J637&lt;K637),D637+J637,"n.a."),IF(C637="call",IF(AND(J637&gt;0,J637&lt;K637),D637+J637,"n.a."),IF(AND(K637&gt;J637,2*E637-D637+J637&gt;=0),2*E637-D637+J637,"n.a.")))</x:f>
        <x:v>n.a.</x:v>
      </x:c>
      <x:c r="O637" s="11" t="n">
        <x:f>IF(B637="Butterfly",IF(AND(J637&gt;0,J637&lt;K637),F637-J637,"n.a."),IF(C637="call",IF(K637&gt;J637,2*E637-D637-J637,"n.a."),IF(AND(J637&gt;0,J637&lt;K637),D637-J637,"n.a.")))</x:f>
        <x:v>6993.18</x:v>
      </x:c>
      <x:c r="P637" s="19" t="str">
        <x:f>IF(AND(B637="Butterfly",J637&gt;0,J637&lt;K637),L637/J637,"n.a.")</x:f>
        <x:v>n.a.</x:v>
      </x:c>
      <x:c r="Q637" s="11" t="n">
        <x:f>J637*'Model inputs'!$B$8</x:f>
        <x:v>-139318</x:v>
      </x:c>
      <x:c r="R637" s="1" t="str">
        <x:v>Flagged leg data</x:v>
      </x:c>
      <x:c r="S637" s="1" t="n">
        <x:v>105</x:v>
      </x:c>
      <x:c r="T637" s="1" t="n">
        <x:v>124</x:v>
      </x:c>
    </x:row>
    <x:row r="638" ht="21" customHeight="1">
      <x:c r="A638" s="12" t="n">
        <x:v>46273</x:v>
      </x:c>
      <x:c r="B638" s="1" t="str">
        <x:v>1x2 ratio</x:v>
      </x:c>
      <x:c r="C638" s="1" t="str">
        <x:v>call</x:v>
      </x:c>
      <x:c r="D638" s="11" t="n">
        <x:v>5000</x:v>
      </x:c>
      <x:c r="E638" s="11" t="n">
        <x:v>5200</x:v>
      </x:c>
      <x:c r="F638" s="11"/>
      <x:c r="G638" s="11" t="n">
        <x:f>'Option source'!B91</x:f>
        <x:v>2094.25</x:v>
      </x:c>
      <x:c r="H638" s="11" t="n">
        <x:f>'Option source'!B110</x:f>
        <x:v>1880.26</x:v>
      </x:c>
      <x:c r="I638" s="11"/>
      <x:c r="J638" s="11" t="n">
        <x:f>G638-2*H638+IF(B638="Butterfly",I638,0)</x:f>
        <x:v>-1666.27</x:v>
      </x:c>
      <x:c r="K638" s="11" t="n">
        <x:f>ABS(E638-D638)</x:f>
        <x:v>200</x:v>
      </x:c>
      <x:c r="L638" s="11" t="n">
        <x:f>K638-J638</x:f>
        <x:v>1866.27</x:v>
      </x:c>
      <x:c r="M638" s="11" t="str">
        <x:f>IF(B638="Butterfly",MAX(J638,0),IF(C638="call","Unlimited",MAX(2*E638-D638+J638,J638,0)))</x:f>
        <x:v>Unlimited</x:v>
      </x:c>
      <x:c r="N638" s="11" t="str">
        <x:f>IF(B638="Butterfly",IF(AND(J638&gt;0,J638&lt;K638),D638+J638,"n.a."),IF(C638="call",IF(AND(J638&gt;0,J638&lt;K638),D638+J638,"n.a."),IF(AND(K638&gt;J638,2*E638-D638+J638&gt;=0),2*E638-D638+J638,"n.a.")))</x:f>
        <x:v>n.a.</x:v>
      </x:c>
      <x:c r="O638" s="11" t="n">
        <x:f>IF(B638="Butterfly",IF(AND(J638&gt;0,J638&lt;K638),F638-J638,"n.a."),IF(C638="call",IF(K638&gt;J638,2*E638-D638-J638,"n.a."),IF(AND(J638&gt;0,J638&lt;K638),D638-J638,"n.a.")))</x:f>
        <x:v>7066.27</x:v>
      </x:c>
      <x:c r="P638" s="19" t="str">
        <x:f>IF(AND(B638="Butterfly",J638&gt;0,J638&lt;K638),L638/J638,"n.a.")</x:f>
        <x:v>n.a.</x:v>
      </x:c>
      <x:c r="Q638" s="11" t="n">
        <x:f>J638*'Model inputs'!$B$8</x:f>
        <x:v>-166627</x:v>
      </x:c>
      <x:c r="R638" s="1" t="str">
        <x:v>Flagged leg data</x:v>
      </x:c>
      <x:c r="S638" s="1" t="n">
        <x:v>86</x:v>
      </x:c>
      <x:c r="T638" s="1" t="n">
        <x:v>105</x:v>
      </x:c>
    </x:row>
    <x:row r="639" ht="21" customHeight="1">
      <x:c r="A639" s="12" t="n">
        <x:v>46273</x:v>
      </x:c>
      <x:c r="B639" s="1" t="str">
        <x:v>1x2 ratio</x:v>
      </x:c>
      <x:c r="C639" s="1" t="str">
        <x:v>put</x:v>
      </x:c>
      <x:c r="D639" s="11" t="n">
        <x:v>9200</x:v>
      </x:c>
      <x:c r="E639" s="11" t="n">
        <x:v>8900</x:v>
      </x:c>
      <x:c r="F639" s="11"/>
      <x:c r="G639" s="11" t="n">
        <x:f>'Option source'!B920</x:f>
        <x:v>2000</x:v>
      </x:c>
      <x:c r="H639" s="11" t="n">
        <x:f>'Option source'!B913</x:f>
        <x:v>2022.5</x:v>
      </x:c>
      <x:c r="I639" s="11"/>
      <x:c r="J639" s="11" t="n">
        <x:f>G639-2*H639+IF(B639="Butterfly",I639,0)</x:f>
        <x:v>-2045</x:v>
      </x:c>
      <x:c r="K639" s="11" t="n">
        <x:f>ABS(E639-D639)</x:f>
        <x:v>300</x:v>
      </x:c>
      <x:c r="L639" s="11" t="n">
        <x:f>K639-J639</x:f>
        <x:v>2345</x:v>
      </x:c>
      <x:c r="M639" s="11" t="n">
        <x:f>IF(B639="Butterfly",MAX(J639,0),IF(C639="call","Unlimited",MAX(2*E639-D639+J639,J639,0)))</x:f>
        <x:v>6555</x:v>
      </x:c>
      <x:c r="N639" s="11" t="n">
        <x:f>IF(B639="Butterfly",IF(AND(J639&gt;0,J639&lt;K639),D639+J639,"n.a."),IF(C639="call",IF(AND(J639&gt;0,J639&lt;K639),D639+J639,"n.a."),IF(AND(K639&gt;J639,2*E639-D639+J639&gt;=0),2*E639-D639+J639,"n.a.")))</x:f>
        <x:v>6555</x:v>
      </x:c>
      <x:c r="O639" s="11" t="str">
        <x:f>IF(B639="Butterfly",IF(AND(J639&gt;0,J639&lt;K639),F639-J639,"n.a."),IF(C639="call",IF(K639&gt;J639,2*E639-D639-J639,"n.a."),IF(AND(J639&gt;0,J639&lt;K639),D639-J639,"n.a.")))</x:f>
        <x:v>n.a.</x:v>
      </x:c>
      <x:c r="P639" s="19" t="str">
        <x:f>IF(AND(B639="Butterfly",J639&gt;0,J639&lt;K639),L639/J639,"n.a.")</x:f>
        <x:v>n.a.</x:v>
      </x:c>
      <x:c r="Q639" s="11" t="n">
        <x:f>J639*'Model inputs'!$B$8</x:f>
        <x:v>-204500</x:v>
      </x:c>
      <x:c r="R639" s="1" t="str">
        <x:v>Flagged leg data</x:v>
      </x:c>
      <x:c r="S639" s="1" t="n">
        <x:v>915</x:v>
      </x:c>
      <x:c r="T639" s="1" t="n">
        <x:v>908</x:v>
      </x:c>
    </x:row>
    <x:row r="640" ht="21" customHeight="1">
      <x:c r="A640" s="12" t="n">
        <x:v>46273</x:v>
      </x:c>
      <x:c r="B640" s="1" t="str">
        <x:v>1x2 ratio</x:v>
      </x:c>
      <x:c r="C640" s="1" t="str">
        <x:v>call</x:v>
      </x:c>
      <x:c r="D640" s="11" t="n">
        <x:v>4800</x:v>
      </x:c>
      <x:c r="E640" s="11" t="n">
        <x:v>5000</x:v>
      </x:c>
      <x:c r="F640" s="11"/>
      <x:c r="G640" s="11" t="n">
        <x:f>'Option source'!B74</x:f>
        <x:v>2347.98</x:v>
      </x:c>
      <x:c r="H640" s="11" t="n">
        <x:f>'Option source'!B91</x:f>
        <x:v>2094.25</x:v>
      </x:c>
      <x:c r="I640" s="11"/>
      <x:c r="J640" s="11" t="n">
        <x:f>G640-2*H640+IF(B640="Butterfly",I640,0)</x:f>
        <x:v>-1840.52</x:v>
      </x:c>
      <x:c r="K640" s="11" t="n">
        <x:f>ABS(E640-D640)</x:f>
        <x:v>200</x:v>
      </x:c>
      <x:c r="L640" s="11" t="n">
        <x:f>K640-J640</x:f>
        <x:v>2040.52</x:v>
      </x:c>
      <x:c r="M640" s="11" t="str">
        <x:f>IF(B640="Butterfly",MAX(J640,0),IF(C640="call","Unlimited",MAX(2*E640-D640+J640,J640,0)))</x:f>
        <x:v>Unlimited</x:v>
      </x:c>
      <x:c r="N640" s="11" t="str">
        <x:f>IF(B640="Butterfly",IF(AND(J640&gt;0,J640&lt;K640),D640+J640,"n.a."),IF(C640="call",IF(AND(J640&gt;0,J640&lt;K640),D640+J640,"n.a."),IF(AND(K640&gt;J640,2*E640-D640+J640&gt;=0),2*E640-D640+J640,"n.a.")))</x:f>
        <x:v>n.a.</x:v>
      </x:c>
      <x:c r="O640" s="11" t="n">
        <x:f>IF(B640="Butterfly",IF(AND(J640&gt;0,J640&lt;K640),F640-J640,"n.a."),IF(C640="call",IF(K640&gt;J640,2*E640-D640-J640,"n.a."),IF(AND(J640&gt;0,J640&lt;K640),D640-J640,"n.a.")))</x:f>
        <x:v>7040.52</x:v>
      </x:c>
      <x:c r="P640" s="19" t="str">
        <x:f>IF(AND(B640="Butterfly",J640&gt;0,J640&lt;K640),L640/J640,"n.a.")</x:f>
        <x:v>n.a.</x:v>
      </x:c>
      <x:c r="Q640" s="11" t="n">
        <x:f>J640*'Model inputs'!$B$8</x:f>
        <x:v>-184052</x:v>
      </x:c>
      <x:c r="R640" s="1" t="str">
        <x:v>Flagged leg data</x:v>
      </x:c>
      <x:c r="S640" s="1" t="n">
        <x:v>69</x:v>
      </x:c>
      <x:c r="T640" s="1" t="n">
        <x:v>86</x:v>
      </x:c>
    </x:row>
    <x:row r="641" ht="21" customHeight="1">
      <x:c r="A641" s="12" t="n">
        <x:v>46273</x:v>
      </x:c>
      <x:c r="B641" s="1" t="str">
        <x:v>1x2 ratio</x:v>
      </x:c>
      <x:c r="C641" s="1" t="str">
        <x:v>call</x:v>
      </x:c>
      <x:c r="D641" s="11" t="n">
        <x:v>4600</x:v>
      </x:c>
      <x:c r="E641" s="11" t="n">
        <x:v>4800</x:v>
      </x:c>
      <x:c r="F641" s="11"/>
      <x:c r="G641" s="11" t="n">
        <x:f>'Option source'!B57</x:f>
        <x:v>2453.9</x:v>
      </x:c>
      <x:c r="H641" s="11" t="n">
        <x:f>'Option source'!B74</x:f>
        <x:v>2347.98</x:v>
      </x:c>
      <x:c r="I641" s="11"/>
      <x:c r="J641" s="11" t="n">
        <x:f>G641-2*H641+IF(B641="Butterfly",I641,0)</x:f>
        <x:v>-2242.06</x:v>
      </x:c>
      <x:c r="K641" s="11" t="n">
        <x:f>ABS(E641-D641)</x:f>
        <x:v>200</x:v>
      </x:c>
      <x:c r="L641" s="11" t="n">
        <x:f>K641-J641</x:f>
        <x:v>2442.06</x:v>
      </x:c>
      <x:c r="M641" s="11" t="str">
        <x:f>IF(B641="Butterfly",MAX(J641,0),IF(C641="call","Unlimited",MAX(2*E641-D641+J641,J641,0)))</x:f>
        <x:v>Unlimited</x:v>
      </x:c>
      <x:c r="N641" s="11" t="str">
        <x:f>IF(B641="Butterfly",IF(AND(J641&gt;0,J641&lt;K641),D641+J641,"n.a."),IF(C641="call",IF(AND(J641&gt;0,J641&lt;K641),D641+J641,"n.a."),IF(AND(K641&gt;J641,2*E641-D641+J641&gt;=0),2*E641-D641+J641,"n.a.")))</x:f>
        <x:v>n.a.</x:v>
      </x:c>
      <x:c r="O641" s="11" t="n">
        <x:f>IF(B641="Butterfly",IF(AND(J641&gt;0,J641&lt;K641),F641-J641,"n.a."),IF(C641="call",IF(K641&gt;J641,2*E641-D641-J641,"n.a."),IF(AND(J641&gt;0,J641&lt;K641),D641-J641,"n.a.")))</x:f>
        <x:v>7242.0599999999995</x:v>
      </x:c>
      <x:c r="P641" s="19" t="str">
        <x:f>IF(AND(B641="Butterfly",J641&gt;0,J641&lt;K641),L641/J641,"n.a.")</x:f>
        <x:v>n.a.</x:v>
      </x:c>
      <x:c r="Q641" s="11" t="n">
        <x:f>J641*'Model inputs'!$B$8</x:f>
        <x:v>-224206</x:v>
      </x:c>
      <x:c r="R641" s="1" t="str">
        <x:v>Flagged leg data</x:v>
      </x:c>
      <x:c r="S641" s="1" t="n">
        <x:v>52</x:v>
      </x:c>
      <x:c r="T641" s="1" t="n">
        <x:v>69</x:v>
      </x:c>
    </x:row>
    <x:row r="642" ht="21" customHeight="1">
      <x:c r="A642" s="12" t="n">
        <x:v>46273</x:v>
      </x:c>
      <x:c r="B642" s="1" t="str">
        <x:v>1x2 ratio</x:v>
      </x:c>
      <x:c r="C642" s="1" t="str">
        <x:v>call</x:v>
      </x:c>
      <x:c r="D642" s="11" t="n">
        <x:v>4400</x:v>
      </x:c>
      <x:c r="E642" s="11" t="n">
        <x:v>4600</x:v>
      </x:c>
      <x:c r="F642" s="11"/>
      <x:c r="G642" s="11" t="n">
        <x:f>'Option source'!B38</x:f>
        <x:v>2762.2</x:v>
      </x:c>
      <x:c r="H642" s="11" t="n">
        <x:f>'Option source'!B57</x:f>
        <x:v>2453.9</x:v>
      </x:c>
      <x:c r="I642" s="11"/>
      <x:c r="J642" s="11" t="n">
        <x:f>G642-2*H642+IF(B642="Butterfly",I642,0)</x:f>
        <x:v>-2145.6000000000004</x:v>
      </x:c>
      <x:c r="K642" s="11" t="n">
        <x:f>ABS(E642-D642)</x:f>
        <x:v>200</x:v>
      </x:c>
      <x:c r="L642" s="11" t="n">
        <x:f>K642-J642</x:f>
        <x:v>2345.6000000000004</x:v>
      </x:c>
      <x:c r="M642" s="11" t="str">
        <x:f>IF(B642="Butterfly",MAX(J642,0),IF(C642="call","Unlimited",MAX(2*E642-D642+J642,J642,0)))</x:f>
        <x:v>Unlimited</x:v>
      </x:c>
      <x:c r="N642" s="11" t="str">
        <x:f>IF(B642="Butterfly",IF(AND(J642&gt;0,J642&lt;K642),D642+J642,"n.a."),IF(C642="call",IF(AND(J642&gt;0,J642&lt;K642),D642+J642,"n.a."),IF(AND(K642&gt;J642,2*E642-D642+J642&gt;=0),2*E642-D642+J642,"n.a.")))</x:f>
        <x:v>n.a.</x:v>
      </x:c>
      <x:c r="O642" s="11" t="n">
        <x:f>IF(B642="Butterfly",IF(AND(J642&gt;0,J642&lt;K642),F642-J642,"n.a."),IF(C642="call",IF(K642&gt;J642,2*E642-D642-J642,"n.a."),IF(AND(J642&gt;0,J642&lt;K642),D642-J642,"n.a.")))</x:f>
        <x:v>6945.6</x:v>
      </x:c>
      <x:c r="P642" s="19" t="str">
        <x:f>IF(AND(B642="Butterfly",J642&gt;0,J642&lt;K642),L642/J642,"n.a.")</x:f>
        <x:v>n.a.</x:v>
      </x:c>
      <x:c r="Q642" s="11" t="n">
        <x:f>J642*'Model inputs'!$B$8</x:f>
        <x:v>-214560.00000000003</x:v>
      </x:c>
      <x:c r="R642" s="1" t="str">
        <x:v>Flagged leg data</x:v>
      </x:c>
      <x:c r="S642" s="1" t="n">
        <x:v>33</x:v>
      </x:c>
      <x:c r="T642" s="1" t="n">
        <x:v>52</x:v>
      </x:c>
    </x:row>
    <x:row r="643" ht="21" customHeight="1">
      <x:c r="A643" s="12" t="n">
        <x:v>46273</x:v>
      </x:c>
      <x:c r="B643" s="1" t="str">
        <x:v>1x2 ratio</x:v>
      </x:c>
      <x:c r="C643" s="1" t="str">
        <x:v>call</x:v>
      </x:c>
      <x:c r="D643" s="11" t="n">
        <x:v>4200</x:v>
      </x:c>
      <x:c r="E643" s="11" t="n">
        <x:v>4400</x:v>
      </x:c>
      <x:c r="F643" s="11"/>
      <x:c r="G643" s="11" t="n">
        <x:f>'Option source'!B19</x:f>
        <x:v>2845.62</x:v>
      </x:c>
      <x:c r="H643" s="11" t="n">
        <x:f>'Option source'!B38</x:f>
        <x:v>2762.2</x:v>
      </x:c>
      <x:c r="I643" s="11"/>
      <x:c r="J643" s="11" t="n">
        <x:f>G643-2*H643+IF(B643="Butterfly",I643,0)</x:f>
        <x:v>-2678.7799999999997</x:v>
      </x:c>
      <x:c r="K643" s="11" t="n">
        <x:f>ABS(E643-D643)</x:f>
        <x:v>200</x:v>
      </x:c>
      <x:c r="L643" s="11" t="n">
        <x:f>K643-J643</x:f>
        <x:v>2878.7799999999997</x:v>
      </x:c>
      <x:c r="M643" s="11" t="str">
        <x:f>IF(B643="Butterfly",MAX(J643,0),IF(C643="call","Unlimited",MAX(2*E643-D643+J643,J643,0)))</x:f>
        <x:v>Unlimited</x:v>
      </x:c>
      <x:c r="N643" s="11" t="str">
        <x:f>IF(B643="Butterfly",IF(AND(J643&gt;0,J643&lt;K643),D643+J643,"n.a."),IF(C643="call",IF(AND(J643&gt;0,J643&lt;K643),D643+J643,"n.a."),IF(AND(K643&gt;J643,2*E643-D643+J643&gt;=0),2*E643-D643+J643,"n.a.")))</x:f>
        <x:v>n.a.</x:v>
      </x:c>
      <x:c r="O643" s="11" t="n">
        <x:f>IF(B643="Butterfly",IF(AND(J643&gt;0,J643&lt;K643),F643-J643,"n.a."),IF(C643="call",IF(K643&gt;J643,2*E643-D643-J643,"n.a."),IF(AND(J643&gt;0,J643&lt;K643),D643-J643,"n.a.")))</x:f>
        <x:v>7278.78</x:v>
      </x:c>
      <x:c r="P643" s="19" t="str">
        <x:f>IF(AND(B643="Butterfly",J643&gt;0,J643&lt;K643),L643/J643,"n.a.")</x:f>
        <x:v>n.a.</x:v>
      </x:c>
      <x:c r="Q643" s="11" t="n">
        <x:f>J643*'Model inputs'!$B$8</x:f>
        <x:v>-267878</x:v>
      </x:c>
      <x:c r="R643" s="1" t="str">
        <x:v>Flagged leg data</x:v>
      </x:c>
      <x:c r="S643" s="1" t="n">
        <x:v>14</x:v>
      </x:c>
      <x:c r="T643" s="1" t="n">
        <x:v>33</x:v>
      </x:c>
    </x:row>
    <x:row r="644" ht="21" customHeight="1">
      <x:c r="A644" s="12" t="n">
        <x:v>46272</x:v>
      </x:c>
      <x:c r="B644" s="1" t="str">
        <x:v>Butterfly</x:v>
      </x:c>
      <x:c r="C644" s="1" t="str">
        <x:v>call</x:v>
      </x:c>
      <x:c r="D644" s="11" t="n">
        <x:v>6800</x:v>
      </x:c>
      <x:c r="E644" s="11" t="n">
        <x:v>7000</x:v>
      </x:c>
      <x:c r="F644" s="11" t="n">
        <x:v>7200</x:v>
      </x:c>
      <x:c r="G644" s="11" t="n">
        <x:f>'Option source'!B251</x:f>
        <x:v>567</x:v>
      </x:c>
      <x:c r="H644" s="11" t="n">
        <x:f>'Option source'!B270</x:f>
        <x:v>460.71</x:v>
      </x:c>
      <x:c r="I644" s="11" t="n">
        <x:f>'Option source'!B289</x:f>
        <x:v>366.28</x:v>
      </x:c>
      <x:c r="J644" s="11" t="n">
        <x:f>G644-2*H644+IF(B644="Butterfly",I644,0)</x:f>
        <x:v>11.860000000000014</x:v>
      </x:c>
      <x:c r="K644" s="11" t="n">
        <x:f>ABS(E644-D644)</x:f>
        <x:v>200</x:v>
      </x:c>
      <x:c r="L644" s="11" t="n">
        <x:f>K644-J644</x:f>
        <x:v>188.14</x:v>
      </x:c>
      <x:c r="M644" s="11" t="n">
        <x:f>IF(B644="Butterfly",MAX(J644,0),IF(C644="call","Unlimited",MAX(2*E644-D644+J644,J644,0)))</x:f>
        <x:v>11.860000000000014</x:v>
      </x:c>
      <x:c r="N644" s="11" t="n">
        <x:f>IF(B644="Butterfly",IF(AND(J644&gt;0,J644&lt;K644),D644+J644,"n.a."),IF(C644="call",IF(AND(J644&gt;0,J644&lt;K644),D644+J644,"n.a."),IF(AND(K644&gt;J644,2*E644-D644+J644&gt;=0),2*E644-D644+J644,"n.a.")))</x:f>
        <x:v>6811.86</x:v>
      </x:c>
      <x:c r="O644" s="11" t="n">
        <x:f>IF(B644="Butterfly",IF(AND(J644&gt;0,J644&lt;K644),F644-J644,"n.a."),IF(C644="call",IF(K644&gt;J644,2*E644-D644-J644,"n.a."),IF(AND(J644&gt;0,J644&lt;K644),D644-J644,"n.a.")))</x:f>
        <x:v>7188.14</x:v>
      </x:c>
      <x:c r="P644" s="19" t="n">
        <x:f>IF(AND(B644="Butterfly",J644&gt;0,J644&lt;K644),L644/J644,"n.a.")</x:f>
        <x:v>15.863406408094416</x:v>
      </x:c>
      <x:c r="Q644" s="11" t="n">
        <x:f>J644*'Model inputs'!$B$8</x:f>
        <x:v>1186.0000000000014</x:v>
      </x:c>
      <x:c r="R644" s="1" t="str">
        <x:v>Indicative only</x:v>
      </x:c>
      <x:c r="S644" s="1" t="n">
        <x:v>246</x:v>
      </x:c>
      <x:c r="T644" s="1" t="n">
        <x:v>265</x:v>
      </x:c>
    </x:row>
    <x:row r="645" ht="21" customHeight="1">
      <x:c r="A645" s="12" t="n">
        <x:v>46272</x:v>
      </x:c>
      <x:c r="B645" s="1" t="str">
        <x:v>Butterfly</x:v>
      </x:c>
      <x:c r="C645" s="1" t="str">
        <x:v>put</x:v>
      </x:c>
      <x:c r="D645" s="11" t="n">
        <x:v>6800</x:v>
      </x:c>
      <x:c r="E645" s="11" t="n">
        <x:v>7000</x:v>
      </x:c>
      <x:c r="F645" s="11" t="n">
        <x:v>7200</x:v>
      </x:c>
      <x:c r="G645" s="11" t="n">
        <x:f>'Option source'!B745</x:f>
        <x:v>254.66</x:v>
      </x:c>
      <x:c r="H645" s="11" t="n">
        <x:f>'Option source'!B764</x:f>
        <x:v>341.02</x:v>
      </x:c>
      <x:c r="I645" s="11" t="n">
        <x:f>'Option source'!B783</x:f>
        <x:v>455</x:v>
      </x:c>
      <x:c r="J645" s="11" t="n">
        <x:f>G645-2*H645+IF(B645="Butterfly",I645,0)</x:f>
        <x:v>27.620000000000005</x:v>
      </x:c>
      <x:c r="K645" s="11" t="n">
        <x:f>ABS(E645-D645)</x:f>
        <x:v>200</x:v>
      </x:c>
      <x:c r="L645" s="11" t="n">
        <x:f>K645-J645</x:f>
        <x:v>172.38</x:v>
      </x:c>
      <x:c r="M645" s="11" t="n">
        <x:f>IF(B645="Butterfly",MAX(J645,0),IF(C645="call","Unlimited",MAX(2*E645-D645+J645,J645,0)))</x:f>
        <x:v>27.620000000000005</x:v>
      </x:c>
      <x:c r="N645" s="11" t="n">
        <x:f>IF(B645="Butterfly",IF(AND(J645&gt;0,J645&lt;K645),D645+J645,"n.a."),IF(C645="call",IF(AND(J645&gt;0,J645&lt;K645),D645+J645,"n.a."),IF(AND(K645&gt;J645,2*E645-D645+J645&gt;=0),2*E645-D645+J645,"n.a.")))</x:f>
        <x:v>6827.62</x:v>
      </x:c>
      <x:c r="O645" s="11" t="n">
        <x:f>IF(B645="Butterfly",IF(AND(J645&gt;0,J645&lt;K645),F645-J645,"n.a."),IF(C645="call",IF(K645&gt;J645,2*E645-D645-J645,"n.a."),IF(AND(J645&gt;0,J645&lt;K645),D645-J645,"n.a.")))</x:f>
        <x:v>7172.38</x:v>
      </x:c>
      <x:c r="P645" s="19" t="n">
        <x:f>IF(AND(B645="Butterfly",J645&gt;0,J645&lt;K645),L645/J645,"n.a.")</x:f>
        <x:v>6.241129616220129</x:v>
      </x:c>
      <x:c r="Q645" s="11" t="n">
        <x:f>J645*'Model inputs'!$B$8</x:f>
        <x:v>2762.0000000000005</x:v>
      </x:c>
      <x:c r="R645" s="1" t="str">
        <x:v>Indicative only</x:v>
      </x:c>
      <x:c r="S645" s="1" t="n">
        <x:v>740</x:v>
      </x:c>
      <x:c r="T645" s="1" t="n">
        <x:v>759</x:v>
      </x:c>
    </x:row>
    <x:row r="646" ht="21" customHeight="1">
      <x:c r="A646" s="12" t="n">
        <x:v>46272</x:v>
      </x:c>
      <x:c r="B646" s="1" t="str">
        <x:v>Butterfly</x:v>
      </x:c>
      <x:c r="C646" s="1" t="str">
        <x:v>call</x:v>
      </x:c>
      <x:c r="D646" s="11" t="n">
        <x:v>6600</x:v>
      </x:c>
      <x:c r="E646" s="11" t="n">
        <x:v>6800</x:v>
      </x:c>
      <x:c r="F646" s="11" t="n">
        <x:v>7000</x:v>
      </x:c>
      <x:c r="G646" s="11" t="n">
        <x:f>'Option source'!B232</x:f>
        <x:v>687.1</x:v>
      </x:c>
      <x:c r="H646" s="11" t="n">
        <x:f>'Option source'!B251</x:f>
        <x:v>567</x:v>
      </x:c>
      <x:c r="I646" s="11" t="n">
        <x:f>'Option source'!B270</x:f>
        <x:v>460.71</x:v>
      </x:c>
      <x:c r="J646" s="11" t="n">
        <x:f>G646-2*H646+IF(B646="Butterfly",I646,0)</x:f>
        <x:v>13.810000000000002</x:v>
      </x:c>
      <x:c r="K646" s="11" t="n">
        <x:f>ABS(E646-D646)</x:f>
        <x:v>200</x:v>
      </x:c>
      <x:c r="L646" s="11" t="n">
        <x:f>K646-J646</x:f>
        <x:v>186.19</x:v>
      </x:c>
      <x:c r="M646" s="11" t="n">
        <x:f>IF(B646="Butterfly",MAX(J646,0),IF(C646="call","Unlimited",MAX(2*E646-D646+J646,J646,0)))</x:f>
        <x:v>13.810000000000002</x:v>
      </x:c>
      <x:c r="N646" s="11" t="n">
        <x:f>IF(B646="Butterfly",IF(AND(J646&gt;0,J646&lt;K646),D646+J646,"n.a."),IF(C646="call",IF(AND(J646&gt;0,J646&lt;K646),D646+J646,"n.a."),IF(AND(K646&gt;J646,2*E646-D646+J646&gt;=0),2*E646-D646+J646,"n.a.")))</x:f>
        <x:v>6613.81</x:v>
      </x:c>
      <x:c r="O646" s="11" t="n">
        <x:f>IF(B646="Butterfly",IF(AND(J646&gt;0,J646&lt;K646),F646-J646,"n.a."),IF(C646="call",IF(K646&gt;J646,2*E646-D646-J646,"n.a."),IF(AND(J646&gt;0,J646&lt;K646),D646-J646,"n.a.")))</x:f>
        <x:v>6986.19</x:v>
      </x:c>
      <x:c r="P646" s="19" t="n">
        <x:f>IF(AND(B646="Butterfly",J646&gt;0,J646&lt;K646),L646/J646,"n.a.")</x:f>
        <x:v>13.482259232440258</x:v>
      </x:c>
      <x:c r="Q646" s="11" t="n">
        <x:f>J646*'Model inputs'!$B$8</x:f>
        <x:v>1381.0000000000002</x:v>
      </x:c>
      <x:c r="R646" s="1" t="str">
        <x:v>Indicative only</x:v>
      </x:c>
      <x:c r="S646" s="1" t="n">
        <x:v>227</x:v>
      </x:c>
      <x:c r="T646" s="1" t="n">
        <x:v>246</x:v>
      </x:c>
    </x:row>
    <x:row r="647" ht="21" customHeight="1">
      <x:c r="A647" s="12" t="n">
        <x:v>46272</x:v>
      </x:c>
      <x:c r="B647" s="1" t="str">
        <x:v>Butterfly</x:v>
      </x:c>
      <x:c r="C647" s="1" t="str">
        <x:v>put</x:v>
      </x:c>
      <x:c r="D647" s="11" t="n">
        <x:v>6600</x:v>
      </x:c>
      <x:c r="E647" s="11" t="n">
        <x:v>6800</x:v>
      </x:c>
      <x:c r="F647" s="11" t="n">
        <x:v>7000</x:v>
      </x:c>
      <x:c r="G647" s="11" t="n">
        <x:f>'Option source'!B726</x:f>
        <x:v>180.32</x:v>
      </x:c>
      <x:c r="H647" s="11" t="n">
        <x:f>'Option source'!B745</x:f>
        <x:v>254.66</x:v>
      </x:c>
      <x:c r="I647" s="11" t="n">
        <x:f>'Option source'!B764</x:f>
        <x:v>341.02</x:v>
      </x:c>
      <x:c r="J647" s="11" t="n">
        <x:f>G647-2*H647+IF(B647="Butterfly",I647,0)</x:f>
        <x:v>12.019999999999982</x:v>
      </x:c>
      <x:c r="K647" s="11" t="n">
        <x:f>ABS(E647-D647)</x:f>
        <x:v>200</x:v>
      </x:c>
      <x:c r="L647" s="11" t="n">
        <x:f>K647-J647</x:f>
        <x:v>187.98000000000002</x:v>
      </x:c>
      <x:c r="M647" s="11" t="n">
        <x:f>IF(B647="Butterfly",MAX(J647,0),IF(C647="call","Unlimited",MAX(2*E647-D647+J647,J647,0)))</x:f>
        <x:v>12.019999999999982</x:v>
      </x:c>
      <x:c r="N647" s="11" t="n">
        <x:f>IF(B647="Butterfly",IF(AND(J647&gt;0,J647&lt;K647),D647+J647,"n.a."),IF(C647="call",IF(AND(J647&gt;0,J647&lt;K647),D647+J647,"n.a."),IF(AND(K647&gt;J647,2*E647-D647+J647&gt;=0),2*E647-D647+J647,"n.a.")))</x:f>
        <x:v>6612.02</x:v>
      </x:c>
      <x:c r="O647" s="11" t="n">
        <x:f>IF(B647="Butterfly",IF(AND(J647&gt;0,J647&lt;K647),F647-J647,"n.a."),IF(C647="call",IF(K647&gt;J647,2*E647-D647-J647,"n.a."),IF(AND(J647&gt;0,J647&lt;K647),D647-J647,"n.a.")))</x:f>
        <x:v>6987.98</x:v>
      </x:c>
      <x:c r="P647" s="19" t="n">
        <x:f>IF(AND(B647="Butterfly",J647&gt;0,J647&lt;K647),L647/J647,"n.a.")</x:f>
        <x:v>15.638935108153103</x:v>
      </x:c>
      <x:c r="Q647" s="11" t="n">
        <x:f>J647*'Model inputs'!$B$8</x:f>
        <x:v>1201.9999999999982</x:v>
      </x:c>
      <x:c r="R647" s="1" t="str">
        <x:v>Indicative only</x:v>
      </x:c>
      <x:c r="S647" s="1" t="n">
        <x:v>721</x:v>
      </x:c>
      <x:c r="T647" s="1" t="n">
        <x:v>740</x:v>
      </x:c>
    </x:row>
    <x:row r="648" ht="21" customHeight="1">
      <x:c r="A648" s="12" t="n">
        <x:v>46272</x:v>
      </x:c>
      <x:c r="B648" s="1" t="str">
        <x:v>Butterfly</x:v>
      </x:c>
      <x:c r="C648" s="1" t="str">
        <x:v>call</x:v>
      </x:c>
      <x:c r="D648" s="11" t="n">
        <x:v>7000</x:v>
      </x:c>
      <x:c r="E648" s="11" t="n">
        <x:v>7200</x:v>
      </x:c>
      <x:c r="F648" s="11" t="n">
        <x:v>7400</x:v>
      </x:c>
      <x:c r="G648" s="11" t="n">
        <x:f>'Option source'!B270</x:f>
        <x:v>460.71</x:v>
      </x:c>
      <x:c r="H648" s="11" t="n">
        <x:f>'Option source'!B289</x:f>
        <x:v>366.28</x:v>
      </x:c>
      <x:c r="I648" s="11" t="n">
        <x:f>'Option source'!B308</x:f>
        <x:v>286.38</x:v>
      </x:c>
      <x:c r="J648" s="11" t="n">
        <x:f>G648-2*H648+IF(B648="Butterfly",I648,0)</x:f>
        <x:v>14.53000000000003</x:v>
      </x:c>
      <x:c r="K648" s="11" t="n">
        <x:f>ABS(E648-D648)</x:f>
        <x:v>200</x:v>
      </x:c>
      <x:c r="L648" s="11" t="n">
        <x:f>K648-J648</x:f>
        <x:v>185.46999999999997</x:v>
      </x:c>
      <x:c r="M648" s="11" t="n">
        <x:f>IF(B648="Butterfly",MAX(J648,0),IF(C648="call","Unlimited",MAX(2*E648-D648+J648,J648,0)))</x:f>
        <x:v>14.53000000000003</x:v>
      </x:c>
      <x:c r="N648" s="11" t="n">
        <x:f>IF(B648="Butterfly",IF(AND(J648&gt;0,J648&lt;K648),D648+J648,"n.a."),IF(C648="call",IF(AND(J648&gt;0,J648&lt;K648),D648+J648,"n.a."),IF(AND(K648&gt;J648,2*E648-D648+J648&gt;=0),2*E648-D648+J648,"n.a.")))</x:f>
        <x:v>7014.53</x:v>
      </x:c>
      <x:c r="O648" s="11" t="n">
        <x:f>IF(B648="Butterfly",IF(AND(J648&gt;0,J648&lt;K648),F648-J648,"n.a."),IF(C648="call",IF(K648&gt;J648,2*E648-D648-J648,"n.a."),IF(AND(J648&gt;0,J648&lt;K648),D648-J648,"n.a.")))</x:f>
        <x:v>7385.47</x:v>
      </x:c>
      <x:c r="P648" s="19" t="n">
        <x:f>IF(AND(B648="Butterfly",J648&gt;0,J648&lt;K648),L648/J648,"n.a.")</x:f>
        <x:v>12.764624913971065</x:v>
      </x:c>
      <x:c r="Q648" s="11" t="n">
        <x:f>J648*'Model inputs'!$B$8</x:f>
        <x:v>1453.000000000003</x:v>
      </x:c>
      <x:c r="R648" s="1" t="str">
        <x:v>Indicative only</x:v>
      </x:c>
      <x:c r="S648" s="1" t="n">
        <x:v>265</x:v>
      </x:c>
      <x:c r="T648" s="1" t="n">
        <x:v>284</x:v>
      </x:c>
    </x:row>
    <x:row r="649" ht="21" customHeight="1">
      <x:c r="A649" s="12" t="n">
        <x:v>46272</x:v>
      </x:c>
      <x:c r="B649" s="1" t="str">
        <x:v>Butterfly</x:v>
      </x:c>
      <x:c r="C649" s="1" t="str">
        <x:v>call</x:v>
      </x:c>
      <x:c r="D649" s="11" t="n">
        <x:v>6400</x:v>
      </x:c>
      <x:c r="E649" s="11" t="n">
        <x:v>6600</x:v>
      </x:c>
      <x:c r="F649" s="11" t="n">
        <x:v>6800</x:v>
      </x:c>
      <x:c r="G649" s="11" t="n">
        <x:f>'Option source'!B213</x:f>
        <x:v>829</x:v>
      </x:c>
      <x:c r="H649" s="11" t="n">
        <x:f>'Option source'!B232</x:f>
        <x:v>687.1</x:v>
      </x:c>
      <x:c r="I649" s="11" t="n">
        <x:f>'Option source'!B251</x:f>
        <x:v>567</x:v>
      </x:c>
      <x:c r="J649" s="11" t="n">
        <x:f>G649-2*H649+IF(B649="Butterfly",I649,0)</x:f>
        <x:v>21.799999999999955</x:v>
      </x:c>
      <x:c r="K649" s="11" t="n">
        <x:f>ABS(E649-D649)</x:f>
        <x:v>200</x:v>
      </x:c>
      <x:c r="L649" s="11" t="n">
        <x:f>K649-J649</x:f>
        <x:v>178.20000000000005</x:v>
      </x:c>
      <x:c r="M649" s="11" t="n">
        <x:f>IF(B649="Butterfly",MAX(J649,0),IF(C649="call","Unlimited",MAX(2*E649-D649+J649,J649,0)))</x:f>
        <x:v>21.799999999999955</x:v>
      </x:c>
      <x:c r="N649" s="11" t="n">
        <x:f>IF(B649="Butterfly",IF(AND(J649&gt;0,J649&lt;K649),D649+J649,"n.a."),IF(C649="call",IF(AND(J649&gt;0,J649&lt;K649),D649+J649,"n.a."),IF(AND(K649&gt;J649,2*E649-D649+J649&gt;=0),2*E649-D649+J649,"n.a.")))</x:f>
        <x:v>6421.8</x:v>
      </x:c>
      <x:c r="O649" s="11" t="n">
        <x:f>IF(B649="Butterfly",IF(AND(J649&gt;0,J649&lt;K649),F649-J649,"n.a."),IF(C649="call",IF(K649&gt;J649,2*E649-D649-J649,"n.a."),IF(AND(J649&gt;0,J649&lt;K649),D649-J649,"n.a.")))</x:f>
        <x:v>6778.2</x:v>
      </x:c>
      <x:c r="P649" s="19" t="n">
        <x:f>IF(AND(B649="Butterfly",J649&gt;0,J649&lt;K649),L649/J649,"n.a.")</x:f>
        <x:v>8.174311926605524</x:v>
      </x:c>
      <x:c r="Q649" s="11" t="n">
        <x:f>J649*'Model inputs'!$B$8</x:f>
        <x:v>2179.9999999999955</x:v>
      </x:c>
      <x:c r="R649" s="1" t="str">
        <x:v>Indicative only</x:v>
      </x:c>
      <x:c r="S649" s="1" t="n">
        <x:v>208</x:v>
      </x:c>
      <x:c r="T649" s="1" t="n">
        <x:v>227</x:v>
      </x:c>
    </x:row>
    <x:row r="650" ht="21" customHeight="1">
      <x:c r="A650" s="12" t="n">
        <x:v>46272</x:v>
      </x:c>
      <x:c r="B650" s="1" t="str">
        <x:v>Butterfly</x:v>
      </x:c>
      <x:c r="C650" s="1" t="str">
        <x:v>put</x:v>
      </x:c>
      <x:c r="D650" s="11" t="n">
        <x:v>6400</x:v>
      </x:c>
      <x:c r="E650" s="11" t="n">
        <x:v>6600</x:v>
      </x:c>
      <x:c r="F650" s="11" t="n">
        <x:v>6800</x:v>
      </x:c>
      <x:c r="G650" s="11" t="n">
        <x:f>'Option source'!B707</x:f>
        <x:v>124.24</x:v>
      </x:c>
      <x:c r="H650" s="11" t="n">
        <x:f>'Option source'!B726</x:f>
        <x:v>180.32</x:v>
      </x:c>
      <x:c r="I650" s="11" t="n">
        <x:f>'Option source'!B745</x:f>
        <x:v>254.66</x:v>
      </x:c>
      <x:c r="J650" s="11" t="n">
        <x:f>G650-2*H650+IF(B650="Butterfly",I650,0)</x:f>
        <x:v>18.26000000000002</x:v>
      </x:c>
      <x:c r="K650" s="11" t="n">
        <x:f>ABS(E650-D650)</x:f>
        <x:v>200</x:v>
      </x:c>
      <x:c r="L650" s="11" t="n">
        <x:f>K650-J650</x:f>
        <x:v>181.73999999999998</x:v>
      </x:c>
      <x:c r="M650" s="11" t="n">
        <x:f>IF(B650="Butterfly",MAX(J650,0),IF(C650="call","Unlimited",MAX(2*E650-D650+J650,J650,0)))</x:f>
        <x:v>18.26000000000002</x:v>
      </x:c>
      <x:c r="N650" s="11" t="n">
        <x:f>IF(B650="Butterfly",IF(AND(J650&gt;0,J650&lt;K650),D650+J650,"n.a."),IF(C650="call",IF(AND(J650&gt;0,J650&lt;K650),D650+J650,"n.a."),IF(AND(K650&gt;J650,2*E650-D650+J650&gt;=0),2*E650-D650+J650,"n.a.")))</x:f>
        <x:v>6418.26</x:v>
      </x:c>
      <x:c r="O650" s="11" t="n">
        <x:f>IF(B650="Butterfly",IF(AND(J650&gt;0,J650&lt;K650),F650-J650,"n.a."),IF(C650="call",IF(K650&gt;J650,2*E650-D650-J650,"n.a."),IF(AND(J650&gt;0,J650&lt;K650),D650-J650,"n.a.")))</x:f>
        <x:v>6781.74</x:v>
      </x:c>
      <x:c r="P650" s="19" t="n">
        <x:f>IF(AND(B650="Butterfly",J650&gt;0,J650&lt;K650),L650/J650,"n.a.")</x:f>
        <x:v>9.952902519167568</x:v>
      </x:c>
      <x:c r="Q650" s="11" t="n">
        <x:f>J650*'Model inputs'!$B$8</x:f>
        <x:v>1826.0000000000018</x:v>
      </x:c>
      <x:c r="R650" s="1" t="str">
        <x:v>Indicative only</x:v>
      </x:c>
      <x:c r="S650" s="1" t="n">
        <x:v>702</x:v>
      </x:c>
      <x:c r="T650" s="1" t="n">
        <x:v>721</x:v>
      </x:c>
    </x:row>
    <x:row r="651" ht="21" customHeight="1">
      <x:c r="A651" s="12" t="n">
        <x:v>46272</x:v>
      </x:c>
      <x:c r="B651" s="1" t="str">
        <x:v>Butterfly</x:v>
      </x:c>
      <x:c r="C651" s="1" t="str">
        <x:v>call</x:v>
      </x:c>
      <x:c r="D651" s="11" t="n">
        <x:v>7200</x:v>
      </x:c>
      <x:c r="E651" s="11" t="n">
        <x:v>7400</x:v>
      </x:c>
      <x:c r="F651" s="11" t="n">
        <x:v>7600</x:v>
      </x:c>
      <x:c r="G651" s="11" t="n">
        <x:f>'Option source'!B289</x:f>
        <x:v>366.28</x:v>
      </x:c>
      <x:c r="H651" s="11" t="n">
        <x:f>'Option source'!B308</x:f>
        <x:v>286.38</x:v>
      </x:c>
      <x:c r="I651" s="11" t="n">
        <x:f>'Option source'!B327</x:f>
        <x:v>221.81</x:v>
      </x:c>
      <x:c r="J651" s="11" t="n">
        <x:f>G651-2*H651+IF(B651="Butterfly",I651,0)</x:f>
        <x:v>15.329999999999984</x:v>
      </x:c>
      <x:c r="K651" s="11" t="n">
        <x:f>ABS(E651-D651)</x:f>
        <x:v>200</x:v>
      </x:c>
      <x:c r="L651" s="11" t="n">
        <x:f>K651-J651</x:f>
        <x:v>184.67000000000002</x:v>
      </x:c>
      <x:c r="M651" s="11" t="n">
        <x:f>IF(B651="Butterfly",MAX(J651,0),IF(C651="call","Unlimited",MAX(2*E651-D651+J651,J651,0)))</x:f>
        <x:v>15.329999999999984</x:v>
      </x:c>
      <x:c r="N651" s="11" t="n">
        <x:f>IF(B651="Butterfly",IF(AND(J651&gt;0,J651&lt;K651),D651+J651,"n.a."),IF(C651="call",IF(AND(J651&gt;0,J651&lt;K651),D651+J651,"n.a."),IF(AND(K651&gt;J651,2*E651-D651+J651&gt;=0),2*E651-D651+J651,"n.a.")))</x:f>
        <x:v>7215.33</x:v>
      </x:c>
      <x:c r="O651" s="11" t="n">
        <x:f>IF(B651="Butterfly",IF(AND(J651&gt;0,J651&lt;K651),F651-J651,"n.a."),IF(C651="call",IF(K651&gt;J651,2*E651-D651-J651,"n.a."),IF(AND(J651&gt;0,J651&lt;K651),D651-J651,"n.a.")))</x:f>
        <x:v>7584.67</x:v>
      </x:c>
      <x:c r="P651" s="19" t="n">
        <x:f>IF(AND(B651="Butterfly",J651&gt;0,J651&lt;K651),L651/J651,"n.a.")</x:f>
        <x:v>12.046314416177443</x:v>
      </x:c>
      <x:c r="Q651" s="11" t="n">
        <x:f>J651*'Model inputs'!$B$8</x:f>
        <x:v>1532.9999999999984</x:v>
      </x:c>
      <x:c r="R651" s="1" t="str">
        <x:v>Indicative only</x:v>
      </x:c>
      <x:c r="S651" s="1" t="n">
        <x:v>284</x:v>
      </x:c>
      <x:c r="T651" s="1" t="n">
        <x:v>303</x:v>
      </x:c>
    </x:row>
    <x:row r="652" ht="21" customHeight="1">
      <x:c r="A652" s="12" t="n">
        <x:v>46272</x:v>
      </x:c>
      <x:c r="B652" s="1" t="str">
        <x:v>Butterfly</x:v>
      </x:c>
      <x:c r="C652" s="1" t="str">
        <x:v>put</x:v>
      </x:c>
      <x:c r="D652" s="11" t="n">
        <x:v>6200</x:v>
      </x:c>
      <x:c r="E652" s="11" t="n">
        <x:v>6400</x:v>
      </x:c>
      <x:c r="F652" s="11" t="n">
        <x:v>6600</x:v>
      </x:c>
      <x:c r="G652" s="11" t="n">
        <x:f>'Option source'!B688</x:f>
        <x:v>81.09</x:v>
      </x:c>
      <x:c r="H652" s="11" t="n">
        <x:f>'Option source'!B707</x:f>
        <x:v>124.24</x:v>
      </x:c>
      <x:c r="I652" s="11" t="n">
        <x:f>'Option source'!B726</x:f>
        <x:v>180.32</x:v>
      </x:c>
      <x:c r="J652" s="11" t="n">
        <x:f>G652-2*H652+IF(B652="Butterfly",I652,0)</x:f>
        <x:v>12.930000000000007</x:v>
      </x:c>
      <x:c r="K652" s="11" t="n">
        <x:f>ABS(E652-D652)</x:f>
        <x:v>200</x:v>
      </x:c>
      <x:c r="L652" s="11" t="n">
        <x:f>K652-J652</x:f>
        <x:v>187.07</x:v>
      </x:c>
      <x:c r="M652" s="11" t="n">
        <x:f>IF(B652="Butterfly",MAX(J652,0),IF(C652="call","Unlimited",MAX(2*E652-D652+J652,J652,0)))</x:f>
        <x:v>12.930000000000007</x:v>
      </x:c>
      <x:c r="N652" s="11" t="n">
        <x:f>IF(B652="Butterfly",IF(AND(J652&gt;0,J652&lt;K652),D652+J652,"n.a."),IF(C652="call",IF(AND(J652&gt;0,J652&lt;K652),D652+J652,"n.a."),IF(AND(K652&gt;J652,2*E652-D652+J652&gt;=0),2*E652-D652+J652,"n.a.")))</x:f>
        <x:v>6212.93</x:v>
      </x:c>
      <x:c r="O652" s="11" t="n">
        <x:f>IF(B652="Butterfly",IF(AND(J652&gt;0,J652&lt;K652),F652-J652,"n.a."),IF(C652="call",IF(K652&gt;J652,2*E652-D652-J652,"n.a."),IF(AND(J652&gt;0,J652&lt;K652),D652-J652,"n.a.")))</x:f>
        <x:v>6587.07</x:v>
      </x:c>
      <x:c r="P652" s="19" t="n">
        <x:f>IF(AND(B652="Butterfly",J652&gt;0,J652&lt;K652),L652/J652,"n.a.")</x:f>
        <x:v>14.467904098994579</x:v>
      </x:c>
      <x:c r="Q652" s="11" t="n">
        <x:f>J652*'Model inputs'!$B$8</x:f>
        <x:v>1293.0000000000007</x:v>
      </x:c>
      <x:c r="R652" s="1" t="str">
        <x:v>Indicative only</x:v>
      </x:c>
      <x:c r="S652" s="1" t="n">
        <x:v>683</x:v>
      </x:c>
      <x:c r="T652" s="1" t="n">
        <x:v>702</x:v>
      </x:c>
    </x:row>
    <x:row r="653" ht="21" customHeight="1">
      <x:c r="A653" s="12" t="n">
        <x:v>46272</x:v>
      </x:c>
      <x:c r="B653" s="1" t="str">
        <x:v>Butterfly</x:v>
      </x:c>
      <x:c r="C653" s="1" t="str">
        <x:v>call</x:v>
      </x:c>
      <x:c r="D653" s="11" t="n">
        <x:v>7400</x:v>
      </x:c>
      <x:c r="E653" s="11" t="n">
        <x:v>7600</x:v>
      </x:c>
      <x:c r="F653" s="11" t="n">
        <x:v>7800</x:v>
      </x:c>
      <x:c r="G653" s="11" t="n">
        <x:f>'Option source'!B308</x:f>
        <x:v>286.38</x:v>
      </x:c>
      <x:c r="H653" s="11" t="n">
        <x:f>'Option source'!B327</x:f>
        <x:v>221.81</x:v>
      </x:c>
      <x:c r="I653" s="11" t="n">
        <x:f>'Option source'!B346</x:f>
        <x:v>170.27</x:v>
      </x:c>
      <x:c r="J653" s="11" t="n">
        <x:f>G653-2*H653+IF(B653="Butterfly",I653,0)</x:f>
        <x:v>13.030000000000001</x:v>
      </x:c>
      <x:c r="K653" s="11" t="n">
        <x:f>ABS(E653-D653)</x:f>
        <x:v>200</x:v>
      </x:c>
      <x:c r="L653" s="11" t="n">
        <x:f>K653-J653</x:f>
        <x:v>186.97</x:v>
      </x:c>
      <x:c r="M653" s="11" t="n">
        <x:f>IF(B653="Butterfly",MAX(J653,0),IF(C653="call","Unlimited",MAX(2*E653-D653+J653,J653,0)))</x:f>
        <x:v>13.030000000000001</x:v>
      </x:c>
      <x:c r="N653" s="11" t="n">
        <x:f>IF(B653="Butterfly",IF(AND(J653&gt;0,J653&lt;K653),D653+J653,"n.a."),IF(C653="call",IF(AND(J653&gt;0,J653&lt;K653),D653+J653,"n.a."),IF(AND(K653&gt;J653,2*E653-D653+J653&gt;=0),2*E653-D653+J653,"n.a.")))</x:f>
        <x:v>7413.03</x:v>
      </x:c>
      <x:c r="O653" s="11" t="n">
        <x:f>IF(B653="Butterfly",IF(AND(J653&gt;0,J653&lt;K653),F653-J653,"n.a."),IF(C653="call",IF(K653&gt;J653,2*E653-D653-J653,"n.a."),IF(AND(J653&gt;0,J653&lt;K653),D653-J653,"n.a.")))</x:f>
        <x:v>7786.97</x:v>
      </x:c>
      <x:c r="P653" s="19" t="n">
        <x:f>IF(AND(B653="Butterfly",J653&gt;0,J653&lt;K653),L653/J653,"n.a.")</x:f>
        <x:v>14.349194167306216</x:v>
      </x:c>
      <x:c r="Q653" s="11" t="n">
        <x:f>J653*'Model inputs'!$B$8</x:f>
        <x:v>1303</x:v>
      </x:c>
      <x:c r="R653" s="1" t="str">
        <x:v>Indicative only</x:v>
      </x:c>
      <x:c r="S653" s="1" t="n">
        <x:v>303</x:v>
      </x:c>
      <x:c r="T653" s="1" t="n">
        <x:v>322</x:v>
      </x:c>
    </x:row>
    <x:row r="654" ht="21" customHeight="1">
      <x:c r="A654" s="12" t="n">
        <x:v>46272</x:v>
      </x:c>
      <x:c r="B654" s="1" t="str">
        <x:v>Butterfly</x:v>
      </x:c>
      <x:c r="C654" s="1" t="str">
        <x:v>put</x:v>
      </x:c>
      <x:c r="D654" s="11" t="n">
        <x:v>6000</x:v>
      </x:c>
      <x:c r="E654" s="11" t="n">
        <x:v>6200</x:v>
      </x:c>
      <x:c r="F654" s="11" t="n">
        <x:v>6400</x:v>
      </x:c>
      <x:c r="G654" s="11" t="n">
        <x:f>'Option source'!B669</x:f>
        <x:v>49.14</x:v>
      </x:c>
      <x:c r="H654" s="11" t="n">
        <x:f>'Option source'!B688</x:f>
        <x:v>81.09</x:v>
      </x:c>
      <x:c r="I654" s="11" t="n">
        <x:f>'Option source'!B707</x:f>
        <x:v>124.24</x:v>
      </x:c>
      <x:c r="J654" s="11" t="n">
        <x:f>G654-2*H654+IF(B654="Butterfly",I654,0)</x:f>
        <x:v>11.199999999999989</x:v>
      </x:c>
      <x:c r="K654" s="11" t="n">
        <x:f>ABS(E654-D654)</x:f>
        <x:v>200</x:v>
      </x:c>
      <x:c r="L654" s="11" t="n">
        <x:f>K654-J654</x:f>
        <x:v>188.8</x:v>
      </x:c>
      <x:c r="M654" s="11" t="n">
        <x:f>IF(B654="Butterfly",MAX(J654,0),IF(C654="call","Unlimited",MAX(2*E654-D654+J654,J654,0)))</x:f>
        <x:v>11.199999999999989</x:v>
      </x:c>
      <x:c r="N654" s="11" t="n">
        <x:f>IF(B654="Butterfly",IF(AND(J654&gt;0,J654&lt;K654),D654+J654,"n.a."),IF(C654="call",IF(AND(J654&gt;0,J654&lt;K654),D654+J654,"n.a."),IF(AND(K654&gt;J654,2*E654-D654+J654&gt;=0),2*E654-D654+J654,"n.a.")))</x:f>
        <x:v>6011.2</x:v>
      </x:c>
      <x:c r="O654" s="11" t="n">
        <x:f>IF(B654="Butterfly",IF(AND(J654&gt;0,J654&lt;K654),F654-J654,"n.a."),IF(C654="call",IF(K654&gt;J654,2*E654-D654-J654,"n.a."),IF(AND(J654&gt;0,J654&lt;K654),D654-J654,"n.a.")))</x:f>
        <x:v>6388.8</x:v>
      </x:c>
      <x:c r="P654" s="19" t="n">
        <x:f>IF(AND(B654="Butterfly",J654&gt;0,J654&lt;K654),L654/J654,"n.a.")</x:f>
        <x:v>16.857142857142875</x:v>
      </x:c>
      <x:c r="Q654" s="11" t="n">
        <x:f>J654*'Model inputs'!$B$8</x:f>
        <x:v>1119.9999999999989</x:v>
      </x:c>
      <x:c r="R654" s="1" t="str">
        <x:v>Indicative only</x:v>
      </x:c>
      <x:c r="S654" s="1" t="n">
        <x:v>664</x:v>
      </x:c>
      <x:c r="T654" s="1" t="n">
        <x:v>683</x:v>
      </x:c>
    </x:row>
    <x:row r="655" ht="21" customHeight="1">
      <x:c r="A655" s="12" t="n">
        <x:v>46272</x:v>
      </x:c>
      <x:c r="B655" s="1" t="str">
        <x:v>Butterfly</x:v>
      </x:c>
      <x:c r="C655" s="1" t="str">
        <x:v>call</x:v>
      </x:c>
      <x:c r="D655" s="11" t="n">
        <x:v>7600</x:v>
      </x:c>
      <x:c r="E655" s="11" t="n">
        <x:v>7800</x:v>
      </x:c>
      <x:c r="F655" s="11" t="n">
        <x:v>8000</x:v>
      </x:c>
      <x:c r="G655" s="11" t="n">
        <x:f>'Option source'!B327</x:f>
        <x:v>221.81</x:v>
      </x:c>
      <x:c r="H655" s="11" t="n">
        <x:f>'Option source'!B346</x:f>
        <x:v>170.27</x:v>
      </x:c>
      <x:c r="I655" s="11" t="n">
        <x:f>'Option source'!B365</x:f>
        <x:v>129.99</x:v>
      </x:c>
      <x:c r="J655" s="11" t="n">
        <x:f>G655-2*H655+IF(B655="Butterfly",I655,0)</x:f>
        <x:v>11.259999999999991</x:v>
      </x:c>
      <x:c r="K655" s="11" t="n">
        <x:f>ABS(E655-D655)</x:f>
        <x:v>200</x:v>
      </x:c>
      <x:c r="L655" s="11" t="n">
        <x:f>K655-J655</x:f>
        <x:v>188.74</x:v>
      </x:c>
      <x:c r="M655" s="11" t="n">
        <x:f>IF(B655="Butterfly",MAX(J655,0),IF(C655="call","Unlimited",MAX(2*E655-D655+J655,J655,0)))</x:f>
        <x:v>11.259999999999991</x:v>
      </x:c>
      <x:c r="N655" s="11" t="n">
        <x:f>IF(B655="Butterfly",IF(AND(J655&gt;0,J655&lt;K655),D655+J655,"n.a."),IF(C655="call",IF(AND(J655&gt;0,J655&lt;K655),D655+J655,"n.a."),IF(AND(K655&gt;J655,2*E655-D655+J655&gt;=0),2*E655-D655+J655,"n.a.")))</x:f>
        <x:v>7611.26</x:v>
      </x:c>
      <x:c r="O655" s="11" t="n">
        <x:f>IF(B655="Butterfly",IF(AND(J655&gt;0,J655&lt;K655),F655-J655,"n.a."),IF(C655="call",IF(K655&gt;J655,2*E655-D655-J655,"n.a."),IF(AND(J655&gt;0,J655&lt;K655),D655-J655,"n.a.")))</x:f>
        <x:v>7988.74</x:v>
      </x:c>
      <x:c r="P655" s="19" t="n">
        <x:f>IF(AND(B655="Butterfly",J655&gt;0,J655&lt;K655),L655/J655,"n.a.")</x:f>
        <x:v>16.76198934280641</x:v>
      </x:c>
      <x:c r="Q655" s="11" t="n">
        <x:f>J655*'Model inputs'!$B$8</x:f>
        <x:v>1125.999999999999</x:v>
      </x:c>
      <x:c r="R655" s="1" t="str">
        <x:v>Indicative only</x:v>
      </x:c>
      <x:c r="S655" s="1" t="n">
        <x:v>322</x:v>
      </x:c>
      <x:c r="T655" s="1" t="n">
        <x:v>341</x:v>
      </x:c>
    </x:row>
    <x:row r="656" ht="21" customHeight="1">
      <x:c r="A656" s="12" t="n">
        <x:v>46272</x:v>
      </x:c>
      <x:c r="B656" s="1" t="str">
        <x:v>Butterfly</x:v>
      </x:c>
      <x:c r="C656" s="1" t="str">
        <x:v>put</x:v>
      </x:c>
      <x:c r="D656" s="11" t="n">
        <x:v>5800</x:v>
      </x:c>
      <x:c r="E656" s="11" t="n">
        <x:v>6000</x:v>
      </x:c>
      <x:c r="F656" s="11" t="n">
        <x:v>6200</x:v>
      </x:c>
      <x:c r="G656" s="11" t="n">
        <x:f>'Option source'!B650</x:f>
        <x:v>28.16</x:v>
      </x:c>
      <x:c r="H656" s="11" t="n">
        <x:f>'Option source'!B669</x:f>
        <x:v>49.14</x:v>
      </x:c>
      <x:c r="I656" s="11" t="n">
        <x:f>'Option source'!B688</x:f>
        <x:v>81.09</x:v>
      </x:c>
      <x:c r="J656" s="11" t="n">
        <x:f>G656-2*H656+IF(B656="Butterfly",I656,0)</x:f>
        <x:v>10.969999999999999</x:v>
      </x:c>
      <x:c r="K656" s="11" t="n">
        <x:f>ABS(E656-D656)</x:f>
        <x:v>200</x:v>
      </x:c>
      <x:c r="L656" s="11" t="n">
        <x:f>K656-J656</x:f>
        <x:v>189.03</x:v>
      </x:c>
      <x:c r="M656" s="11" t="n">
        <x:f>IF(B656="Butterfly",MAX(J656,0),IF(C656="call","Unlimited",MAX(2*E656-D656+J656,J656,0)))</x:f>
        <x:v>10.969999999999999</x:v>
      </x:c>
      <x:c r="N656" s="11" t="n">
        <x:f>IF(B656="Butterfly",IF(AND(J656&gt;0,J656&lt;K656),D656+J656,"n.a."),IF(C656="call",IF(AND(J656&gt;0,J656&lt;K656),D656+J656,"n.a."),IF(AND(K656&gt;J656,2*E656-D656+J656&gt;=0),2*E656-D656+J656,"n.a.")))</x:f>
        <x:v>5810.97</x:v>
      </x:c>
      <x:c r="O656" s="11" t="n">
        <x:f>IF(B656="Butterfly",IF(AND(J656&gt;0,J656&lt;K656),F656-J656,"n.a."),IF(C656="call",IF(K656&gt;J656,2*E656-D656-J656,"n.a."),IF(AND(J656&gt;0,J656&lt;K656),D656-J656,"n.a.")))</x:f>
        <x:v>6189.03</x:v>
      </x:c>
      <x:c r="P656" s="19" t="n">
        <x:f>IF(AND(B656="Butterfly",J656&gt;0,J656&lt;K656),L656/J656,"n.a.")</x:f>
        <x:v>17.23154056517776</x:v>
      </x:c>
      <x:c r="Q656" s="11" t="n">
        <x:f>J656*'Model inputs'!$B$8</x:f>
        <x:v>1097</x:v>
      </x:c>
      <x:c r="R656" s="1" t="str">
        <x:v>Indicative only</x:v>
      </x:c>
      <x:c r="S656" s="1" t="n">
        <x:v>645</x:v>
      </x:c>
      <x:c r="T656" s="1" t="n">
        <x:v>664</x:v>
      </x:c>
    </x:row>
    <x:row r="657" ht="21" customHeight="1">
      <x:c r="A657" s="12" t="n">
        <x:v>46272</x:v>
      </x:c>
      <x:c r="B657" s="1" t="str">
        <x:v>Butterfly</x:v>
      </x:c>
      <x:c r="C657" s="1" t="str">
        <x:v>put</x:v>
      </x:c>
      <x:c r="D657" s="11" t="n">
        <x:v>5600</x:v>
      </x:c>
      <x:c r="E657" s="11" t="n">
        <x:v>5800</x:v>
      </x:c>
      <x:c r="F657" s="11" t="n">
        <x:v>6000</x:v>
      </x:c>
      <x:c r="G657" s="11" t="n">
        <x:f>'Option source'!B631</x:f>
        <x:v>16</x:v>
      </x:c>
      <x:c r="H657" s="11" t="n">
        <x:f>'Option source'!B650</x:f>
        <x:v>28.16</x:v>
      </x:c>
      <x:c r="I657" s="11" t="n">
        <x:f>'Option source'!B669</x:f>
        <x:v>49.14</x:v>
      </x:c>
      <x:c r="J657" s="11" t="n">
        <x:f>G657-2*H657+IF(B657="Butterfly",I657,0)</x:f>
        <x:v>8.82</x:v>
      </x:c>
      <x:c r="K657" s="11" t="n">
        <x:f>ABS(E657-D657)</x:f>
        <x:v>200</x:v>
      </x:c>
      <x:c r="L657" s="11" t="n">
        <x:f>K657-J657</x:f>
        <x:v>191.18</x:v>
      </x:c>
      <x:c r="M657" s="11" t="n">
        <x:f>IF(B657="Butterfly",MAX(J657,0),IF(C657="call","Unlimited",MAX(2*E657-D657+J657,J657,0)))</x:f>
        <x:v>8.82</x:v>
      </x:c>
      <x:c r="N657" s="11" t="n">
        <x:f>IF(B657="Butterfly",IF(AND(J657&gt;0,J657&lt;K657),D657+J657,"n.a."),IF(C657="call",IF(AND(J657&gt;0,J657&lt;K657),D657+J657,"n.a."),IF(AND(K657&gt;J657,2*E657-D657+J657&gt;=0),2*E657-D657+J657,"n.a.")))</x:f>
        <x:v>5608.82</x:v>
      </x:c>
      <x:c r="O657" s="11" t="n">
        <x:f>IF(B657="Butterfly",IF(AND(J657&gt;0,J657&lt;K657),F657-J657,"n.a."),IF(C657="call",IF(K657&gt;J657,2*E657-D657-J657,"n.a."),IF(AND(J657&gt;0,J657&lt;K657),D657-J657,"n.a.")))</x:f>
        <x:v>5991.18</x:v>
      </x:c>
      <x:c r="P657" s="19" t="n">
        <x:f>IF(AND(B657="Butterfly",J657&gt;0,J657&lt;K657),L657/J657,"n.a.")</x:f>
        <x:v>21.675736961451246</x:v>
      </x:c>
      <x:c r="Q657" s="11" t="n">
        <x:f>J657*'Model inputs'!$B$8</x:f>
        <x:v>882</x:v>
      </x:c>
      <x:c r="R657" s="1" t="str">
        <x:v>Indicative only</x:v>
      </x:c>
      <x:c r="S657" s="1" t="n">
        <x:v>626</x:v>
      </x:c>
      <x:c r="T657" s="1" t="n">
        <x:v>645</x:v>
      </x:c>
    </x:row>
    <x:row r="658" ht="21" customHeight="1">
      <x:c r="A658" s="12" t="n">
        <x:v>46272</x:v>
      </x:c>
      <x:c r="B658" s="1" t="str">
        <x:v>Butterfly</x:v>
      </x:c>
      <x:c r="C658" s="1" t="str">
        <x:v>put</x:v>
      </x:c>
      <x:c r="D658" s="11" t="n">
        <x:v>5400</x:v>
      </x:c>
      <x:c r="E658" s="11" t="n">
        <x:v>5600</x:v>
      </x:c>
      <x:c r="F658" s="11" t="n">
        <x:v>5800</x:v>
      </x:c>
      <x:c r="G658" s="11" t="n">
        <x:f>'Option source'!B612</x:f>
        <x:v>8.51</x:v>
      </x:c>
      <x:c r="H658" s="11" t="n">
        <x:f>'Option source'!B631</x:f>
        <x:v>16</x:v>
      </x:c>
      <x:c r="I658" s="11" t="n">
        <x:f>'Option source'!B650</x:f>
        <x:v>28.16</x:v>
      </x:c>
      <x:c r="J658" s="11" t="n">
        <x:f>G658-2*H658+IF(B658="Butterfly",I658,0)</x:f>
        <x:v>4.669999999999998</x:v>
      </x:c>
      <x:c r="K658" s="11" t="n">
        <x:f>ABS(E658-D658)</x:f>
        <x:v>200</x:v>
      </x:c>
      <x:c r="L658" s="11" t="n">
        <x:f>K658-J658</x:f>
        <x:v>195.33</x:v>
      </x:c>
      <x:c r="M658" s="11" t="n">
        <x:f>IF(B658="Butterfly",MAX(J658,0),IF(C658="call","Unlimited",MAX(2*E658-D658+J658,J658,0)))</x:f>
        <x:v>4.669999999999998</x:v>
      </x:c>
      <x:c r="N658" s="11" t="n">
        <x:f>IF(B658="Butterfly",IF(AND(J658&gt;0,J658&lt;K658),D658+J658,"n.a."),IF(C658="call",IF(AND(J658&gt;0,J658&lt;K658),D658+J658,"n.a."),IF(AND(K658&gt;J658,2*E658-D658+J658&gt;=0),2*E658-D658+J658,"n.a.")))</x:f>
        <x:v>5404.67</x:v>
      </x:c>
      <x:c r="O658" s="11" t="n">
        <x:f>IF(B658="Butterfly",IF(AND(J658&gt;0,J658&lt;K658),F658-J658,"n.a."),IF(C658="call",IF(K658&gt;J658,2*E658-D658-J658,"n.a."),IF(AND(J658&gt;0,J658&lt;K658),D658-J658,"n.a.")))</x:f>
        <x:v>5795.33</x:v>
      </x:c>
      <x:c r="P658" s="19" t="n">
        <x:f>IF(AND(B658="Butterfly",J658&gt;0,J658&lt;K658),L658/J658,"n.a.")</x:f>
        <x:v>41.826552462526784</x:v>
      </x:c>
      <x:c r="Q658" s="11" t="n">
        <x:f>J658*'Model inputs'!$B$8</x:f>
        <x:v>466.99999999999983</x:v>
      </x:c>
      <x:c r="R658" s="1" t="str">
        <x:v>Indicative only</x:v>
      </x:c>
      <x:c r="S658" s="1" t="n">
        <x:v>607</x:v>
      </x:c>
      <x:c r="T658" s="1" t="n">
        <x:v>626</x:v>
      </x:c>
    </x:row>
    <x:row r="659" ht="21" customHeight="1">
      <x:c r="A659" s="12" t="n">
        <x:v>46272</x:v>
      </x:c>
      <x:c r="B659" s="1" t="str">
        <x:v>Butterfly</x:v>
      </x:c>
      <x:c r="C659" s="1" t="str">
        <x:v>call</x:v>
      </x:c>
      <x:c r="D659" s="11" t="n">
        <x:v>8000</x:v>
      </x:c>
      <x:c r="E659" s="11" t="n">
        <x:v>8300</x:v>
      </x:c>
      <x:c r="F659" s="11" t="n">
        <x:v>8600</x:v>
      </x:c>
      <x:c r="G659" s="11" t="n">
        <x:f>'Option source'!B365</x:f>
        <x:v>129.99</x:v>
      </x:c>
      <x:c r="H659" s="11" t="n">
        <x:f>'Option source'!B384</x:f>
        <x:v>83.25</x:v>
      </x:c>
      <x:c r="I659" s="11" t="n">
        <x:f>'Option source'!B403</x:f>
        <x:v>48.42</x:v>
      </x:c>
      <x:c r="J659" s="11" t="n">
        <x:f>G659-2*H659+IF(B659="Butterfly",I659,0)</x:f>
        <x:v>11.91000000000001</x:v>
      </x:c>
      <x:c r="K659" s="11" t="n">
        <x:f>ABS(E659-D659)</x:f>
        <x:v>300</x:v>
      </x:c>
      <x:c r="L659" s="11" t="n">
        <x:f>K659-J659</x:f>
        <x:v>288.09</x:v>
      </x:c>
      <x:c r="M659" s="11" t="n">
        <x:f>IF(B659="Butterfly",MAX(J659,0),IF(C659="call","Unlimited",MAX(2*E659-D659+J659,J659,0)))</x:f>
        <x:v>11.91000000000001</x:v>
      </x:c>
      <x:c r="N659" s="11" t="n">
        <x:f>IF(B659="Butterfly",IF(AND(J659&gt;0,J659&lt;K659),D659+J659,"n.a."),IF(C659="call",IF(AND(J659&gt;0,J659&lt;K659),D659+J659,"n.a."),IF(AND(K659&gt;J659,2*E659-D659+J659&gt;=0),2*E659-D659+J659,"n.a.")))</x:f>
        <x:v>8011.91</x:v>
      </x:c>
      <x:c r="O659" s="11" t="n">
        <x:f>IF(B659="Butterfly",IF(AND(J659&gt;0,J659&lt;K659),F659-J659,"n.a."),IF(C659="call",IF(K659&gt;J659,2*E659-D659-J659,"n.a."),IF(AND(J659&gt;0,J659&lt;K659),D659-J659,"n.a.")))</x:f>
        <x:v>8588.09</x:v>
      </x:c>
      <x:c r="P659" s="19" t="n">
        <x:f>IF(AND(B659="Butterfly",J659&gt;0,J659&lt;K659),L659/J659,"n.a.")</x:f>
        <x:v>24.188916876574282</x:v>
      </x:c>
      <x:c r="Q659" s="11" t="n">
        <x:f>J659*'Model inputs'!$B$8</x:f>
        <x:v>1191.0000000000011</x:v>
      </x:c>
      <x:c r="R659" s="1" t="str">
        <x:v>Indicative only</x:v>
      </x:c>
      <x:c r="S659" s="1" t="n">
        <x:v>360</x:v>
      </x:c>
      <x:c r="T659" s="1" t="n">
        <x:v>379</x:v>
      </x:c>
    </x:row>
    <x:row r="660" ht="21" customHeight="1">
      <x:c r="A660" s="12" t="n">
        <x:v>46272</x:v>
      </x:c>
      <x:c r="B660" s="1" t="str">
        <x:v>Butterfly</x:v>
      </x:c>
      <x:c r="C660" s="1" t="str">
        <x:v>put</x:v>
      </x:c>
      <x:c r="D660" s="11" t="n">
        <x:v>5200</x:v>
      </x:c>
      <x:c r="E660" s="11" t="n">
        <x:v>5400</x:v>
      </x:c>
      <x:c r="F660" s="11" t="n">
        <x:v>5600</x:v>
      </x:c>
      <x:c r="G660" s="11" t="n">
        <x:f>'Option source'!B593</x:f>
        <x:v>4.8</x:v>
      </x:c>
      <x:c r="H660" s="11" t="n">
        <x:f>'Option source'!B612</x:f>
        <x:v>8.51</x:v>
      </x:c>
      <x:c r="I660" s="11" t="n">
        <x:f>'Option source'!B631</x:f>
        <x:v>16</x:v>
      </x:c>
      <x:c r="J660" s="11" t="n">
        <x:f>G660-2*H660+IF(B660="Butterfly",I660,0)</x:f>
        <x:v>3.780000000000001</x:v>
      </x:c>
      <x:c r="K660" s="11" t="n">
        <x:f>ABS(E660-D660)</x:f>
        <x:v>200</x:v>
      </x:c>
      <x:c r="L660" s="11" t="n">
        <x:f>K660-J660</x:f>
        <x:v>196.22</x:v>
      </x:c>
      <x:c r="M660" s="11" t="n">
        <x:f>IF(B660="Butterfly",MAX(J660,0),IF(C660="call","Unlimited",MAX(2*E660-D660+J660,J660,0)))</x:f>
        <x:v>3.780000000000001</x:v>
      </x:c>
      <x:c r="N660" s="11" t="n">
        <x:f>IF(B660="Butterfly",IF(AND(J660&gt;0,J660&lt;K660),D660+J660,"n.a."),IF(C660="call",IF(AND(J660&gt;0,J660&lt;K660),D660+J660,"n.a."),IF(AND(K660&gt;J660,2*E660-D660+J660&gt;=0),2*E660-D660+J660,"n.a.")))</x:f>
        <x:v>5203.78</x:v>
      </x:c>
      <x:c r="O660" s="11" t="n">
        <x:f>IF(B660="Butterfly",IF(AND(J660&gt;0,J660&lt;K660),F660-J660,"n.a."),IF(C660="call",IF(K660&gt;J660,2*E660-D660-J660,"n.a."),IF(AND(J660&gt;0,J660&lt;K660),D660-J660,"n.a.")))</x:f>
        <x:v>5596.22</x:v>
      </x:c>
      <x:c r="P660" s="19" t="n">
        <x:f>IF(AND(B660="Butterfly",J660&gt;0,J660&lt;K660),L660/J660,"n.a.")</x:f>
        <x:v>51.9100529100529</x:v>
      </x:c>
      <x:c r="Q660" s="11" t="n">
        <x:f>J660*'Model inputs'!$B$8</x:f>
        <x:v>378.0000000000001</x:v>
      </x:c>
      <x:c r="R660" s="1" t="str">
        <x:v>Indicative only</x:v>
      </x:c>
      <x:c r="S660" s="1" t="n">
        <x:v>588</x:v>
      </x:c>
      <x:c r="T660" s="1" t="n">
        <x:v>607</x:v>
      </x:c>
    </x:row>
    <x:row r="661" ht="21" customHeight="1">
      <x:c r="A661" s="12" t="n">
        <x:v>46272</x:v>
      </x:c>
      <x:c r="B661" s="1" t="str">
        <x:v>Butterfly</x:v>
      </x:c>
      <x:c r="C661" s="1" t="str">
        <x:v>call</x:v>
      </x:c>
      <x:c r="D661" s="11" t="n">
        <x:v>8300</x:v>
      </x:c>
      <x:c r="E661" s="11" t="n">
        <x:v>8600</x:v>
      </x:c>
      <x:c r="F661" s="11" t="n">
        <x:v>8900</x:v>
      </x:c>
      <x:c r="G661" s="11" t="n">
        <x:f>'Option source'!B384</x:f>
        <x:v>83.25</x:v>
      </x:c>
      <x:c r="H661" s="11" t="n">
        <x:f>'Option source'!B403</x:f>
        <x:v>48.42</x:v>
      </x:c>
      <x:c r="I661" s="11" t="n">
        <x:f>'Option source'!B422</x:f>
        <x:v>28.82</x:v>
      </x:c>
      <x:c r="J661" s="11" t="n">
        <x:f>G661-2*H661+IF(B661="Butterfly",I661,0)</x:f>
        <x:v>15.229999999999997</x:v>
      </x:c>
      <x:c r="K661" s="11" t="n">
        <x:f>ABS(E661-D661)</x:f>
        <x:v>300</x:v>
      </x:c>
      <x:c r="L661" s="11" t="n">
        <x:f>K661-J661</x:f>
        <x:v>284.77</x:v>
      </x:c>
      <x:c r="M661" s="11" t="n">
        <x:f>IF(B661="Butterfly",MAX(J661,0),IF(C661="call","Unlimited",MAX(2*E661-D661+J661,J661,0)))</x:f>
        <x:v>15.229999999999997</x:v>
      </x:c>
      <x:c r="N661" s="11" t="n">
        <x:f>IF(B661="Butterfly",IF(AND(J661&gt;0,J661&lt;K661),D661+J661,"n.a."),IF(C661="call",IF(AND(J661&gt;0,J661&lt;K661),D661+J661,"n.a."),IF(AND(K661&gt;J661,2*E661-D661+J661&gt;=0),2*E661-D661+J661,"n.a.")))</x:f>
        <x:v>8315.23</x:v>
      </x:c>
      <x:c r="O661" s="11" t="n">
        <x:f>IF(B661="Butterfly",IF(AND(J661&gt;0,J661&lt;K661),F661-J661,"n.a."),IF(C661="call",IF(K661&gt;J661,2*E661-D661-J661,"n.a."),IF(AND(J661&gt;0,J661&lt;K661),D661-J661,"n.a.")))</x:f>
        <x:v>8884.77</x:v>
      </x:c>
      <x:c r="P661" s="19" t="n">
        <x:f>IF(AND(B661="Butterfly",J661&gt;0,J661&lt;K661),L661/J661,"n.a.")</x:f>
        <x:v>18.697964543663826</x:v>
      </x:c>
      <x:c r="Q661" s="11" t="n">
        <x:f>J661*'Model inputs'!$B$8</x:f>
        <x:v>1522.9999999999998</x:v>
      </x:c>
      <x:c r="R661" s="1" t="str">
        <x:v>Indicative only</x:v>
      </x:c>
      <x:c r="S661" s="1" t="n">
        <x:v>379</x:v>
      </x:c>
      <x:c r="T661" s="1" t="n">
        <x:v>398</x:v>
      </x:c>
    </x:row>
    <x:row r="662" ht="21" customHeight="1">
      <x:c r="A662" s="12" t="n">
        <x:v>46272</x:v>
      </x:c>
      <x:c r="B662" s="1" t="str">
        <x:v>Butterfly</x:v>
      </x:c>
      <x:c r="C662" s="1" t="str">
        <x:v>put</x:v>
      </x:c>
      <x:c r="D662" s="11" t="n">
        <x:v>5000</x:v>
      </x:c>
      <x:c r="E662" s="11" t="n">
        <x:v>5200</x:v>
      </x:c>
      <x:c r="F662" s="11" t="n">
        <x:v>5400</x:v>
      </x:c>
      <x:c r="G662" s="11" t="n">
        <x:f>'Option source'!B574</x:f>
        <x:v>2.79</x:v>
      </x:c>
      <x:c r="H662" s="11" t="n">
        <x:f>'Option source'!B593</x:f>
        <x:v>4.8</x:v>
      </x:c>
      <x:c r="I662" s="11" t="n">
        <x:f>'Option source'!B612</x:f>
        <x:v>8.51</x:v>
      </x:c>
      <x:c r="J662" s="11" t="n">
        <x:f>G662-2*H662+IF(B662="Butterfly",I662,0)</x:f>
        <x:v>1.7000000000000002</x:v>
      </x:c>
      <x:c r="K662" s="11" t="n">
        <x:f>ABS(E662-D662)</x:f>
        <x:v>200</x:v>
      </x:c>
      <x:c r="L662" s="11" t="n">
        <x:f>K662-J662</x:f>
        <x:v>198.3</x:v>
      </x:c>
      <x:c r="M662" s="11" t="n">
        <x:f>IF(B662="Butterfly",MAX(J662,0),IF(C662="call","Unlimited",MAX(2*E662-D662+J662,J662,0)))</x:f>
        <x:v>1.7000000000000002</x:v>
      </x:c>
      <x:c r="N662" s="11" t="n">
        <x:f>IF(B662="Butterfly",IF(AND(J662&gt;0,J662&lt;K662),D662+J662,"n.a."),IF(C662="call",IF(AND(J662&gt;0,J662&lt;K662),D662+J662,"n.a."),IF(AND(K662&gt;J662,2*E662-D662+J662&gt;=0),2*E662-D662+J662,"n.a.")))</x:f>
        <x:v>5001.7</x:v>
      </x:c>
      <x:c r="O662" s="11" t="n">
        <x:f>IF(B662="Butterfly",IF(AND(J662&gt;0,J662&lt;K662),F662-J662,"n.a."),IF(C662="call",IF(K662&gt;J662,2*E662-D662-J662,"n.a."),IF(AND(J662&gt;0,J662&lt;K662),D662-J662,"n.a.")))</x:f>
        <x:v>5398.3</x:v>
      </x:c>
      <x:c r="P662" s="19" t="n">
        <x:f>IF(AND(B662="Butterfly",J662&gt;0,J662&lt;K662),L662/J662,"n.a.")</x:f>
        <x:v>116.6470588235294</x:v>
      </x:c>
      <x:c r="Q662" s="11" t="n">
        <x:f>J662*'Model inputs'!$B$8</x:f>
        <x:v>170.00000000000003</x:v>
      </x:c>
      <x:c r="R662" s="1" t="str">
        <x:v>Indicative only</x:v>
      </x:c>
      <x:c r="S662" s="1" t="n">
        <x:v>569</x:v>
      </x:c>
      <x:c r="T662" s="1" t="n">
        <x:v>588</x:v>
      </x:c>
    </x:row>
    <x:row r="663" ht="21" customHeight="1">
      <x:c r="A663" s="12" t="n">
        <x:v>46272</x:v>
      </x:c>
      <x:c r="B663" s="1" t="str">
        <x:v>Butterfly</x:v>
      </x:c>
      <x:c r="C663" s="1" t="str">
        <x:v>put</x:v>
      </x:c>
      <x:c r="D663" s="11" t="n">
        <x:v>4800</x:v>
      </x:c>
      <x:c r="E663" s="11" t="n">
        <x:v>5000</x:v>
      </x:c>
      <x:c r="F663" s="11" t="n">
        <x:v>5200</x:v>
      </x:c>
      <x:c r="G663" s="11" t="n">
        <x:f>'Option source'!B555</x:f>
        <x:v>1.85</x:v>
      </x:c>
      <x:c r="H663" s="11" t="n">
        <x:f>'Option source'!B574</x:f>
        <x:v>2.79</x:v>
      </x:c>
      <x:c r="I663" s="11" t="n">
        <x:f>'Option source'!B593</x:f>
        <x:v>4.8</x:v>
      </x:c>
      <x:c r="J663" s="11" t="n">
        <x:f>G663-2*H663+IF(B663="Butterfly",I663,0)</x:f>
        <x:v>1.0699999999999998</x:v>
      </x:c>
      <x:c r="K663" s="11" t="n">
        <x:f>ABS(E663-D663)</x:f>
        <x:v>200</x:v>
      </x:c>
      <x:c r="L663" s="11" t="n">
        <x:f>K663-J663</x:f>
        <x:v>198.93</x:v>
      </x:c>
      <x:c r="M663" s="11" t="n">
        <x:f>IF(B663="Butterfly",MAX(J663,0),IF(C663="call","Unlimited",MAX(2*E663-D663+J663,J663,0)))</x:f>
        <x:v>1.0699999999999998</x:v>
      </x:c>
      <x:c r="N663" s="11" t="n">
        <x:f>IF(B663="Butterfly",IF(AND(J663&gt;0,J663&lt;K663),D663+J663,"n.a."),IF(C663="call",IF(AND(J663&gt;0,J663&lt;K663),D663+J663,"n.a."),IF(AND(K663&gt;J663,2*E663-D663+J663&gt;=0),2*E663-D663+J663,"n.a.")))</x:f>
        <x:v>4801.07</x:v>
      </x:c>
      <x:c r="O663" s="11" t="n">
        <x:f>IF(B663="Butterfly",IF(AND(J663&gt;0,J663&lt;K663),F663-J663,"n.a."),IF(C663="call",IF(K663&gt;J663,2*E663-D663-J663,"n.a."),IF(AND(J663&gt;0,J663&lt;K663),D663-J663,"n.a.")))</x:f>
        <x:v>5198.93</x:v>
      </x:c>
      <x:c r="P663" s="19" t="n">
        <x:f>IF(AND(B663="Butterfly",J663&gt;0,J663&lt;K663),L663/J663,"n.a.")</x:f>
        <x:v>185.91588785046733</x:v>
      </x:c>
      <x:c r="Q663" s="11" t="n">
        <x:f>J663*'Model inputs'!$B$8</x:f>
        <x:v>106.99999999999999</x:v>
      </x:c>
      <x:c r="R663" s="1" t="str">
        <x:v>Indicative only</x:v>
      </x:c>
      <x:c r="S663" s="1" t="n">
        <x:v>550</x:v>
      </x:c>
      <x:c r="T663" s="1" t="n">
        <x:v>569</x:v>
      </x:c>
    </x:row>
    <x:row r="664" ht="21" customHeight="1">
      <x:c r="A664" s="12" t="n">
        <x:v>46272</x:v>
      </x:c>
      <x:c r="B664" s="1" t="str">
        <x:v>Butterfly</x:v>
      </x:c>
      <x:c r="C664" s="1" t="str">
        <x:v>call</x:v>
      </x:c>
      <x:c r="D664" s="11" t="n">
        <x:v>8600</x:v>
      </x:c>
      <x:c r="E664" s="11" t="n">
        <x:v>8900</x:v>
      </x:c>
      <x:c r="F664" s="11" t="n">
        <x:v>9200</x:v>
      </x:c>
      <x:c r="G664" s="11" t="n">
        <x:f>'Option source'!B403</x:f>
        <x:v>48.42</x:v>
      </x:c>
      <x:c r="H664" s="11" t="n">
        <x:f>'Option source'!B422</x:f>
        <x:v>28.82</x:v>
      </x:c>
      <x:c r="I664" s="11" t="n">
        <x:f>'Option source'!B441</x:f>
        <x:v>17.79</x:v>
      </x:c>
      <x:c r="J664" s="11" t="n">
        <x:f>G664-2*H664+IF(B664="Butterfly",I664,0)</x:f>
        <x:v>8.57</x:v>
      </x:c>
      <x:c r="K664" s="11" t="n">
        <x:f>ABS(E664-D664)</x:f>
        <x:v>300</x:v>
      </x:c>
      <x:c r="L664" s="11" t="n">
        <x:f>K664-J664</x:f>
        <x:v>291.43</x:v>
      </x:c>
      <x:c r="M664" s="11" t="n">
        <x:f>IF(B664="Butterfly",MAX(J664,0),IF(C664="call","Unlimited",MAX(2*E664-D664+J664,J664,0)))</x:f>
        <x:v>8.57</x:v>
      </x:c>
      <x:c r="N664" s="11" t="n">
        <x:f>IF(B664="Butterfly",IF(AND(J664&gt;0,J664&lt;K664),D664+J664,"n.a."),IF(C664="call",IF(AND(J664&gt;0,J664&lt;K664),D664+J664,"n.a."),IF(AND(K664&gt;J664,2*E664-D664+J664&gt;=0),2*E664-D664+J664,"n.a.")))</x:f>
        <x:v>8608.57</x:v>
      </x:c>
      <x:c r="O664" s="11" t="n">
        <x:f>IF(B664="Butterfly",IF(AND(J664&gt;0,J664&lt;K664),F664-J664,"n.a."),IF(C664="call",IF(K664&gt;J664,2*E664-D664-J664,"n.a."),IF(AND(J664&gt;0,J664&lt;K664),D664-J664,"n.a.")))</x:f>
        <x:v>9191.43</x:v>
      </x:c>
      <x:c r="P664" s="19" t="n">
        <x:f>IF(AND(B664="Butterfly",J664&gt;0,J664&lt;K664),L664/J664,"n.a.")</x:f>
        <x:v>34.00583430571762</x:v>
      </x:c>
      <x:c r="Q664" s="11" t="n">
        <x:f>J664*'Model inputs'!$B$8</x:f>
        <x:v>857</x:v>
      </x:c>
      <x:c r="R664" s="1" t="str">
        <x:v>Indicative only</x:v>
      </x:c>
      <x:c r="S664" s="1" t="n">
        <x:v>398</x:v>
      </x:c>
      <x:c r="T664" s="1" t="n">
        <x:v>417</x:v>
      </x:c>
    </x:row>
    <x:row r="665" ht="21" customHeight="1">
      <x:c r="A665" s="12" t="n">
        <x:v>46272</x:v>
      </x:c>
      <x:c r="B665" s="1" t="str">
        <x:v>Butterfly</x:v>
      </x:c>
      <x:c r="C665" s="1" t="str">
        <x:v>put</x:v>
      </x:c>
      <x:c r="D665" s="11" t="n">
        <x:v>4600</x:v>
      </x:c>
      <x:c r="E665" s="11" t="n">
        <x:v>4800</x:v>
      </x:c>
      <x:c r="F665" s="11" t="n">
        <x:v>5000</x:v>
      </x:c>
      <x:c r="G665" s="11" t="n">
        <x:f>'Option source'!B536</x:f>
        <x:v>1.47</x:v>
      </x:c>
      <x:c r="H665" s="11" t="n">
        <x:f>'Option source'!B555</x:f>
        <x:v>1.85</x:v>
      </x:c>
      <x:c r="I665" s="11" t="n">
        <x:f>'Option source'!B574</x:f>
        <x:v>2.79</x:v>
      </x:c>
      <x:c r="J665" s="11" t="n">
        <x:f>G665-2*H665+IF(B665="Butterfly",I665,0)</x:f>
        <x:v>0.5599999999999996</x:v>
      </x:c>
      <x:c r="K665" s="11" t="n">
        <x:f>ABS(E665-D665)</x:f>
        <x:v>200</x:v>
      </x:c>
      <x:c r="L665" s="11" t="n">
        <x:f>K665-J665</x:f>
        <x:v>199.44</x:v>
      </x:c>
      <x:c r="M665" s="11" t="n">
        <x:f>IF(B665="Butterfly",MAX(J665,0),IF(C665="call","Unlimited",MAX(2*E665-D665+J665,J665,0)))</x:f>
        <x:v>0.5599999999999996</x:v>
      </x:c>
      <x:c r="N665" s="11" t="n">
        <x:f>IF(B665="Butterfly",IF(AND(J665&gt;0,J665&lt;K665),D665+J665,"n.a."),IF(C665="call",IF(AND(J665&gt;0,J665&lt;K665),D665+J665,"n.a."),IF(AND(K665&gt;J665,2*E665-D665+J665&gt;=0),2*E665-D665+J665,"n.a.")))</x:f>
        <x:v>4600.56</x:v>
      </x:c>
      <x:c r="O665" s="11" t="n">
        <x:f>IF(B665="Butterfly",IF(AND(J665&gt;0,J665&lt;K665),F665-J665,"n.a."),IF(C665="call",IF(K665&gt;J665,2*E665-D665-J665,"n.a."),IF(AND(J665&gt;0,J665&lt;K665),D665-J665,"n.a.")))</x:f>
        <x:v>4999.44</x:v>
      </x:c>
      <x:c r="P665" s="19" t="n">
        <x:f>IF(AND(B665="Butterfly",J665&gt;0,J665&lt;K665),L665/J665,"n.a.")</x:f>
        <x:v>356.1428571428574</x:v>
      </x:c>
      <x:c r="Q665" s="11" t="n">
        <x:f>J665*'Model inputs'!$B$8</x:f>
        <x:v>55.99999999999996</x:v>
      </x:c>
      <x:c r="R665" s="1" t="str">
        <x:v>Indicative only</x:v>
      </x:c>
      <x:c r="S665" s="1" t="n">
        <x:v>531</x:v>
      </x:c>
      <x:c r="T665" s="1" t="n">
        <x:v>550</x:v>
      </x:c>
    </x:row>
    <x:row r="666" ht="21" customHeight="1">
      <x:c r="A666" s="12" t="n">
        <x:v>46272</x:v>
      </x:c>
      <x:c r="B666" s="1" t="str">
        <x:v>Butterfly</x:v>
      </x:c>
      <x:c r="C666" s="1" t="str">
        <x:v>call</x:v>
      </x:c>
      <x:c r="D666" s="11" t="n">
        <x:v>8900</x:v>
      </x:c>
      <x:c r="E666" s="11" t="n">
        <x:v>9200</x:v>
      </x:c>
      <x:c r="F666" s="11" t="n">
        <x:v>9500</x:v>
      </x:c>
      <x:c r="G666" s="11" t="n">
        <x:f>'Option source'!B422</x:f>
        <x:v>28.82</x:v>
      </x:c>
      <x:c r="H666" s="11" t="n">
        <x:f>'Option source'!B441</x:f>
        <x:v>17.79</x:v>
      </x:c>
      <x:c r="I666" s="11" t="n">
        <x:f>'Option source'!B460</x:f>
        <x:v>11.6</x:v>
      </x:c>
      <x:c r="J666" s="11" t="n">
        <x:f>G666-2*H666+IF(B666="Butterfly",I666,0)</x:f>
        <x:v>4.840000000000002</x:v>
      </x:c>
      <x:c r="K666" s="11" t="n">
        <x:f>ABS(E666-D666)</x:f>
        <x:v>300</x:v>
      </x:c>
      <x:c r="L666" s="11" t="n">
        <x:f>K666-J666</x:f>
        <x:v>295.16</x:v>
      </x:c>
      <x:c r="M666" s="11" t="n">
        <x:f>IF(B666="Butterfly",MAX(J666,0),IF(C666="call","Unlimited",MAX(2*E666-D666+J666,J666,0)))</x:f>
        <x:v>4.840000000000002</x:v>
      </x:c>
      <x:c r="N666" s="11" t="n">
        <x:f>IF(B666="Butterfly",IF(AND(J666&gt;0,J666&lt;K666),D666+J666,"n.a."),IF(C666="call",IF(AND(J666&gt;0,J666&lt;K666),D666+J666,"n.a."),IF(AND(K666&gt;J666,2*E666-D666+J666&gt;=0),2*E666-D666+J666,"n.a.")))</x:f>
        <x:v>8904.84</x:v>
      </x:c>
      <x:c r="O666" s="11" t="n">
        <x:f>IF(B666="Butterfly",IF(AND(J666&gt;0,J666&lt;K666),F666-J666,"n.a."),IF(C666="call",IF(K666&gt;J666,2*E666-D666-J666,"n.a."),IF(AND(J666&gt;0,J666&lt;K666),D666-J666,"n.a.")))</x:f>
        <x:v>9495.16</x:v>
      </x:c>
      <x:c r="P666" s="19" t="n">
        <x:f>IF(AND(B666="Butterfly",J666&gt;0,J666&lt;K666),L666/J666,"n.a.")</x:f>
        <x:v>60.98347107438015</x:v>
      </x:c>
      <x:c r="Q666" s="11" t="n">
        <x:f>J666*'Model inputs'!$B$8</x:f>
        <x:v>484.00000000000017</x:v>
      </x:c>
      <x:c r="R666" s="1" t="str">
        <x:v>Indicative only</x:v>
      </x:c>
      <x:c r="S666" s="1" t="n">
        <x:v>417</x:v>
      </x:c>
      <x:c r="T666" s="1" t="n">
        <x:v>436</x:v>
      </x:c>
    </x:row>
    <x:row r="667" ht="21" customHeight="1">
      <x:c r="A667" s="12" t="n">
        <x:v>46272</x:v>
      </x:c>
      <x:c r="B667" s="1" t="str">
        <x:v>Butterfly</x:v>
      </x:c>
      <x:c r="C667" s="1" t="str">
        <x:v>put</x:v>
      </x:c>
      <x:c r="D667" s="11" t="n">
        <x:v>4400</x:v>
      </x:c>
      <x:c r="E667" s="11" t="n">
        <x:v>4600</x:v>
      </x:c>
      <x:c r="F667" s="11" t="n">
        <x:v>4800</x:v>
      </x:c>
      <x:c r="G667" s="11" t="n">
        <x:f>'Option source'!B517</x:f>
        <x:v>1.25</x:v>
      </x:c>
      <x:c r="H667" s="11" t="n">
        <x:f>'Option source'!B536</x:f>
        <x:v>1.47</x:v>
      </x:c>
      <x:c r="I667" s="11" t="n">
        <x:f>'Option source'!B555</x:f>
        <x:v>1.85</x:v>
      </x:c>
      <x:c r="J667" s="11" t="n">
        <x:f>G667-2*H667+IF(B667="Butterfly",I667,0)</x:f>
        <x:v>0.16000000000000014</x:v>
      </x:c>
      <x:c r="K667" s="11" t="n">
        <x:f>ABS(E667-D667)</x:f>
        <x:v>200</x:v>
      </x:c>
      <x:c r="L667" s="11" t="n">
        <x:f>K667-J667</x:f>
        <x:v>199.84</x:v>
      </x:c>
      <x:c r="M667" s="11" t="n">
        <x:f>IF(B667="Butterfly",MAX(J667,0),IF(C667="call","Unlimited",MAX(2*E667-D667+J667,J667,0)))</x:f>
        <x:v>0.16000000000000014</x:v>
      </x:c>
      <x:c r="N667" s="11" t="n">
        <x:f>IF(B667="Butterfly",IF(AND(J667&gt;0,J667&lt;K667),D667+J667,"n.a."),IF(C667="call",IF(AND(J667&gt;0,J667&lt;K667),D667+J667,"n.a."),IF(AND(K667&gt;J667,2*E667-D667+J667&gt;=0),2*E667-D667+J667,"n.a.")))</x:f>
        <x:v>4400.16</x:v>
      </x:c>
      <x:c r="O667" s="11" t="n">
        <x:f>IF(B667="Butterfly",IF(AND(J667&gt;0,J667&lt;K667),F667-J667,"n.a."),IF(C667="call",IF(K667&gt;J667,2*E667-D667-J667,"n.a."),IF(AND(J667&gt;0,J667&lt;K667),D667-J667,"n.a.")))</x:f>
        <x:v>4799.84</x:v>
      </x:c>
      <x:c r="P667" s="19" t="n">
        <x:f>IF(AND(B667="Butterfly",J667&gt;0,J667&lt;K667),L667/J667,"n.a.")</x:f>
        <x:v>1248.9999999999989</x:v>
      </x:c>
      <x:c r="Q667" s="11" t="n">
        <x:f>J667*'Model inputs'!$B$8</x:f>
        <x:v>16.000000000000014</x:v>
      </x:c>
      <x:c r="R667" s="1" t="str">
        <x:v>Indicative only</x:v>
      </x:c>
      <x:c r="S667" s="1" t="n">
        <x:v>512</x:v>
      </x:c>
      <x:c r="T667" s="1" t="n">
        <x:v>531</x:v>
      </x:c>
    </x:row>
    <x:row r="668" ht="21" customHeight="1">
      <x:c r="A668" s="12" t="n">
        <x:v>46272</x:v>
      </x:c>
      <x:c r="B668" s="1" t="str">
        <x:v>Butterfly</x:v>
      </x:c>
      <x:c r="C668" s="1" t="str">
        <x:v>put</x:v>
      </x:c>
      <x:c r="D668" s="11" t="n">
        <x:v>7000</x:v>
      </x:c>
      <x:c r="E668" s="11" t="n">
        <x:v>7200</x:v>
      </x:c>
      <x:c r="F668" s="11" t="n">
        <x:v>7400</x:v>
      </x:c>
      <x:c r="G668" s="11" t="n">
        <x:f>'Option source'!B764</x:f>
        <x:v>341.02</x:v>
      </x:c>
      <x:c r="H668" s="11" t="n">
        <x:f>'Option source'!B783</x:f>
        <x:v>455</x:v>
      </x:c>
      <x:c r="I668" s="11" t="n">
        <x:f>'Option source'!B802</x:f>
        <x:v>555</x:v>
      </x:c>
      <x:c r="J668" s="11" t="n">
        <x:f>G668-2*H668+IF(B668="Butterfly",I668,0)</x:f>
        <x:v>-13.980000000000018</x:v>
      </x:c>
      <x:c r="K668" s="11" t="n">
        <x:f>ABS(E668-D668)</x:f>
        <x:v>200</x:v>
      </x:c>
      <x:c r="L668" s="11" t="n">
        <x:f>K668-J668</x:f>
        <x:v>213.98000000000002</x:v>
      </x:c>
      <x:c r="M668" s="11" t="n">
        <x:f>IF(B668="Butterfly",MAX(J668,0),IF(C668="call","Unlimited",MAX(2*E668-D668+J668,J668,0)))</x:f>
        <x:v>0</x:v>
      </x:c>
      <x:c r="N668" s="11" t="str">
        <x:f>IF(B668="Butterfly",IF(AND(J668&gt;0,J668&lt;K668),D668+J668,"n.a."),IF(C668="call",IF(AND(J668&gt;0,J668&lt;K668),D668+J668,"n.a."),IF(AND(K668&gt;J668,2*E668-D668+J668&gt;=0),2*E668-D668+J668,"n.a.")))</x:f>
        <x:v>n.a.</x:v>
      </x:c>
      <x:c r="O668" s="11" t="str">
        <x:f>IF(B668="Butterfly",IF(AND(J668&gt;0,J668&lt;K668),F668-J668,"n.a."),IF(C668="call",IF(K668&gt;J668,2*E668-D668-J668,"n.a."),IF(AND(J668&gt;0,J668&lt;K668),D668-J668,"n.a.")))</x:f>
        <x:v>n.a.</x:v>
      </x:c>
      <x:c r="P668" s="19" t="str">
        <x:f>IF(AND(B668="Butterfly",J668&gt;0,J668&lt;K668),L668/J668,"n.a.")</x:f>
        <x:v>n.a.</x:v>
      </x:c>
      <x:c r="Q668" s="11" t="n">
        <x:f>J668*'Model inputs'!$B$8</x:f>
        <x:v>-1398.0000000000018</x:v>
      </x:c>
      <x:c r="R668" s="1" t="str">
        <x:v>Outside standard debit bounds</x:v>
      </x:c>
      <x:c r="S668" s="1" t="n">
        <x:v>759</x:v>
      </x:c>
      <x:c r="T668" s="1" t="n">
        <x:v>778</x:v>
      </x:c>
    </x:row>
    <x:row r="669" ht="21" customHeight="1">
      <x:c r="A669" s="12" t="n">
        <x:v>46272</x:v>
      </x:c>
      <x:c r="B669" s="1" t="str">
        <x:v>Butterfly</x:v>
      </x:c>
      <x:c r="C669" s="1" t="str">
        <x:v>put</x:v>
      </x:c>
      <x:c r="D669" s="11" t="n">
        <x:v>7200</x:v>
      </x:c>
      <x:c r="E669" s="11" t="n">
        <x:v>7400</x:v>
      </x:c>
      <x:c r="F669" s="11" t="n">
        <x:v>7600</x:v>
      </x:c>
      <x:c r="G669" s="11" t="n">
        <x:f>'Option source'!B783</x:f>
        <x:v>455</x:v>
      </x:c>
      <x:c r="H669" s="11" t="n">
        <x:f>'Option source'!B802</x:f>
        <x:v>555</x:v>
      </x:c>
      <x:c r="I669" s="11" t="n">
        <x:f>'Option source'!B821</x:f>
        <x:v>625</x:v>
      </x:c>
      <x:c r="J669" s="11" t="n">
        <x:f>G669-2*H669+IF(B669="Butterfly",I669,0)</x:f>
        <x:v>-30</x:v>
      </x:c>
      <x:c r="K669" s="11" t="n">
        <x:f>ABS(E669-D669)</x:f>
        <x:v>200</x:v>
      </x:c>
      <x:c r="L669" s="11" t="n">
        <x:f>K669-J669</x:f>
        <x:v>230</x:v>
      </x:c>
      <x:c r="M669" s="11" t="n">
        <x:f>IF(B669="Butterfly",MAX(J669,0),IF(C669="call","Unlimited",MAX(2*E669-D669+J669,J669,0)))</x:f>
        <x:v>0</x:v>
      </x:c>
      <x:c r="N669" s="11" t="str">
        <x:f>IF(B669="Butterfly",IF(AND(J669&gt;0,J669&lt;K669),D669+J669,"n.a."),IF(C669="call",IF(AND(J669&gt;0,J669&lt;K669),D669+J669,"n.a."),IF(AND(K669&gt;J669,2*E669-D669+J669&gt;=0),2*E669-D669+J669,"n.a.")))</x:f>
        <x:v>n.a.</x:v>
      </x:c>
      <x:c r="O669" s="11" t="str">
        <x:f>IF(B669="Butterfly",IF(AND(J669&gt;0,J669&lt;K669),F669-J669,"n.a."),IF(C669="call",IF(K669&gt;J669,2*E669-D669-J669,"n.a."),IF(AND(J669&gt;0,J669&lt;K669),D669-J669,"n.a.")))</x:f>
        <x:v>n.a.</x:v>
      </x:c>
      <x:c r="P669" s="19" t="str">
        <x:f>IF(AND(B669="Butterfly",J669&gt;0,J669&lt;K669),L669/J669,"n.a.")</x:f>
        <x:v>n.a.</x:v>
      </x:c>
      <x:c r="Q669" s="11" t="n">
        <x:f>J669*'Model inputs'!$B$8</x:f>
        <x:v>-3000</x:v>
      </x:c>
      <x:c r="R669" s="1" t="str">
        <x:v>Outside standard debit bounds</x:v>
      </x:c>
      <x:c r="S669" s="1" t="n">
        <x:v>778</x:v>
      </x:c>
      <x:c r="T669" s="1" t="n">
        <x:v>797</x:v>
      </x:c>
    </x:row>
    <x:row r="670" ht="21" customHeight="1">
      <x:c r="A670" s="12" t="n">
        <x:v>46272</x:v>
      </x:c>
      <x:c r="B670" s="1" t="str">
        <x:v>Butterfly</x:v>
      </x:c>
      <x:c r="C670" s="1" t="str">
        <x:v>call</x:v>
      </x:c>
      <x:c r="D670" s="11" t="n">
        <x:v>6200</x:v>
      </x:c>
      <x:c r="E670" s="11" t="n">
        <x:v>6400</x:v>
      </x:c>
      <x:c r="F670" s="11" t="n">
        <x:v>6600</x:v>
      </x:c>
      <x:c r="G670" s="11" t="n">
        <x:f>'Option source'!B194</x:f>
        <x:v>1015</x:v>
      </x:c>
      <x:c r="H670" s="11" t="n">
        <x:f>'Option source'!B213</x:f>
        <x:v>829</x:v>
      </x:c>
      <x:c r="I670" s="11" t="n">
        <x:f>'Option source'!B232</x:f>
        <x:v>687.1</x:v>
      </x:c>
      <x:c r="J670" s="11" t="n">
        <x:f>G670-2*H670+IF(B670="Butterfly",I670,0)</x:f>
        <x:v>44.10000000000002</x:v>
      </x:c>
      <x:c r="K670" s="11" t="n">
        <x:f>ABS(E670-D670)</x:f>
        <x:v>200</x:v>
      </x:c>
      <x:c r="L670" s="11" t="n">
        <x:f>K670-J670</x:f>
        <x:v>155.89999999999998</x:v>
      </x:c>
      <x:c r="M670" s="11" t="n">
        <x:f>IF(B670="Butterfly",MAX(J670,0),IF(C670="call","Unlimited",MAX(2*E670-D670+J670,J670,0)))</x:f>
        <x:v>44.10000000000002</x:v>
      </x:c>
      <x:c r="N670" s="11" t="n">
        <x:f>IF(B670="Butterfly",IF(AND(J670&gt;0,J670&lt;K670),D670+J670,"n.a."),IF(C670="call",IF(AND(J670&gt;0,J670&lt;K670),D670+J670,"n.a."),IF(AND(K670&gt;J670,2*E670-D670+J670&gt;=0),2*E670-D670+J670,"n.a.")))</x:f>
        <x:v>6244.1</x:v>
      </x:c>
      <x:c r="O670" s="11" t="n">
        <x:f>IF(B670="Butterfly",IF(AND(J670&gt;0,J670&lt;K670),F670-J670,"n.a."),IF(C670="call",IF(K670&gt;J670,2*E670-D670-J670,"n.a."),IF(AND(J670&gt;0,J670&lt;K670),D670-J670,"n.a.")))</x:f>
        <x:v>6555.9</x:v>
      </x:c>
      <x:c r="P670" s="19" t="n">
        <x:f>IF(AND(B670="Butterfly",J670&gt;0,J670&lt;K670),L670/J670,"n.a.")</x:f>
        <x:v>3.535147392290247</x:v>
      </x:c>
      <x:c r="Q670" s="11" t="n">
        <x:f>J670*'Model inputs'!$B$8</x:f>
        <x:v>4410.000000000002</x:v>
      </x:c>
      <x:c r="R670" s="1" t="str">
        <x:v>Flagged leg data</x:v>
      </x:c>
      <x:c r="S670" s="1" t="n">
        <x:v>189</x:v>
      </x:c>
      <x:c r="T670" s="1" t="n">
        <x:v>208</x:v>
      </x:c>
    </x:row>
    <x:row r="671" ht="21" customHeight="1">
      <x:c r="A671" s="12" t="n">
        <x:v>46272</x:v>
      </x:c>
      <x:c r="B671" s="1" t="str">
        <x:v>Butterfly</x:v>
      </x:c>
      <x:c r="C671" s="1" t="str">
        <x:v>put</x:v>
      </x:c>
      <x:c r="D671" s="11" t="n">
        <x:v>7400</x:v>
      </x:c>
      <x:c r="E671" s="11" t="n">
        <x:v>7600</x:v>
      </x:c>
      <x:c r="F671" s="11" t="n">
        <x:v>7800</x:v>
      </x:c>
      <x:c r="G671" s="11" t="n">
        <x:f>'Option source'!B802</x:f>
        <x:v>555</x:v>
      </x:c>
      <x:c r="H671" s="11" t="n">
        <x:f>'Option source'!B821</x:f>
        <x:v>625</x:v>
      </x:c>
      <x:c r="I671" s="11" t="n">
        <x:f>'Option source'!B840</x:f>
        <x:v>780</x:v>
      </x:c>
      <x:c r="J671" s="11" t="n">
        <x:f>G671-2*H671+IF(B671="Butterfly",I671,0)</x:f>
        <x:v>85</x:v>
      </x:c>
      <x:c r="K671" s="11" t="n">
        <x:f>ABS(E671-D671)</x:f>
        <x:v>200</x:v>
      </x:c>
      <x:c r="L671" s="11" t="n">
        <x:f>K671-J671</x:f>
        <x:v>115</x:v>
      </x:c>
      <x:c r="M671" s="11" t="n">
        <x:f>IF(B671="Butterfly",MAX(J671,0),IF(C671="call","Unlimited",MAX(2*E671-D671+J671,J671,0)))</x:f>
        <x:v>85</x:v>
      </x:c>
      <x:c r="N671" s="11" t="n">
        <x:f>IF(B671="Butterfly",IF(AND(J671&gt;0,J671&lt;K671),D671+J671,"n.a."),IF(C671="call",IF(AND(J671&gt;0,J671&lt;K671),D671+J671,"n.a."),IF(AND(K671&gt;J671,2*E671-D671+J671&gt;=0),2*E671-D671+J671,"n.a.")))</x:f>
        <x:v>7485</x:v>
      </x:c>
      <x:c r="O671" s="11" t="n">
        <x:f>IF(B671="Butterfly",IF(AND(J671&gt;0,J671&lt;K671),F671-J671,"n.a."),IF(C671="call",IF(K671&gt;J671,2*E671-D671-J671,"n.a."),IF(AND(J671&gt;0,J671&lt;K671),D671-J671,"n.a.")))</x:f>
        <x:v>7715</x:v>
      </x:c>
      <x:c r="P671" s="19" t="n">
        <x:f>IF(AND(B671="Butterfly",J671&gt;0,J671&lt;K671),L671/J671,"n.a.")</x:f>
        <x:v>1.3529411764705883</x:v>
      </x:c>
      <x:c r="Q671" s="11" t="n">
        <x:f>J671*'Model inputs'!$B$8</x:f>
        <x:v>8500</x:v>
      </x:c>
      <x:c r="R671" s="1" t="str">
        <x:v>Flagged leg data</x:v>
      </x:c>
      <x:c r="S671" s="1" t="n">
        <x:v>797</x:v>
      </x:c>
      <x:c r="T671" s="1" t="n">
        <x:v>816</x:v>
      </x:c>
    </x:row>
    <x:row r="672" ht="21" customHeight="1">
      <x:c r="A672" s="12" t="n">
        <x:v>46272</x:v>
      </x:c>
      <x:c r="B672" s="1" t="str">
        <x:v>Butterfly</x:v>
      </x:c>
      <x:c r="C672" s="1" t="str">
        <x:v>call</x:v>
      </x:c>
      <x:c r="D672" s="11" t="n">
        <x:v>6000</x:v>
      </x:c>
      <x:c r="E672" s="11" t="n">
        <x:v>6200</x:v>
      </x:c>
      <x:c r="F672" s="11" t="n">
        <x:v>6400</x:v>
      </x:c>
      <x:c r="G672" s="11" t="n">
        <x:f>'Option source'!B175</x:f>
        <x:v>1158.57</x:v>
      </x:c>
      <x:c r="H672" s="11" t="n">
        <x:f>'Option source'!B194</x:f>
        <x:v>1015</x:v>
      </x:c>
      <x:c r="I672" s="11" t="n">
        <x:f>'Option source'!B213</x:f>
        <x:v>829</x:v>
      </x:c>
      <x:c r="J672" s="11" t="n">
        <x:f>G672-2*H672+IF(B672="Butterfly",I672,0)</x:f>
        <x:v>-42.430000000000064</x:v>
      </x:c>
      <x:c r="K672" s="11" t="n">
        <x:f>ABS(E672-D672)</x:f>
        <x:v>200</x:v>
      </x:c>
      <x:c r="L672" s="11" t="n">
        <x:f>K672-J672</x:f>
        <x:v>242.43000000000006</x:v>
      </x:c>
      <x:c r="M672" s="11" t="n">
        <x:f>IF(B672="Butterfly",MAX(J672,0),IF(C672="call","Unlimited",MAX(2*E672-D672+J672,J672,0)))</x:f>
        <x:v>0</x:v>
      </x:c>
      <x:c r="N672" s="11" t="str">
        <x:f>IF(B672="Butterfly",IF(AND(J672&gt;0,J672&lt;K672),D672+J672,"n.a."),IF(C672="call",IF(AND(J672&gt;0,J672&lt;K672),D672+J672,"n.a."),IF(AND(K672&gt;J672,2*E672-D672+J672&gt;=0),2*E672-D672+J672,"n.a.")))</x:f>
        <x:v>n.a.</x:v>
      </x:c>
      <x:c r="O672" s="11" t="str">
        <x:f>IF(B672="Butterfly",IF(AND(J672&gt;0,J672&lt;K672),F672-J672,"n.a."),IF(C672="call",IF(K672&gt;J672,2*E672-D672-J672,"n.a."),IF(AND(J672&gt;0,J672&lt;K672),D672-J672,"n.a.")))</x:f>
        <x:v>n.a.</x:v>
      </x:c>
      <x:c r="P672" s="19" t="str">
        <x:f>IF(AND(B672="Butterfly",J672&gt;0,J672&lt;K672),L672/J672,"n.a.")</x:f>
        <x:v>n.a.</x:v>
      </x:c>
      <x:c r="Q672" s="11" t="n">
        <x:f>J672*'Model inputs'!$B$8</x:f>
        <x:v>-4243.000000000006</x:v>
      </x:c>
      <x:c r="R672" s="1" t="str">
        <x:v>Outside standard debit bounds</x:v>
      </x:c>
      <x:c r="S672" s="1" t="n">
        <x:v>170</x:v>
      </x:c>
      <x:c r="T672" s="1" t="n">
        <x:v>189</x:v>
      </x:c>
    </x:row>
    <x:row r="673" ht="21" customHeight="1">
      <x:c r="A673" s="12" t="n">
        <x:v>46272</x:v>
      </x:c>
      <x:c r="B673" s="1" t="str">
        <x:v>Butterfly</x:v>
      </x:c>
      <x:c r="C673" s="1" t="str">
        <x:v>put</x:v>
      </x:c>
      <x:c r="D673" s="11" t="n">
        <x:v>7600</x:v>
      </x:c>
      <x:c r="E673" s="11" t="n">
        <x:v>7800</x:v>
      </x:c>
      <x:c r="F673" s="11" t="n">
        <x:v>8000</x:v>
      </x:c>
      <x:c r="G673" s="11" t="n">
        <x:f>'Option source'!B821</x:f>
        <x:v>625</x:v>
      </x:c>
      <x:c r="H673" s="11" t="n">
        <x:f>'Option source'!B840</x:f>
        <x:v>780</x:v>
      </x:c>
      <x:c r="I673" s="11" t="n">
        <x:f>'Option source'!B859</x:f>
        <x:v>1000</x:v>
      </x:c>
      <x:c r="J673" s="11" t="n">
        <x:f>G673-2*H673+IF(B673="Butterfly",I673,0)</x:f>
        <x:v>65</x:v>
      </x:c>
      <x:c r="K673" s="11" t="n">
        <x:f>ABS(E673-D673)</x:f>
        <x:v>200</x:v>
      </x:c>
      <x:c r="L673" s="11" t="n">
        <x:f>K673-J673</x:f>
        <x:v>135</x:v>
      </x:c>
      <x:c r="M673" s="11" t="n">
        <x:f>IF(B673="Butterfly",MAX(J673,0),IF(C673="call","Unlimited",MAX(2*E673-D673+J673,J673,0)))</x:f>
        <x:v>65</x:v>
      </x:c>
      <x:c r="N673" s="11" t="n">
        <x:f>IF(B673="Butterfly",IF(AND(J673&gt;0,J673&lt;K673),D673+J673,"n.a."),IF(C673="call",IF(AND(J673&gt;0,J673&lt;K673),D673+J673,"n.a."),IF(AND(K673&gt;J673,2*E673-D673+J673&gt;=0),2*E673-D673+J673,"n.a.")))</x:f>
        <x:v>7665</x:v>
      </x:c>
      <x:c r="O673" s="11" t="n">
        <x:f>IF(B673="Butterfly",IF(AND(J673&gt;0,J673&lt;K673),F673-J673,"n.a."),IF(C673="call",IF(K673&gt;J673,2*E673-D673-J673,"n.a."),IF(AND(J673&gt;0,J673&lt;K673),D673-J673,"n.a.")))</x:f>
        <x:v>7935</x:v>
      </x:c>
      <x:c r="P673" s="19" t="n">
        <x:f>IF(AND(B673="Butterfly",J673&gt;0,J673&lt;K673),L673/J673,"n.a.")</x:f>
        <x:v>2.076923076923077</x:v>
      </x:c>
      <x:c r="Q673" s="11" t="n">
        <x:f>J673*'Model inputs'!$B$8</x:f>
        <x:v>6500</x:v>
      </x:c>
      <x:c r="R673" s="1" t="str">
        <x:v>Flagged leg data</x:v>
      </x:c>
      <x:c r="S673" s="1" t="n">
        <x:v>816</x:v>
      </x:c>
      <x:c r="T673" s="1" t="n">
        <x:v>835</x:v>
      </x:c>
    </x:row>
    <x:row r="674" ht="21" customHeight="1">
      <x:c r="A674" s="12" t="n">
        <x:v>46272</x:v>
      </x:c>
      <x:c r="B674" s="1" t="str">
        <x:v>Butterfly</x:v>
      </x:c>
      <x:c r="C674" s="1" t="str">
        <x:v>call</x:v>
      </x:c>
      <x:c r="D674" s="11" t="n">
        <x:v>5800</x:v>
      </x:c>
      <x:c r="E674" s="11" t="n">
        <x:v>6000</x:v>
      </x:c>
      <x:c r="F674" s="11" t="n">
        <x:v>6200</x:v>
      </x:c>
      <x:c r="G674" s="11" t="n">
        <x:f>'Option source'!B156</x:f>
        <x:v>1330</x:v>
      </x:c>
      <x:c r="H674" s="11" t="n">
        <x:f>'Option source'!B175</x:f>
        <x:v>1158.57</x:v>
      </x:c>
      <x:c r="I674" s="11" t="n">
        <x:f>'Option source'!B194</x:f>
        <x:v>1015</x:v>
      </x:c>
      <x:c r="J674" s="11" t="n">
        <x:f>G674-2*H674+IF(B674="Butterfly",I674,0)</x:f>
        <x:v>27.860000000000127</x:v>
      </x:c>
      <x:c r="K674" s="11" t="n">
        <x:f>ABS(E674-D674)</x:f>
        <x:v>200</x:v>
      </x:c>
      <x:c r="L674" s="11" t="n">
        <x:f>K674-J674</x:f>
        <x:v>172.13999999999987</x:v>
      </x:c>
      <x:c r="M674" s="11" t="n">
        <x:f>IF(B674="Butterfly",MAX(J674,0),IF(C674="call","Unlimited",MAX(2*E674-D674+J674,J674,0)))</x:f>
        <x:v>27.860000000000127</x:v>
      </x:c>
      <x:c r="N674" s="11" t="n">
        <x:f>IF(B674="Butterfly",IF(AND(J674&gt;0,J674&lt;K674),D674+J674,"n.a."),IF(C674="call",IF(AND(J674&gt;0,J674&lt;K674),D674+J674,"n.a."),IF(AND(K674&gt;J674,2*E674-D674+J674&gt;=0),2*E674-D674+J674,"n.a.")))</x:f>
        <x:v>5827.860000000001</x:v>
      </x:c>
      <x:c r="O674" s="11" t="n">
        <x:f>IF(B674="Butterfly",IF(AND(J674&gt;0,J674&lt;K674),F674-J674,"n.a."),IF(C674="call",IF(K674&gt;J674,2*E674-D674-J674,"n.a."),IF(AND(J674&gt;0,J674&lt;K674),D674-J674,"n.a.")))</x:f>
        <x:v>6172.139999999999</x:v>
      </x:c>
      <x:c r="P674" s="19" t="n">
        <x:f>IF(AND(B674="Butterfly",J674&gt;0,J674&lt;K674),L674/J674,"n.a.")</x:f>
        <x:v>6.178750897343829</x:v>
      </x:c>
      <x:c r="Q674" s="11" t="n">
        <x:f>J674*'Model inputs'!$B$8</x:f>
        <x:v>2786.0000000000127</x:v>
      </x:c>
      <x:c r="R674" s="1" t="str">
        <x:v>Flagged leg data</x:v>
      </x:c>
      <x:c r="S674" s="1" t="n">
        <x:v>151</x:v>
      </x:c>
      <x:c r="T674" s="1" t="n">
        <x:v>170</x:v>
      </x:c>
    </x:row>
    <x:row r="675" ht="21" customHeight="1">
      <x:c r="A675" s="12" t="n">
        <x:v>46272</x:v>
      </x:c>
      <x:c r="B675" s="1" t="str">
        <x:v>Butterfly</x:v>
      </x:c>
      <x:c r="C675" s="1" t="str">
        <x:v>call</x:v>
      </x:c>
      <x:c r="D675" s="11" t="n">
        <x:v>5600</x:v>
      </x:c>
      <x:c r="E675" s="11" t="n">
        <x:v>5800</x:v>
      </x:c>
      <x:c r="F675" s="11" t="n">
        <x:v>6000</x:v>
      </x:c>
      <x:c r="G675" s="11" t="n">
        <x:f>'Option source'!B146</x:f>
        <x:v>1500</x:v>
      </x:c>
      <x:c r="H675" s="11" t="n">
        <x:f>'Option source'!B156</x:f>
        <x:v>1330</x:v>
      </x:c>
      <x:c r="I675" s="11" t="n">
        <x:f>'Option source'!B175</x:f>
        <x:v>1158.57</x:v>
      </x:c>
      <x:c r="J675" s="11" t="n">
        <x:f>G675-2*H675+IF(B675="Butterfly",I675,0)</x:f>
        <x:v>-1.4300000000000637</x:v>
      </x:c>
      <x:c r="K675" s="11" t="n">
        <x:f>ABS(E675-D675)</x:f>
        <x:v>200</x:v>
      </x:c>
      <x:c r="L675" s="11" t="n">
        <x:f>K675-J675</x:f>
        <x:v>201.43000000000006</x:v>
      </x:c>
      <x:c r="M675" s="11" t="n">
        <x:f>IF(B675="Butterfly",MAX(J675,0),IF(C675="call","Unlimited",MAX(2*E675-D675+J675,J675,0)))</x:f>
        <x:v>0</x:v>
      </x:c>
      <x:c r="N675" s="11" t="str">
        <x:f>IF(B675="Butterfly",IF(AND(J675&gt;0,J675&lt;K675),D675+J675,"n.a."),IF(C675="call",IF(AND(J675&gt;0,J675&lt;K675),D675+J675,"n.a."),IF(AND(K675&gt;J675,2*E675-D675+J675&gt;=0),2*E675-D675+J675,"n.a.")))</x:f>
        <x:v>n.a.</x:v>
      </x:c>
      <x:c r="O675" s="11" t="str">
        <x:f>IF(B675="Butterfly",IF(AND(J675&gt;0,J675&lt;K675),F675-J675,"n.a."),IF(C675="call",IF(K675&gt;J675,2*E675-D675-J675,"n.a."),IF(AND(J675&gt;0,J675&lt;K675),D675-J675,"n.a.")))</x:f>
        <x:v>n.a.</x:v>
      </x:c>
      <x:c r="P675" s="19" t="str">
        <x:f>IF(AND(B675="Butterfly",J675&gt;0,J675&lt;K675),L675/J675,"n.a.")</x:f>
        <x:v>n.a.</x:v>
      </x:c>
      <x:c r="Q675" s="11" t="n">
        <x:f>J675*'Model inputs'!$B$8</x:f>
        <x:v>-143.00000000000637</x:v>
      </x:c>
      <x:c r="R675" s="1" t="str">
        <x:v>Outside standard debit bounds</x:v>
      </x:c>
      <x:c r="S675" s="1" t="n">
        <x:v>141</x:v>
      </x:c>
      <x:c r="T675" s="1" t="n">
        <x:v>151</x:v>
      </x:c>
    </x:row>
    <x:row r="676" ht="21" customHeight="1">
      <x:c r="A676" s="12" t="n">
        <x:v>46272</x:v>
      </x:c>
      <x:c r="B676" s="1" t="str">
        <x:v>Butterfly</x:v>
      </x:c>
      <x:c r="C676" s="1" t="str">
        <x:v>call</x:v>
      </x:c>
      <x:c r="D676" s="11" t="n">
        <x:v>5400</x:v>
      </x:c>
      <x:c r="E676" s="11" t="n">
        <x:v>5600</x:v>
      </x:c>
      <x:c r="F676" s="11" t="n">
        <x:v>5800</x:v>
      </x:c>
      <x:c r="G676" s="11" t="n">
        <x:f>'Option source'!B128</x:f>
        <x:v>1636.72</x:v>
      </x:c>
      <x:c r="H676" s="11" t="n">
        <x:f>'Option source'!B146</x:f>
        <x:v>1500</x:v>
      </x:c>
      <x:c r="I676" s="11" t="n">
        <x:f>'Option source'!B156</x:f>
        <x:v>1330</x:v>
      </x:c>
      <x:c r="J676" s="11" t="n">
        <x:f>G676-2*H676+IF(B676="Butterfly",I676,0)</x:f>
        <x:v>-33.27999999999997</x:v>
      </x:c>
      <x:c r="K676" s="11" t="n">
        <x:f>ABS(E676-D676)</x:f>
        <x:v>200</x:v>
      </x:c>
      <x:c r="L676" s="11" t="n">
        <x:f>K676-J676</x:f>
        <x:v>233.27999999999997</x:v>
      </x:c>
      <x:c r="M676" s="11" t="n">
        <x:f>IF(B676="Butterfly",MAX(J676,0),IF(C676="call","Unlimited",MAX(2*E676-D676+J676,J676,0)))</x:f>
        <x:v>0</x:v>
      </x:c>
      <x:c r="N676" s="11" t="str">
        <x:f>IF(B676="Butterfly",IF(AND(J676&gt;0,J676&lt;K676),D676+J676,"n.a."),IF(C676="call",IF(AND(J676&gt;0,J676&lt;K676),D676+J676,"n.a."),IF(AND(K676&gt;J676,2*E676-D676+J676&gt;=0),2*E676-D676+J676,"n.a.")))</x:f>
        <x:v>n.a.</x:v>
      </x:c>
      <x:c r="O676" s="11" t="str">
        <x:f>IF(B676="Butterfly",IF(AND(J676&gt;0,J676&lt;K676),F676-J676,"n.a."),IF(C676="call",IF(K676&gt;J676,2*E676-D676-J676,"n.a."),IF(AND(J676&gt;0,J676&lt;K676),D676-J676,"n.a.")))</x:f>
        <x:v>n.a.</x:v>
      </x:c>
      <x:c r="P676" s="19" t="str">
        <x:f>IF(AND(B676="Butterfly",J676&gt;0,J676&lt;K676),L676/J676,"n.a.")</x:f>
        <x:v>n.a.</x:v>
      </x:c>
      <x:c r="Q676" s="11" t="n">
        <x:f>J676*'Model inputs'!$B$8</x:f>
        <x:v>-3327.9999999999973</x:v>
      </x:c>
      <x:c r="R676" s="1" t="str">
        <x:v>Outside standard debit bounds</x:v>
      </x:c>
      <x:c r="S676" s="1" t="n">
        <x:v>123</x:v>
      </x:c>
      <x:c r="T676" s="1" t="n">
        <x:v>141</x:v>
      </x:c>
    </x:row>
    <x:row r="677" ht="21" customHeight="1">
      <x:c r="A677" s="12" t="n">
        <x:v>46272</x:v>
      </x:c>
      <x:c r="B677" s="1" t="str">
        <x:v>Butterfly</x:v>
      </x:c>
      <x:c r="C677" s="1" t="str">
        <x:v>put</x:v>
      </x:c>
      <x:c r="D677" s="11" t="n">
        <x:v>8000</x:v>
      </x:c>
      <x:c r="E677" s="11" t="n">
        <x:v>8300</x:v>
      </x:c>
      <x:c r="F677" s="11" t="n">
        <x:v>8600</x:v>
      </x:c>
      <x:c r="G677" s="11" t="n">
        <x:f>'Option source'!B859</x:f>
        <x:v>1000</x:v>
      </x:c>
      <x:c r="H677" s="11" t="n">
        <x:f>'Option source'!B878</x:f>
        <x:v>1350</x:v>
      </x:c>
      <x:c r="I677" s="11" t="n">
        <x:f>'Option source'!B897</x:f>
        <x:v>1555.11</x:v>
      </x:c>
      <x:c r="J677" s="11" t="n">
        <x:f>G677-2*H677+IF(B677="Butterfly",I677,0)</x:f>
        <x:v>-144.8900000000001</x:v>
      </x:c>
      <x:c r="K677" s="11" t="n">
        <x:f>ABS(E677-D677)</x:f>
        <x:v>300</x:v>
      </x:c>
      <x:c r="L677" s="11" t="n">
        <x:f>K677-J677</x:f>
        <x:v>444.8900000000001</x:v>
      </x:c>
      <x:c r="M677" s="11" t="n">
        <x:f>IF(B677="Butterfly",MAX(J677,0),IF(C677="call","Unlimited",MAX(2*E677-D677+J677,J677,0)))</x:f>
        <x:v>0</x:v>
      </x:c>
      <x:c r="N677" s="11" t="str">
        <x:f>IF(B677="Butterfly",IF(AND(J677&gt;0,J677&lt;K677),D677+J677,"n.a."),IF(C677="call",IF(AND(J677&gt;0,J677&lt;K677),D677+J677,"n.a."),IF(AND(K677&gt;J677,2*E677-D677+J677&gt;=0),2*E677-D677+J677,"n.a.")))</x:f>
        <x:v>n.a.</x:v>
      </x:c>
      <x:c r="O677" s="11" t="str">
        <x:f>IF(B677="Butterfly",IF(AND(J677&gt;0,J677&lt;K677),F677-J677,"n.a."),IF(C677="call",IF(K677&gt;J677,2*E677-D677-J677,"n.a."),IF(AND(J677&gt;0,J677&lt;K677),D677-J677,"n.a.")))</x:f>
        <x:v>n.a.</x:v>
      </x:c>
      <x:c r="P677" s="19" t="str">
        <x:f>IF(AND(B677="Butterfly",J677&gt;0,J677&lt;K677),L677/J677,"n.a.")</x:f>
        <x:v>n.a.</x:v>
      </x:c>
      <x:c r="Q677" s="11" t="n">
        <x:f>J677*'Model inputs'!$B$8</x:f>
        <x:v>-14489.000000000011</x:v>
      </x:c>
      <x:c r="R677" s="1" t="str">
        <x:v>Outside standard debit bounds</x:v>
      </x:c>
      <x:c r="S677" s="1" t="n">
        <x:v>854</x:v>
      </x:c>
      <x:c r="T677" s="1" t="n">
        <x:v>873</x:v>
      </x:c>
    </x:row>
    <x:row r="678" ht="21" customHeight="1">
      <x:c r="A678" s="12" t="n">
        <x:v>46272</x:v>
      </x:c>
      <x:c r="B678" s="1" t="str">
        <x:v>Butterfly</x:v>
      </x:c>
      <x:c r="C678" s="1" t="str">
        <x:v>call</x:v>
      </x:c>
      <x:c r="D678" s="11" t="n">
        <x:v>5200</x:v>
      </x:c>
      <x:c r="E678" s="11" t="n">
        <x:v>5400</x:v>
      </x:c>
      <x:c r="F678" s="11" t="n">
        <x:v>5600</x:v>
      </x:c>
      <x:c r="G678" s="11" t="n">
        <x:f>'Option source'!B109</x:f>
        <x:v>1880.26</x:v>
      </x:c>
      <x:c r="H678" s="11" t="n">
        <x:f>'Option source'!B128</x:f>
        <x:v>1636.72</x:v>
      </x:c>
      <x:c r="I678" s="11" t="n">
        <x:f>'Option source'!B146</x:f>
        <x:v>1500</x:v>
      </x:c>
      <x:c r="J678" s="11" t="n">
        <x:f>G678-2*H678+IF(B678="Butterfly",I678,0)</x:f>
        <x:v>106.81999999999994</x:v>
      </x:c>
      <x:c r="K678" s="11" t="n">
        <x:f>ABS(E678-D678)</x:f>
        <x:v>200</x:v>
      </x:c>
      <x:c r="L678" s="11" t="n">
        <x:f>K678-J678</x:f>
        <x:v>93.18000000000006</x:v>
      </x:c>
      <x:c r="M678" s="11" t="n">
        <x:f>IF(B678="Butterfly",MAX(J678,0),IF(C678="call","Unlimited",MAX(2*E678-D678+J678,J678,0)))</x:f>
        <x:v>106.81999999999994</x:v>
      </x:c>
      <x:c r="N678" s="11" t="n">
        <x:f>IF(B678="Butterfly",IF(AND(J678&gt;0,J678&lt;K678),D678+J678,"n.a."),IF(C678="call",IF(AND(J678&gt;0,J678&lt;K678),D678+J678,"n.a."),IF(AND(K678&gt;J678,2*E678-D678+J678&gt;=0),2*E678-D678+J678,"n.a.")))</x:f>
        <x:v>5306.82</x:v>
      </x:c>
      <x:c r="O678" s="11" t="n">
        <x:f>IF(B678="Butterfly",IF(AND(J678&gt;0,J678&lt;K678),F678-J678,"n.a."),IF(C678="call",IF(K678&gt;J678,2*E678-D678-J678,"n.a."),IF(AND(J678&gt;0,J678&lt;K678),D678-J678,"n.a.")))</x:f>
        <x:v>5493.18</x:v>
      </x:c>
      <x:c r="P678" s="19" t="n">
        <x:f>IF(AND(B678="Butterfly",J678&gt;0,J678&lt;K678),L678/J678,"n.a.")</x:f>
        <x:v>0.8723085564501041</x:v>
      </x:c>
      <x:c r="Q678" s="11" t="n">
        <x:f>J678*'Model inputs'!$B$8</x:f>
        <x:v>10681.999999999993</x:v>
      </x:c>
      <x:c r="R678" s="1" t="str">
        <x:v>Flagged leg data</x:v>
      </x:c>
      <x:c r="S678" s="1" t="n">
        <x:v>104</x:v>
      </x:c>
      <x:c r="T678" s="1" t="n">
        <x:v>123</x:v>
      </x:c>
    </x:row>
    <x:row r="679" ht="21" customHeight="1">
      <x:c r="A679" s="12" t="n">
        <x:v>46272</x:v>
      </x:c>
      <x:c r="B679" s="1" t="str">
        <x:v>Butterfly</x:v>
      </x:c>
      <x:c r="C679" s="1" t="str">
        <x:v>put</x:v>
      </x:c>
      <x:c r="D679" s="11" t="n">
        <x:v>8300</x:v>
      </x:c>
      <x:c r="E679" s="11" t="n">
        <x:v>8600</x:v>
      </x:c>
      <x:c r="F679" s="11" t="n">
        <x:v>8900</x:v>
      </x:c>
      <x:c r="G679" s="11" t="n">
        <x:f>'Option source'!B878</x:f>
        <x:v>1350</x:v>
      </x:c>
      <x:c r="H679" s="11" t="n">
        <x:f>'Option source'!B897</x:f>
        <x:v>1555.11</x:v>
      </x:c>
      <x:c r="I679" s="11" t="n">
        <x:f>'Option source'!B912</x:f>
        <x:v>2022.5</x:v>
      </x:c>
      <x:c r="J679" s="11" t="n">
        <x:f>G679-2*H679+IF(B679="Butterfly",I679,0)</x:f>
        <x:v>262.2800000000002</x:v>
      </x:c>
      <x:c r="K679" s="11" t="n">
        <x:f>ABS(E679-D679)</x:f>
        <x:v>300</x:v>
      </x:c>
      <x:c r="L679" s="11" t="n">
        <x:f>K679-J679</x:f>
        <x:v>37.7199999999998</x:v>
      </x:c>
      <x:c r="M679" s="11" t="n">
        <x:f>IF(B679="Butterfly",MAX(J679,0),IF(C679="call","Unlimited",MAX(2*E679-D679+J679,J679,0)))</x:f>
        <x:v>262.2800000000002</x:v>
      </x:c>
      <x:c r="N679" s="11" t="n">
        <x:f>IF(B679="Butterfly",IF(AND(J679&gt;0,J679&lt;K679),D679+J679,"n.a."),IF(C679="call",IF(AND(J679&gt;0,J679&lt;K679),D679+J679,"n.a."),IF(AND(K679&gt;J679,2*E679-D679+J679&gt;=0),2*E679-D679+J679,"n.a.")))</x:f>
        <x:v>8562.28</x:v>
      </x:c>
      <x:c r="O679" s="11" t="n">
        <x:f>IF(B679="Butterfly",IF(AND(J679&gt;0,J679&lt;K679),F679-J679,"n.a."),IF(C679="call",IF(K679&gt;J679,2*E679-D679-J679,"n.a."),IF(AND(J679&gt;0,J679&lt;K679),D679-J679,"n.a.")))</x:f>
        <x:v>8637.72</x:v>
      </x:c>
      <x:c r="P679" s="19" t="n">
        <x:f>IF(AND(B679="Butterfly",J679&gt;0,J679&lt;K679),L679/J679,"n.a.")</x:f>
        <x:v>0.14381576940674</x:v>
      </x:c>
      <x:c r="Q679" s="11" t="n">
        <x:f>J679*'Model inputs'!$B$8</x:f>
        <x:v>26228.000000000022</x:v>
      </x:c>
      <x:c r="R679" s="1" t="str">
        <x:v>Flagged leg data</x:v>
      </x:c>
      <x:c r="S679" s="1" t="n">
        <x:v>873</x:v>
      </x:c>
      <x:c r="T679" s="1" t="n">
        <x:v>892</x:v>
      </x:c>
    </x:row>
    <x:row r="680" ht="21" customHeight="1">
      <x:c r="A680" s="12" t="n">
        <x:v>46272</x:v>
      </x:c>
      <x:c r="B680" s="1" t="str">
        <x:v>Butterfly</x:v>
      </x:c>
      <x:c r="C680" s="1" t="str">
        <x:v>call</x:v>
      </x:c>
      <x:c r="D680" s="11" t="n">
        <x:v>5000</x:v>
      </x:c>
      <x:c r="E680" s="11" t="n">
        <x:v>5200</x:v>
      </x:c>
      <x:c r="F680" s="11" t="n">
        <x:v>5400</x:v>
      </x:c>
      <x:c r="G680" s="11" t="n">
        <x:f>'Option source'!B90</x:f>
        <x:v>2094.25</x:v>
      </x:c>
      <x:c r="H680" s="11" t="n">
        <x:f>'Option source'!B109</x:f>
        <x:v>1880.26</x:v>
      </x:c>
      <x:c r="I680" s="11" t="n">
        <x:f>'Option source'!B128</x:f>
        <x:v>1636.72</x:v>
      </x:c>
      <x:c r="J680" s="11" t="n">
        <x:f>G680-2*H680+IF(B680="Butterfly",I680,0)</x:f>
        <x:v>-29.549999999999955</x:v>
      </x:c>
      <x:c r="K680" s="11" t="n">
        <x:f>ABS(E680-D680)</x:f>
        <x:v>200</x:v>
      </x:c>
      <x:c r="L680" s="11" t="n">
        <x:f>K680-J680</x:f>
        <x:v>229.54999999999995</x:v>
      </x:c>
      <x:c r="M680" s="11" t="n">
        <x:f>IF(B680="Butterfly",MAX(J680,0),IF(C680="call","Unlimited",MAX(2*E680-D680+J680,J680,0)))</x:f>
        <x:v>0</x:v>
      </x:c>
      <x:c r="N680" s="11" t="str">
        <x:f>IF(B680="Butterfly",IF(AND(J680&gt;0,J680&lt;K680),D680+J680,"n.a."),IF(C680="call",IF(AND(J680&gt;0,J680&lt;K680),D680+J680,"n.a."),IF(AND(K680&gt;J680,2*E680-D680+J680&gt;=0),2*E680-D680+J680,"n.a.")))</x:f>
        <x:v>n.a.</x:v>
      </x:c>
      <x:c r="O680" s="11" t="str">
        <x:f>IF(B680="Butterfly",IF(AND(J680&gt;0,J680&lt;K680),F680-J680,"n.a."),IF(C680="call",IF(K680&gt;J680,2*E680-D680-J680,"n.a."),IF(AND(J680&gt;0,J680&lt;K680),D680-J680,"n.a.")))</x:f>
        <x:v>n.a.</x:v>
      </x:c>
      <x:c r="P680" s="19" t="str">
        <x:f>IF(AND(B680="Butterfly",J680&gt;0,J680&lt;K680),L680/J680,"n.a.")</x:f>
        <x:v>n.a.</x:v>
      </x:c>
      <x:c r="Q680" s="11" t="n">
        <x:f>J680*'Model inputs'!$B$8</x:f>
        <x:v>-2954.9999999999955</x:v>
      </x:c>
      <x:c r="R680" s="1" t="str">
        <x:v>Outside standard debit bounds</x:v>
      </x:c>
      <x:c r="S680" s="1" t="n">
        <x:v>85</x:v>
      </x:c>
      <x:c r="T680" s="1" t="n">
        <x:v>104</x:v>
      </x:c>
    </x:row>
    <x:row r="681" ht="21" customHeight="1">
      <x:c r="A681" s="12" t="n">
        <x:v>46272</x:v>
      </x:c>
      <x:c r="B681" s="1" t="str">
        <x:v>Butterfly</x:v>
      </x:c>
      <x:c r="C681" s="1" t="str">
        <x:v>call</x:v>
      </x:c>
      <x:c r="D681" s="11" t="n">
        <x:v>4800</x:v>
      </x:c>
      <x:c r="E681" s="11" t="n">
        <x:v>5000</x:v>
      </x:c>
      <x:c r="F681" s="11" t="n">
        <x:v>5200</x:v>
      </x:c>
      <x:c r="G681" s="11" t="n">
        <x:f>'Option source'!B73</x:f>
        <x:v>2261.21</x:v>
      </x:c>
      <x:c r="H681" s="11" t="n">
        <x:f>'Option source'!B90</x:f>
        <x:v>2094.25</x:v>
      </x:c>
      <x:c r="I681" s="11" t="n">
        <x:f>'Option source'!B109</x:f>
        <x:v>1880.26</x:v>
      </x:c>
      <x:c r="J681" s="11" t="n">
        <x:f>G681-2*H681+IF(B681="Butterfly",I681,0)</x:f>
        <x:v>-47.02999999999997</x:v>
      </x:c>
      <x:c r="K681" s="11" t="n">
        <x:f>ABS(E681-D681)</x:f>
        <x:v>200</x:v>
      </x:c>
      <x:c r="L681" s="11" t="n">
        <x:f>K681-J681</x:f>
        <x:v>247.02999999999997</x:v>
      </x:c>
      <x:c r="M681" s="11" t="n">
        <x:f>IF(B681="Butterfly",MAX(J681,0),IF(C681="call","Unlimited",MAX(2*E681-D681+J681,J681,0)))</x:f>
        <x:v>0</x:v>
      </x:c>
      <x:c r="N681" s="11" t="str">
        <x:f>IF(B681="Butterfly",IF(AND(J681&gt;0,J681&lt;K681),D681+J681,"n.a."),IF(C681="call",IF(AND(J681&gt;0,J681&lt;K681),D681+J681,"n.a."),IF(AND(K681&gt;J681,2*E681-D681+J681&gt;=0),2*E681-D681+J681,"n.a.")))</x:f>
        <x:v>n.a.</x:v>
      </x:c>
      <x:c r="O681" s="11" t="str">
        <x:f>IF(B681="Butterfly",IF(AND(J681&gt;0,J681&lt;K681),F681-J681,"n.a."),IF(C681="call",IF(K681&gt;J681,2*E681-D681-J681,"n.a."),IF(AND(J681&gt;0,J681&lt;K681),D681-J681,"n.a.")))</x:f>
        <x:v>n.a.</x:v>
      </x:c>
      <x:c r="P681" s="19" t="str">
        <x:f>IF(AND(B681="Butterfly",J681&gt;0,J681&lt;K681),L681/J681,"n.a.")</x:f>
        <x:v>n.a.</x:v>
      </x:c>
      <x:c r="Q681" s="11" t="n">
        <x:f>J681*'Model inputs'!$B$8</x:f>
        <x:v>-4702.999999999997</x:v>
      </x:c>
      <x:c r="R681" s="1" t="str">
        <x:v>Outside standard debit bounds</x:v>
      </x:c>
      <x:c r="S681" s="1" t="n">
        <x:v>68</x:v>
      </x:c>
      <x:c r="T681" s="1" t="n">
        <x:v>85</x:v>
      </x:c>
    </x:row>
    <x:row r="682" ht="21" customHeight="1">
      <x:c r="A682" s="12" t="n">
        <x:v>46272</x:v>
      </x:c>
      <x:c r="B682" s="1" t="str">
        <x:v>Butterfly</x:v>
      </x:c>
      <x:c r="C682" s="1" t="str">
        <x:v>call</x:v>
      </x:c>
      <x:c r="D682" s="11" t="n">
        <x:v>4600</x:v>
      </x:c>
      <x:c r="E682" s="11" t="n">
        <x:v>4800</x:v>
      </x:c>
      <x:c r="F682" s="11" t="n">
        <x:v>5000</x:v>
      </x:c>
      <x:c r="G682" s="11" t="n">
        <x:f>'Option source'!B56</x:f>
        <x:v>2499.74</x:v>
      </x:c>
      <x:c r="H682" s="11" t="n">
        <x:f>'Option source'!B73</x:f>
        <x:v>2261.21</x:v>
      </x:c>
      <x:c r="I682" s="11" t="n">
        <x:f>'Option source'!B90</x:f>
        <x:v>2094.25</x:v>
      </x:c>
      <x:c r="J682" s="11" t="n">
        <x:f>G682-2*H682+IF(B682="Butterfly",I682,0)</x:f>
        <x:v>71.56999999999971</x:v>
      </x:c>
      <x:c r="K682" s="11" t="n">
        <x:f>ABS(E682-D682)</x:f>
        <x:v>200</x:v>
      </x:c>
      <x:c r="L682" s="11" t="n">
        <x:f>K682-J682</x:f>
        <x:v>128.4300000000003</x:v>
      </x:c>
      <x:c r="M682" s="11" t="n">
        <x:f>IF(B682="Butterfly",MAX(J682,0),IF(C682="call","Unlimited",MAX(2*E682-D682+J682,J682,0)))</x:f>
        <x:v>71.56999999999971</x:v>
      </x:c>
      <x:c r="N682" s="11" t="n">
        <x:f>IF(B682="Butterfly",IF(AND(J682&gt;0,J682&lt;K682),D682+J682,"n.a."),IF(C682="call",IF(AND(J682&gt;0,J682&lt;K682),D682+J682,"n.a."),IF(AND(K682&gt;J682,2*E682-D682+J682&gt;=0),2*E682-D682+J682,"n.a.")))</x:f>
        <x:v>4671.57</x:v>
      </x:c>
      <x:c r="O682" s="11" t="n">
        <x:f>IF(B682="Butterfly",IF(AND(J682&gt;0,J682&lt;K682),F682-J682,"n.a."),IF(C682="call",IF(K682&gt;J682,2*E682-D682-J682,"n.a."),IF(AND(J682&gt;0,J682&lt;K682),D682-J682,"n.a.")))</x:f>
        <x:v>4928.43</x:v>
      </x:c>
      <x:c r="P682" s="19" t="n">
        <x:f>IF(AND(B682="Butterfly",J682&gt;0,J682&lt;K682),L682/J682,"n.a.")</x:f>
        <x:v>1.7944669554282635</x:v>
      </x:c>
      <x:c r="Q682" s="11" t="n">
        <x:f>J682*'Model inputs'!$B$8</x:f>
        <x:v>7156.999999999971</x:v>
      </x:c>
      <x:c r="R682" s="1" t="str">
        <x:v>Flagged leg data</x:v>
      </x:c>
      <x:c r="S682" s="1" t="n">
        <x:v>51</x:v>
      </x:c>
      <x:c r="T682" s="1" t="n">
        <x:v>68</x:v>
      </x:c>
    </x:row>
    <x:row r="683" ht="21" customHeight="1">
      <x:c r="A683" s="12" t="n">
        <x:v>46272</x:v>
      </x:c>
      <x:c r="B683" s="1" t="str">
        <x:v>Butterfly</x:v>
      </x:c>
      <x:c r="C683" s="1" t="str">
        <x:v>call</x:v>
      </x:c>
      <x:c r="D683" s="11" t="n">
        <x:v>4400</x:v>
      </x:c>
      <x:c r="E683" s="11" t="n">
        <x:v>4600</x:v>
      </x:c>
      <x:c r="F683" s="11" t="n">
        <x:v>4800</x:v>
      </x:c>
      <x:c r="G683" s="11" t="n">
        <x:f>'Option source'!B37</x:f>
        <x:v>2762.2</x:v>
      </x:c>
      <x:c r="H683" s="11" t="n">
        <x:f>'Option source'!B56</x:f>
        <x:v>2499.74</x:v>
      </x:c>
      <x:c r="I683" s="11" t="n">
        <x:f>'Option source'!B73</x:f>
        <x:v>2261.21</x:v>
      </x:c>
      <x:c r="J683" s="11" t="n">
        <x:f>G683-2*H683+IF(B683="Butterfly",I683,0)</x:f>
        <x:v>23.93000000000029</x:v>
      </x:c>
      <x:c r="K683" s="11" t="n">
        <x:f>ABS(E683-D683)</x:f>
        <x:v>200</x:v>
      </x:c>
      <x:c r="L683" s="11" t="n">
        <x:f>K683-J683</x:f>
        <x:v>176.0699999999997</x:v>
      </x:c>
      <x:c r="M683" s="11" t="n">
        <x:f>IF(B683="Butterfly",MAX(J683,0),IF(C683="call","Unlimited",MAX(2*E683-D683+J683,J683,0)))</x:f>
        <x:v>23.93000000000029</x:v>
      </x:c>
      <x:c r="N683" s="11" t="n">
        <x:f>IF(B683="Butterfly",IF(AND(J683&gt;0,J683&lt;K683),D683+J683,"n.a."),IF(C683="call",IF(AND(J683&gt;0,J683&lt;K683),D683+J683,"n.a."),IF(AND(K683&gt;J683,2*E683-D683+J683&gt;=0),2*E683-D683+J683,"n.a.")))</x:f>
        <x:v>4423.93</x:v>
      </x:c>
      <x:c r="O683" s="11" t="n">
        <x:f>IF(B683="Butterfly",IF(AND(J683&gt;0,J683&lt;K683),F683-J683,"n.a."),IF(C683="call",IF(K683&gt;J683,2*E683-D683-J683,"n.a."),IF(AND(J683&gt;0,J683&lt;K683),D683-J683,"n.a.")))</x:f>
        <x:v>4776.07</x:v>
      </x:c>
      <x:c r="P683" s="19" t="n">
        <x:f>IF(AND(B683="Butterfly",J683&gt;0,J683&lt;K683),L683/J683,"n.a.")</x:f>
        <x:v>7.357709987463333</x:v>
      </x:c>
      <x:c r="Q683" s="11" t="n">
        <x:f>J683*'Model inputs'!$B$8</x:f>
        <x:v>2393.000000000029</x:v>
      </x:c>
      <x:c r="R683" s="1" t="str">
        <x:v>Flagged leg data</x:v>
      </x:c>
      <x:c r="S683" s="1" t="n">
        <x:v>32</x:v>
      </x:c>
      <x:c r="T683" s="1" t="n">
        <x:v>51</x:v>
      </x:c>
    </x:row>
    <x:row r="684" ht="21" customHeight="1">
      <x:c r="A684" s="12" t="n">
        <x:v>46272</x:v>
      </x:c>
      <x:c r="B684" s="1" t="str">
        <x:v>Butterfly</x:v>
      </x:c>
      <x:c r="C684" s="1" t="str">
        <x:v>call</x:v>
      </x:c>
      <x:c r="D684" s="11" t="n">
        <x:v>4200</x:v>
      </x:c>
      <x:c r="E684" s="11" t="n">
        <x:v>4400</x:v>
      </x:c>
      <x:c r="F684" s="11" t="n">
        <x:v>4600</x:v>
      </x:c>
      <x:c r="G684" s="11" t="n">
        <x:f>'Option source'!B18</x:f>
        <x:v>2871.76</x:v>
      </x:c>
      <x:c r="H684" s="11" t="n">
        <x:f>'Option source'!B37</x:f>
        <x:v>2762.2</x:v>
      </x:c>
      <x:c r="I684" s="11" t="n">
        <x:f>'Option source'!B56</x:f>
        <x:v>2499.74</x:v>
      </x:c>
      <x:c r="J684" s="11" t="n">
        <x:f>G684-2*H684+IF(B684="Butterfly",I684,0)</x:f>
        <x:v>-152.89999999999964</x:v>
      </x:c>
      <x:c r="K684" s="11" t="n">
        <x:f>ABS(E684-D684)</x:f>
        <x:v>200</x:v>
      </x:c>
      <x:c r="L684" s="11" t="n">
        <x:f>K684-J684</x:f>
        <x:v>352.89999999999964</x:v>
      </x:c>
      <x:c r="M684" s="11" t="n">
        <x:f>IF(B684="Butterfly",MAX(J684,0),IF(C684="call","Unlimited",MAX(2*E684-D684+J684,J684,0)))</x:f>
        <x:v>0</x:v>
      </x:c>
      <x:c r="N684" s="11" t="str">
        <x:f>IF(B684="Butterfly",IF(AND(J684&gt;0,J684&lt;K684),D684+J684,"n.a."),IF(C684="call",IF(AND(J684&gt;0,J684&lt;K684),D684+J684,"n.a."),IF(AND(K684&gt;J684,2*E684-D684+J684&gt;=0),2*E684-D684+J684,"n.a.")))</x:f>
        <x:v>n.a.</x:v>
      </x:c>
      <x:c r="O684" s="11" t="str">
        <x:f>IF(B684="Butterfly",IF(AND(J684&gt;0,J684&lt;K684),F684-J684,"n.a."),IF(C684="call",IF(K684&gt;J684,2*E684-D684-J684,"n.a."),IF(AND(J684&gt;0,J684&lt;K684),D684-J684,"n.a.")))</x:f>
        <x:v>n.a.</x:v>
      </x:c>
      <x:c r="P684" s="19" t="str">
        <x:f>IF(AND(B684="Butterfly",J684&gt;0,J684&lt;K684),L684/J684,"n.a.")</x:f>
        <x:v>n.a.</x:v>
      </x:c>
      <x:c r="Q684" s="11" t="n">
        <x:f>J684*'Model inputs'!$B$8</x:f>
        <x:v>-15289.999999999964</x:v>
      </x:c>
      <x:c r="R684" s="1" t="str">
        <x:v>Outside standard debit bounds</x:v>
      </x:c>
      <x:c r="S684" s="1" t="n">
        <x:v>13</x:v>
      </x:c>
      <x:c r="T684" s="1" t="n">
        <x:v>32</x:v>
      </x:c>
    </x:row>
    <x:row r="685" ht="21" customHeight="1">
      <x:c r="A685" s="12" t="n">
        <x:v>46272</x:v>
      </x:c>
      <x:c r="B685" s="1" t="str">
        <x:v>Butterfly</x:v>
      </x:c>
      <x:c r="C685" s="1" t="str">
        <x:v>put</x:v>
      </x:c>
      <x:c r="D685" s="11" t="n">
        <x:v>4200</x:v>
      </x:c>
      <x:c r="E685" s="11" t="n">
        <x:v>4400</x:v>
      </x:c>
      <x:c r="F685" s="11" t="n">
        <x:v>4600</x:v>
      </x:c>
      <x:c r="G685" s="11" t="n">
        <x:f>'Option source'!B498</x:f>
        <x:v>0.82</x:v>
      </x:c>
      <x:c r="H685" s="11" t="n">
        <x:f>'Option source'!B517</x:f>
        <x:v>1.25</x:v>
      </x:c>
      <x:c r="I685" s="11" t="n">
        <x:f>'Option source'!B536</x:f>
        <x:v>1.47</x:v>
      </x:c>
      <x:c r="J685" s="11" t="n">
        <x:f>G685-2*H685+IF(B685="Butterfly",I685,0)</x:f>
        <x:v>-0.2100000000000002</x:v>
      </x:c>
      <x:c r="K685" s="11" t="n">
        <x:f>ABS(E685-D685)</x:f>
        <x:v>200</x:v>
      </x:c>
      <x:c r="L685" s="11" t="n">
        <x:f>K685-J685</x:f>
        <x:v>200.21</x:v>
      </x:c>
      <x:c r="M685" s="11" t="n">
        <x:f>IF(B685="Butterfly",MAX(J685,0),IF(C685="call","Unlimited",MAX(2*E685-D685+J685,J685,0)))</x:f>
        <x:v>0</x:v>
      </x:c>
      <x:c r="N685" s="11" t="str">
        <x:f>IF(B685="Butterfly",IF(AND(J685&gt;0,J685&lt;K685),D685+J685,"n.a."),IF(C685="call",IF(AND(J685&gt;0,J685&lt;K685),D685+J685,"n.a."),IF(AND(K685&gt;J685,2*E685-D685+J685&gt;=0),2*E685-D685+J685,"n.a.")))</x:f>
        <x:v>n.a.</x:v>
      </x:c>
      <x:c r="O685" s="11" t="str">
        <x:f>IF(B685="Butterfly",IF(AND(J685&gt;0,J685&lt;K685),F685-J685,"n.a."),IF(C685="call",IF(K685&gt;J685,2*E685-D685-J685,"n.a."),IF(AND(J685&gt;0,J685&lt;K685),D685-J685,"n.a.")))</x:f>
        <x:v>n.a.</x:v>
      </x:c>
      <x:c r="P685" s="19" t="str">
        <x:f>IF(AND(B685="Butterfly",J685&gt;0,J685&lt;K685),L685/J685,"n.a.")</x:f>
        <x:v>n.a.</x:v>
      </x:c>
      <x:c r="Q685" s="11" t="n">
        <x:f>J685*'Model inputs'!$B$8</x:f>
        <x:v>-21.000000000000018</x:v>
      </x:c>
      <x:c r="R685" s="1" t="str">
        <x:v>Outside standard debit bounds</x:v>
      </x:c>
      <x:c r="S685" s="1" t="n">
        <x:v>493</x:v>
      </x:c>
      <x:c r="T685" s="1" t="n">
        <x:v>512</x:v>
      </x:c>
    </x:row>
    <x:row r="686" ht="21" customHeight="1">
      <x:c r="A686" s="12" t="n">
        <x:v>46272</x:v>
      </x:c>
      <x:c r="B686" s="1" t="str">
        <x:v>1x2 ratio</x:v>
      </x:c>
      <x:c r="C686" s="1" t="str">
        <x:v>call</x:v>
      </x:c>
      <x:c r="D686" s="11" t="n">
        <x:v>6800</x:v>
      </x:c>
      <x:c r="E686" s="11" t="n">
        <x:v>7000</x:v>
      </x:c>
      <x:c r="F686" s="11"/>
      <x:c r="G686" s="11" t="n">
        <x:f>'Option source'!B251</x:f>
        <x:v>567</x:v>
      </x:c>
      <x:c r="H686" s="11" t="n">
        <x:f>'Option source'!B270</x:f>
        <x:v>460.71</x:v>
      </x:c>
      <x:c r="I686" s="11"/>
      <x:c r="J686" s="11" t="n">
        <x:f>G686-2*H686+IF(B686="Butterfly",I686,0)</x:f>
        <x:v>-354.41999999999996</x:v>
      </x:c>
      <x:c r="K686" s="11" t="n">
        <x:f>ABS(E686-D686)</x:f>
        <x:v>200</x:v>
      </x:c>
      <x:c r="L686" s="11" t="n">
        <x:f>K686-J686</x:f>
        <x:v>554.42</x:v>
      </x:c>
      <x:c r="M686" s="11" t="str">
        <x:f>IF(B686="Butterfly",MAX(J686,0),IF(C686="call","Unlimited",MAX(2*E686-D686+J686,J686,0)))</x:f>
        <x:v>Unlimited</x:v>
      </x:c>
      <x:c r="N686" s="11" t="str">
        <x:f>IF(B686="Butterfly",IF(AND(J686&gt;0,J686&lt;K686),D686+J686,"n.a."),IF(C686="call",IF(AND(J686&gt;0,J686&lt;K686),D686+J686,"n.a."),IF(AND(K686&gt;J686,2*E686-D686+J686&gt;=0),2*E686-D686+J686,"n.a.")))</x:f>
        <x:v>n.a.</x:v>
      </x:c>
      <x:c r="O686" s="11" t="n">
        <x:f>IF(B686="Butterfly",IF(AND(J686&gt;0,J686&lt;K686),F686-J686,"n.a."),IF(C686="call",IF(K686&gt;J686,2*E686-D686-J686,"n.a."),IF(AND(J686&gt;0,J686&lt;K686),D686-J686,"n.a.")))</x:f>
        <x:v>7554.42</x:v>
      </x:c>
      <x:c r="P686" s="19" t="str">
        <x:f>IF(AND(B686="Butterfly",J686&gt;0,J686&lt;K686),L686/J686,"n.a.")</x:f>
        <x:v>n.a.</x:v>
      </x:c>
      <x:c r="Q686" s="11" t="n">
        <x:f>J686*'Model inputs'!$B$8</x:f>
        <x:v>-35441.99999999999</x:v>
      </x:c>
      <x:c r="R686" s="1" t="str">
        <x:v>Indicative only</x:v>
      </x:c>
      <x:c r="S686" s="1" t="n">
        <x:v>246</x:v>
      </x:c>
      <x:c r="T686" s="1" t="n">
        <x:v>265</x:v>
      </x:c>
    </x:row>
    <x:row r="687" ht="21" customHeight="1">
      <x:c r="A687" s="12" t="n">
        <x:v>46272</x:v>
      </x:c>
      <x:c r="B687" s="1" t="str">
        <x:v>1x2 ratio</x:v>
      </x:c>
      <x:c r="C687" s="1" t="str">
        <x:v>put</x:v>
      </x:c>
      <x:c r="D687" s="11" t="n">
        <x:v>7200</x:v>
      </x:c>
      <x:c r="E687" s="11" t="n">
        <x:v>7000</x:v>
      </x:c>
      <x:c r="F687" s="11"/>
      <x:c r="G687" s="11" t="n">
        <x:f>'Option source'!B783</x:f>
        <x:v>455</x:v>
      </x:c>
      <x:c r="H687" s="11" t="n">
        <x:f>'Option source'!B764</x:f>
        <x:v>341.02</x:v>
      </x:c>
      <x:c r="I687" s="11"/>
      <x:c r="J687" s="11" t="n">
        <x:f>G687-2*H687+IF(B687="Butterfly",I687,0)</x:f>
        <x:v>-227.03999999999996</x:v>
      </x:c>
      <x:c r="K687" s="11" t="n">
        <x:f>ABS(E687-D687)</x:f>
        <x:v>200</x:v>
      </x:c>
      <x:c r="L687" s="11" t="n">
        <x:f>K687-J687</x:f>
        <x:v>427.03999999999996</x:v>
      </x:c>
      <x:c r="M687" s="11" t="n">
        <x:f>IF(B687="Butterfly",MAX(J687,0),IF(C687="call","Unlimited",MAX(2*E687-D687+J687,J687,0)))</x:f>
        <x:v>6572.96</x:v>
      </x:c>
      <x:c r="N687" s="11" t="n">
        <x:f>IF(B687="Butterfly",IF(AND(J687&gt;0,J687&lt;K687),D687+J687,"n.a."),IF(C687="call",IF(AND(J687&gt;0,J687&lt;K687),D687+J687,"n.a."),IF(AND(K687&gt;J687,2*E687-D687+J687&gt;=0),2*E687-D687+J687,"n.a.")))</x:f>
        <x:v>6572.96</x:v>
      </x:c>
      <x:c r="O687" s="11" t="str">
        <x:f>IF(B687="Butterfly",IF(AND(J687&gt;0,J687&lt;K687),F687-J687,"n.a."),IF(C687="call",IF(K687&gt;J687,2*E687-D687-J687,"n.a."),IF(AND(J687&gt;0,J687&lt;K687),D687-J687,"n.a.")))</x:f>
        <x:v>n.a.</x:v>
      </x:c>
      <x:c r="P687" s="19" t="str">
        <x:f>IF(AND(B687="Butterfly",J687&gt;0,J687&lt;K687),L687/J687,"n.a.")</x:f>
        <x:v>n.a.</x:v>
      </x:c>
      <x:c r="Q687" s="11" t="n">
        <x:f>J687*'Model inputs'!$B$8</x:f>
        <x:v>-22703.999999999996</x:v>
      </x:c>
      <x:c r="R687" s="1" t="str">
        <x:v>Indicative only</x:v>
      </x:c>
      <x:c r="S687" s="1" t="n">
        <x:v>778</x:v>
      </x:c>
      <x:c r="T687" s="1" t="n">
        <x:v>759</x:v>
      </x:c>
    </x:row>
    <x:row r="688" ht="21" customHeight="1">
      <x:c r="A688" s="12" t="n">
        <x:v>46272</x:v>
      </x:c>
      <x:c r="B688" s="1" t="str">
        <x:v>1x2 ratio</x:v>
      </x:c>
      <x:c r="C688" s="1" t="str">
        <x:v>call</x:v>
      </x:c>
      <x:c r="D688" s="11" t="n">
        <x:v>6600</x:v>
      </x:c>
      <x:c r="E688" s="11" t="n">
        <x:v>6800</x:v>
      </x:c>
      <x:c r="F688" s="11"/>
      <x:c r="G688" s="11" t="n">
        <x:f>'Option source'!B232</x:f>
        <x:v>687.1</x:v>
      </x:c>
      <x:c r="H688" s="11" t="n">
        <x:f>'Option source'!B251</x:f>
        <x:v>567</x:v>
      </x:c>
      <x:c r="I688" s="11"/>
      <x:c r="J688" s="11" t="n">
        <x:f>G688-2*H688+IF(B688="Butterfly",I688,0)</x:f>
        <x:v>-446.9</x:v>
      </x:c>
      <x:c r="K688" s="11" t="n">
        <x:f>ABS(E688-D688)</x:f>
        <x:v>200</x:v>
      </x:c>
      <x:c r="L688" s="11" t="n">
        <x:f>K688-J688</x:f>
        <x:v>646.9</x:v>
      </x:c>
      <x:c r="M688" s="11" t="str">
        <x:f>IF(B688="Butterfly",MAX(J688,0),IF(C688="call","Unlimited",MAX(2*E688-D688+J688,J688,0)))</x:f>
        <x:v>Unlimited</x:v>
      </x:c>
      <x:c r="N688" s="11" t="str">
        <x:f>IF(B688="Butterfly",IF(AND(J688&gt;0,J688&lt;K688),D688+J688,"n.a."),IF(C688="call",IF(AND(J688&gt;0,J688&lt;K688),D688+J688,"n.a."),IF(AND(K688&gt;J688,2*E688-D688+J688&gt;=0),2*E688-D688+J688,"n.a.")))</x:f>
        <x:v>n.a.</x:v>
      </x:c>
      <x:c r="O688" s="11" t="n">
        <x:f>IF(B688="Butterfly",IF(AND(J688&gt;0,J688&lt;K688),F688-J688,"n.a."),IF(C688="call",IF(K688&gt;J688,2*E688-D688-J688,"n.a."),IF(AND(J688&gt;0,J688&lt;K688),D688-J688,"n.a.")))</x:f>
        <x:v>7446.9</x:v>
      </x:c>
      <x:c r="P688" s="19" t="str">
        <x:f>IF(AND(B688="Butterfly",J688&gt;0,J688&lt;K688),L688/J688,"n.a.")</x:f>
        <x:v>n.a.</x:v>
      </x:c>
      <x:c r="Q688" s="11" t="n">
        <x:f>J688*'Model inputs'!$B$8</x:f>
        <x:v>-44690</x:v>
      </x:c>
      <x:c r="R688" s="1" t="str">
        <x:v>Indicative only</x:v>
      </x:c>
      <x:c r="S688" s="1" t="n">
        <x:v>227</x:v>
      </x:c>
      <x:c r="T688" s="1" t="n">
        <x:v>246</x:v>
      </x:c>
    </x:row>
    <x:row r="689" ht="21" customHeight="1">
      <x:c r="A689" s="12" t="n">
        <x:v>46272</x:v>
      </x:c>
      <x:c r="B689" s="1" t="str">
        <x:v>1x2 ratio</x:v>
      </x:c>
      <x:c r="C689" s="1" t="str">
        <x:v>put</x:v>
      </x:c>
      <x:c r="D689" s="11" t="n">
        <x:v>7000</x:v>
      </x:c>
      <x:c r="E689" s="11" t="n">
        <x:v>6800</x:v>
      </x:c>
      <x:c r="F689" s="11"/>
      <x:c r="G689" s="11" t="n">
        <x:f>'Option source'!B764</x:f>
        <x:v>341.02</x:v>
      </x:c>
      <x:c r="H689" s="11" t="n">
        <x:f>'Option source'!B745</x:f>
        <x:v>254.66</x:v>
      </x:c>
      <x:c r="I689" s="11"/>
      <x:c r="J689" s="11" t="n">
        <x:f>G689-2*H689+IF(B689="Butterfly",I689,0)</x:f>
        <x:v>-168.3</x:v>
      </x:c>
      <x:c r="K689" s="11" t="n">
        <x:f>ABS(E689-D689)</x:f>
        <x:v>200</x:v>
      </x:c>
      <x:c r="L689" s="11" t="n">
        <x:f>K689-J689</x:f>
        <x:v>368.3</x:v>
      </x:c>
      <x:c r="M689" s="11" t="n">
        <x:f>IF(B689="Butterfly",MAX(J689,0),IF(C689="call","Unlimited",MAX(2*E689-D689+J689,J689,0)))</x:f>
        <x:v>6431.7</x:v>
      </x:c>
      <x:c r="N689" s="11" t="n">
        <x:f>IF(B689="Butterfly",IF(AND(J689&gt;0,J689&lt;K689),D689+J689,"n.a."),IF(C689="call",IF(AND(J689&gt;0,J689&lt;K689),D689+J689,"n.a."),IF(AND(K689&gt;J689,2*E689-D689+J689&gt;=0),2*E689-D689+J689,"n.a.")))</x:f>
        <x:v>6431.7</x:v>
      </x:c>
      <x:c r="O689" s="11" t="str">
        <x:f>IF(B689="Butterfly",IF(AND(J689&gt;0,J689&lt;K689),F689-J689,"n.a."),IF(C689="call",IF(K689&gt;J689,2*E689-D689-J689,"n.a."),IF(AND(J689&gt;0,J689&lt;K689),D689-J689,"n.a.")))</x:f>
        <x:v>n.a.</x:v>
      </x:c>
      <x:c r="P689" s="19" t="str">
        <x:f>IF(AND(B689="Butterfly",J689&gt;0,J689&lt;K689),L689/J689,"n.a.")</x:f>
        <x:v>n.a.</x:v>
      </x:c>
      <x:c r="Q689" s="11" t="n">
        <x:f>J689*'Model inputs'!$B$8</x:f>
        <x:v>-16830</x:v>
      </x:c>
      <x:c r="R689" s="1" t="str">
        <x:v>Indicative only</x:v>
      </x:c>
      <x:c r="S689" s="1" t="n">
        <x:v>759</x:v>
      </x:c>
      <x:c r="T689" s="1" t="n">
        <x:v>740</x:v>
      </x:c>
    </x:row>
    <x:row r="690" ht="21" customHeight="1">
      <x:c r="A690" s="12" t="n">
        <x:v>46272</x:v>
      </x:c>
      <x:c r="B690" s="1" t="str">
        <x:v>1x2 ratio</x:v>
      </x:c>
      <x:c r="C690" s="1" t="str">
        <x:v>call</x:v>
      </x:c>
      <x:c r="D690" s="11" t="n">
        <x:v>7000</x:v>
      </x:c>
      <x:c r="E690" s="11" t="n">
        <x:v>7200</x:v>
      </x:c>
      <x:c r="F690" s="11"/>
      <x:c r="G690" s="11" t="n">
        <x:f>'Option source'!B270</x:f>
        <x:v>460.71</x:v>
      </x:c>
      <x:c r="H690" s="11" t="n">
        <x:f>'Option source'!B289</x:f>
        <x:v>366.28</x:v>
      </x:c>
      <x:c r="I690" s="11"/>
      <x:c r="J690" s="11" t="n">
        <x:f>G690-2*H690+IF(B690="Butterfly",I690,0)</x:f>
        <x:v>-271.84999999999997</x:v>
      </x:c>
      <x:c r="K690" s="11" t="n">
        <x:f>ABS(E690-D690)</x:f>
        <x:v>200</x:v>
      </x:c>
      <x:c r="L690" s="11" t="n">
        <x:f>K690-J690</x:f>
        <x:v>471.84999999999997</x:v>
      </x:c>
      <x:c r="M690" s="11" t="str">
        <x:f>IF(B690="Butterfly",MAX(J690,0),IF(C690="call","Unlimited",MAX(2*E690-D690+J690,J690,0)))</x:f>
        <x:v>Unlimited</x:v>
      </x:c>
      <x:c r="N690" s="11" t="str">
        <x:f>IF(B690="Butterfly",IF(AND(J690&gt;0,J690&lt;K690),D690+J690,"n.a."),IF(C690="call",IF(AND(J690&gt;0,J690&lt;K690),D690+J690,"n.a."),IF(AND(K690&gt;J690,2*E690-D690+J690&gt;=0),2*E690-D690+J690,"n.a.")))</x:f>
        <x:v>n.a.</x:v>
      </x:c>
      <x:c r="O690" s="11" t="n">
        <x:f>IF(B690="Butterfly",IF(AND(J690&gt;0,J690&lt;K690),F690-J690,"n.a."),IF(C690="call",IF(K690&gt;J690,2*E690-D690-J690,"n.a."),IF(AND(J690&gt;0,J690&lt;K690),D690-J690,"n.a.")))</x:f>
        <x:v>7671.85</x:v>
      </x:c>
      <x:c r="P690" s="19" t="str">
        <x:f>IF(AND(B690="Butterfly",J690&gt;0,J690&lt;K690),L690/J690,"n.a.")</x:f>
        <x:v>n.a.</x:v>
      </x:c>
      <x:c r="Q690" s="11" t="n">
        <x:f>J690*'Model inputs'!$B$8</x:f>
        <x:v>-27184.999999999996</x:v>
      </x:c>
      <x:c r="R690" s="1" t="str">
        <x:v>Indicative only</x:v>
      </x:c>
      <x:c r="S690" s="1" t="n">
        <x:v>265</x:v>
      </x:c>
      <x:c r="T690" s="1" t="n">
        <x:v>284</x:v>
      </x:c>
    </x:row>
    <x:row r="691" ht="21" customHeight="1">
      <x:c r="A691" s="12" t="n">
        <x:v>46272</x:v>
      </x:c>
      <x:c r="B691" s="1" t="str">
        <x:v>1x2 ratio</x:v>
      </x:c>
      <x:c r="C691" s="1" t="str">
        <x:v>put</x:v>
      </x:c>
      <x:c r="D691" s="11" t="n">
        <x:v>7400</x:v>
      </x:c>
      <x:c r="E691" s="11" t="n">
        <x:v>7200</x:v>
      </x:c>
      <x:c r="F691" s="11"/>
      <x:c r="G691" s="11" t="n">
        <x:f>'Option source'!B802</x:f>
        <x:v>555</x:v>
      </x:c>
      <x:c r="H691" s="11" t="n">
        <x:f>'Option source'!B783</x:f>
        <x:v>455</x:v>
      </x:c>
      <x:c r="I691" s="11"/>
      <x:c r="J691" s="11" t="n">
        <x:f>G691-2*H691+IF(B691="Butterfly",I691,0)</x:f>
        <x:v>-355</x:v>
      </x:c>
      <x:c r="K691" s="11" t="n">
        <x:f>ABS(E691-D691)</x:f>
        <x:v>200</x:v>
      </x:c>
      <x:c r="L691" s="11" t="n">
        <x:f>K691-J691</x:f>
        <x:v>555</x:v>
      </x:c>
      <x:c r="M691" s="11" t="n">
        <x:f>IF(B691="Butterfly",MAX(J691,0),IF(C691="call","Unlimited",MAX(2*E691-D691+J691,J691,0)))</x:f>
        <x:v>6645</x:v>
      </x:c>
      <x:c r="N691" s="11" t="n">
        <x:f>IF(B691="Butterfly",IF(AND(J691&gt;0,J691&lt;K691),D691+J691,"n.a."),IF(C691="call",IF(AND(J691&gt;0,J691&lt;K691),D691+J691,"n.a."),IF(AND(K691&gt;J691,2*E691-D691+J691&gt;=0),2*E691-D691+J691,"n.a.")))</x:f>
        <x:v>6645</x:v>
      </x:c>
      <x:c r="O691" s="11" t="str">
        <x:f>IF(B691="Butterfly",IF(AND(J691&gt;0,J691&lt;K691),F691-J691,"n.a."),IF(C691="call",IF(K691&gt;J691,2*E691-D691-J691,"n.a."),IF(AND(J691&gt;0,J691&lt;K691),D691-J691,"n.a.")))</x:f>
        <x:v>n.a.</x:v>
      </x:c>
      <x:c r="P691" s="19" t="str">
        <x:f>IF(AND(B691="Butterfly",J691&gt;0,J691&lt;K691),L691/J691,"n.a.")</x:f>
        <x:v>n.a.</x:v>
      </x:c>
      <x:c r="Q691" s="11" t="n">
        <x:f>J691*'Model inputs'!$B$8</x:f>
        <x:v>-35500</x:v>
      </x:c>
      <x:c r="R691" s="1" t="str">
        <x:v>Indicative only</x:v>
      </x:c>
      <x:c r="S691" s="1" t="n">
        <x:v>797</x:v>
      </x:c>
      <x:c r="T691" s="1" t="n">
        <x:v>778</x:v>
      </x:c>
    </x:row>
    <x:row r="692" ht="21" customHeight="1">
      <x:c r="A692" s="12" t="n">
        <x:v>46272</x:v>
      </x:c>
      <x:c r="B692" s="1" t="str">
        <x:v>1x2 ratio</x:v>
      </x:c>
      <x:c r="C692" s="1" t="str">
        <x:v>call</x:v>
      </x:c>
      <x:c r="D692" s="11" t="n">
        <x:v>6400</x:v>
      </x:c>
      <x:c r="E692" s="11" t="n">
        <x:v>6600</x:v>
      </x:c>
      <x:c r="F692" s="11"/>
      <x:c r="G692" s="11" t="n">
        <x:f>'Option source'!B213</x:f>
        <x:v>829</x:v>
      </x:c>
      <x:c r="H692" s="11" t="n">
        <x:f>'Option source'!B232</x:f>
        <x:v>687.1</x:v>
      </x:c>
      <x:c r="I692" s="11"/>
      <x:c r="J692" s="11" t="n">
        <x:f>G692-2*H692+IF(B692="Butterfly",I692,0)</x:f>
        <x:v>-545.2</x:v>
      </x:c>
      <x:c r="K692" s="11" t="n">
        <x:f>ABS(E692-D692)</x:f>
        <x:v>200</x:v>
      </x:c>
      <x:c r="L692" s="11" t="n">
        <x:f>K692-J692</x:f>
        <x:v>745.2</x:v>
      </x:c>
      <x:c r="M692" s="11" t="str">
        <x:f>IF(B692="Butterfly",MAX(J692,0),IF(C692="call","Unlimited",MAX(2*E692-D692+J692,J692,0)))</x:f>
        <x:v>Unlimited</x:v>
      </x:c>
      <x:c r="N692" s="11" t="str">
        <x:f>IF(B692="Butterfly",IF(AND(J692&gt;0,J692&lt;K692),D692+J692,"n.a."),IF(C692="call",IF(AND(J692&gt;0,J692&lt;K692),D692+J692,"n.a."),IF(AND(K692&gt;J692,2*E692-D692+J692&gt;=0),2*E692-D692+J692,"n.a.")))</x:f>
        <x:v>n.a.</x:v>
      </x:c>
      <x:c r="O692" s="11" t="n">
        <x:f>IF(B692="Butterfly",IF(AND(J692&gt;0,J692&lt;K692),F692-J692,"n.a."),IF(C692="call",IF(K692&gt;J692,2*E692-D692-J692,"n.a."),IF(AND(J692&gt;0,J692&lt;K692),D692-J692,"n.a.")))</x:f>
        <x:v>7345.2</x:v>
      </x:c>
      <x:c r="P692" s="19" t="str">
        <x:f>IF(AND(B692="Butterfly",J692&gt;0,J692&lt;K692),L692/J692,"n.a.")</x:f>
        <x:v>n.a.</x:v>
      </x:c>
      <x:c r="Q692" s="11" t="n">
        <x:f>J692*'Model inputs'!$B$8</x:f>
        <x:v>-54520.00000000001</x:v>
      </x:c>
      <x:c r="R692" s="1" t="str">
        <x:v>Indicative only</x:v>
      </x:c>
      <x:c r="S692" s="1" t="n">
        <x:v>208</x:v>
      </x:c>
      <x:c r="T692" s="1" t="n">
        <x:v>227</x:v>
      </x:c>
    </x:row>
    <x:row r="693" ht="21" customHeight="1">
      <x:c r="A693" s="12" t="n">
        <x:v>46272</x:v>
      </x:c>
      <x:c r="B693" s="1" t="str">
        <x:v>1x2 ratio</x:v>
      </x:c>
      <x:c r="C693" s="1" t="str">
        <x:v>put</x:v>
      </x:c>
      <x:c r="D693" s="11" t="n">
        <x:v>6800</x:v>
      </x:c>
      <x:c r="E693" s="11" t="n">
        <x:v>6600</x:v>
      </x:c>
      <x:c r="F693" s="11"/>
      <x:c r="G693" s="11" t="n">
        <x:f>'Option source'!B745</x:f>
        <x:v>254.66</x:v>
      </x:c>
      <x:c r="H693" s="11" t="n">
        <x:f>'Option source'!B726</x:f>
        <x:v>180.32</x:v>
      </x:c>
      <x:c r="I693" s="11"/>
      <x:c r="J693" s="11" t="n">
        <x:f>G693-2*H693+IF(B693="Butterfly",I693,0)</x:f>
        <x:v>-105.97999999999999</x:v>
      </x:c>
      <x:c r="K693" s="11" t="n">
        <x:f>ABS(E693-D693)</x:f>
        <x:v>200</x:v>
      </x:c>
      <x:c r="L693" s="11" t="n">
        <x:f>K693-J693</x:f>
        <x:v>305.98</x:v>
      </x:c>
      <x:c r="M693" s="11" t="n">
        <x:f>IF(B693="Butterfly",MAX(J693,0),IF(C693="call","Unlimited",MAX(2*E693-D693+J693,J693,0)))</x:f>
        <x:v>6294.02</x:v>
      </x:c>
      <x:c r="N693" s="11" t="n">
        <x:f>IF(B693="Butterfly",IF(AND(J693&gt;0,J693&lt;K693),D693+J693,"n.a."),IF(C693="call",IF(AND(J693&gt;0,J693&lt;K693),D693+J693,"n.a."),IF(AND(K693&gt;J693,2*E693-D693+J693&gt;=0),2*E693-D693+J693,"n.a.")))</x:f>
        <x:v>6294.02</x:v>
      </x:c>
      <x:c r="O693" s="11" t="str">
        <x:f>IF(B693="Butterfly",IF(AND(J693&gt;0,J693&lt;K693),F693-J693,"n.a."),IF(C693="call",IF(K693&gt;J693,2*E693-D693-J693,"n.a."),IF(AND(J693&gt;0,J693&lt;K693),D693-J693,"n.a.")))</x:f>
        <x:v>n.a.</x:v>
      </x:c>
      <x:c r="P693" s="19" t="str">
        <x:f>IF(AND(B693="Butterfly",J693&gt;0,J693&lt;K693),L693/J693,"n.a.")</x:f>
        <x:v>n.a.</x:v>
      </x:c>
      <x:c r="Q693" s="11" t="n">
        <x:f>J693*'Model inputs'!$B$8</x:f>
        <x:v>-10597.999999999998</x:v>
      </x:c>
      <x:c r="R693" s="1" t="str">
        <x:v>Indicative only</x:v>
      </x:c>
      <x:c r="S693" s="1" t="n">
        <x:v>740</x:v>
      </x:c>
      <x:c r="T693" s="1" t="n">
        <x:v>721</x:v>
      </x:c>
    </x:row>
    <x:row r="694" ht="21" customHeight="1">
      <x:c r="A694" s="12" t="n">
        <x:v>46272</x:v>
      </x:c>
      <x:c r="B694" s="1" t="str">
        <x:v>1x2 ratio</x:v>
      </x:c>
      <x:c r="C694" s="1" t="str">
        <x:v>call</x:v>
      </x:c>
      <x:c r="D694" s="11" t="n">
        <x:v>7200</x:v>
      </x:c>
      <x:c r="E694" s="11" t="n">
        <x:v>7400</x:v>
      </x:c>
      <x:c r="F694" s="11"/>
      <x:c r="G694" s="11" t="n">
        <x:f>'Option source'!B289</x:f>
        <x:v>366.28</x:v>
      </x:c>
      <x:c r="H694" s="11" t="n">
        <x:f>'Option source'!B308</x:f>
        <x:v>286.38</x:v>
      </x:c>
      <x:c r="I694" s="11"/>
      <x:c r="J694" s="11" t="n">
        <x:f>G694-2*H694+IF(B694="Butterfly",I694,0)</x:f>
        <x:v>-206.48000000000002</x:v>
      </x:c>
      <x:c r="K694" s="11" t="n">
        <x:f>ABS(E694-D694)</x:f>
        <x:v>200</x:v>
      </x:c>
      <x:c r="L694" s="11" t="n">
        <x:f>K694-J694</x:f>
        <x:v>406.48</x:v>
      </x:c>
      <x:c r="M694" s="11" t="str">
        <x:f>IF(B694="Butterfly",MAX(J694,0),IF(C694="call","Unlimited",MAX(2*E694-D694+J694,J694,0)))</x:f>
        <x:v>Unlimited</x:v>
      </x:c>
      <x:c r="N694" s="11" t="str">
        <x:f>IF(B694="Butterfly",IF(AND(J694&gt;0,J694&lt;K694),D694+J694,"n.a."),IF(C694="call",IF(AND(J694&gt;0,J694&lt;K694),D694+J694,"n.a."),IF(AND(K694&gt;J694,2*E694-D694+J694&gt;=0),2*E694-D694+J694,"n.a.")))</x:f>
        <x:v>n.a.</x:v>
      </x:c>
      <x:c r="O694" s="11" t="n">
        <x:f>IF(B694="Butterfly",IF(AND(J694&gt;0,J694&lt;K694),F694-J694,"n.a."),IF(C694="call",IF(K694&gt;J694,2*E694-D694-J694,"n.a."),IF(AND(J694&gt;0,J694&lt;K694),D694-J694,"n.a.")))</x:f>
        <x:v>7806.48</x:v>
      </x:c>
      <x:c r="P694" s="19" t="str">
        <x:f>IF(AND(B694="Butterfly",J694&gt;0,J694&lt;K694),L694/J694,"n.a.")</x:f>
        <x:v>n.a.</x:v>
      </x:c>
      <x:c r="Q694" s="11" t="n">
        <x:f>J694*'Model inputs'!$B$8</x:f>
        <x:v>-20648</x:v>
      </x:c>
      <x:c r="R694" s="1" t="str">
        <x:v>Indicative only</x:v>
      </x:c>
      <x:c r="S694" s="1" t="n">
        <x:v>284</x:v>
      </x:c>
      <x:c r="T694" s="1" t="n">
        <x:v>303</x:v>
      </x:c>
    </x:row>
    <x:row r="695" ht="21" customHeight="1">
      <x:c r="A695" s="12" t="n">
        <x:v>46272</x:v>
      </x:c>
      <x:c r="B695" s="1" t="str">
        <x:v>1x2 ratio</x:v>
      </x:c>
      <x:c r="C695" s="1" t="str">
        <x:v>put</x:v>
      </x:c>
      <x:c r="D695" s="11" t="n">
        <x:v>6600</x:v>
      </x:c>
      <x:c r="E695" s="11" t="n">
        <x:v>6400</x:v>
      </x:c>
      <x:c r="F695" s="11"/>
      <x:c r="G695" s="11" t="n">
        <x:f>'Option source'!B726</x:f>
        <x:v>180.32</x:v>
      </x:c>
      <x:c r="H695" s="11" t="n">
        <x:f>'Option source'!B707</x:f>
        <x:v>124.24</x:v>
      </x:c>
      <x:c r="I695" s="11"/>
      <x:c r="J695" s="11" t="n">
        <x:f>G695-2*H695+IF(B695="Butterfly",I695,0)</x:f>
        <x:v>-68.16</x:v>
      </x:c>
      <x:c r="K695" s="11" t="n">
        <x:f>ABS(E695-D695)</x:f>
        <x:v>200</x:v>
      </x:c>
      <x:c r="L695" s="11" t="n">
        <x:f>K695-J695</x:f>
        <x:v>268.15999999999997</x:v>
      </x:c>
      <x:c r="M695" s="11" t="n">
        <x:f>IF(B695="Butterfly",MAX(J695,0),IF(C695="call","Unlimited",MAX(2*E695-D695+J695,J695,0)))</x:f>
        <x:v>6131.84</x:v>
      </x:c>
      <x:c r="N695" s="11" t="n">
        <x:f>IF(B695="Butterfly",IF(AND(J695&gt;0,J695&lt;K695),D695+J695,"n.a."),IF(C695="call",IF(AND(J695&gt;0,J695&lt;K695),D695+J695,"n.a."),IF(AND(K695&gt;J695,2*E695-D695+J695&gt;=0),2*E695-D695+J695,"n.a.")))</x:f>
        <x:v>6131.84</x:v>
      </x:c>
      <x:c r="O695" s="11" t="str">
        <x:f>IF(B695="Butterfly",IF(AND(J695&gt;0,J695&lt;K695),F695-J695,"n.a."),IF(C695="call",IF(K695&gt;J695,2*E695-D695-J695,"n.a."),IF(AND(J695&gt;0,J695&lt;K695),D695-J695,"n.a.")))</x:f>
        <x:v>n.a.</x:v>
      </x:c>
      <x:c r="P695" s="19" t="str">
        <x:f>IF(AND(B695="Butterfly",J695&gt;0,J695&lt;K695),L695/J695,"n.a.")</x:f>
        <x:v>n.a.</x:v>
      </x:c>
      <x:c r="Q695" s="11" t="n">
        <x:f>J695*'Model inputs'!$B$8</x:f>
        <x:v>-6816</x:v>
      </x:c>
      <x:c r="R695" s="1" t="str">
        <x:v>Indicative only</x:v>
      </x:c>
      <x:c r="S695" s="1" t="n">
        <x:v>721</x:v>
      </x:c>
      <x:c r="T695" s="1" t="n">
        <x:v>702</x:v>
      </x:c>
    </x:row>
    <x:row r="696" ht="21" customHeight="1">
      <x:c r="A696" s="12" t="n">
        <x:v>46272</x:v>
      </x:c>
      <x:c r="B696" s="1" t="str">
        <x:v>1x2 ratio</x:v>
      </x:c>
      <x:c r="C696" s="1" t="str">
        <x:v>call</x:v>
      </x:c>
      <x:c r="D696" s="11" t="n">
        <x:v>7400</x:v>
      </x:c>
      <x:c r="E696" s="11" t="n">
        <x:v>7600</x:v>
      </x:c>
      <x:c r="F696" s="11"/>
      <x:c r="G696" s="11" t="n">
        <x:f>'Option source'!B308</x:f>
        <x:v>286.38</x:v>
      </x:c>
      <x:c r="H696" s="11" t="n">
        <x:f>'Option source'!B327</x:f>
        <x:v>221.81</x:v>
      </x:c>
      <x:c r="I696" s="11"/>
      <x:c r="J696" s="11" t="n">
        <x:f>G696-2*H696+IF(B696="Butterfly",I696,0)</x:f>
        <x:v>-157.24</x:v>
      </x:c>
      <x:c r="K696" s="11" t="n">
        <x:f>ABS(E696-D696)</x:f>
        <x:v>200</x:v>
      </x:c>
      <x:c r="L696" s="11" t="n">
        <x:f>K696-J696</x:f>
        <x:v>357.24</x:v>
      </x:c>
      <x:c r="M696" s="11" t="str">
        <x:f>IF(B696="Butterfly",MAX(J696,0),IF(C696="call","Unlimited",MAX(2*E696-D696+J696,J696,0)))</x:f>
        <x:v>Unlimited</x:v>
      </x:c>
      <x:c r="N696" s="11" t="str">
        <x:f>IF(B696="Butterfly",IF(AND(J696&gt;0,J696&lt;K696),D696+J696,"n.a."),IF(C696="call",IF(AND(J696&gt;0,J696&lt;K696),D696+J696,"n.a."),IF(AND(K696&gt;J696,2*E696-D696+J696&gt;=0),2*E696-D696+J696,"n.a.")))</x:f>
        <x:v>n.a.</x:v>
      </x:c>
      <x:c r="O696" s="11" t="n">
        <x:f>IF(B696="Butterfly",IF(AND(J696&gt;0,J696&lt;K696),F696-J696,"n.a."),IF(C696="call",IF(K696&gt;J696,2*E696-D696-J696,"n.a."),IF(AND(J696&gt;0,J696&lt;K696),D696-J696,"n.a.")))</x:f>
        <x:v>7957.24</x:v>
      </x:c>
      <x:c r="P696" s="19" t="str">
        <x:f>IF(AND(B696="Butterfly",J696&gt;0,J696&lt;K696),L696/J696,"n.a.")</x:f>
        <x:v>n.a.</x:v>
      </x:c>
      <x:c r="Q696" s="11" t="n">
        <x:f>J696*'Model inputs'!$B$8</x:f>
        <x:v>-15724</x:v>
      </x:c>
      <x:c r="R696" s="1" t="str">
        <x:v>Indicative only</x:v>
      </x:c>
      <x:c r="S696" s="1" t="n">
        <x:v>303</x:v>
      </x:c>
      <x:c r="T696" s="1" t="n">
        <x:v>322</x:v>
      </x:c>
    </x:row>
    <x:row r="697" ht="21" customHeight="1">
      <x:c r="A697" s="12" t="n">
        <x:v>46272</x:v>
      </x:c>
      <x:c r="B697" s="1" t="str">
        <x:v>1x2 ratio</x:v>
      </x:c>
      <x:c r="C697" s="1" t="str">
        <x:v>put</x:v>
      </x:c>
      <x:c r="D697" s="11" t="n">
        <x:v>6400</x:v>
      </x:c>
      <x:c r="E697" s="11" t="n">
        <x:v>6200</x:v>
      </x:c>
      <x:c r="F697" s="11"/>
      <x:c r="G697" s="11" t="n">
        <x:f>'Option source'!B707</x:f>
        <x:v>124.24</x:v>
      </x:c>
      <x:c r="H697" s="11" t="n">
        <x:f>'Option source'!B688</x:f>
        <x:v>81.09</x:v>
      </x:c>
      <x:c r="I697" s="11"/>
      <x:c r="J697" s="11" t="n">
        <x:f>G697-2*H697+IF(B697="Butterfly",I697,0)</x:f>
        <x:v>-37.94000000000001</x:v>
      </x:c>
      <x:c r="K697" s="11" t="n">
        <x:f>ABS(E697-D697)</x:f>
        <x:v>200</x:v>
      </x:c>
      <x:c r="L697" s="11" t="n">
        <x:f>K697-J697</x:f>
        <x:v>237.94</x:v>
      </x:c>
      <x:c r="M697" s="11" t="n">
        <x:f>IF(B697="Butterfly",MAX(J697,0),IF(C697="call","Unlimited",MAX(2*E697-D697+J697,J697,0)))</x:f>
        <x:v>5962.06</x:v>
      </x:c>
      <x:c r="N697" s="11" t="n">
        <x:f>IF(B697="Butterfly",IF(AND(J697&gt;0,J697&lt;K697),D697+J697,"n.a."),IF(C697="call",IF(AND(J697&gt;0,J697&lt;K697),D697+J697,"n.a."),IF(AND(K697&gt;J697,2*E697-D697+J697&gt;=0),2*E697-D697+J697,"n.a.")))</x:f>
        <x:v>5962.06</x:v>
      </x:c>
      <x:c r="O697" s="11" t="str">
        <x:f>IF(B697="Butterfly",IF(AND(J697&gt;0,J697&lt;K697),F697-J697,"n.a."),IF(C697="call",IF(K697&gt;J697,2*E697-D697-J697,"n.a."),IF(AND(J697&gt;0,J697&lt;K697),D697-J697,"n.a.")))</x:f>
        <x:v>n.a.</x:v>
      </x:c>
      <x:c r="P697" s="19" t="str">
        <x:f>IF(AND(B697="Butterfly",J697&gt;0,J697&lt;K697),L697/J697,"n.a.")</x:f>
        <x:v>n.a.</x:v>
      </x:c>
      <x:c r="Q697" s="11" t="n">
        <x:f>J697*'Model inputs'!$B$8</x:f>
        <x:v>-3794.0000000000014</x:v>
      </x:c>
      <x:c r="R697" s="1" t="str">
        <x:v>Indicative only</x:v>
      </x:c>
      <x:c r="S697" s="1" t="n">
        <x:v>702</x:v>
      </x:c>
      <x:c r="T697" s="1" t="n">
        <x:v>683</x:v>
      </x:c>
    </x:row>
    <x:row r="698" ht="21" customHeight="1">
      <x:c r="A698" s="12" t="n">
        <x:v>46272</x:v>
      </x:c>
      <x:c r="B698" s="1" t="str">
        <x:v>1x2 ratio</x:v>
      </x:c>
      <x:c r="C698" s="1" t="str">
        <x:v>call</x:v>
      </x:c>
      <x:c r="D698" s="11" t="n">
        <x:v>7600</x:v>
      </x:c>
      <x:c r="E698" s="11" t="n">
        <x:v>7800</x:v>
      </x:c>
      <x:c r="F698" s="11"/>
      <x:c r="G698" s="11" t="n">
        <x:f>'Option source'!B327</x:f>
        <x:v>221.81</x:v>
      </x:c>
      <x:c r="H698" s="11" t="n">
        <x:f>'Option source'!B346</x:f>
        <x:v>170.27</x:v>
      </x:c>
      <x:c r="I698" s="11"/>
      <x:c r="J698" s="11" t="n">
        <x:f>G698-2*H698+IF(B698="Butterfly",I698,0)</x:f>
        <x:v>-118.73000000000002</x:v>
      </x:c>
      <x:c r="K698" s="11" t="n">
        <x:f>ABS(E698-D698)</x:f>
        <x:v>200</x:v>
      </x:c>
      <x:c r="L698" s="11" t="n">
        <x:f>K698-J698</x:f>
        <x:v>318.73</x:v>
      </x:c>
      <x:c r="M698" s="11" t="str">
        <x:f>IF(B698="Butterfly",MAX(J698,0),IF(C698="call","Unlimited",MAX(2*E698-D698+J698,J698,0)))</x:f>
        <x:v>Unlimited</x:v>
      </x:c>
      <x:c r="N698" s="11" t="str">
        <x:f>IF(B698="Butterfly",IF(AND(J698&gt;0,J698&lt;K698),D698+J698,"n.a."),IF(C698="call",IF(AND(J698&gt;0,J698&lt;K698),D698+J698,"n.a."),IF(AND(K698&gt;J698,2*E698-D698+J698&gt;=0),2*E698-D698+J698,"n.a.")))</x:f>
        <x:v>n.a.</x:v>
      </x:c>
      <x:c r="O698" s="11" t="n">
        <x:f>IF(B698="Butterfly",IF(AND(J698&gt;0,J698&lt;K698),F698-J698,"n.a."),IF(C698="call",IF(K698&gt;J698,2*E698-D698-J698,"n.a."),IF(AND(J698&gt;0,J698&lt;K698),D698-J698,"n.a.")))</x:f>
        <x:v>8118.73</x:v>
      </x:c>
      <x:c r="P698" s="19" t="str">
        <x:f>IF(AND(B698="Butterfly",J698&gt;0,J698&lt;K698),L698/J698,"n.a.")</x:f>
        <x:v>n.a.</x:v>
      </x:c>
      <x:c r="Q698" s="11" t="n">
        <x:f>J698*'Model inputs'!$B$8</x:f>
        <x:v>-11873.000000000002</x:v>
      </x:c>
      <x:c r="R698" s="1" t="str">
        <x:v>Indicative only</x:v>
      </x:c>
      <x:c r="S698" s="1" t="n">
        <x:v>322</x:v>
      </x:c>
      <x:c r="T698" s="1" t="n">
        <x:v>341</x:v>
      </x:c>
    </x:row>
    <x:row r="699" ht="21" customHeight="1">
      <x:c r="A699" s="12" t="n">
        <x:v>46272</x:v>
      </x:c>
      <x:c r="B699" s="1" t="str">
        <x:v>1x2 ratio</x:v>
      </x:c>
      <x:c r="C699" s="1" t="str">
        <x:v>call</x:v>
      </x:c>
      <x:c r="D699" s="11" t="n">
        <x:v>5800</x:v>
      </x:c>
      <x:c r="E699" s="11" t="n">
        <x:v>6000</x:v>
      </x:c>
      <x:c r="F699" s="11"/>
      <x:c r="G699" s="11" t="n">
        <x:f>'Option source'!B156</x:f>
        <x:v>1330</x:v>
      </x:c>
      <x:c r="H699" s="11" t="n">
        <x:f>'Option source'!B175</x:f>
        <x:v>1158.57</x:v>
      </x:c>
      <x:c r="I699" s="11"/>
      <x:c r="J699" s="11" t="n">
        <x:f>G699-2*H699+IF(B699="Butterfly",I699,0)</x:f>
        <x:v>-987.1399999999999</x:v>
      </x:c>
      <x:c r="K699" s="11" t="n">
        <x:f>ABS(E699-D699)</x:f>
        <x:v>200</x:v>
      </x:c>
      <x:c r="L699" s="11" t="n">
        <x:f>K699-J699</x:f>
        <x:v>1187.1399999999999</x:v>
      </x:c>
      <x:c r="M699" s="11" t="str">
        <x:f>IF(B699="Butterfly",MAX(J699,0),IF(C699="call","Unlimited",MAX(2*E699-D699+J699,J699,0)))</x:f>
        <x:v>Unlimited</x:v>
      </x:c>
      <x:c r="N699" s="11" t="str">
        <x:f>IF(B699="Butterfly",IF(AND(J699&gt;0,J699&lt;K699),D699+J699,"n.a."),IF(C699="call",IF(AND(J699&gt;0,J699&lt;K699),D699+J699,"n.a."),IF(AND(K699&gt;J699,2*E699-D699+J699&gt;=0),2*E699-D699+J699,"n.a.")))</x:f>
        <x:v>n.a.</x:v>
      </x:c>
      <x:c r="O699" s="11" t="n">
        <x:f>IF(B699="Butterfly",IF(AND(J699&gt;0,J699&lt;K699),F699-J699,"n.a."),IF(C699="call",IF(K699&gt;J699,2*E699-D699-J699,"n.a."),IF(AND(J699&gt;0,J699&lt;K699),D699-J699,"n.a.")))</x:f>
        <x:v>7187.139999999999</x:v>
      </x:c>
      <x:c r="P699" s="19" t="str">
        <x:f>IF(AND(B699="Butterfly",J699&gt;0,J699&lt;K699),L699/J699,"n.a.")</x:f>
        <x:v>n.a.</x:v>
      </x:c>
      <x:c r="Q699" s="11" t="n">
        <x:f>J699*'Model inputs'!$B$8</x:f>
        <x:v>-98713.99999999999</x:v>
      </x:c>
      <x:c r="R699" s="1" t="str">
        <x:v>Indicative only</x:v>
      </x:c>
      <x:c r="S699" s="1" t="n">
        <x:v>151</x:v>
      </x:c>
      <x:c r="T699" s="1" t="n">
        <x:v>170</x:v>
      </x:c>
    </x:row>
    <x:row r="700" ht="21" customHeight="1">
      <x:c r="A700" s="12" t="n">
        <x:v>46272</x:v>
      </x:c>
      <x:c r="B700" s="1" t="str">
        <x:v>1x2 ratio</x:v>
      </x:c>
      <x:c r="C700" s="1" t="str">
        <x:v>put</x:v>
      </x:c>
      <x:c r="D700" s="11" t="n">
        <x:v>6200</x:v>
      </x:c>
      <x:c r="E700" s="11" t="n">
        <x:v>6000</x:v>
      </x:c>
      <x:c r="F700" s="11"/>
      <x:c r="G700" s="11" t="n">
        <x:f>'Option source'!B688</x:f>
        <x:v>81.09</x:v>
      </x:c>
      <x:c r="H700" s="11" t="n">
        <x:f>'Option source'!B669</x:f>
        <x:v>49.14</x:v>
      </x:c>
      <x:c r="I700" s="11"/>
      <x:c r="J700" s="11" t="n">
        <x:f>G700-2*H700+IF(B700="Butterfly",I700,0)</x:f>
        <x:v>-17.189999999999998</x:v>
      </x:c>
      <x:c r="K700" s="11" t="n">
        <x:f>ABS(E700-D700)</x:f>
        <x:v>200</x:v>
      </x:c>
      <x:c r="L700" s="11" t="n">
        <x:f>K700-J700</x:f>
        <x:v>217.19</x:v>
      </x:c>
      <x:c r="M700" s="11" t="n">
        <x:f>IF(B700="Butterfly",MAX(J700,0),IF(C700="call","Unlimited",MAX(2*E700-D700+J700,J700,0)))</x:f>
        <x:v>5782.81</x:v>
      </x:c>
      <x:c r="N700" s="11" t="n">
        <x:f>IF(B700="Butterfly",IF(AND(J700&gt;0,J700&lt;K700),D700+J700,"n.a."),IF(C700="call",IF(AND(J700&gt;0,J700&lt;K700),D700+J700,"n.a."),IF(AND(K700&gt;J700,2*E700-D700+J700&gt;=0),2*E700-D700+J700,"n.a.")))</x:f>
        <x:v>5782.81</x:v>
      </x:c>
      <x:c r="O700" s="11" t="str">
        <x:f>IF(B700="Butterfly",IF(AND(J700&gt;0,J700&lt;K700),F700-J700,"n.a."),IF(C700="call",IF(K700&gt;J700,2*E700-D700-J700,"n.a."),IF(AND(J700&gt;0,J700&lt;K700),D700-J700,"n.a.")))</x:f>
        <x:v>n.a.</x:v>
      </x:c>
      <x:c r="P700" s="19" t="str">
        <x:f>IF(AND(B700="Butterfly",J700&gt;0,J700&lt;K700),L700/J700,"n.a.")</x:f>
        <x:v>n.a.</x:v>
      </x:c>
      <x:c r="Q700" s="11" t="n">
        <x:f>J700*'Model inputs'!$B$8</x:f>
        <x:v>-1718.9999999999998</x:v>
      </x:c>
      <x:c r="R700" s="1" t="str">
        <x:v>Indicative only</x:v>
      </x:c>
      <x:c r="S700" s="1" t="n">
        <x:v>683</x:v>
      </x:c>
      <x:c r="T700" s="1" t="n">
        <x:v>664</x:v>
      </x:c>
    </x:row>
    <x:row r="701" ht="21" customHeight="1">
      <x:c r="A701" s="12" t="n">
        <x:v>46272</x:v>
      </x:c>
      <x:c r="B701" s="1" t="str">
        <x:v>1x2 ratio</x:v>
      </x:c>
      <x:c r="C701" s="1" t="str">
        <x:v>call</x:v>
      </x:c>
      <x:c r="D701" s="11" t="n">
        <x:v>7800</x:v>
      </x:c>
      <x:c r="E701" s="11" t="n">
        <x:v>8000</x:v>
      </x:c>
      <x:c r="F701" s="11"/>
      <x:c r="G701" s="11" t="n">
        <x:f>'Option source'!B346</x:f>
        <x:v>170.27</x:v>
      </x:c>
      <x:c r="H701" s="11" t="n">
        <x:f>'Option source'!B365</x:f>
        <x:v>129.99</x:v>
      </x:c>
      <x:c r="I701" s="11"/>
      <x:c r="J701" s="11" t="n">
        <x:f>G701-2*H701+IF(B701="Butterfly",I701,0)</x:f>
        <x:v>-89.71000000000001</x:v>
      </x:c>
      <x:c r="K701" s="11" t="n">
        <x:f>ABS(E701-D701)</x:f>
        <x:v>200</x:v>
      </x:c>
      <x:c r="L701" s="11" t="n">
        <x:f>K701-J701</x:f>
        <x:v>289.71000000000004</x:v>
      </x:c>
      <x:c r="M701" s="11" t="str">
        <x:f>IF(B701="Butterfly",MAX(J701,0),IF(C701="call","Unlimited",MAX(2*E701-D701+J701,J701,0)))</x:f>
        <x:v>Unlimited</x:v>
      </x:c>
      <x:c r="N701" s="11" t="str">
        <x:f>IF(B701="Butterfly",IF(AND(J701&gt;0,J701&lt;K701),D701+J701,"n.a."),IF(C701="call",IF(AND(J701&gt;0,J701&lt;K701),D701+J701,"n.a."),IF(AND(K701&gt;J701,2*E701-D701+J701&gt;=0),2*E701-D701+J701,"n.a.")))</x:f>
        <x:v>n.a.</x:v>
      </x:c>
      <x:c r="O701" s="11" t="n">
        <x:f>IF(B701="Butterfly",IF(AND(J701&gt;0,J701&lt;K701),F701-J701,"n.a."),IF(C701="call",IF(K701&gt;J701,2*E701-D701-J701,"n.a."),IF(AND(J701&gt;0,J701&lt;K701),D701-J701,"n.a.")))</x:f>
        <x:v>8289.71</x:v>
      </x:c>
      <x:c r="P701" s="19" t="str">
        <x:f>IF(AND(B701="Butterfly",J701&gt;0,J701&lt;K701),L701/J701,"n.a.")</x:f>
        <x:v>n.a.</x:v>
      </x:c>
      <x:c r="Q701" s="11" t="n">
        <x:f>J701*'Model inputs'!$B$8</x:f>
        <x:v>-8971</x:v>
      </x:c>
      <x:c r="R701" s="1" t="str">
        <x:v>Indicative only</x:v>
      </x:c>
      <x:c r="S701" s="1" t="n">
        <x:v>341</x:v>
      </x:c>
      <x:c r="T701" s="1" t="n">
        <x:v>360</x:v>
      </x:c>
    </x:row>
    <x:row r="702" ht="21" customHeight="1">
      <x:c r="A702" s="12" t="n">
        <x:v>46272</x:v>
      </x:c>
      <x:c r="B702" s="1" t="str">
        <x:v>1x2 ratio</x:v>
      </x:c>
      <x:c r="C702" s="1" t="str">
        <x:v>put</x:v>
      </x:c>
      <x:c r="D702" s="11" t="n">
        <x:v>6000</x:v>
      </x:c>
      <x:c r="E702" s="11" t="n">
        <x:v>5800</x:v>
      </x:c>
      <x:c r="F702" s="11"/>
      <x:c r="G702" s="11" t="n">
        <x:f>'Option source'!B669</x:f>
        <x:v>49.14</x:v>
      </x:c>
      <x:c r="H702" s="11" t="n">
        <x:f>'Option source'!B650</x:f>
        <x:v>28.16</x:v>
      </x:c>
      <x:c r="I702" s="11"/>
      <x:c r="J702" s="11" t="n">
        <x:f>G702-2*H702+IF(B702="Butterfly",I702,0)</x:f>
        <x:v>-7.18</x:v>
      </x:c>
      <x:c r="K702" s="11" t="n">
        <x:f>ABS(E702-D702)</x:f>
        <x:v>200</x:v>
      </x:c>
      <x:c r="L702" s="11" t="n">
        <x:f>K702-J702</x:f>
        <x:v>207.18</x:v>
      </x:c>
      <x:c r="M702" s="11" t="n">
        <x:f>IF(B702="Butterfly",MAX(J702,0),IF(C702="call","Unlimited",MAX(2*E702-D702+J702,J702,0)))</x:f>
        <x:v>5592.82</x:v>
      </x:c>
      <x:c r="N702" s="11" t="n">
        <x:f>IF(B702="Butterfly",IF(AND(J702&gt;0,J702&lt;K702),D702+J702,"n.a."),IF(C702="call",IF(AND(J702&gt;0,J702&lt;K702),D702+J702,"n.a."),IF(AND(K702&gt;J702,2*E702-D702+J702&gt;=0),2*E702-D702+J702,"n.a.")))</x:f>
        <x:v>5592.82</x:v>
      </x:c>
      <x:c r="O702" s="11" t="str">
        <x:f>IF(B702="Butterfly",IF(AND(J702&gt;0,J702&lt;K702),F702-J702,"n.a."),IF(C702="call",IF(K702&gt;J702,2*E702-D702-J702,"n.a."),IF(AND(J702&gt;0,J702&lt;K702),D702-J702,"n.a.")))</x:f>
        <x:v>n.a.</x:v>
      </x:c>
      <x:c r="P702" s="19" t="str">
        <x:f>IF(AND(B702="Butterfly",J702&gt;0,J702&lt;K702),L702/J702,"n.a.")</x:f>
        <x:v>n.a.</x:v>
      </x:c>
      <x:c r="Q702" s="11" t="n">
        <x:f>J702*'Model inputs'!$B$8</x:f>
        <x:v>-718</x:v>
      </x:c>
      <x:c r="R702" s="1" t="str">
        <x:v>Indicative only</x:v>
      </x:c>
      <x:c r="S702" s="1" t="n">
        <x:v>664</x:v>
      </x:c>
      <x:c r="T702" s="1" t="n">
        <x:v>645</x:v>
      </x:c>
    </x:row>
    <x:row r="703" ht="21" customHeight="1">
      <x:c r="A703" s="12" t="n">
        <x:v>46272</x:v>
      </x:c>
      <x:c r="B703" s="1" t="str">
        <x:v>1x2 ratio</x:v>
      </x:c>
      <x:c r="C703" s="1" t="str">
        <x:v>put</x:v>
      </x:c>
      <x:c r="D703" s="11" t="n">
        <x:v>5800</x:v>
      </x:c>
      <x:c r="E703" s="11" t="n">
        <x:v>5600</x:v>
      </x:c>
      <x:c r="F703" s="11"/>
      <x:c r="G703" s="11" t="n">
        <x:f>'Option source'!B650</x:f>
        <x:v>28.16</x:v>
      </x:c>
      <x:c r="H703" s="11" t="n">
        <x:f>'Option source'!B631</x:f>
        <x:v>16</x:v>
      </x:c>
      <x:c r="I703" s="11"/>
      <x:c r="J703" s="11" t="n">
        <x:f>G703-2*H703+IF(B703="Butterfly",I703,0)</x:f>
        <x:v>-3.84</x:v>
      </x:c>
      <x:c r="K703" s="11" t="n">
        <x:f>ABS(E703-D703)</x:f>
        <x:v>200</x:v>
      </x:c>
      <x:c r="L703" s="11" t="n">
        <x:f>K703-J703</x:f>
        <x:v>203.84</x:v>
      </x:c>
      <x:c r="M703" s="11" t="n">
        <x:f>IF(B703="Butterfly",MAX(J703,0),IF(C703="call","Unlimited",MAX(2*E703-D703+J703,J703,0)))</x:f>
        <x:v>5396.16</x:v>
      </x:c>
      <x:c r="N703" s="11" t="n">
        <x:f>IF(B703="Butterfly",IF(AND(J703&gt;0,J703&lt;K703),D703+J703,"n.a."),IF(C703="call",IF(AND(J703&gt;0,J703&lt;K703),D703+J703,"n.a."),IF(AND(K703&gt;J703,2*E703-D703+J703&gt;=0),2*E703-D703+J703,"n.a.")))</x:f>
        <x:v>5396.16</x:v>
      </x:c>
      <x:c r="O703" s="11" t="str">
        <x:f>IF(B703="Butterfly",IF(AND(J703&gt;0,J703&lt;K703),F703-J703,"n.a."),IF(C703="call",IF(K703&gt;J703,2*E703-D703-J703,"n.a."),IF(AND(J703&gt;0,J703&lt;K703),D703-J703,"n.a.")))</x:f>
        <x:v>n.a.</x:v>
      </x:c>
      <x:c r="P703" s="19" t="str">
        <x:f>IF(AND(B703="Butterfly",J703&gt;0,J703&lt;K703),L703/J703,"n.a.")</x:f>
        <x:v>n.a.</x:v>
      </x:c>
      <x:c r="Q703" s="11" t="n">
        <x:f>J703*'Model inputs'!$B$8</x:f>
        <x:v>-384</x:v>
      </x:c>
      <x:c r="R703" s="1" t="str">
        <x:v>Indicative only</x:v>
      </x:c>
      <x:c r="S703" s="1" t="n">
        <x:v>645</x:v>
      </x:c>
      <x:c r="T703" s="1" t="n">
        <x:v>626</x:v>
      </x:c>
    </x:row>
    <x:row r="704" ht="21" customHeight="1">
      <x:c r="A704" s="12" t="n">
        <x:v>46272</x:v>
      </x:c>
      <x:c r="B704" s="1" t="str">
        <x:v>1x2 ratio</x:v>
      </x:c>
      <x:c r="C704" s="1" t="str">
        <x:v>call</x:v>
      </x:c>
      <x:c r="D704" s="11" t="n">
        <x:v>8000</x:v>
      </x:c>
      <x:c r="E704" s="11" t="n">
        <x:v>8300</x:v>
      </x:c>
      <x:c r="F704" s="11"/>
      <x:c r="G704" s="11" t="n">
        <x:f>'Option source'!B365</x:f>
        <x:v>129.99</x:v>
      </x:c>
      <x:c r="H704" s="11" t="n">
        <x:f>'Option source'!B384</x:f>
        <x:v>83.25</x:v>
      </x:c>
      <x:c r="I704" s="11"/>
      <x:c r="J704" s="11" t="n">
        <x:f>G704-2*H704+IF(B704="Butterfly",I704,0)</x:f>
        <x:v>-36.50999999999999</x:v>
      </x:c>
      <x:c r="K704" s="11" t="n">
        <x:f>ABS(E704-D704)</x:f>
        <x:v>300</x:v>
      </x:c>
      <x:c r="L704" s="11" t="n">
        <x:f>K704-J704</x:f>
        <x:v>336.51</x:v>
      </x:c>
      <x:c r="M704" s="11" t="str">
        <x:f>IF(B704="Butterfly",MAX(J704,0),IF(C704="call","Unlimited",MAX(2*E704-D704+J704,J704,0)))</x:f>
        <x:v>Unlimited</x:v>
      </x:c>
      <x:c r="N704" s="11" t="str">
        <x:f>IF(B704="Butterfly",IF(AND(J704&gt;0,J704&lt;K704),D704+J704,"n.a."),IF(C704="call",IF(AND(J704&gt;0,J704&lt;K704),D704+J704,"n.a."),IF(AND(K704&gt;J704,2*E704-D704+J704&gt;=0),2*E704-D704+J704,"n.a.")))</x:f>
        <x:v>n.a.</x:v>
      </x:c>
      <x:c r="O704" s="11" t="n">
        <x:f>IF(B704="Butterfly",IF(AND(J704&gt;0,J704&lt;K704),F704-J704,"n.a."),IF(C704="call",IF(K704&gt;J704,2*E704-D704-J704,"n.a."),IF(AND(J704&gt;0,J704&lt;K704),D704-J704,"n.a.")))</x:f>
        <x:v>8636.51</x:v>
      </x:c>
      <x:c r="P704" s="19" t="str">
        <x:f>IF(AND(B704="Butterfly",J704&gt;0,J704&lt;K704),L704/J704,"n.a.")</x:f>
        <x:v>n.a.</x:v>
      </x:c>
      <x:c r="Q704" s="11" t="n">
        <x:f>J704*'Model inputs'!$B$8</x:f>
        <x:v>-3650.999999999999</x:v>
      </x:c>
      <x:c r="R704" s="1" t="str">
        <x:v>Indicative only</x:v>
      </x:c>
      <x:c r="S704" s="1" t="n">
        <x:v>360</x:v>
      </x:c>
      <x:c r="T704" s="1" t="n">
        <x:v>379</x:v>
      </x:c>
    </x:row>
    <x:row r="705" ht="21" customHeight="1">
      <x:c r="A705" s="12" t="n">
        <x:v>46272</x:v>
      </x:c>
      <x:c r="B705" s="1" t="str">
        <x:v>1x2 ratio</x:v>
      </x:c>
      <x:c r="C705" s="1" t="str">
        <x:v>put</x:v>
      </x:c>
      <x:c r="D705" s="11" t="n">
        <x:v>5600</x:v>
      </x:c>
      <x:c r="E705" s="11" t="n">
        <x:v>5400</x:v>
      </x:c>
      <x:c r="F705" s="11"/>
      <x:c r="G705" s="11" t="n">
        <x:f>'Option source'!B631</x:f>
        <x:v>16</x:v>
      </x:c>
      <x:c r="H705" s="11" t="n">
        <x:f>'Option source'!B612</x:f>
        <x:v>8.51</x:v>
      </x:c>
      <x:c r="I705" s="11"/>
      <x:c r="J705" s="11" t="n">
        <x:f>G705-2*H705+IF(B705="Butterfly",I705,0)</x:f>
        <x:v>-1.0199999999999996</x:v>
      </x:c>
      <x:c r="K705" s="11" t="n">
        <x:f>ABS(E705-D705)</x:f>
        <x:v>200</x:v>
      </x:c>
      <x:c r="L705" s="11" t="n">
        <x:f>K705-J705</x:f>
        <x:v>201.02</x:v>
      </x:c>
      <x:c r="M705" s="11" t="n">
        <x:f>IF(B705="Butterfly",MAX(J705,0),IF(C705="call","Unlimited",MAX(2*E705-D705+J705,J705,0)))</x:f>
        <x:v>5198.98</x:v>
      </x:c>
      <x:c r="N705" s="11" t="n">
        <x:f>IF(B705="Butterfly",IF(AND(J705&gt;0,J705&lt;K705),D705+J705,"n.a."),IF(C705="call",IF(AND(J705&gt;0,J705&lt;K705),D705+J705,"n.a."),IF(AND(K705&gt;J705,2*E705-D705+J705&gt;=0),2*E705-D705+J705,"n.a.")))</x:f>
        <x:v>5198.98</x:v>
      </x:c>
      <x:c r="O705" s="11" t="str">
        <x:f>IF(B705="Butterfly",IF(AND(J705&gt;0,J705&lt;K705),F705-J705,"n.a."),IF(C705="call",IF(K705&gt;J705,2*E705-D705-J705,"n.a."),IF(AND(J705&gt;0,J705&lt;K705),D705-J705,"n.a.")))</x:f>
        <x:v>n.a.</x:v>
      </x:c>
      <x:c r="P705" s="19" t="str">
        <x:f>IF(AND(B705="Butterfly",J705&gt;0,J705&lt;K705),L705/J705,"n.a.")</x:f>
        <x:v>n.a.</x:v>
      </x:c>
      <x:c r="Q705" s="11" t="n">
        <x:f>J705*'Model inputs'!$B$8</x:f>
        <x:v>-101.99999999999996</x:v>
      </x:c>
      <x:c r="R705" s="1" t="str">
        <x:v>Indicative only</x:v>
      </x:c>
      <x:c r="S705" s="1" t="n">
        <x:v>626</x:v>
      </x:c>
      <x:c r="T705" s="1" t="n">
        <x:v>607</x:v>
      </x:c>
    </x:row>
    <x:row r="706" ht="21" customHeight="1">
      <x:c r="A706" s="12" t="n">
        <x:v>46272</x:v>
      </x:c>
      <x:c r="B706" s="1" t="str">
        <x:v>1x2 ratio</x:v>
      </x:c>
      <x:c r="C706" s="1" t="str">
        <x:v>call</x:v>
      </x:c>
      <x:c r="D706" s="11" t="n">
        <x:v>8300</x:v>
      </x:c>
      <x:c r="E706" s="11" t="n">
        <x:v>8600</x:v>
      </x:c>
      <x:c r="F706" s="11"/>
      <x:c r="G706" s="11" t="n">
        <x:f>'Option source'!B384</x:f>
        <x:v>83.25</x:v>
      </x:c>
      <x:c r="H706" s="11" t="n">
        <x:f>'Option source'!B403</x:f>
        <x:v>48.42</x:v>
      </x:c>
      <x:c r="I706" s="11"/>
      <x:c r="J706" s="11" t="n">
        <x:f>G706-2*H706+IF(B706="Butterfly",I706,0)</x:f>
        <x:v>-13.590000000000003</x:v>
      </x:c>
      <x:c r="K706" s="11" t="n">
        <x:f>ABS(E706-D706)</x:f>
        <x:v>300</x:v>
      </x:c>
      <x:c r="L706" s="11" t="n">
        <x:f>K706-J706</x:f>
        <x:v>313.59000000000003</x:v>
      </x:c>
      <x:c r="M706" s="11" t="str">
        <x:f>IF(B706="Butterfly",MAX(J706,0),IF(C706="call","Unlimited",MAX(2*E706-D706+J706,J706,0)))</x:f>
        <x:v>Unlimited</x:v>
      </x:c>
      <x:c r="N706" s="11" t="str">
        <x:f>IF(B706="Butterfly",IF(AND(J706&gt;0,J706&lt;K706),D706+J706,"n.a."),IF(C706="call",IF(AND(J706&gt;0,J706&lt;K706),D706+J706,"n.a."),IF(AND(K706&gt;J706,2*E706-D706+J706&gt;=0),2*E706-D706+J706,"n.a.")))</x:f>
        <x:v>n.a.</x:v>
      </x:c>
      <x:c r="O706" s="11" t="n">
        <x:f>IF(B706="Butterfly",IF(AND(J706&gt;0,J706&lt;K706),F706-J706,"n.a."),IF(C706="call",IF(K706&gt;J706,2*E706-D706-J706,"n.a."),IF(AND(J706&gt;0,J706&lt;K706),D706-J706,"n.a.")))</x:f>
        <x:v>8913.59</x:v>
      </x:c>
      <x:c r="P706" s="19" t="str">
        <x:f>IF(AND(B706="Butterfly",J706&gt;0,J706&lt;K706),L706/J706,"n.a.")</x:f>
        <x:v>n.a.</x:v>
      </x:c>
      <x:c r="Q706" s="11" t="n">
        <x:f>J706*'Model inputs'!$B$8</x:f>
        <x:v>-1359.0000000000005</x:v>
      </x:c>
      <x:c r="R706" s="1" t="str">
        <x:v>Indicative only</x:v>
      </x:c>
      <x:c r="S706" s="1" t="n">
        <x:v>379</x:v>
      </x:c>
      <x:c r="T706" s="1" t="n">
        <x:v>398</x:v>
      </x:c>
    </x:row>
    <x:row r="707" ht="21" customHeight="1">
      <x:c r="A707" s="12" t="n">
        <x:v>46272</x:v>
      </x:c>
      <x:c r="B707" s="1" t="str">
        <x:v>1x2 ratio</x:v>
      </x:c>
      <x:c r="C707" s="1" t="str">
        <x:v>put</x:v>
      </x:c>
      <x:c r="D707" s="11" t="n">
        <x:v>5400</x:v>
      </x:c>
      <x:c r="E707" s="11" t="n">
        <x:v>5200</x:v>
      </x:c>
      <x:c r="F707" s="11"/>
      <x:c r="G707" s="11" t="n">
        <x:f>'Option source'!B612</x:f>
        <x:v>8.51</x:v>
      </x:c>
      <x:c r="H707" s="11" t="n">
        <x:f>'Option source'!B593</x:f>
        <x:v>4.8</x:v>
      </x:c>
      <x:c r="I707" s="11"/>
      <x:c r="J707" s="11" t="n">
        <x:f>G707-2*H707+IF(B707="Butterfly",I707,0)</x:f>
        <x:v>-1.0899999999999999</x:v>
      </x:c>
      <x:c r="K707" s="11" t="n">
        <x:f>ABS(E707-D707)</x:f>
        <x:v>200</x:v>
      </x:c>
      <x:c r="L707" s="11" t="n">
        <x:f>K707-J707</x:f>
        <x:v>201.09</x:v>
      </x:c>
      <x:c r="M707" s="11" t="n">
        <x:f>IF(B707="Butterfly",MAX(J707,0),IF(C707="call","Unlimited",MAX(2*E707-D707+J707,J707,0)))</x:f>
        <x:v>4998.91</x:v>
      </x:c>
      <x:c r="N707" s="11" t="n">
        <x:f>IF(B707="Butterfly",IF(AND(J707&gt;0,J707&lt;K707),D707+J707,"n.a."),IF(C707="call",IF(AND(J707&gt;0,J707&lt;K707),D707+J707,"n.a."),IF(AND(K707&gt;J707,2*E707-D707+J707&gt;=0),2*E707-D707+J707,"n.a.")))</x:f>
        <x:v>4998.91</x:v>
      </x:c>
      <x:c r="O707" s="11" t="str">
        <x:f>IF(B707="Butterfly",IF(AND(J707&gt;0,J707&lt;K707),F707-J707,"n.a."),IF(C707="call",IF(K707&gt;J707,2*E707-D707-J707,"n.a."),IF(AND(J707&gt;0,J707&lt;K707),D707-J707,"n.a.")))</x:f>
        <x:v>n.a.</x:v>
      </x:c>
      <x:c r="P707" s="19" t="str">
        <x:f>IF(AND(B707="Butterfly",J707&gt;0,J707&lt;K707),L707/J707,"n.a.")</x:f>
        <x:v>n.a.</x:v>
      </x:c>
      <x:c r="Q707" s="11" t="n">
        <x:f>J707*'Model inputs'!$B$8</x:f>
        <x:v>-108.99999999999999</x:v>
      </x:c>
      <x:c r="R707" s="1" t="str">
        <x:v>Indicative only</x:v>
      </x:c>
      <x:c r="S707" s="1" t="n">
        <x:v>607</x:v>
      </x:c>
      <x:c r="T707" s="1" t="n">
        <x:v>588</x:v>
      </x:c>
    </x:row>
    <x:row r="708" ht="21" customHeight="1">
      <x:c r="A708" s="12" t="n">
        <x:v>46272</x:v>
      </x:c>
      <x:c r="B708" s="1" t="str">
        <x:v>1x2 ratio</x:v>
      </x:c>
      <x:c r="C708" s="1" t="str">
        <x:v>put</x:v>
      </x:c>
      <x:c r="D708" s="11" t="n">
        <x:v>5200</x:v>
      </x:c>
      <x:c r="E708" s="11" t="n">
        <x:v>5000</x:v>
      </x:c>
      <x:c r="F708" s="11"/>
      <x:c r="G708" s="11" t="n">
        <x:f>'Option source'!B593</x:f>
        <x:v>4.8</x:v>
      </x:c>
      <x:c r="H708" s="11" t="n">
        <x:f>'Option source'!B574</x:f>
        <x:v>2.79</x:v>
      </x:c>
      <x:c r="I708" s="11"/>
      <x:c r="J708" s="11" t="n">
        <x:f>G708-2*H708+IF(B708="Butterfly",I708,0)</x:f>
        <x:v>-0.7800000000000002</x:v>
      </x:c>
      <x:c r="K708" s="11" t="n">
        <x:f>ABS(E708-D708)</x:f>
        <x:v>200</x:v>
      </x:c>
      <x:c r="L708" s="11" t="n">
        <x:f>K708-J708</x:f>
        <x:v>200.78</x:v>
      </x:c>
      <x:c r="M708" s="11" t="n">
        <x:f>IF(B708="Butterfly",MAX(J708,0),IF(C708="call","Unlimited",MAX(2*E708-D708+J708,J708,0)))</x:f>
        <x:v>4799.22</x:v>
      </x:c>
      <x:c r="N708" s="11" t="n">
        <x:f>IF(B708="Butterfly",IF(AND(J708&gt;0,J708&lt;K708),D708+J708,"n.a."),IF(C708="call",IF(AND(J708&gt;0,J708&lt;K708),D708+J708,"n.a."),IF(AND(K708&gt;J708,2*E708-D708+J708&gt;=0),2*E708-D708+J708,"n.a.")))</x:f>
        <x:v>4799.22</x:v>
      </x:c>
      <x:c r="O708" s="11" t="str">
        <x:f>IF(B708="Butterfly",IF(AND(J708&gt;0,J708&lt;K708),F708-J708,"n.a."),IF(C708="call",IF(K708&gt;J708,2*E708-D708-J708,"n.a."),IF(AND(J708&gt;0,J708&lt;K708),D708-J708,"n.a.")))</x:f>
        <x:v>n.a.</x:v>
      </x:c>
      <x:c r="P708" s="19" t="str">
        <x:f>IF(AND(B708="Butterfly",J708&gt;0,J708&lt;K708),L708/J708,"n.a.")</x:f>
        <x:v>n.a.</x:v>
      </x:c>
      <x:c r="Q708" s="11" t="n">
        <x:f>J708*'Model inputs'!$B$8</x:f>
        <x:v>-78.00000000000003</x:v>
      </x:c>
      <x:c r="R708" s="1" t="str">
        <x:v>Indicative only</x:v>
      </x:c>
      <x:c r="S708" s="1" t="n">
        <x:v>588</x:v>
      </x:c>
      <x:c r="T708" s="1" t="n">
        <x:v>569</x:v>
      </x:c>
    </x:row>
    <x:row r="709" ht="21" customHeight="1">
      <x:c r="A709" s="12" t="n">
        <x:v>46272</x:v>
      </x:c>
      <x:c r="B709" s="1" t="str">
        <x:v>1x2 ratio</x:v>
      </x:c>
      <x:c r="C709" s="1" t="str">
        <x:v>call</x:v>
      </x:c>
      <x:c r="D709" s="11" t="n">
        <x:v>8600</x:v>
      </x:c>
      <x:c r="E709" s="11" t="n">
        <x:v>8900</x:v>
      </x:c>
      <x:c r="F709" s="11"/>
      <x:c r="G709" s="11" t="n">
        <x:f>'Option source'!B403</x:f>
        <x:v>48.42</x:v>
      </x:c>
      <x:c r="H709" s="11" t="n">
        <x:f>'Option source'!B422</x:f>
        <x:v>28.82</x:v>
      </x:c>
      <x:c r="I709" s="11"/>
      <x:c r="J709" s="11" t="n">
        <x:f>G709-2*H709+IF(B709="Butterfly",I709,0)</x:f>
        <x:v>-9.219999999999999</x:v>
      </x:c>
      <x:c r="K709" s="11" t="n">
        <x:f>ABS(E709-D709)</x:f>
        <x:v>300</x:v>
      </x:c>
      <x:c r="L709" s="11" t="n">
        <x:f>K709-J709</x:f>
        <x:v>309.22</x:v>
      </x:c>
      <x:c r="M709" s="11" t="str">
        <x:f>IF(B709="Butterfly",MAX(J709,0),IF(C709="call","Unlimited",MAX(2*E709-D709+J709,J709,0)))</x:f>
        <x:v>Unlimited</x:v>
      </x:c>
      <x:c r="N709" s="11" t="str">
        <x:f>IF(B709="Butterfly",IF(AND(J709&gt;0,J709&lt;K709),D709+J709,"n.a."),IF(C709="call",IF(AND(J709&gt;0,J709&lt;K709),D709+J709,"n.a."),IF(AND(K709&gt;J709,2*E709-D709+J709&gt;=0),2*E709-D709+J709,"n.a.")))</x:f>
        <x:v>n.a.</x:v>
      </x:c>
      <x:c r="O709" s="11" t="n">
        <x:f>IF(B709="Butterfly",IF(AND(J709&gt;0,J709&lt;K709),F709-J709,"n.a."),IF(C709="call",IF(K709&gt;J709,2*E709-D709-J709,"n.a."),IF(AND(J709&gt;0,J709&lt;K709),D709-J709,"n.a.")))</x:f>
        <x:v>9209.22</x:v>
      </x:c>
      <x:c r="P709" s="19" t="str">
        <x:f>IF(AND(B709="Butterfly",J709&gt;0,J709&lt;K709),L709/J709,"n.a.")</x:f>
        <x:v>n.a.</x:v>
      </x:c>
      <x:c r="Q709" s="11" t="n">
        <x:f>J709*'Model inputs'!$B$8</x:f>
        <x:v>-921.9999999999999</x:v>
      </x:c>
      <x:c r="R709" s="1" t="str">
        <x:v>Indicative only</x:v>
      </x:c>
      <x:c r="S709" s="1" t="n">
        <x:v>398</x:v>
      </x:c>
      <x:c r="T709" s="1" t="n">
        <x:v>417</x:v>
      </x:c>
    </x:row>
    <x:row r="710" ht="21" customHeight="1">
      <x:c r="A710" s="12" t="n">
        <x:v>46272</x:v>
      </x:c>
      <x:c r="B710" s="1" t="str">
        <x:v>1x2 ratio</x:v>
      </x:c>
      <x:c r="C710" s="1" t="str">
        <x:v>put</x:v>
      </x:c>
      <x:c r="D710" s="11" t="n">
        <x:v>5000</x:v>
      </x:c>
      <x:c r="E710" s="11" t="n">
        <x:v>4800</x:v>
      </x:c>
      <x:c r="F710" s="11"/>
      <x:c r="G710" s="11" t="n">
        <x:f>'Option source'!B574</x:f>
        <x:v>2.79</x:v>
      </x:c>
      <x:c r="H710" s="11" t="n">
        <x:f>'Option source'!B555</x:f>
        <x:v>1.85</x:v>
      </x:c>
      <x:c r="I710" s="11"/>
      <x:c r="J710" s="11" t="n">
        <x:f>G710-2*H710+IF(B710="Butterfly",I710,0)</x:f>
        <x:v>-0.9100000000000001</x:v>
      </x:c>
      <x:c r="K710" s="11" t="n">
        <x:f>ABS(E710-D710)</x:f>
        <x:v>200</x:v>
      </x:c>
      <x:c r="L710" s="11" t="n">
        <x:f>K710-J710</x:f>
        <x:v>200.91</x:v>
      </x:c>
      <x:c r="M710" s="11" t="n">
        <x:f>IF(B710="Butterfly",MAX(J710,0),IF(C710="call","Unlimited",MAX(2*E710-D710+J710,J710,0)))</x:f>
        <x:v>4599.09</x:v>
      </x:c>
      <x:c r="N710" s="11" t="n">
        <x:f>IF(B710="Butterfly",IF(AND(J710&gt;0,J710&lt;K710),D710+J710,"n.a."),IF(C710="call",IF(AND(J710&gt;0,J710&lt;K710),D710+J710,"n.a."),IF(AND(K710&gt;J710,2*E710-D710+J710&gt;=0),2*E710-D710+J710,"n.a.")))</x:f>
        <x:v>4599.09</x:v>
      </x:c>
      <x:c r="O710" s="11" t="str">
        <x:f>IF(B710="Butterfly",IF(AND(J710&gt;0,J710&lt;K710),F710-J710,"n.a."),IF(C710="call",IF(K710&gt;J710,2*E710-D710-J710,"n.a."),IF(AND(J710&gt;0,J710&lt;K710),D710-J710,"n.a.")))</x:f>
        <x:v>n.a.</x:v>
      </x:c>
      <x:c r="P710" s="19" t="str">
        <x:f>IF(AND(B710="Butterfly",J710&gt;0,J710&lt;K710),L710/J710,"n.a.")</x:f>
        <x:v>n.a.</x:v>
      </x:c>
      <x:c r="Q710" s="11" t="n">
        <x:f>J710*'Model inputs'!$B$8</x:f>
        <x:v>-91.00000000000001</x:v>
      </x:c>
      <x:c r="R710" s="1" t="str">
        <x:v>Indicative only</x:v>
      </x:c>
      <x:c r="S710" s="1" t="n">
        <x:v>569</x:v>
      </x:c>
      <x:c r="T710" s="1" t="n">
        <x:v>550</x:v>
      </x:c>
    </x:row>
    <x:row r="711" ht="21" customHeight="1">
      <x:c r="A711" s="12" t="n">
        <x:v>46272</x:v>
      </x:c>
      <x:c r="B711" s="1" t="str">
        <x:v>1x2 ratio</x:v>
      </x:c>
      <x:c r="C711" s="1" t="str">
        <x:v>call</x:v>
      </x:c>
      <x:c r="D711" s="11" t="n">
        <x:v>8900</x:v>
      </x:c>
      <x:c r="E711" s="11" t="n">
        <x:v>9200</x:v>
      </x:c>
      <x:c r="F711" s="11"/>
      <x:c r="G711" s="11" t="n">
        <x:f>'Option source'!B422</x:f>
        <x:v>28.82</x:v>
      </x:c>
      <x:c r="H711" s="11" t="n">
        <x:f>'Option source'!B441</x:f>
        <x:v>17.79</x:v>
      </x:c>
      <x:c r="I711" s="11"/>
      <x:c r="J711" s="11" t="n">
        <x:f>G711-2*H711+IF(B711="Butterfly",I711,0)</x:f>
        <x:v>-6.759999999999998</x:v>
      </x:c>
      <x:c r="K711" s="11" t="n">
        <x:f>ABS(E711-D711)</x:f>
        <x:v>300</x:v>
      </x:c>
      <x:c r="L711" s="11" t="n">
        <x:f>K711-J711</x:f>
        <x:v>306.76</x:v>
      </x:c>
      <x:c r="M711" s="11" t="str">
        <x:f>IF(B711="Butterfly",MAX(J711,0),IF(C711="call","Unlimited",MAX(2*E711-D711+J711,J711,0)))</x:f>
        <x:v>Unlimited</x:v>
      </x:c>
      <x:c r="N711" s="11" t="str">
        <x:f>IF(B711="Butterfly",IF(AND(J711&gt;0,J711&lt;K711),D711+J711,"n.a."),IF(C711="call",IF(AND(J711&gt;0,J711&lt;K711),D711+J711,"n.a."),IF(AND(K711&gt;J711,2*E711-D711+J711&gt;=0),2*E711-D711+J711,"n.a.")))</x:f>
        <x:v>n.a.</x:v>
      </x:c>
      <x:c r="O711" s="11" t="n">
        <x:f>IF(B711="Butterfly",IF(AND(J711&gt;0,J711&lt;K711),F711-J711,"n.a."),IF(C711="call",IF(K711&gt;J711,2*E711-D711-J711,"n.a."),IF(AND(J711&gt;0,J711&lt;K711),D711-J711,"n.a.")))</x:f>
        <x:v>9506.76</x:v>
      </x:c>
      <x:c r="P711" s="19" t="str">
        <x:f>IF(AND(B711="Butterfly",J711&gt;0,J711&lt;K711),L711/J711,"n.a.")</x:f>
        <x:v>n.a.</x:v>
      </x:c>
      <x:c r="Q711" s="11" t="n">
        <x:f>J711*'Model inputs'!$B$8</x:f>
        <x:v>-675.9999999999998</x:v>
      </x:c>
      <x:c r="R711" s="1" t="str">
        <x:v>Indicative only</x:v>
      </x:c>
      <x:c r="S711" s="1" t="n">
        <x:v>417</x:v>
      </x:c>
      <x:c r="T711" s="1" t="n">
        <x:v>436</x:v>
      </x:c>
    </x:row>
    <x:row r="712" ht="21" customHeight="1">
      <x:c r="A712" s="12" t="n">
        <x:v>46272</x:v>
      </x:c>
      <x:c r="B712" s="1" t="str">
        <x:v>1x2 ratio</x:v>
      </x:c>
      <x:c r="C712" s="1" t="str">
        <x:v>put</x:v>
      </x:c>
      <x:c r="D712" s="11" t="n">
        <x:v>4800</x:v>
      </x:c>
      <x:c r="E712" s="11" t="n">
        <x:v>4600</x:v>
      </x:c>
      <x:c r="F712" s="11"/>
      <x:c r="G712" s="11" t="n">
        <x:f>'Option source'!B555</x:f>
        <x:v>1.85</x:v>
      </x:c>
      <x:c r="H712" s="11" t="n">
        <x:f>'Option source'!B536</x:f>
        <x:v>1.47</x:v>
      </x:c>
      <x:c r="I712" s="11"/>
      <x:c r="J712" s="11" t="n">
        <x:f>G712-2*H712+IF(B712="Butterfly",I712,0)</x:f>
        <x:v>-1.0899999999999999</x:v>
      </x:c>
      <x:c r="K712" s="11" t="n">
        <x:f>ABS(E712-D712)</x:f>
        <x:v>200</x:v>
      </x:c>
      <x:c r="L712" s="11" t="n">
        <x:f>K712-J712</x:f>
        <x:v>201.09</x:v>
      </x:c>
      <x:c r="M712" s="11" t="n">
        <x:f>IF(B712="Butterfly",MAX(J712,0),IF(C712="call","Unlimited",MAX(2*E712-D712+J712,J712,0)))</x:f>
        <x:v>4398.91</x:v>
      </x:c>
      <x:c r="N712" s="11" t="n">
        <x:f>IF(B712="Butterfly",IF(AND(J712&gt;0,J712&lt;K712),D712+J712,"n.a."),IF(C712="call",IF(AND(J712&gt;0,J712&lt;K712),D712+J712,"n.a."),IF(AND(K712&gt;J712,2*E712-D712+J712&gt;=0),2*E712-D712+J712,"n.a.")))</x:f>
        <x:v>4398.91</x:v>
      </x:c>
      <x:c r="O712" s="11" t="str">
        <x:f>IF(B712="Butterfly",IF(AND(J712&gt;0,J712&lt;K712),F712-J712,"n.a."),IF(C712="call",IF(K712&gt;J712,2*E712-D712-J712,"n.a."),IF(AND(J712&gt;0,J712&lt;K712),D712-J712,"n.a.")))</x:f>
        <x:v>n.a.</x:v>
      </x:c>
      <x:c r="P712" s="19" t="str">
        <x:f>IF(AND(B712="Butterfly",J712&gt;0,J712&lt;K712),L712/J712,"n.a.")</x:f>
        <x:v>n.a.</x:v>
      </x:c>
      <x:c r="Q712" s="11" t="n">
        <x:f>J712*'Model inputs'!$B$8</x:f>
        <x:v>-108.99999999999999</x:v>
      </x:c>
      <x:c r="R712" s="1" t="str">
        <x:v>Indicative only</x:v>
      </x:c>
      <x:c r="S712" s="1" t="n">
        <x:v>550</x:v>
      </x:c>
      <x:c r="T712" s="1" t="n">
        <x:v>531</x:v>
      </x:c>
    </x:row>
    <x:row r="713" ht="21" customHeight="1">
      <x:c r="A713" s="12" t="n">
        <x:v>46272</x:v>
      </x:c>
      <x:c r="B713" s="1" t="str">
        <x:v>1x2 ratio</x:v>
      </x:c>
      <x:c r="C713" s="1" t="str">
        <x:v>call</x:v>
      </x:c>
      <x:c r="D713" s="11" t="n">
        <x:v>4200</x:v>
      </x:c>
      <x:c r="E713" s="11" t="n">
        <x:v>4400</x:v>
      </x:c>
      <x:c r="F713" s="11"/>
      <x:c r="G713" s="11" t="n">
        <x:f>'Option source'!B18</x:f>
        <x:v>2871.76</x:v>
      </x:c>
      <x:c r="H713" s="11" t="n">
        <x:f>'Option source'!B37</x:f>
        <x:v>2762.2</x:v>
      </x:c>
      <x:c r="I713" s="11"/>
      <x:c r="J713" s="11" t="n">
        <x:f>G713-2*H713+IF(B713="Butterfly",I713,0)</x:f>
        <x:v>-2652.6399999999994</x:v>
      </x:c>
      <x:c r="K713" s="11" t="n">
        <x:f>ABS(E713-D713)</x:f>
        <x:v>200</x:v>
      </x:c>
      <x:c r="L713" s="11" t="n">
        <x:f>K713-J713</x:f>
        <x:v>2852.6399999999994</x:v>
      </x:c>
      <x:c r="M713" s="11" t="str">
        <x:f>IF(B713="Butterfly",MAX(J713,0),IF(C713="call","Unlimited",MAX(2*E713-D713+J713,J713,0)))</x:f>
        <x:v>Unlimited</x:v>
      </x:c>
      <x:c r="N713" s="11" t="str">
        <x:f>IF(B713="Butterfly",IF(AND(J713&gt;0,J713&lt;K713),D713+J713,"n.a."),IF(C713="call",IF(AND(J713&gt;0,J713&lt;K713),D713+J713,"n.a."),IF(AND(K713&gt;J713,2*E713-D713+J713&gt;=0),2*E713-D713+J713,"n.a.")))</x:f>
        <x:v>n.a.</x:v>
      </x:c>
      <x:c r="O713" s="11" t="n">
        <x:f>IF(B713="Butterfly",IF(AND(J713&gt;0,J713&lt;K713),F713-J713,"n.a."),IF(C713="call",IF(K713&gt;J713,2*E713-D713-J713,"n.a."),IF(AND(J713&gt;0,J713&lt;K713),D713-J713,"n.a.")))</x:f>
        <x:v>7252.639999999999</x:v>
      </x:c>
      <x:c r="P713" s="19" t="str">
        <x:f>IF(AND(B713="Butterfly",J713&gt;0,J713&lt;K713),L713/J713,"n.a.")</x:f>
        <x:v>n.a.</x:v>
      </x:c>
      <x:c r="Q713" s="11" t="n">
        <x:f>J713*'Model inputs'!$B$8</x:f>
        <x:v>-265263.99999999994</x:v>
      </x:c>
      <x:c r="R713" s="1" t="str">
        <x:v>Indicative only</x:v>
      </x:c>
      <x:c r="S713" s="1" t="n">
        <x:v>13</x:v>
      </x:c>
      <x:c r="T713" s="1" t="n">
        <x:v>32</x:v>
      </x:c>
    </x:row>
    <x:row r="714" ht="21" customHeight="1">
      <x:c r="A714" s="12" t="n">
        <x:v>46272</x:v>
      </x:c>
      <x:c r="B714" s="1" t="str">
        <x:v>1x2 ratio</x:v>
      </x:c>
      <x:c r="C714" s="1" t="str">
        <x:v>put</x:v>
      </x:c>
      <x:c r="D714" s="11" t="n">
        <x:v>4600</x:v>
      </x:c>
      <x:c r="E714" s="11" t="n">
        <x:v>4400</x:v>
      </x:c>
      <x:c r="F714" s="11"/>
      <x:c r="G714" s="11" t="n">
        <x:f>'Option source'!B536</x:f>
        <x:v>1.47</x:v>
      </x:c>
      <x:c r="H714" s="11" t="n">
        <x:f>'Option source'!B517</x:f>
        <x:v>1.25</x:v>
      </x:c>
      <x:c r="I714" s="11"/>
      <x:c r="J714" s="11" t="n">
        <x:f>G714-2*H714+IF(B714="Butterfly",I714,0)</x:f>
        <x:v>-1.03</x:v>
      </x:c>
      <x:c r="K714" s="11" t="n">
        <x:f>ABS(E714-D714)</x:f>
        <x:v>200</x:v>
      </x:c>
      <x:c r="L714" s="11" t="n">
        <x:f>K714-J714</x:f>
        <x:v>201.03</x:v>
      </x:c>
      <x:c r="M714" s="11" t="n">
        <x:f>IF(B714="Butterfly",MAX(J714,0),IF(C714="call","Unlimited",MAX(2*E714-D714+J714,J714,0)))</x:f>
        <x:v>4198.97</x:v>
      </x:c>
      <x:c r="N714" s="11" t="n">
        <x:f>IF(B714="Butterfly",IF(AND(J714&gt;0,J714&lt;K714),D714+J714,"n.a."),IF(C714="call",IF(AND(J714&gt;0,J714&lt;K714),D714+J714,"n.a."),IF(AND(K714&gt;J714,2*E714-D714+J714&gt;=0),2*E714-D714+J714,"n.a.")))</x:f>
        <x:v>4198.97</x:v>
      </x:c>
      <x:c r="O714" s="11" t="str">
        <x:f>IF(B714="Butterfly",IF(AND(J714&gt;0,J714&lt;K714),F714-J714,"n.a."),IF(C714="call",IF(K714&gt;J714,2*E714-D714-J714,"n.a."),IF(AND(J714&gt;0,J714&lt;K714),D714-J714,"n.a.")))</x:f>
        <x:v>n.a.</x:v>
      </x:c>
      <x:c r="P714" s="19" t="str">
        <x:f>IF(AND(B714="Butterfly",J714&gt;0,J714&lt;K714),L714/J714,"n.a.")</x:f>
        <x:v>n.a.</x:v>
      </x:c>
      <x:c r="Q714" s="11" t="n">
        <x:f>J714*'Model inputs'!$B$8</x:f>
        <x:v>-103</x:v>
      </x:c>
      <x:c r="R714" s="1" t="str">
        <x:v>Indicative only</x:v>
      </x:c>
      <x:c r="S714" s="1" t="n">
        <x:v>531</x:v>
      </x:c>
      <x:c r="T714" s="1" t="n">
        <x:v>512</x:v>
      </x:c>
    </x:row>
    <x:row r="715" ht="21" customHeight="1">
      <x:c r="A715" s="12" t="n">
        <x:v>46272</x:v>
      </x:c>
      <x:c r="B715" s="1" t="str">
        <x:v>1x2 ratio</x:v>
      </x:c>
      <x:c r="C715" s="1" t="str">
        <x:v>call</x:v>
      </x:c>
      <x:c r="D715" s="11" t="n">
        <x:v>9200</x:v>
      </x:c>
      <x:c r="E715" s="11" t="n">
        <x:v>9500</x:v>
      </x:c>
      <x:c r="F715" s="11"/>
      <x:c r="G715" s="11" t="n">
        <x:f>'Option source'!B441</x:f>
        <x:v>17.79</x:v>
      </x:c>
      <x:c r="H715" s="11" t="n">
        <x:f>'Option source'!B460</x:f>
        <x:v>11.6</x:v>
      </x:c>
      <x:c r="I715" s="11"/>
      <x:c r="J715" s="11" t="n">
        <x:f>G715-2*H715+IF(B715="Butterfly",I715,0)</x:f>
        <x:v>-5.41</x:v>
      </x:c>
      <x:c r="K715" s="11" t="n">
        <x:f>ABS(E715-D715)</x:f>
        <x:v>300</x:v>
      </x:c>
      <x:c r="L715" s="11" t="n">
        <x:f>K715-J715</x:f>
        <x:v>305.41</x:v>
      </x:c>
      <x:c r="M715" s="11" t="str">
        <x:f>IF(B715="Butterfly",MAX(J715,0),IF(C715="call","Unlimited",MAX(2*E715-D715+J715,J715,0)))</x:f>
        <x:v>Unlimited</x:v>
      </x:c>
      <x:c r="N715" s="11" t="str">
        <x:f>IF(B715="Butterfly",IF(AND(J715&gt;0,J715&lt;K715),D715+J715,"n.a."),IF(C715="call",IF(AND(J715&gt;0,J715&lt;K715),D715+J715,"n.a."),IF(AND(K715&gt;J715,2*E715-D715+J715&gt;=0),2*E715-D715+J715,"n.a.")))</x:f>
        <x:v>n.a.</x:v>
      </x:c>
      <x:c r="O715" s="11" t="n">
        <x:f>IF(B715="Butterfly",IF(AND(J715&gt;0,J715&lt;K715),F715-J715,"n.a."),IF(C715="call",IF(K715&gt;J715,2*E715-D715-J715,"n.a."),IF(AND(J715&gt;0,J715&lt;K715),D715-J715,"n.a.")))</x:f>
        <x:v>9805.41</x:v>
      </x:c>
      <x:c r="P715" s="19" t="str">
        <x:f>IF(AND(B715="Butterfly",J715&gt;0,J715&lt;K715),L715/J715,"n.a.")</x:f>
        <x:v>n.a.</x:v>
      </x:c>
      <x:c r="Q715" s="11" t="n">
        <x:f>J715*'Model inputs'!$B$8</x:f>
        <x:v>-541</x:v>
      </x:c>
      <x:c r="R715" s="1" t="str">
        <x:v>Indicative only</x:v>
      </x:c>
      <x:c r="S715" s="1" t="n">
        <x:v>436</x:v>
      </x:c>
      <x:c r="T715" s="1" t="n">
        <x:v>455</x:v>
      </x:c>
    </x:row>
    <x:row r="716" ht="21" customHeight="1">
      <x:c r="A716" s="12" t="n">
        <x:v>46272</x:v>
      </x:c>
      <x:c r="B716" s="1" t="str">
        <x:v>1x2 ratio</x:v>
      </x:c>
      <x:c r="C716" s="1" t="str">
        <x:v>put</x:v>
      </x:c>
      <x:c r="D716" s="11" t="n">
        <x:v>4400</x:v>
      </x:c>
      <x:c r="E716" s="11" t="n">
        <x:v>4200</x:v>
      </x:c>
      <x:c r="F716" s="11"/>
      <x:c r="G716" s="11" t="n">
        <x:f>'Option source'!B517</x:f>
        <x:v>1.25</x:v>
      </x:c>
      <x:c r="H716" s="11" t="n">
        <x:f>'Option source'!B498</x:f>
        <x:v>0.82</x:v>
      </x:c>
      <x:c r="I716" s="11"/>
      <x:c r="J716" s="11" t="n">
        <x:f>G716-2*H716+IF(B716="Butterfly",I716,0)</x:f>
        <x:v>-0.3899999999999999</x:v>
      </x:c>
      <x:c r="K716" s="11" t="n">
        <x:f>ABS(E716-D716)</x:f>
        <x:v>200</x:v>
      </x:c>
      <x:c r="L716" s="11" t="n">
        <x:f>K716-J716</x:f>
        <x:v>200.39</x:v>
      </x:c>
      <x:c r="M716" s="11" t="n">
        <x:f>IF(B716="Butterfly",MAX(J716,0),IF(C716="call","Unlimited",MAX(2*E716-D716+J716,J716,0)))</x:f>
        <x:v>3999.61</x:v>
      </x:c>
      <x:c r="N716" s="11" t="n">
        <x:f>IF(B716="Butterfly",IF(AND(J716&gt;0,J716&lt;K716),D716+J716,"n.a."),IF(C716="call",IF(AND(J716&gt;0,J716&lt;K716),D716+J716,"n.a."),IF(AND(K716&gt;J716,2*E716-D716+J716&gt;=0),2*E716-D716+J716,"n.a.")))</x:f>
        <x:v>3999.61</x:v>
      </x:c>
      <x:c r="O716" s="11" t="str">
        <x:f>IF(B716="Butterfly",IF(AND(J716&gt;0,J716&lt;K716),F716-J716,"n.a."),IF(C716="call",IF(K716&gt;J716,2*E716-D716-J716,"n.a."),IF(AND(J716&gt;0,J716&lt;K716),D716-J716,"n.a.")))</x:f>
        <x:v>n.a.</x:v>
      </x:c>
      <x:c r="P716" s="19" t="str">
        <x:f>IF(AND(B716="Butterfly",J716&gt;0,J716&lt;K716),L716/J716,"n.a.")</x:f>
        <x:v>n.a.</x:v>
      </x:c>
      <x:c r="Q716" s="11" t="n">
        <x:f>J716*'Model inputs'!$B$8</x:f>
        <x:v>-38.99999999999999</x:v>
      </x:c>
      <x:c r="R716" s="1" t="str">
        <x:v>Indicative only</x:v>
      </x:c>
      <x:c r="S716" s="1" t="n">
        <x:v>512</x:v>
      </x:c>
      <x:c r="T716" s="1" t="n">
        <x:v>493</x:v>
      </x:c>
    </x:row>
    <x:row r="717" ht="21" customHeight="1">
      <x:c r="A717" s="12" t="n">
        <x:v>46272</x:v>
      </x:c>
      <x:c r="B717" s="1" t="str">
        <x:v>1x2 ratio</x:v>
      </x:c>
      <x:c r="C717" s="1" t="str">
        <x:v>call</x:v>
      </x:c>
      <x:c r="D717" s="11" t="n">
        <x:v>9500</x:v>
      </x:c>
      <x:c r="E717" s="11" t="n">
        <x:v>9900</x:v>
      </x:c>
      <x:c r="F717" s="11"/>
      <x:c r="G717" s="11" t="n">
        <x:f>'Option source'!B460</x:f>
        <x:v>11.6</x:v>
      </x:c>
      <x:c r="H717" s="11" t="n">
        <x:f>'Option source'!B479</x:f>
        <x:v>7</x:v>
      </x:c>
      <x:c r="I717" s="11"/>
      <x:c r="J717" s="11" t="n">
        <x:f>G717-2*H717+IF(B717="Butterfly",I717,0)</x:f>
        <x:v>-2.4000000000000004</x:v>
      </x:c>
      <x:c r="K717" s="11" t="n">
        <x:f>ABS(E717-D717)</x:f>
        <x:v>400</x:v>
      </x:c>
      <x:c r="L717" s="11" t="n">
        <x:f>K717-J717</x:f>
        <x:v>402.4</x:v>
      </x:c>
      <x:c r="M717" s="11" t="str">
        <x:f>IF(B717="Butterfly",MAX(J717,0),IF(C717="call","Unlimited",MAX(2*E717-D717+J717,J717,0)))</x:f>
        <x:v>Unlimited</x:v>
      </x:c>
      <x:c r="N717" s="11" t="str">
        <x:f>IF(B717="Butterfly",IF(AND(J717&gt;0,J717&lt;K717),D717+J717,"n.a."),IF(C717="call",IF(AND(J717&gt;0,J717&lt;K717),D717+J717,"n.a."),IF(AND(K717&gt;J717,2*E717-D717+J717&gt;=0),2*E717-D717+J717,"n.a.")))</x:f>
        <x:v>n.a.</x:v>
      </x:c>
      <x:c r="O717" s="11" t="n">
        <x:f>IF(B717="Butterfly",IF(AND(J717&gt;0,J717&lt;K717),F717-J717,"n.a."),IF(C717="call",IF(K717&gt;J717,2*E717-D717-J717,"n.a."),IF(AND(J717&gt;0,J717&lt;K717),D717-J717,"n.a.")))</x:f>
        <x:v>10302.4</x:v>
      </x:c>
      <x:c r="P717" s="19" t="str">
        <x:f>IF(AND(B717="Butterfly",J717&gt;0,J717&lt;K717),L717/J717,"n.a.")</x:f>
        <x:v>n.a.</x:v>
      </x:c>
      <x:c r="Q717" s="11" t="n">
        <x:f>J717*'Model inputs'!$B$8</x:f>
        <x:v>-240.00000000000003</x:v>
      </x:c>
      <x:c r="R717" s="1" t="str">
        <x:v>Indicative only</x:v>
      </x:c>
      <x:c r="S717" s="1" t="n">
        <x:v>455</x:v>
      </x:c>
      <x:c r="T717" s="1" t="n">
        <x:v>474</x:v>
      </x:c>
    </x:row>
    <x:row r="718" ht="21" customHeight="1">
      <x:c r="A718" s="12" t="n">
        <x:v>46272</x:v>
      </x:c>
      <x:c r="B718" s="1" t="str">
        <x:v>1x2 ratio</x:v>
      </x:c>
      <x:c r="C718" s="1" t="str">
        <x:v>put</x:v>
      </x:c>
      <x:c r="D718" s="11" t="n">
        <x:v>7600</x:v>
      </x:c>
      <x:c r="E718" s="11" t="n">
        <x:v>7400</x:v>
      </x:c>
      <x:c r="F718" s="11"/>
      <x:c r="G718" s="11" t="n">
        <x:f>'Option source'!B821</x:f>
        <x:v>625</x:v>
      </x:c>
      <x:c r="H718" s="11" t="n">
        <x:f>'Option source'!B802</x:f>
        <x:v>555</x:v>
      </x:c>
      <x:c r="I718" s="11"/>
      <x:c r="J718" s="11" t="n">
        <x:f>G718-2*H718+IF(B718="Butterfly",I718,0)</x:f>
        <x:v>-485</x:v>
      </x:c>
      <x:c r="K718" s="11" t="n">
        <x:f>ABS(E718-D718)</x:f>
        <x:v>200</x:v>
      </x:c>
      <x:c r="L718" s="11" t="n">
        <x:f>K718-J718</x:f>
        <x:v>685</x:v>
      </x:c>
      <x:c r="M718" s="11" t="n">
        <x:f>IF(B718="Butterfly",MAX(J718,0),IF(C718="call","Unlimited",MAX(2*E718-D718+J718,J718,0)))</x:f>
        <x:v>6715</x:v>
      </x:c>
      <x:c r="N718" s="11" t="n">
        <x:f>IF(B718="Butterfly",IF(AND(J718&gt;0,J718&lt;K718),D718+J718,"n.a."),IF(C718="call",IF(AND(J718&gt;0,J718&lt;K718),D718+J718,"n.a."),IF(AND(K718&gt;J718,2*E718-D718+J718&gt;=0),2*E718-D718+J718,"n.a.")))</x:f>
        <x:v>6715</x:v>
      </x:c>
      <x:c r="O718" s="11" t="str">
        <x:f>IF(B718="Butterfly",IF(AND(J718&gt;0,J718&lt;K718),F718-J718,"n.a."),IF(C718="call",IF(K718&gt;J718,2*E718-D718-J718,"n.a."),IF(AND(J718&gt;0,J718&lt;K718),D718-J718,"n.a.")))</x:f>
        <x:v>n.a.</x:v>
      </x:c>
      <x:c r="P718" s="19" t="str">
        <x:f>IF(AND(B718="Butterfly",J718&gt;0,J718&lt;K718),L718/J718,"n.a.")</x:f>
        <x:v>n.a.</x:v>
      </x:c>
      <x:c r="Q718" s="11" t="n">
        <x:f>J718*'Model inputs'!$B$8</x:f>
        <x:v>-48500</x:v>
      </x:c>
      <x:c r="R718" s="1" t="str">
        <x:v>Flagged leg data</x:v>
      </x:c>
      <x:c r="S718" s="1" t="n">
        <x:v>816</x:v>
      </x:c>
      <x:c r="T718" s="1" t="n">
        <x:v>797</x:v>
      </x:c>
    </x:row>
    <x:row r="719" ht="21" customHeight="1">
      <x:c r="A719" s="12" t="n">
        <x:v>46272</x:v>
      </x:c>
      <x:c r="B719" s="1" t="str">
        <x:v>1x2 ratio</x:v>
      </x:c>
      <x:c r="C719" s="1" t="str">
        <x:v>call</x:v>
      </x:c>
      <x:c r="D719" s="11" t="n">
        <x:v>6200</x:v>
      </x:c>
      <x:c r="E719" s="11" t="n">
        <x:v>6400</x:v>
      </x:c>
      <x:c r="F719" s="11"/>
      <x:c r="G719" s="11" t="n">
        <x:f>'Option source'!B194</x:f>
        <x:v>1015</x:v>
      </x:c>
      <x:c r="H719" s="11" t="n">
        <x:f>'Option source'!B213</x:f>
        <x:v>829</x:v>
      </x:c>
      <x:c r="I719" s="11"/>
      <x:c r="J719" s="11" t="n">
        <x:f>G719-2*H719+IF(B719="Butterfly",I719,0)</x:f>
        <x:v>-643</x:v>
      </x:c>
      <x:c r="K719" s="11" t="n">
        <x:f>ABS(E719-D719)</x:f>
        <x:v>200</x:v>
      </x:c>
      <x:c r="L719" s="11" t="n">
        <x:f>K719-J719</x:f>
        <x:v>843</x:v>
      </x:c>
      <x:c r="M719" s="11" t="str">
        <x:f>IF(B719="Butterfly",MAX(J719,0),IF(C719="call","Unlimited",MAX(2*E719-D719+J719,J719,0)))</x:f>
        <x:v>Unlimited</x:v>
      </x:c>
      <x:c r="N719" s="11" t="str">
        <x:f>IF(B719="Butterfly",IF(AND(J719&gt;0,J719&lt;K719),D719+J719,"n.a."),IF(C719="call",IF(AND(J719&gt;0,J719&lt;K719),D719+J719,"n.a."),IF(AND(K719&gt;J719,2*E719-D719+J719&gt;=0),2*E719-D719+J719,"n.a.")))</x:f>
        <x:v>n.a.</x:v>
      </x:c>
      <x:c r="O719" s="11" t="n">
        <x:f>IF(B719="Butterfly",IF(AND(J719&gt;0,J719&lt;K719),F719-J719,"n.a."),IF(C719="call",IF(K719&gt;J719,2*E719-D719-J719,"n.a."),IF(AND(J719&gt;0,J719&lt;K719),D719-J719,"n.a.")))</x:f>
        <x:v>7243</x:v>
      </x:c>
      <x:c r="P719" s="19" t="str">
        <x:f>IF(AND(B719="Butterfly",J719&gt;0,J719&lt;K719),L719/J719,"n.a.")</x:f>
        <x:v>n.a.</x:v>
      </x:c>
      <x:c r="Q719" s="11" t="n">
        <x:f>J719*'Model inputs'!$B$8</x:f>
        <x:v>-64300</x:v>
      </x:c>
      <x:c r="R719" s="1" t="str">
        <x:v>Flagged leg data</x:v>
      </x:c>
      <x:c r="S719" s="1" t="n">
        <x:v>189</x:v>
      </x:c>
      <x:c r="T719" s="1" t="n">
        <x:v>208</x:v>
      </x:c>
    </x:row>
    <x:row r="720" ht="21" customHeight="1">
      <x:c r="A720" s="12" t="n">
        <x:v>46272</x:v>
      </x:c>
      <x:c r="B720" s="1" t="str">
        <x:v>1x2 ratio</x:v>
      </x:c>
      <x:c r="C720" s="1" t="str">
        <x:v>put</x:v>
      </x:c>
      <x:c r="D720" s="11" t="n">
        <x:v>7800</x:v>
      </x:c>
      <x:c r="E720" s="11" t="n">
        <x:v>7600</x:v>
      </x:c>
      <x:c r="F720" s="11"/>
      <x:c r="G720" s="11" t="n">
        <x:f>'Option source'!B840</x:f>
        <x:v>780</x:v>
      </x:c>
      <x:c r="H720" s="11" t="n">
        <x:f>'Option source'!B821</x:f>
        <x:v>625</x:v>
      </x:c>
      <x:c r="I720" s="11"/>
      <x:c r="J720" s="11" t="n">
        <x:f>G720-2*H720+IF(B720="Butterfly",I720,0)</x:f>
        <x:v>-470</x:v>
      </x:c>
      <x:c r="K720" s="11" t="n">
        <x:f>ABS(E720-D720)</x:f>
        <x:v>200</x:v>
      </x:c>
      <x:c r="L720" s="11" t="n">
        <x:f>K720-J720</x:f>
        <x:v>670</x:v>
      </x:c>
      <x:c r="M720" s="11" t="n">
        <x:f>IF(B720="Butterfly",MAX(J720,0),IF(C720="call","Unlimited",MAX(2*E720-D720+J720,J720,0)))</x:f>
        <x:v>6930</x:v>
      </x:c>
      <x:c r="N720" s="11" t="n">
        <x:f>IF(B720="Butterfly",IF(AND(J720&gt;0,J720&lt;K720),D720+J720,"n.a."),IF(C720="call",IF(AND(J720&gt;0,J720&lt;K720),D720+J720,"n.a."),IF(AND(K720&gt;J720,2*E720-D720+J720&gt;=0),2*E720-D720+J720,"n.a.")))</x:f>
        <x:v>6930</x:v>
      </x:c>
      <x:c r="O720" s="11" t="str">
        <x:f>IF(B720="Butterfly",IF(AND(J720&gt;0,J720&lt;K720),F720-J720,"n.a."),IF(C720="call",IF(K720&gt;J720,2*E720-D720-J720,"n.a."),IF(AND(J720&gt;0,J720&lt;K720),D720-J720,"n.a.")))</x:f>
        <x:v>n.a.</x:v>
      </x:c>
      <x:c r="P720" s="19" t="str">
        <x:f>IF(AND(B720="Butterfly",J720&gt;0,J720&lt;K720),L720/J720,"n.a.")</x:f>
        <x:v>n.a.</x:v>
      </x:c>
      <x:c r="Q720" s="11" t="n">
        <x:f>J720*'Model inputs'!$B$8</x:f>
        <x:v>-47000</x:v>
      </x:c>
      <x:c r="R720" s="1" t="str">
        <x:v>Flagged leg data</x:v>
      </x:c>
      <x:c r="S720" s="1" t="n">
        <x:v>835</x:v>
      </x:c>
      <x:c r="T720" s="1" t="n">
        <x:v>816</x:v>
      </x:c>
    </x:row>
    <x:row r="721" ht="21" customHeight="1">
      <x:c r="A721" s="12" t="n">
        <x:v>46272</x:v>
      </x:c>
      <x:c r="B721" s="1" t="str">
        <x:v>1x2 ratio</x:v>
      </x:c>
      <x:c r="C721" s="1" t="str">
        <x:v>call</x:v>
      </x:c>
      <x:c r="D721" s="11" t="n">
        <x:v>6000</x:v>
      </x:c>
      <x:c r="E721" s="11" t="n">
        <x:v>6200</x:v>
      </x:c>
      <x:c r="F721" s="11"/>
      <x:c r="G721" s="11" t="n">
        <x:f>'Option source'!B175</x:f>
        <x:v>1158.57</x:v>
      </x:c>
      <x:c r="H721" s="11" t="n">
        <x:f>'Option source'!B194</x:f>
        <x:v>1015</x:v>
      </x:c>
      <x:c r="I721" s="11"/>
      <x:c r="J721" s="11" t="n">
        <x:f>G721-2*H721+IF(B721="Butterfly",I721,0)</x:f>
        <x:v>-871.4300000000001</x:v>
      </x:c>
      <x:c r="K721" s="11" t="n">
        <x:f>ABS(E721-D721)</x:f>
        <x:v>200</x:v>
      </x:c>
      <x:c r="L721" s="11" t="n">
        <x:f>K721-J721</x:f>
        <x:v>1071.43</x:v>
      </x:c>
      <x:c r="M721" s="11" t="str">
        <x:f>IF(B721="Butterfly",MAX(J721,0),IF(C721="call","Unlimited",MAX(2*E721-D721+J721,J721,0)))</x:f>
        <x:v>Unlimited</x:v>
      </x:c>
      <x:c r="N721" s="11" t="str">
        <x:f>IF(B721="Butterfly",IF(AND(J721&gt;0,J721&lt;K721),D721+J721,"n.a."),IF(C721="call",IF(AND(J721&gt;0,J721&lt;K721),D721+J721,"n.a."),IF(AND(K721&gt;J721,2*E721-D721+J721&gt;=0),2*E721-D721+J721,"n.a.")))</x:f>
        <x:v>n.a.</x:v>
      </x:c>
      <x:c r="O721" s="11" t="n">
        <x:f>IF(B721="Butterfly",IF(AND(J721&gt;0,J721&lt;K721),F721-J721,"n.a."),IF(C721="call",IF(K721&gt;J721,2*E721-D721-J721,"n.a."),IF(AND(J721&gt;0,J721&lt;K721),D721-J721,"n.a.")))</x:f>
        <x:v>7271.43</x:v>
      </x:c>
      <x:c r="P721" s="19" t="str">
        <x:f>IF(AND(B721="Butterfly",J721&gt;0,J721&lt;K721),L721/J721,"n.a.")</x:f>
        <x:v>n.a.</x:v>
      </x:c>
      <x:c r="Q721" s="11" t="n">
        <x:f>J721*'Model inputs'!$B$8</x:f>
        <x:v>-87143</x:v>
      </x:c>
      <x:c r="R721" s="1" t="str">
        <x:v>Flagged leg data</x:v>
      </x:c>
      <x:c r="S721" s="1" t="n">
        <x:v>170</x:v>
      </x:c>
      <x:c r="T721" s="1" t="n">
        <x:v>189</x:v>
      </x:c>
    </x:row>
    <x:row r="722" ht="21" customHeight="1">
      <x:c r="A722" s="12" t="n">
        <x:v>46272</x:v>
      </x:c>
      <x:c r="B722" s="1" t="str">
        <x:v>1x2 ratio</x:v>
      </x:c>
      <x:c r="C722" s="1" t="str">
        <x:v>put</x:v>
      </x:c>
      <x:c r="D722" s="11" t="n">
        <x:v>8000</x:v>
      </x:c>
      <x:c r="E722" s="11" t="n">
        <x:v>7800</x:v>
      </x:c>
      <x:c r="F722" s="11"/>
      <x:c r="G722" s="11" t="n">
        <x:f>'Option source'!B859</x:f>
        <x:v>1000</x:v>
      </x:c>
      <x:c r="H722" s="11" t="n">
        <x:f>'Option source'!B840</x:f>
        <x:v>780</x:v>
      </x:c>
      <x:c r="I722" s="11"/>
      <x:c r="J722" s="11" t="n">
        <x:f>G722-2*H722+IF(B722="Butterfly",I722,0)</x:f>
        <x:v>-560</x:v>
      </x:c>
      <x:c r="K722" s="11" t="n">
        <x:f>ABS(E722-D722)</x:f>
        <x:v>200</x:v>
      </x:c>
      <x:c r="L722" s="11" t="n">
        <x:f>K722-J722</x:f>
        <x:v>760</x:v>
      </x:c>
      <x:c r="M722" s="11" t="n">
        <x:f>IF(B722="Butterfly",MAX(J722,0),IF(C722="call","Unlimited",MAX(2*E722-D722+J722,J722,0)))</x:f>
        <x:v>7040</x:v>
      </x:c>
      <x:c r="N722" s="11" t="n">
        <x:f>IF(B722="Butterfly",IF(AND(J722&gt;0,J722&lt;K722),D722+J722,"n.a."),IF(C722="call",IF(AND(J722&gt;0,J722&lt;K722),D722+J722,"n.a."),IF(AND(K722&gt;J722,2*E722-D722+J722&gt;=0),2*E722-D722+J722,"n.a.")))</x:f>
        <x:v>7040</x:v>
      </x:c>
      <x:c r="O722" s="11" t="str">
        <x:f>IF(B722="Butterfly",IF(AND(J722&gt;0,J722&lt;K722),F722-J722,"n.a."),IF(C722="call",IF(K722&gt;J722,2*E722-D722-J722,"n.a."),IF(AND(J722&gt;0,J722&lt;K722),D722-J722,"n.a.")))</x:f>
        <x:v>n.a.</x:v>
      </x:c>
      <x:c r="P722" s="19" t="str">
        <x:f>IF(AND(B722="Butterfly",J722&gt;0,J722&lt;K722),L722/J722,"n.a.")</x:f>
        <x:v>n.a.</x:v>
      </x:c>
      <x:c r="Q722" s="11" t="n">
        <x:f>J722*'Model inputs'!$B$8</x:f>
        <x:v>-56000</x:v>
      </x:c>
      <x:c r="R722" s="1" t="str">
        <x:v>Flagged leg data</x:v>
      </x:c>
      <x:c r="S722" s="1" t="n">
        <x:v>854</x:v>
      </x:c>
      <x:c r="T722" s="1" t="n">
        <x:v>835</x:v>
      </x:c>
    </x:row>
    <x:row r="723" ht="21" customHeight="1">
      <x:c r="A723" s="12" t="n">
        <x:v>46272</x:v>
      </x:c>
      <x:c r="B723" s="1" t="str">
        <x:v>1x2 ratio</x:v>
      </x:c>
      <x:c r="C723" s="1" t="str">
        <x:v>put</x:v>
      </x:c>
      <x:c r="D723" s="11" t="n">
        <x:v>8300</x:v>
      </x:c>
      <x:c r="E723" s="11" t="n">
        <x:v>8000</x:v>
      </x:c>
      <x:c r="F723" s="11"/>
      <x:c r="G723" s="11" t="n">
        <x:f>'Option source'!B878</x:f>
        <x:v>1350</x:v>
      </x:c>
      <x:c r="H723" s="11" t="n">
        <x:f>'Option source'!B859</x:f>
        <x:v>1000</x:v>
      </x:c>
      <x:c r="I723" s="11"/>
      <x:c r="J723" s="11" t="n">
        <x:f>G723-2*H723+IF(B723="Butterfly",I723,0)</x:f>
        <x:v>-650</x:v>
      </x:c>
      <x:c r="K723" s="11" t="n">
        <x:f>ABS(E723-D723)</x:f>
        <x:v>300</x:v>
      </x:c>
      <x:c r="L723" s="11" t="n">
        <x:f>K723-J723</x:f>
        <x:v>950</x:v>
      </x:c>
      <x:c r="M723" s="11" t="n">
        <x:f>IF(B723="Butterfly",MAX(J723,0),IF(C723="call","Unlimited",MAX(2*E723-D723+J723,J723,0)))</x:f>
        <x:v>7050</x:v>
      </x:c>
      <x:c r="N723" s="11" t="n">
        <x:f>IF(B723="Butterfly",IF(AND(J723&gt;0,J723&lt;K723),D723+J723,"n.a."),IF(C723="call",IF(AND(J723&gt;0,J723&lt;K723),D723+J723,"n.a."),IF(AND(K723&gt;J723,2*E723-D723+J723&gt;=0),2*E723-D723+J723,"n.a.")))</x:f>
        <x:v>7050</x:v>
      </x:c>
      <x:c r="O723" s="11" t="str">
        <x:f>IF(B723="Butterfly",IF(AND(J723&gt;0,J723&lt;K723),F723-J723,"n.a."),IF(C723="call",IF(K723&gt;J723,2*E723-D723-J723,"n.a."),IF(AND(J723&gt;0,J723&lt;K723),D723-J723,"n.a.")))</x:f>
        <x:v>n.a.</x:v>
      </x:c>
      <x:c r="P723" s="19" t="str">
        <x:f>IF(AND(B723="Butterfly",J723&gt;0,J723&lt;K723),L723/J723,"n.a.")</x:f>
        <x:v>n.a.</x:v>
      </x:c>
      <x:c r="Q723" s="11" t="n">
        <x:f>J723*'Model inputs'!$B$8</x:f>
        <x:v>-65000</x:v>
      </x:c>
      <x:c r="R723" s="1" t="str">
        <x:v>Flagged leg data</x:v>
      </x:c>
      <x:c r="S723" s="1" t="n">
        <x:v>873</x:v>
      </x:c>
      <x:c r="T723" s="1" t="n">
        <x:v>854</x:v>
      </x:c>
    </x:row>
    <x:row r="724" ht="21" customHeight="1">
      <x:c r="A724" s="12" t="n">
        <x:v>46272</x:v>
      </x:c>
      <x:c r="B724" s="1" t="str">
        <x:v>1x2 ratio</x:v>
      </x:c>
      <x:c r="C724" s="1" t="str">
        <x:v>call</x:v>
      </x:c>
      <x:c r="D724" s="11" t="n">
        <x:v>5600</x:v>
      </x:c>
      <x:c r="E724" s="11" t="n">
        <x:v>5800</x:v>
      </x:c>
      <x:c r="F724" s="11"/>
      <x:c r="G724" s="11" t="n">
        <x:f>'Option source'!B146</x:f>
        <x:v>1500</x:v>
      </x:c>
      <x:c r="H724" s="11" t="n">
        <x:f>'Option source'!B156</x:f>
        <x:v>1330</x:v>
      </x:c>
      <x:c r="I724" s="11"/>
      <x:c r="J724" s="11" t="n">
        <x:f>G724-2*H724+IF(B724="Butterfly",I724,0)</x:f>
        <x:v>-1160</x:v>
      </x:c>
      <x:c r="K724" s="11" t="n">
        <x:f>ABS(E724-D724)</x:f>
        <x:v>200</x:v>
      </x:c>
      <x:c r="L724" s="11" t="n">
        <x:f>K724-J724</x:f>
        <x:v>1360</x:v>
      </x:c>
      <x:c r="M724" s="11" t="str">
        <x:f>IF(B724="Butterfly",MAX(J724,0),IF(C724="call","Unlimited",MAX(2*E724-D724+J724,J724,0)))</x:f>
        <x:v>Unlimited</x:v>
      </x:c>
      <x:c r="N724" s="11" t="str">
        <x:f>IF(B724="Butterfly",IF(AND(J724&gt;0,J724&lt;K724),D724+J724,"n.a."),IF(C724="call",IF(AND(J724&gt;0,J724&lt;K724),D724+J724,"n.a."),IF(AND(K724&gt;J724,2*E724-D724+J724&gt;=0),2*E724-D724+J724,"n.a.")))</x:f>
        <x:v>n.a.</x:v>
      </x:c>
      <x:c r="O724" s="11" t="n">
        <x:f>IF(B724="Butterfly",IF(AND(J724&gt;0,J724&lt;K724),F724-J724,"n.a."),IF(C724="call",IF(K724&gt;J724,2*E724-D724-J724,"n.a."),IF(AND(J724&gt;0,J724&lt;K724),D724-J724,"n.a.")))</x:f>
        <x:v>7160</x:v>
      </x:c>
      <x:c r="P724" s="19" t="str">
        <x:f>IF(AND(B724="Butterfly",J724&gt;0,J724&lt;K724),L724/J724,"n.a.")</x:f>
        <x:v>n.a.</x:v>
      </x:c>
      <x:c r="Q724" s="11" t="n">
        <x:f>J724*'Model inputs'!$B$8</x:f>
        <x:v>-116000</x:v>
      </x:c>
      <x:c r="R724" s="1" t="str">
        <x:v>Flagged leg data</x:v>
      </x:c>
      <x:c r="S724" s="1" t="n">
        <x:v>141</x:v>
      </x:c>
      <x:c r="T724" s="1" t="n">
        <x:v>151</x:v>
      </x:c>
    </x:row>
    <x:row r="725" ht="21" customHeight="1">
      <x:c r="A725" s="12" t="n">
        <x:v>46272</x:v>
      </x:c>
      <x:c r="B725" s="1" t="str">
        <x:v>1x2 ratio</x:v>
      </x:c>
      <x:c r="C725" s="1" t="str">
        <x:v>call</x:v>
      </x:c>
      <x:c r="D725" s="11" t="n">
        <x:v>5400</x:v>
      </x:c>
      <x:c r="E725" s="11" t="n">
        <x:v>5600</x:v>
      </x:c>
      <x:c r="F725" s="11"/>
      <x:c r="G725" s="11" t="n">
        <x:f>'Option source'!B128</x:f>
        <x:v>1636.72</x:v>
      </x:c>
      <x:c r="H725" s="11" t="n">
        <x:f>'Option source'!B146</x:f>
        <x:v>1500</x:v>
      </x:c>
      <x:c r="I725" s="11"/>
      <x:c r="J725" s="11" t="n">
        <x:f>G725-2*H725+IF(B725="Butterfly",I725,0)</x:f>
        <x:v>-1363.28</x:v>
      </x:c>
      <x:c r="K725" s="11" t="n">
        <x:f>ABS(E725-D725)</x:f>
        <x:v>200</x:v>
      </x:c>
      <x:c r="L725" s="11" t="n">
        <x:f>K725-J725</x:f>
        <x:v>1563.28</x:v>
      </x:c>
      <x:c r="M725" s="11" t="str">
        <x:f>IF(B725="Butterfly",MAX(J725,0),IF(C725="call","Unlimited",MAX(2*E725-D725+J725,J725,0)))</x:f>
        <x:v>Unlimited</x:v>
      </x:c>
      <x:c r="N725" s="11" t="str">
        <x:f>IF(B725="Butterfly",IF(AND(J725&gt;0,J725&lt;K725),D725+J725,"n.a."),IF(C725="call",IF(AND(J725&gt;0,J725&lt;K725),D725+J725,"n.a."),IF(AND(K725&gt;J725,2*E725-D725+J725&gt;=0),2*E725-D725+J725,"n.a.")))</x:f>
        <x:v>n.a.</x:v>
      </x:c>
      <x:c r="O725" s="11" t="n">
        <x:f>IF(B725="Butterfly",IF(AND(J725&gt;0,J725&lt;K725),F725-J725,"n.a."),IF(C725="call",IF(K725&gt;J725,2*E725-D725-J725,"n.a."),IF(AND(J725&gt;0,J725&lt;K725),D725-J725,"n.a.")))</x:f>
        <x:v>7163.28</x:v>
      </x:c>
      <x:c r="P725" s="19" t="str">
        <x:f>IF(AND(B725="Butterfly",J725&gt;0,J725&lt;K725),L725/J725,"n.a.")</x:f>
        <x:v>n.a.</x:v>
      </x:c>
      <x:c r="Q725" s="11" t="n">
        <x:f>J725*'Model inputs'!$B$8</x:f>
        <x:v>-136328</x:v>
      </x:c>
      <x:c r="R725" s="1" t="str">
        <x:v>Flagged leg data</x:v>
      </x:c>
      <x:c r="S725" s="1" t="n">
        <x:v>123</x:v>
      </x:c>
      <x:c r="T725" s="1" t="n">
        <x:v>141</x:v>
      </x:c>
    </x:row>
    <x:row r="726" ht="21" customHeight="1">
      <x:c r="A726" s="12" t="n">
        <x:v>46272</x:v>
      </x:c>
      <x:c r="B726" s="1" t="str">
        <x:v>1x2 ratio</x:v>
      </x:c>
      <x:c r="C726" s="1" t="str">
        <x:v>put</x:v>
      </x:c>
      <x:c r="D726" s="11" t="n">
        <x:v>8600</x:v>
      </x:c>
      <x:c r="E726" s="11" t="n">
        <x:v>8300</x:v>
      </x:c>
      <x:c r="F726" s="11"/>
      <x:c r="G726" s="11" t="n">
        <x:f>'Option source'!B897</x:f>
        <x:v>1555.11</x:v>
      </x:c>
      <x:c r="H726" s="11" t="n">
        <x:f>'Option source'!B878</x:f>
        <x:v>1350</x:v>
      </x:c>
      <x:c r="I726" s="11"/>
      <x:c r="J726" s="11" t="n">
        <x:f>G726-2*H726+IF(B726="Butterfly",I726,0)</x:f>
        <x:v>-1144.89</x:v>
      </x:c>
      <x:c r="K726" s="11" t="n">
        <x:f>ABS(E726-D726)</x:f>
        <x:v>300</x:v>
      </x:c>
      <x:c r="L726" s="11" t="n">
        <x:f>K726-J726</x:f>
        <x:v>1444.89</x:v>
      </x:c>
      <x:c r="M726" s="11" t="n">
        <x:f>IF(B726="Butterfly",MAX(J726,0),IF(C726="call","Unlimited",MAX(2*E726-D726+J726,J726,0)))</x:f>
        <x:v>6855.11</x:v>
      </x:c>
      <x:c r="N726" s="11" t="n">
        <x:f>IF(B726="Butterfly",IF(AND(J726&gt;0,J726&lt;K726),D726+J726,"n.a."),IF(C726="call",IF(AND(J726&gt;0,J726&lt;K726),D726+J726,"n.a."),IF(AND(K726&gt;J726,2*E726-D726+J726&gt;=0),2*E726-D726+J726,"n.a.")))</x:f>
        <x:v>6855.11</x:v>
      </x:c>
      <x:c r="O726" s="11" t="str">
        <x:f>IF(B726="Butterfly",IF(AND(J726&gt;0,J726&lt;K726),F726-J726,"n.a."),IF(C726="call",IF(K726&gt;J726,2*E726-D726-J726,"n.a."),IF(AND(J726&gt;0,J726&lt;K726),D726-J726,"n.a.")))</x:f>
        <x:v>n.a.</x:v>
      </x:c>
      <x:c r="P726" s="19" t="str">
        <x:f>IF(AND(B726="Butterfly",J726&gt;0,J726&lt;K726),L726/J726,"n.a.")</x:f>
        <x:v>n.a.</x:v>
      </x:c>
      <x:c r="Q726" s="11" t="n">
        <x:f>J726*'Model inputs'!$B$8</x:f>
        <x:v>-114489.00000000001</x:v>
      </x:c>
      <x:c r="R726" s="1" t="str">
        <x:v>Flagged leg data</x:v>
      </x:c>
      <x:c r="S726" s="1" t="n">
        <x:v>892</x:v>
      </x:c>
      <x:c r="T726" s="1" t="n">
        <x:v>873</x:v>
      </x:c>
    </x:row>
    <x:row r="727" ht="21" customHeight="1">
      <x:c r="A727" s="12" t="n">
        <x:v>46272</x:v>
      </x:c>
      <x:c r="B727" s="1" t="str">
        <x:v>1x2 ratio</x:v>
      </x:c>
      <x:c r="C727" s="1" t="str">
        <x:v>call</x:v>
      </x:c>
      <x:c r="D727" s="11" t="n">
        <x:v>5200</x:v>
      </x:c>
      <x:c r="E727" s="11" t="n">
        <x:v>5400</x:v>
      </x:c>
      <x:c r="F727" s="11"/>
      <x:c r="G727" s="11" t="n">
        <x:f>'Option source'!B109</x:f>
        <x:v>1880.26</x:v>
      </x:c>
      <x:c r="H727" s="11" t="n">
        <x:f>'Option source'!B128</x:f>
        <x:v>1636.72</x:v>
      </x:c>
      <x:c r="I727" s="11"/>
      <x:c r="J727" s="11" t="n">
        <x:f>G727-2*H727+IF(B727="Butterfly",I727,0)</x:f>
        <x:v>-1393.18</x:v>
      </x:c>
      <x:c r="K727" s="11" t="n">
        <x:f>ABS(E727-D727)</x:f>
        <x:v>200</x:v>
      </x:c>
      <x:c r="L727" s="11" t="n">
        <x:f>K727-J727</x:f>
        <x:v>1593.18</x:v>
      </x:c>
      <x:c r="M727" s="11" t="str">
        <x:f>IF(B727="Butterfly",MAX(J727,0),IF(C727="call","Unlimited",MAX(2*E727-D727+J727,J727,0)))</x:f>
        <x:v>Unlimited</x:v>
      </x:c>
      <x:c r="N727" s="11" t="str">
        <x:f>IF(B727="Butterfly",IF(AND(J727&gt;0,J727&lt;K727),D727+J727,"n.a."),IF(C727="call",IF(AND(J727&gt;0,J727&lt;K727),D727+J727,"n.a."),IF(AND(K727&gt;J727,2*E727-D727+J727&gt;=0),2*E727-D727+J727,"n.a.")))</x:f>
        <x:v>n.a.</x:v>
      </x:c>
      <x:c r="O727" s="11" t="n">
        <x:f>IF(B727="Butterfly",IF(AND(J727&gt;0,J727&lt;K727),F727-J727,"n.a."),IF(C727="call",IF(K727&gt;J727,2*E727-D727-J727,"n.a."),IF(AND(J727&gt;0,J727&lt;K727),D727-J727,"n.a.")))</x:f>
        <x:v>6993.18</x:v>
      </x:c>
      <x:c r="P727" s="19" t="str">
        <x:f>IF(AND(B727="Butterfly",J727&gt;0,J727&lt;K727),L727/J727,"n.a.")</x:f>
        <x:v>n.a.</x:v>
      </x:c>
      <x:c r="Q727" s="11" t="n">
        <x:f>J727*'Model inputs'!$B$8</x:f>
        <x:v>-139318</x:v>
      </x:c>
      <x:c r="R727" s="1" t="str">
        <x:v>Flagged leg data</x:v>
      </x:c>
      <x:c r="S727" s="1" t="n">
        <x:v>104</x:v>
      </x:c>
      <x:c r="T727" s="1" t="n">
        <x:v>123</x:v>
      </x:c>
    </x:row>
    <x:row r="728" ht="21" customHeight="1">
      <x:c r="A728" s="12" t="n">
        <x:v>46272</x:v>
      </x:c>
      <x:c r="B728" s="1" t="str">
        <x:v>1x2 ratio</x:v>
      </x:c>
      <x:c r="C728" s="1" t="str">
        <x:v>put</x:v>
      </x:c>
      <x:c r="D728" s="11" t="n">
        <x:v>8900</x:v>
      </x:c>
      <x:c r="E728" s="11" t="n">
        <x:v>8600</x:v>
      </x:c>
      <x:c r="F728" s="11"/>
      <x:c r="G728" s="11" t="n">
        <x:f>'Option source'!B912</x:f>
        <x:v>2022.5</x:v>
      </x:c>
      <x:c r="H728" s="11" t="n">
        <x:f>'Option source'!B897</x:f>
        <x:v>1555.11</x:v>
      </x:c>
      <x:c r="I728" s="11"/>
      <x:c r="J728" s="11" t="n">
        <x:f>G728-2*H728+IF(B728="Butterfly",I728,0)</x:f>
        <x:v>-1087.7199999999998</x:v>
      </x:c>
      <x:c r="K728" s="11" t="n">
        <x:f>ABS(E728-D728)</x:f>
        <x:v>300</x:v>
      </x:c>
      <x:c r="L728" s="11" t="n">
        <x:f>K728-J728</x:f>
        <x:v>1387.7199999999998</x:v>
      </x:c>
      <x:c r="M728" s="11" t="n">
        <x:f>IF(B728="Butterfly",MAX(J728,0),IF(C728="call","Unlimited",MAX(2*E728-D728+J728,J728,0)))</x:f>
        <x:v>7212.280000000001</x:v>
      </x:c>
      <x:c r="N728" s="11" t="n">
        <x:f>IF(B728="Butterfly",IF(AND(J728&gt;0,J728&lt;K728),D728+J728,"n.a."),IF(C728="call",IF(AND(J728&gt;0,J728&lt;K728),D728+J728,"n.a."),IF(AND(K728&gt;J728,2*E728-D728+J728&gt;=0),2*E728-D728+J728,"n.a.")))</x:f>
        <x:v>7212.280000000001</x:v>
      </x:c>
      <x:c r="O728" s="11" t="str">
        <x:f>IF(B728="Butterfly",IF(AND(J728&gt;0,J728&lt;K728),F728-J728,"n.a."),IF(C728="call",IF(K728&gt;J728,2*E728-D728-J728,"n.a."),IF(AND(J728&gt;0,J728&lt;K728),D728-J728,"n.a.")))</x:f>
        <x:v>n.a.</x:v>
      </x:c>
      <x:c r="P728" s="19" t="str">
        <x:f>IF(AND(B728="Butterfly",J728&gt;0,J728&lt;K728),L728/J728,"n.a.")</x:f>
        <x:v>n.a.</x:v>
      </x:c>
      <x:c r="Q728" s="11" t="n">
        <x:f>J728*'Model inputs'!$B$8</x:f>
        <x:v>-108771.99999999999</x:v>
      </x:c>
      <x:c r="R728" s="1" t="str">
        <x:v>Flagged leg data</x:v>
      </x:c>
      <x:c r="S728" s="1" t="n">
        <x:v>907</x:v>
      </x:c>
      <x:c r="T728" s="1" t="n">
        <x:v>892</x:v>
      </x:c>
    </x:row>
    <x:row r="729" ht="21" customHeight="1">
      <x:c r="A729" s="12" t="n">
        <x:v>46272</x:v>
      </x:c>
      <x:c r="B729" s="1" t="str">
        <x:v>1x2 ratio</x:v>
      </x:c>
      <x:c r="C729" s="1" t="str">
        <x:v>call</x:v>
      </x:c>
      <x:c r="D729" s="11" t="n">
        <x:v>5000</x:v>
      </x:c>
      <x:c r="E729" s="11" t="n">
        <x:v>5200</x:v>
      </x:c>
      <x:c r="F729" s="11"/>
      <x:c r="G729" s="11" t="n">
        <x:f>'Option source'!B90</x:f>
        <x:v>2094.25</x:v>
      </x:c>
      <x:c r="H729" s="11" t="n">
        <x:f>'Option source'!B109</x:f>
        <x:v>1880.26</x:v>
      </x:c>
      <x:c r="I729" s="11"/>
      <x:c r="J729" s="11" t="n">
        <x:f>G729-2*H729+IF(B729="Butterfly",I729,0)</x:f>
        <x:v>-1666.27</x:v>
      </x:c>
      <x:c r="K729" s="11" t="n">
        <x:f>ABS(E729-D729)</x:f>
        <x:v>200</x:v>
      </x:c>
      <x:c r="L729" s="11" t="n">
        <x:f>K729-J729</x:f>
        <x:v>1866.27</x:v>
      </x:c>
      <x:c r="M729" s="11" t="str">
        <x:f>IF(B729="Butterfly",MAX(J729,0),IF(C729="call","Unlimited",MAX(2*E729-D729+J729,J729,0)))</x:f>
        <x:v>Unlimited</x:v>
      </x:c>
      <x:c r="N729" s="11" t="str">
        <x:f>IF(B729="Butterfly",IF(AND(J729&gt;0,J729&lt;K729),D729+J729,"n.a."),IF(C729="call",IF(AND(J729&gt;0,J729&lt;K729),D729+J729,"n.a."),IF(AND(K729&gt;J729,2*E729-D729+J729&gt;=0),2*E729-D729+J729,"n.a.")))</x:f>
        <x:v>n.a.</x:v>
      </x:c>
      <x:c r="O729" s="11" t="n">
        <x:f>IF(B729="Butterfly",IF(AND(J729&gt;0,J729&lt;K729),F729-J729,"n.a."),IF(C729="call",IF(K729&gt;J729,2*E729-D729-J729,"n.a."),IF(AND(J729&gt;0,J729&lt;K729),D729-J729,"n.a.")))</x:f>
        <x:v>7066.27</x:v>
      </x:c>
      <x:c r="P729" s="19" t="str">
        <x:f>IF(AND(B729="Butterfly",J729&gt;0,J729&lt;K729),L729/J729,"n.a.")</x:f>
        <x:v>n.a.</x:v>
      </x:c>
      <x:c r="Q729" s="11" t="n">
        <x:f>J729*'Model inputs'!$B$8</x:f>
        <x:v>-166627</x:v>
      </x:c>
      <x:c r="R729" s="1" t="str">
        <x:v>Flagged leg data</x:v>
      </x:c>
      <x:c r="S729" s="1" t="n">
        <x:v>85</x:v>
      </x:c>
      <x:c r="T729" s="1" t="n">
        <x:v>104</x:v>
      </x:c>
    </x:row>
    <x:row r="730" ht="21" customHeight="1">
      <x:c r="A730" s="12" t="n">
        <x:v>46272</x:v>
      </x:c>
      <x:c r="B730" s="1" t="str">
        <x:v>1x2 ratio</x:v>
      </x:c>
      <x:c r="C730" s="1" t="str">
        <x:v>call</x:v>
      </x:c>
      <x:c r="D730" s="11" t="n">
        <x:v>4800</x:v>
      </x:c>
      <x:c r="E730" s="11" t="n">
        <x:v>5000</x:v>
      </x:c>
      <x:c r="F730" s="11"/>
      <x:c r="G730" s="11" t="n">
        <x:f>'Option source'!B73</x:f>
        <x:v>2261.21</x:v>
      </x:c>
      <x:c r="H730" s="11" t="n">
        <x:f>'Option source'!B90</x:f>
        <x:v>2094.25</x:v>
      </x:c>
      <x:c r="I730" s="11"/>
      <x:c r="J730" s="11" t="n">
        <x:f>G730-2*H730+IF(B730="Butterfly",I730,0)</x:f>
        <x:v>-1927.29</x:v>
      </x:c>
      <x:c r="K730" s="11" t="n">
        <x:f>ABS(E730-D730)</x:f>
        <x:v>200</x:v>
      </x:c>
      <x:c r="L730" s="11" t="n">
        <x:f>K730-J730</x:f>
        <x:v>2127.29</x:v>
      </x:c>
      <x:c r="M730" s="11" t="str">
        <x:f>IF(B730="Butterfly",MAX(J730,0),IF(C730="call","Unlimited",MAX(2*E730-D730+J730,J730,0)))</x:f>
        <x:v>Unlimited</x:v>
      </x:c>
      <x:c r="N730" s="11" t="str">
        <x:f>IF(B730="Butterfly",IF(AND(J730&gt;0,J730&lt;K730),D730+J730,"n.a."),IF(C730="call",IF(AND(J730&gt;0,J730&lt;K730),D730+J730,"n.a."),IF(AND(K730&gt;J730,2*E730-D730+J730&gt;=0),2*E730-D730+J730,"n.a.")))</x:f>
        <x:v>n.a.</x:v>
      </x:c>
      <x:c r="O730" s="11" t="n">
        <x:f>IF(B730="Butterfly",IF(AND(J730&gt;0,J730&lt;K730),F730-J730,"n.a."),IF(C730="call",IF(K730&gt;J730,2*E730-D730-J730,"n.a."),IF(AND(J730&gt;0,J730&lt;K730),D730-J730,"n.a.")))</x:f>
        <x:v>7127.29</x:v>
      </x:c>
      <x:c r="P730" s="19" t="str">
        <x:f>IF(AND(B730="Butterfly",J730&gt;0,J730&lt;K730),L730/J730,"n.a.")</x:f>
        <x:v>n.a.</x:v>
      </x:c>
      <x:c r="Q730" s="11" t="n">
        <x:f>J730*'Model inputs'!$B$8</x:f>
        <x:v>-192729</x:v>
      </x:c>
      <x:c r="R730" s="1" t="str">
        <x:v>Flagged leg data</x:v>
      </x:c>
      <x:c r="S730" s="1" t="n">
        <x:v>68</x:v>
      </x:c>
      <x:c r="T730" s="1" t="n">
        <x:v>85</x:v>
      </x:c>
    </x:row>
    <x:row r="731" ht="21" customHeight="1">
      <x:c r="A731" s="12" t="n">
        <x:v>46272</x:v>
      </x:c>
      <x:c r="B731" s="1" t="str">
        <x:v>1x2 ratio</x:v>
      </x:c>
      <x:c r="C731" s="1" t="str">
        <x:v>call</x:v>
      </x:c>
      <x:c r="D731" s="11" t="n">
        <x:v>4600</x:v>
      </x:c>
      <x:c r="E731" s="11" t="n">
        <x:v>4800</x:v>
      </x:c>
      <x:c r="F731" s="11"/>
      <x:c r="G731" s="11" t="n">
        <x:f>'Option source'!B56</x:f>
        <x:v>2499.74</x:v>
      </x:c>
      <x:c r="H731" s="11" t="n">
        <x:f>'Option source'!B73</x:f>
        <x:v>2261.21</x:v>
      </x:c>
      <x:c r="I731" s="11"/>
      <x:c r="J731" s="11" t="n">
        <x:f>G731-2*H731+IF(B731="Butterfly",I731,0)</x:f>
        <x:v>-2022.6800000000003</x:v>
      </x:c>
      <x:c r="K731" s="11" t="n">
        <x:f>ABS(E731-D731)</x:f>
        <x:v>200</x:v>
      </x:c>
      <x:c r="L731" s="11" t="n">
        <x:f>K731-J731</x:f>
        <x:v>2222.6800000000003</x:v>
      </x:c>
      <x:c r="M731" s="11" t="str">
        <x:f>IF(B731="Butterfly",MAX(J731,0),IF(C731="call","Unlimited",MAX(2*E731-D731+J731,J731,0)))</x:f>
        <x:v>Unlimited</x:v>
      </x:c>
      <x:c r="N731" s="11" t="str">
        <x:f>IF(B731="Butterfly",IF(AND(J731&gt;0,J731&lt;K731),D731+J731,"n.a."),IF(C731="call",IF(AND(J731&gt;0,J731&lt;K731),D731+J731,"n.a."),IF(AND(K731&gt;J731,2*E731-D731+J731&gt;=0),2*E731-D731+J731,"n.a.")))</x:f>
        <x:v>n.a.</x:v>
      </x:c>
      <x:c r="O731" s="11" t="n">
        <x:f>IF(B731="Butterfly",IF(AND(J731&gt;0,J731&lt;K731),F731-J731,"n.a."),IF(C731="call",IF(K731&gt;J731,2*E731-D731-J731,"n.a."),IF(AND(J731&gt;0,J731&lt;K731),D731-J731,"n.a.")))</x:f>
        <x:v>7022.68</x:v>
      </x:c>
      <x:c r="P731" s="19" t="str">
        <x:f>IF(AND(B731="Butterfly",J731&gt;0,J731&lt;K731),L731/J731,"n.a.")</x:f>
        <x:v>n.a.</x:v>
      </x:c>
      <x:c r="Q731" s="11" t="n">
        <x:f>J731*'Model inputs'!$B$8</x:f>
        <x:v>-202268.00000000003</x:v>
      </x:c>
      <x:c r="R731" s="1" t="str">
        <x:v>Flagged leg data</x:v>
      </x:c>
      <x:c r="S731" s="1" t="n">
        <x:v>51</x:v>
      </x:c>
      <x:c r="T731" s="1" t="n">
        <x:v>68</x:v>
      </x:c>
    </x:row>
    <x:row r="732" ht="21" customHeight="1">
      <x:c r="A732" s="12" t="n">
        <x:v>46272</x:v>
      </x:c>
      <x:c r="B732" s="1" t="str">
        <x:v>1x2 ratio</x:v>
      </x:c>
      <x:c r="C732" s="1" t="str">
        <x:v>call</x:v>
      </x:c>
      <x:c r="D732" s="11" t="n">
        <x:v>4400</x:v>
      </x:c>
      <x:c r="E732" s="11" t="n">
        <x:v>4600</x:v>
      </x:c>
      <x:c r="F732" s="11"/>
      <x:c r="G732" s="11" t="n">
        <x:f>'Option source'!B37</x:f>
        <x:v>2762.2</x:v>
      </x:c>
      <x:c r="H732" s="11" t="n">
        <x:f>'Option source'!B56</x:f>
        <x:v>2499.74</x:v>
      </x:c>
      <x:c r="I732" s="11"/>
      <x:c r="J732" s="11" t="n">
        <x:f>G732-2*H732+IF(B732="Butterfly",I732,0)</x:f>
        <x:v>-2237.2799999999997</x:v>
      </x:c>
      <x:c r="K732" s="11" t="n">
        <x:f>ABS(E732-D732)</x:f>
        <x:v>200</x:v>
      </x:c>
      <x:c r="L732" s="11" t="n">
        <x:f>K732-J732</x:f>
        <x:v>2437.2799999999997</x:v>
      </x:c>
      <x:c r="M732" s="11" t="str">
        <x:f>IF(B732="Butterfly",MAX(J732,0),IF(C732="call","Unlimited",MAX(2*E732-D732+J732,J732,0)))</x:f>
        <x:v>Unlimited</x:v>
      </x:c>
      <x:c r="N732" s="11" t="str">
        <x:f>IF(B732="Butterfly",IF(AND(J732&gt;0,J732&lt;K732),D732+J732,"n.a."),IF(C732="call",IF(AND(J732&gt;0,J732&lt;K732),D732+J732,"n.a."),IF(AND(K732&gt;J732,2*E732-D732+J732&gt;=0),2*E732-D732+J732,"n.a.")))</x:f>
        <x:v>n.a.</x:v>
      </x:c>
      <x:c r="O732" s="11" t="n">
        <x:f>IF(B732="Butterfly",IF(AND(J732&gt;0,J732&lt;K732),F732-J732,"n.a."),IF(C732="call",IF(K732&gt;J732,2*E732-D732-J732,"n.a."),IF(AND(J732&gt;0,J732&lt;K732),D732-J732,"n.a.")))</x:f>
        <x:v>7037.28</x:v>
      </x:c>
      <x:c r="P732" s="19" t="str">
        <x:f>IF(AND(B732="Butterfly",J732&gt;0,J732&lt;K732),L732/J732,"n.a.")</x:f>
        <x:v>n.a.</x:v>
      </x:c>
      <x:c r="Q732" s="11" t="n">
        <x:f>J732*'Model inputs'!$B$8</x:f>
        <x:v>-223727.99999999997</x:v>
      </x:c>
      <x:c r="R732" s="1" t="str">
        <x:v>Flagged leg data</x:v>
      </x:c>
      <x:c r="S732" s="1" t="n">
        <x:v>32</x:v>
      </x:c>
      <x:c r="T732" s="1" t="n">
        <x:v>51</x:v>
      </x:c>
    </x:row>
    <x:row r="733" ht="21" customHeight="1">
      <x:c r="A733" s="12" t="n">
        <x:v>46269</x:v>
      </x:c>
      <x:c r="B733" s="1" t="str">
        <x:v>Butterfly</x:v>
      </x:c>
      <x:c r="C733" s="1" t="str">
        <x:v>call</x:v>
      </x:c>
      <x:c r="D733" s="11" t="n">
        <x:v>6800</x:v>
      </x:c>
      <x:c r="E733" s="11" t="n">
        <x:v>7000</x:v>
      </x:c>
      <x:c r="F733" s="11" t="n">
        <x:v>7200</x:v>
      </x:c>
      <x:c r="G733" s="11" t="n">
        <x:f>'Option source'!B250</x:f>
        <x:v>616.63</x:v>
      </x:c>
      <x:c r="H733" s="11" t="n">
        <x:f>'Option source'!B269</x:f>
        <x:v>501.55</x:v>
      </x:c>
      <x:c r="I733" s="11" t="n">
        <x:f>'Option source'!B288</x:f>
        <x:v>399.74</x:v>
      </x:c>
      <x:c r="J733" s="11" t="n">
        <x:f>G733-2*H733+IF(B733="Butterfly",I733,0)</x:f>
        <x:v>13.269999999999982</x:v>
      </x:c>
      <x:c r="K733" s="11" t="n">
        <x:f>ABS(E733-D733)</x:f>
        <x:v>200</x:v>
      </x:c>
      <x:c r="L733" s="11" t="n">
        <x:f>K733-J733</x:f>
        <x:v>186.73000000000002</x:v>
      </x:c>
      <x:c r="M733" s="11" t="n">
        <x:f>IF(B733="Butterfly",MAX(J733,0),IF(C733="call","Unlimited",MAX(2*E733-D733+J733,J733,0)))</x:f>
        <x:v>13.269999999999982</x:v>
      </x:c>
      <x:c r="N733" s="11" t="n">
        <x:f>IF(B733="Butterfly",IF(AND(J733&gt;0,J733&lt;K733),D733+J733,"n.a."),IF(C733="call",IF(AND(J733&gt;0,J733&lt;K733),D733+J733,"n.a."),IF(AND(K733&gt;J733,2*E733-D733+J733&gt;=0),2*E733-D733+J733,"n.a.")))</x:f>
        <x:v>6813.27</x:v>
      </x:c>
      <x:c r="O733" s="11" t="n">
        <x:f>IF(B733="Butterfly",IF(AND(J733&gt;0,J733&lt;K733),F733-J733,"n.a."),IF(C733="call",IF(K733&gt;J733,2*E733-D733-J733,"n.a."),IF(AND(J733&gt;0,J733&lt;K733),D733-J733,"n.a.")))</x:f>
        <x:v>7186.73</x:v>
      </x:c>
      <x:c r="P733" s="19" t="n">
        <x:f>IF(AND(B733="Butterfly",J733&gt;0,J733&lt;K733),L733/J733,"n.a.")</x:f>
        <x:v>14.071590052750587</x:v>
      </x:c>
      <x:c r="Q733" s="11" t="n">
        <x:f>J733*'Model inputs'!$B$8</x:f>
        <x:v>1326.9999999999982</x:v>
      </x:c>
      <x:c r="R733" s="1" t="str">
        <x:v>Indicative only</x:v>
      </x:c>
      <x:c r="S733" s="1" t="n">
        <x:v>245</x:v>
      </x:c>
      <x:c r="T733" s="1" t="n">
        <x:v>264</x:v>
      </x:c>
    </x:row>
    <x:row r="734" ht="21" customHeight="1">
      <x:c r="A734" s="12" t="n">
        <x:v>46269</x:v>
      </x:c>
      <x:c r="B734" s="1" t="str">
        <x:v>Butterfly</x:v>
      </x:c>
      <x:c r="C734" s="1" t="str">
        <x:v>put</x:v>
      </x:c>
      <x:c r="D734" s="11" t="n">
        <x:v>6800</x:v>
      </x:c>
      <x:c r="E734" s="11" t="n">
        <x:v>7000</x:v>
      </x:c>
      <x:c r="F734" s="11" t="n">
        <x:v>7200</x:v>
      </x:c>
      <x:c r="G734" s="11" t="n">
        <x:f>'Option source'!B744</x:f>
        <x:v>237.19</x:v>
      </x:c>
      <x:c r="H734" s="11" t="n">
        <x:f>'Option source'!B763</x:f>
        <x:v>319.58</x:v>
      </x:c>
      <x:c r="I734" s="11" t="n">
        <x:f>'Option source'!B782</x:f>
        <x:v>420.47</x:v>
      </x:c>
      <x:c r="J734" s="11" t="n">
        <x:f>G734-2*H734+IF(B734="Butterfly",I734,0)</x:f>
        <x:v>18.500000000000057</x:v>
      </x:c>
      <x:c r="K734" s="11" t="n">
        <x:f>ABS(E734-D734)</x:f>
        <x:v>200</x:v>
      </x:c>
      <x:c r="L734" s="11" t="n">
        <x:f>K734-J734</x:f>
        <x:v>181.49999999999994</x:v>
      </x:c>
      <x:c r="M734" s="11" t="n">
        <x:f>IF(B734="Butterfly",MAX(J734,0),IF(C734="call","Unlimited",MAX(2*E734-D734+J734,J734,0)))</x:f>
        <x:v>18.500000000000057</x:v>
      </x:c>
      <x:c r="N734" s="11" t="n">
        <x:f>IF(B734="Butterfly",IF(AND(J734&gt;0,J734&lt;K734),D734+J734,"n.a."),IF(C734="call",IF(AND(J734&gt;0,J734&lt;K734),D734+J734,"n.a."),IF(AND(K734&gt;J734,2*E734-D734+J734&gt;=0),2*E734-D734+J734,"n.a.")))</x:f>
        <x:v>6818.5</x:v>
      </x:c>
      <x:c r="O734" s="11" t="n">
        <x:f>IF(B734="Butterfly",IF(AND(J734&gt;0,J734&lt;K734),F734-J734,"n.a."),IF(C734="call",IF(K734&gt;J734,2*E734-D734-J734,"n.a."),IF(AND(J734&gt;0,J734&lt;K734),D734-J734,"n.a.")))</x:f>
        <x:v>7181.5</x:v>
      </x:c>
      <x:c r="P734" s="19" t="n">
        <x:f>IF(AND(B734="Butterfly",J734&gt;0,J734&lt;K734),L734/J734,"n.a.")</x:f>
        <x:v>9.810810810810777</x:v>
      </x:c>
      <x:c r="Q734" s="11" t="n">
        <x:f>J734*'Model inputs'!$B$8</x:f>
        <x:v>1850.0000000000057</x:v>
      </x:c>
      <x:c r="R734" s="1" t="str">
        <x:v>Indicative only</x:v>
      </x:c>
      <x:c r="S734" s="1" t="n">
        <x:v>739</x:v>
      </x:c>
      <x:c r="T734" s="1" t="n">
        <x:v>758</x:v>
      </x:c>
    </x:row>
    <x:row r="735" ht="21" customHeight="1">
      <x:c r="A735" s="12" t="n">
        <x:v>46269</x:v>
      </x:c>
      <x:c r="B735" s="1" t="str">
        <x:v>Butterfly</x:v>
      </x:c>
      <x:c r="C735" s="1" t="str">
        <x:v>call</x:v>
      </x:c>
      <x:c r="D735" s="11" t="n">
        <x:v>7000</x:v>
      </x:c>
      <x:c r="E735" s="11" t="n">
        <x:v>7200</x:v>
      </x:c>
      <x:c r="F735" s="11" t="n">
        <x:v>7400</x:v>
      </x:c>
      <x:c r="G735" s="11" t="n">
        <x:f>'Option source'!B269</x:f>
        <x:v>501.55</x:v>
      </x:c>
      <x:c r="H735" s="11" t="n">
        <x:f>'Option source'!B288</x:f>
        <x:v>399.74</x:v>
      </x:c>
      <x:c r="I735" s="11" t="n">
        <x:f>'Option source'!B307</x:f>
        <x:v>315.27</x:v>
      </x:c>
      <x:c r="J735" s="11" t="n">
        <x:f>G735-2*H735+IF(B735="Butterfly",I735,0)</x:f>
        <x:v>17.339999999999975</x:v>
      </x:c>
      <x:c r="K735" s="11" t="n">
        <x:f>ABS(E735-D735)</x:f>
        <x:v>200</x:v>
      </x:c>
      <x:c r="L735" s="11" t="n">
        <x:f>K735-J735</x:f>
        <x:v>182.66000000000003</x:v>
      </x:c>
      <x:c r="M735" s="11" t="n">
        <x:f>IF(B735="Butterfly",MAX(J735,0),IF(C735="call","Unlimited",MAX(2*E735-D735+J735,J735,0)))</x:f>
        <x:v>17.339999999999975</x:v>
      </x:c>
      <x:c r="N735" s="11" t="n">
        <x:f>IF(B735="Butterfly",IF(AND(J735&gt;0,J735&lt;K735),D735+J735,"n.a."),IF(C735="call",IF(AND(J735&gt;0,J735&lt;K735),D735+J735,"n.a."),IF(AND(K735&gt;J735,2*E735-D735+J735&gt;=0),2*E735-D735+J735,"n.a.")))</x:f>
        <x:v>7017.34</x:v>
      </x:c>
      <x:c r="O735" s="11" t="n">
        <x:f>IF(B735="Butterfly",IF(AND(J735&gt;0,J735&lt;K735),F735-J735,"n.a."),IF(C735="call",IF(K735&gt;J735,2*E735-D735-J735,"n.a."),IF(AND(J735&gt;0,J735&lt;K735),D735-J735,"n.a.")))</x:f>
        <x:v>7382.66</x:v>
      </x:c>
      <x:c r="P735" s="19" t="n">
        <x:f>IF(AND(B735="Butterfly",J735&gt;0,J735&lt;K735),L735/J735,"n.a.")</x:f>
        <x:v>10.534025374855842</x:v>
      </x:c>
      <x:c r="Q735" s="11" t="n">
        <x:f>J735*'Model inputs'!$B$8</x:f>
        <x:v>1733.9999999999975</x:v>
      </x:c>
      <x:c r="R735" s="1" t="str">
        <x:v>Indicative only</x:v>
      </x:c>
      <x:c r="S735" s="1" t="n">
        <x:v>264</x:v>
      </x:c>
      <x:c r="T735" s="1" t="n">
        <x:v>283</x:v>
      </x:c>
    </x:row>
    <x:row r="736" ht="21" customHeight="1">
      <x:c r="A736" s="12" t="n">
        <x:v>46269</x:v>
      </x:c>
      <x:c r="B736" s="1" t="str">
        <x:v>Butterfly</x:v>
      </x:c>
      <x:c r="C736" s="1" t="str">
        <x:v>put</x:v>
      </x:c>
      <x:c r="D736" s="11" t="n">
        <x:v>7000</x:v>
      </x:c>
      <x:c r="E736" s="11" t="n">
        <x:v>7200</x:v>
      </x:c>
      <x:c r="F736" s="11" t="n">
        <x:v>7400</x:v>
      </x:c>
      <x:c r="G736" s="11" t="n">
        <x:f>'Option source'!B763</x:f>
        <x:v>319.58</x:v>
      </x:c>
      <x:c r="H736" s="11" t="n">
        <x:f>'Option source'!B782</x:f>
        <x:v>420.47</x:v>
      </x:c>
      <x:c r="I736" s="11" t="n">
        <x:f>'Option source'!B801</x:f>
        <x:v>534.3</x:v>
      </x:c>
      <x:c r="J736" s="11" t="n">
        <x:f>G736-2*H736+IF(B736="Butterfly",I736,0)</x:f>
        <x:v>12.939999999999827</x:v>
      </x:c>
      <x:c r="K736" s="11" t="n">
        <x:f>ABS(E736-D736)</x:f>
        <x:v>200</x:v>
      </x:c>
      <x:c r="L736" s="11" t="n">
        <x:f>K736-J736</x:f>
        <x:v>187.06000000000017</x:v>
      </x:c>
      <x:c r="M736" s="11" t="n">
        <x:f>IF(B736="Butterfly",MAX(J736,0),IF(C736="call","Unlimited",MAX(2*E736-D736+J736,J736,0)))</x:f>
        <x:v>12.939999999999827</x:v>
      </x:c>
      <x:c r="N736" s="11" t="n">
        <x:f>IF(B736="Butterfly",IF(AND(J736&gt;0,J736&lt;K736),D736+J736,"n.a."),IF(C736="call",IF(AND(J736&gt;0,J736&lt;K736),D736+J736,"n.a."),IF(AND(K736&gt;J736,2*E736-D736+J736&gt;=0),2*E736-D736+J736,"n.a.")))</x:f>
        <x:v>7012.94</x:v>
      </x:c>
      <x:c r="O736" s="11" t="n">
        <x:f>IF(B736="Butterfly",IF(AND(J736&gt;0,J736&lt;K736),F736-J736,"n.a."),IF(C736="call",IF(K736&gt;J736,2*E736-D736-J736,"n.a."),IF(AND(J736&gt;0,J736&lt;K736),D736-J736,"n.a.")))</x:f>
        <x:v>7387.06</x:v>
      </x:c>
      <x:c r="P736" s="19" t="n">
        <x:f>IF(AND(B736="Butterfly",J736&gt;0,J736&lt;K736),L736/J736,"n.a.")</x:f>
        <x:v>14.455950540958476</x:v>
      </x:c>
      <x:c r="Q736" s="11" t="n">
        <x:f>J736*'Model inputs'!$B$8</x:f>
        <x:v>1293.9999999999827</x:v>
      </x:c>
      <x:c r="R736" s="1" t="str">
        <x:v>Indicative only</x:v>
      </x:c>
      <x:c r="S736" s="1" t="n">
        <x:v>758</x:v>
      </x:c>
      <x:c r="T736" s="1" t="n">
        <x:v>777</x:v>
      </x:c>
    </x:row>
    <x:row r="737" ht="21" customHeight="1">
      <x:c r="A737" s="12" t="n">
        <x:v>46269</x:v>
      </x:c>
      <x:c r="B737" s="1" t="str">
        <x:v>Butterfly</x:v>
      </x:c>
      <x:c r="C737" s="1" t="str">
        <x:v>call</x:v>
      </x:c>
      <x:c r="D737" s="11" t="n">
        <x:v>6600</x:v>
      </x:c>
      <x:c r="E737" s="11" t="n">
        <x:v>6800</x:v>
      </x:c>
      <x:c r="F737" s="11" t="n">
        <x:v>7000</x:v>
      </x:c>
      <x:c r="G737" s="11" t="n">
        <x:f>'Option source'!B231</x:f>
        <x:v>738.92</x:v>
      </x:c>
      <x:c r="H737" s="11" t="n">
        <x:f>'Option source'!B250</x:f>
        <x:v>616.63</x:v>
      </x:c>
      <x:c r="I737" s="11" t="n">
        <x:f>'Option source'!B269</x:f>
        <x:v>501.55</x:v>
      </x:c>
      <x:c r="J737" s="11" t="n">
        <x:f>G737-2*H737+IF(B737="Butterfly",I737,0)</x:f>
        <x:v>7.2099999999999795</x:v>
      </x:c>
      <x:c r="K737" s="11" t="n">
        <x:f>ABS(E737-D737)</x:f>
        <x:v>200</x:v>
      </x:c>
      <x:c r="L737" s="11" t="n">
        <x:f>K737-J737</x:f>
        <x:v>192.79000000000002</x:v>
      </x:c>
      <x:c r="M737" s="11" t="n">
        <x:f>IF(B737="Butterfly",MAX(J737,0),IF(C737="call","Unlimited",MAX(2*E737-D737+J737,J737,0)))</x:f>
        <x:v>7.2099999999999795</x:v>
      </x:c>
      <x:c r="N737" s="11" t="n">
        <x:f>IF(B737="Butterfly",IF(AND(J737&gt;0,J737&lt;K737),D737+J737,"n.a."),IF(C737="call",IF(AND(J737&gt;0,J737&lt;K737),D737+J737,"n.a."),IF(AND(K737&gt;J737,2*E737-D737+J737&gt;=0),2*E737-D737+J737,"n.a.")))</x:f>
        <x:v>6607.21</x:v>
      </x:c>
      <x:c r="O737" s="11" t="n">
        <x:f>IF(B737="Butterfly",IF(AND(J737&gt;0,J737&lt;K737),F737-J737,"n.a."),IF(C737="call",IF(K737&gt;J737,2*E737-D737-J737,"n.a."),IF(AND(J737&gt;0,J737&lt;K737),D737-J737,"n.a.")))</x:f>
        <x:v>6992.79</x:v>
      </x:c>
      <x:c r="P737" s="19" t="n">
        <x:f>IF(AND(B737="Butterfly",J737&gt;0,J737&lt;K737),L737/J737,"n.a.")</x:f>
        <x:v>26.739251040221994</x:v>
      </x:c>
      <x:c r="Q737" s="11" t="n">
        <x:f>J737*'Model inputs'!$B$8</x:f>
        <x:v>720.999999999998</x:v>
      </x:c>
      <x:c r="R737" s="1" t="str">
        <x:v>Indicative only</x:v>
      </x:c>
      <x:c r="S737" s="1" t="n">
        <x:v>226</x:v>
      </x:c>
      <x:c r="T737" s="1" t="n">
        <x:v>245</x:v>
      </x:c>
    </x:row>
    <x:row r="738" ht="21" customHeight="1">
      <x:c r="A738" s="12" t="n">
        <x:v>46269</x:v>
      </x:c>
      <x:c r="B738" s="1" t="str">
        <x:v>Butterfly</x:v>
      </x:c>
      <x:c r="C738" s="1" t="str">
        <x:v>put</x:v>
      </x:c>
      <x:c r="D738" s="11" t="n">
        <x:v>6600</x:v>
      </x:c>
      <x:c r="E738" s="11" t="n">
        <x:v>6800</x:v>
      </x:c>
      <x:c r="F738" s="11" t="n">
        <x:v>7000</x:v>
      </x:c>
      <x:c r="G738" s="11" t="n">
        <x:f>'Option source'!B725</x:f>
        <x:v>169.4</x:v>
      </x:c>
      <x:c r="H738" s="11" t="n">
        <x:f>'Option source'!B744</x:f>
        <x:v>237.19</x:v>
      </x:c>
      <x:c r="I738" s="11" t="n">
        <x:f>'Option source'!B763</x:f>
        <x:v>319.58</x:v>
      </x:c>
      <x:c r="J738" s="11" t="n">
        <x:f>G738-2*H738+IF(B738="Butterfly",I738,0)</x:f>
        <x:v>14.599999999999966</x:v>
      </x:c>
      <x:c r="K738" s="11" t="n">
        <x:f>ABS(E738-D738)</x:f>
        <x:v>200</x:v>
      </x:c>
      <x:c r="L738" s="11" t="n">
        <x:f>K738-J738</x:f>
        <x:v>185.40000000000003</x:v>
      </x:c>
      <x:c r="M738" s="11" t="n">
        <x:f>IF(B738="Butterfly",MAX(J738,0),IF(C738="call","Unlimited",MAX(2*E738-D738+J738,J738,0)))</x:f>
        <x:v>14.599999999999966</x:v>
      </x:c>
      <x:c r="N738" s="11" t="n">
        <x:f>IF(B738="Butterfly",IF(AND(J738&gt;0,J738&lt;K738),D738+J738,"n.a."),IF(C738="call",IF(AND(J738&gt;0,J738&lt;K738),D738+J738,"n.a."),IF(AND(K738&gt;J738,2*E738-D738+J738&gt;=0),2*E738-D738+J738,"n.a.")))</x:f>
        <x:v>6614.6</x:v>
      </x:c>
      <x:c r="O738" s="11" t="n">
        <x:f>IF(B738="Butterfly",IF(AND(J738&gt;0,J738&lt;K738),F738-J738,"n.a."),IF(C738="call",IF(K738&gt;J738,2*E738-D738-J738,"n.a."),IF(AND(J738&gt;0,J738&lt;K738),D738-J738,"n.a.")))</x:f>
        <x:v>6985.4</x:v>
      </x:c>
      <x:c r="P738" s="19" t="n">
        <x:f>IF(AND(B738="Butterfly",J738&gt;0,J738&lt;K738),L738/J738,"n.a.")</x:f>
        <x:v>12.698630136986333</x:v>
      </x:c>
      <x:c r="Q738" s="11" t="n">
        <x:f>J738*'Model inputs'!$B$8</x:f>
        <x:v>1459.9999999999966</x:v>
      </x:c>
      <x:c r="R738" s="1" t="str">
        <x:v>Indicative only</x:v>
      </x:c>
      <x:c r="S738" s="1" t="n">
        <x:v>720</x:v>
      </x:c>
      <x:c r="T738" s="1" t="n">
        <x:v>739</x:v>
      </x:c>
    </x:row>
    <x:row r="739" ht="21" customHeight="1">
      <x:c r="A739" s="12" t="n">
        <x:v>46269</x:v>
      </x:c>
      <x:c r="B739" s="1" t="str">
        <x:v>Butterfly</x:v>
      </x:c>
      <x:c r="C739" s="1" t="str">
        <x:v>call</x:v>
      </x:c>
      <x:c r="D739" s="11" t="n">
        <x:v>7200</x:v>
      </x:c>
      <x:c r="E739" s="11" t="n">
        <x:v>7400</x:v>
      </x:c>
      <x:c r="F739" s="11" t="n">
        <x:v>7600</x:v>
      </x:c>
      <x:c r="G739" s="11" t="n">
        <x:f>'Option source'!B288</x:f>
        <x:v>399.74</x:v>
      </x:c>
      <x:c r="H739" s="11" t="n">
        <x:f>'Option source'!B307</x:f>
        <x:v>315.27</x:v>
      </x:c>
      <x:c r="I739" s="11" t="n">
        <x:f>'Option source'!B326</x:f>
        <x:v>246.84</x:v>
      </x:c>
      <x:c r="J739" s="11" t="n">
        <x:f>G739-2*H739+IF(B739="Butterfly",I739,0)</x:f>
        <x:v>16.04000000000005</x:v>
      </x:c>
      <x:c r="K739" s="11" t="n">
        <x:f>ABS(E739-D739)</x:f>
        <x:v>200</x:v>
      </x:c>
      <x:c r="L739" s="11" t="n">
        <x:f>K739-J739</x:f>
        <x:v>183.95999999999995</x:v>
      </x:c>
      <x:c r="M739" s="11" t="n">
        <x:f>IF(B739="Butterfly",MAX(J739,0),IF(C739="call","Unlimited",MAX(2*E739-D739+J739,J739,0)))</x:f>
        <x:v>16.04000000000005</x:v>
      </x:c>
      <x:c r="N739" s="11" t="n">
        <x:f>IF(B739="Butterfly",IF(AND(J739&gt;0,J739&lt;K739),D739+J739,"n.a."),IF(C739="call",IF(AND(J739&gt;0,J739&lt;K739),D739+J739,"n.a."),IF(AND(K739&gt;J739,2*E739-D739+J739&gt;=0),2*E739-D739+J739,"n.a.")))</x:f>
        <x:v>7216.04</x:v>
      </x:c>
      <x:c r="O739" s="11" t="n">
        <x:f>IF(B739="Butterfly",IF(AND(J739&gt;0,J739&lt;K739),F739-J739,"n.a."),IF(C739="call",IF(K739&gt;J739,2*E739-D739-J739,"n.a."),IF(AND(J739&gt;0,J739&lt;K739),D739-J739,"n.a.")))</x:f>
        <x:v>7583.96</x:v>
      </x:c>
      <x:c r="P739" s="19" t="n">
        <x:f>IF(AND(B739="Butterfly",J739&gt;0,J739&lt;K739),L739/J739,"n.a.")</x:f>
        <x:v>11.468827930174525</x:v>
      </x:c>
      <x:c r="Q739" s="11" t="n">
        <x:f>J739*'Model inputs'!$B$8</x:f>
        <x:v>1604.000000000005</x:v>
      </x:c>
      <x:c r="R739" s="1" t="str">
        <x:v>Indicative only</x:v>
      </x:c>
      <x:c r="S739" s="1" t="n">
        <x:v>283</x:v>
      </x:c>
      <x:c r="T739" s="1" t="n">
        <x:v>302</x:v>
      </x:c>
    </x:row>
    <x:row r="740" ht="21" customHeight="1">
      <x:c r="A740" s="12" t="n">
        <x:v>46269</x:v>
      </x:c>
      <x:c r="B740" s="1" t="str">
        <x:v>Butterfly</x:v>
      </x:c>
      <x:c r="C740" s="1" t="str">
        <x:v>put</x:v>
      </x:c>
      <x:c r="D740" s="11" t="n">
        <x:v>7200</x:v>
      </x:c>
      <x:c r="E740" s="11" t="n">
        <x:v>7400</x:v>
      </x:c>
      <x:c r="F740" s="11" t="n">
        <x:v>7600</x:v>
      </x:c>
      <x:c r="G740" s="11" t="n">
        <x:f>'Option source'!B782</x:f>
        <x:v>420.47</x:v>
      </x:c>
      <x:c r="H740" s="11" t="n">
        <x:f>'Option source'!B801</x:f>
        <x:v>534.3</x:v>
      </x:c>
      <x:c r="I740" s="11" t="n">
        <x:f>'Option source'!B820</x:f>
        <x:v>660</x:v>
      </x:c>
      <x:c r="J740" s="11" t="n">
        <x:f>G740-2*H740+IF(B740="Butterfly",I740,0)</x:f>
        <x:v>11.870000000000118</x:v>
      </x:c>
      <x:c r="K740" s="11" t="n">
        <x:f>ABS(E740-D740)</x:f>
        <x:v>200</x:v>
      </x:c>
      <x:c r="L740" s="11" t="n">
        <x:f>K740-J740</x:f>
        <x:v>188.12999999999988</x:v>
      </x:c>
      <x:c r="M740" s="11" t="n">
        <x:f>IF(B740="Butterfly",MAX(J740,0),IF(C740="call","Unlimited",MAX(2*E740-D740+J740,J740,0)))</x:f>
        <x:v>11.870000000000118</x:v>
      </x:c>
      <x:c r="N740" s="11" t="n">
        <x:f>IF(B740="Butterfly",IF(AND(J740&gt;0,J740&lt;K740),D740+J740,"n.a."),IF(C740="call",IF(AND(J740&gt;0,J740&lt;K740),D740+J740,"n.a."),IF(AND(K740&gt;J740,2*E740-D740+J740&gt;=0),2*E740-D740+J740,"n.a.")))</x:f>
        <x:v>7211.87</x:v>
      </x:c>
      <x:c r="O740" s="11" t="n">
        <x:f>IF(B740="Butterfly",IF(AND(J740&gt;0,J740&lt;K740),F740-J740,"n.a."),IF(C740="call",IF(K740&gt;J740,2*E740-D740-J740,"n.a."),IF(AND(J740&gt;0,J740&lt;K740),D740-J740,"n.a.")))</x:f>
        <x:v>7588.13</x:v>
      </x:c>
      <x:c r="P740" s="19" t="n">
        <x:f>IF(AND(B740="Butterfly",J740&gt;0,J740&lt;K740),L740/J740,"n.a.")</x:f>
        <x:v>15.849199663015838</x:v>
      </x:c>
      <x:c r="Q740" s="11" t="n">
        <x:f>J740*'Model inputs'!$B$8</x:f>
        <x:v>1187.0000000000118</x:v>
      </x:c>
      <x:c r="R740" s="1" t="str">
        <x:v>Indicative only</x:v>
      </x:c>
      <x:c r="S740" s="1" t="n">
        <x:v>777</x:v>
      </x:c>
      <x:c r="T740" s="1" t="n">
        <x:v>796</x:v>
      </x:c>
    </x:row>
    <x:row r="741" ht="21" customHeight="1">
      <x:c r="A741" s="12" t="n">
        <x:v>46269</x:v>
      </x:c>
      <x:c r="B741" s="1" t="str">
        <x:v>Butterfly</x:v>
      </x:c>
      <x:c r="C741" s="1" t="str">
        <x:v>put</x:v>
      </x:c>
      <x:c r="D741" s="11" t="n">
        <x:v>6400</x:v>
      </x:c>
      <x:c r="E741" s="11" t="n">
        <x:v>6600</x:v>
      </x:c>
      <x:c r="F741" s="11" t="n">
        <x:v>6800</x:v>
      </x:c>
      <x:c r="G741" s="11" t="n">
        <x:f>'Option source'!B706</x:f>
        <x:v>116.45</x:v>
      </x:c>
      <x:c r="H741" s="11" t="n">
        <x:f>'Option source'!B725</x:f>
        <x:v>169.4</x:v>
      </x:c>
      <x:c r="I741" s="11" t="n">
        <x:f>'Option source'!B744</x:f>
        <x:v>237.19</x:v>
      </x:c>
      <x:c r="J741" s="11" t="n">
        <x:f>G741-2*H741+IF(B741="Butterfly",I741,0)</x:f>
        <x:v>14.839999999999975</x:v>
      </x:c>
      <x:c r="K741" s="11" t="n">
        <x:f>ABS(E741-D741)</x:f>
        <x:v>200</x:v>
      </x:c>
      <x:c r="L741" s="11" t="n">
        <x:f>K741-J741</x:f>
        <x:v>185.16000000000003</x:v>
      </x:c>
      <x:c r="M741" s="11" t="n">
        <x:f>IF(B741="Butterfly",MAX(J741,0),IF(C741="call","Unlimited",MAX(2*E741-D741+J741,J741,0)))</x:f>
        <x:v>14.839999999999975</x:v>
      </x:c>
      <x:c r="N741" s="11" t="n">
        <x:f>IF(B741="Butterfly",IF(AND(J741&gt;0,J741&lt;K741),D741+J741,"n.a."),IF(C741="call",IF(AND(J741&gt;0,J741&lt;K741),D741+J741,"n.a."),IF(AND(K741&gt;J741,2*E741-D741+J741&gt;=0),2*E741-D741+J741,"n.a.")))</x:f>
        <x:v>6414.84</x:v>
      </x:c>
      <x:c r="O741" s="11" t="n">
        <x:f>IF(B741="Butterfly",IF(AND(J741&gt;0,J741&lt;K741),F741-J741,"n.a."),IF(C741="call",IF(K741&gt;J741,2*E741-D741-J741,"n.a."),IF(AND(J741&gt;0,J741&lt;K741),D741-J741,"n.a.")))</x:f>
        <x:v>6785.16</x:v>
      </x:c>
      <x:c r="P741" s="19" t="n">
        <x:f>IF(AND(B741="Butterfly",J741&gt;0,J741&lt;K741),L741/J741,"n.a.")</x:f>
        <x:v>12.477088948787085</x:v>
      </x:c>
      <x:c r="Q741" s="11" t="n">
        <x:f>J741*'Model inputs'!$B$8</x:f>
        <x:v>1483.9999999999975</x:v>
      </x:c>
      <x:c r="R741" s="1" t="str">
        <x:v>Indicative only</x:v>
      </x:c>
      <x:c r="S741" s="1" t="n">
        <x:v>701</x:v>
      </x:c>
      <x:c r="T741" s="1" t="n">
        <x:v>720</x:v>
      </x:c>
    </x:row>
    <x:row r="742" ht="21" customHeight="1">
      <x:c r="A742" s="12" t="n">
        <x:v>46269</x:v>
      </x:c>
      <x:c r="B742" s="1" t="str">
        <x:v>Butterfly</x:v>
      </x:c>
      <x:c r="C742" s="1" t="str">
        <x:v>call</x:v>
      </x:c>
      <x:c r="D742" s="11" t="n">
        <x:v>7400</x:v>
      </x:c>
      <x:c r="E742" s="11" t="n">
        <x:v>7600</x:v>
      </x:c>
      <x:c r="F742" s="11" t="n">
        <x:v>7800</x:v>
      </x:c>
      <x:c r="G742" s="11" t="n">
        <x:f>'Option source'!B307</x:f>
        <x:v>315.27</x:v>
      </x:c>
      <x:c r="H742" s="11" t="n">
        <x:f>'Option source'!B326</x:f>
        <x:v>246.84</x:v>
      </x:c>
      <x:c r="I742" s="11" t="n">
        <x:f>'Option source'!B345</x:f>
        <x:v>186.47</x:v>
      </x:c>
      <x:c r="J742" s="11" t="n">
        <x:f>G742-2*H742+IF(B742="Butterfly",I742,0)</x:f>
        <x:v>8.059999999999974</x:v>
      </x:c>
      <x:c r="K742" s="11" t="n">
        <x:f>ABS(E742-D742)</x:f>
        <x:v>200</x:v>
      </x:c>
      <x:c r="L742" s="11" t="n">
        <x:f>K742-J742</x:f>
        <x:v>191.94000000000003</x:v>
      </x:c>
      <x:c r="M742" s="11" t="n">
        <x:f>IF(B742="Butterfly",MAX(J742,0),IF(C742="call","Unlimited",MAX(2*E742-D742+J742,J742,0)))</x:f>
        <x:v>8.059999999999974</x:v>
      </x:c>
      <x:c r="N742" s="11" t="n">
        <x:f>IF(B742="Butterfly",IF(AND(J742&gt;0,J742&lt;K742),D742+J742,"n.a."),IF(C742="call",IF(AND(J742&gt;0,J742&lt;K742),D742+J742,"n.a."),IF(AND(K742&gt;J742,2*E742-D742+J742&gt;=0),2*E742-D742+J742,"n.a.")))</x:f>
        <x:v>7408.06</x:v>
      </x:c>
      <x:c r="O742" s="11" t="n">
        <x:f>IF(B742="Butterfly",IF(AND(J742&gt;0,J742&lt;K742),F742-J742,"n.a."),IF(C742="call",IF(K742&gt;J742,2*E742-D742-J742,"n.a."),IF(AND(J742&gt;0,J742&lt;K742),D742-J742,"n.a.")))</x:f>
        <x:v>7791.94</x:v>
      </x:c>
      <x:c r="P742" s="19" t="n">
        <x:f>IF(AND(B742="Butterfly",J742&gt;0,J742&lt;K742),L742/J742,"n.a.")</x:f>
        <x:v>23.813895781637797</x:v>
      </x:c>
      <x:c r="Q742" s="11" t="n">
        <x:f>J742*'Model inputs'!$B$8</x:f>
        <x:v>805.9999999999974</x:v>
      </x:c>
      <x:c r="R742" s="1" t="str">
        <x:v>Indicative only</x:v>
      </x:c>
      <x:c r="S742" s="1" t="n">
        <x:v>302</x:v>
      </x:c>
      <x:c r="T742" s="1" t="n">
        <x:v>321</x:v>
      </x:c>
    </x:row>
    <x:row r="743" ht="21" customHeight="1">
      <x:c r="A743" s="12" t="n">
        <x:v>46269</x:v>
      </x:c>
      <x:c r="B743" s="1" t="str">
        <x:v>Butterfly</x:v>
      </x:c>
      <x:c r="C743" s="1" t="str">
        <x:v>put</x:v>
      </x:c>
      <x:c r="D743" s="11" t="n">
        <x:v>6200</x:v>
      </x:c>
      <x:c r="E743" s="11" t="n">
        <x:v>6400</x:v>
      </x:c>
      <x:c r="F743" s="11" t="n">
        <x:v>6600</x:v>
      </x:c>
      <x:c r="G743" s="11" t="n">
        <x:f>'Option source'!B687</x:f>
        <x:v>76.05</x:v>
      </x:c>
      <x:c r="H743" s="11" t="n">
        <x:f>'Option source'!B706</x:f>
        <x:v>116.45</x:v>
      </x:c>
      <x:c r="I743" s="11" t="n">
        <x:f>'Option source'!B725</x:f>
        <x:v>169.4</x:v>
      </x:c>
      <x:c r="J743" s="11" t="n">
        <x:f>G743-2*H743+IF(B743="Butterfly",I743,0)</x:f>
        <x:v>12.549999999999983</x:v>
      </x:c>
      <x:c r="K743" s="11" t="n">
        <x:f>ABS(E743-D743)</x:f>
        <x:v>200</x:v>
      </x:c>
      <x:c r="L743" s="11" t="n">
        <x:f>K743-J743</x:f>
        <x:v>187.45000000000002</x:v>
      </x:c>
      <x:c r="M743" s="11" t="n">
        <x:f>IF(B743="Butterfly",MAX(J743,0),IF(C743="call","Unlimited",MAX(2*E743-D743+J743,J743,0)))</x:f>
        <x:v>12.549999999999983</x:v>
      </x:c>
      <x:c r="N743" s="11" t="n">
        <x:f>IF(B743="Butterfly",IF(AND(J743&gt;0,J743&lt;K743),D743+J743,"n.a."),IF(C743="call",IF(AND(J743&gt;0,J743&lt;K743),D743+J743,"n.a."),IF(AND(K743&gt;J743,2*E743-D743+J743&gt;=0),2*E743-D743+J743,"n.a.")))</x:f>
        <x:v>6212.55</x:v>
      </x:c>
      <x:c r="O743" s="11" t="n">
        <x:f>IF(B743="Butterfly",IF(AND(J743&gt;0,J743&lt;K743),F743-J743,"n.a."),IF(C743="call",IF(K743&gt;J743,2*E743-D743-J743,"n.a."),IF(AND(J743&gt;0,J743&lt;K743),D743-J743,"n.a.")))</x:f>
        <x:v>6587.45</x:v>
      </x:c>
      <x:c r="P743" s="19" t="n">
        <x:f>IF(AND(B743="Butterfly",J743&gt;0,J743&lt;K743),L743/J743,"n.a.")</x:f>
        <x:v>14.936254980079703</x:v>
      </x:c>
      <x:c r="Q743" s="11" t="n">
        <x:f>J743*'Model inputs'!$B$8</x:f>
        <x:v>1254.9999999999982</x:v>
      </x:c>
      <x:c r="R743" s="1" t="str">
        <x:v>Indicative only</x:v>
      </x:c>
      <x:c r="S743" s="1" t="n">
        <x:v>682</x:v>
      </x:c>
      <x:c r="T743" s="1" t="n">
        <x:v>701</x:v>
      </x:c>
    </x:row>
    <x:row r="744" ht="21" customHeight="1">
      <x:c r="A744" s="12" t="n">
        <x:v>46269</x:v>
      </x:c>
      <x:c r="B744" s="1" t="str">
        <x:v>Butterfly</x:v>
      </x:c>
      <x:c r="C744" s="1" t="str">
        <x:v>call</x:v>
      </x:c>
      <x:c r="D744" s="11" t="n">
        <x:v>7600</x:v>
      </x:c>
      <x:c r="E744" s="11" t="n">
        <x:v>7800</x:v>
      </x:c>
      <x:c r="F744" s="11" t="n">
        <x:v>8000</x:v>
      </x:c>
      <x:c r="G744" s="11" t="n">
        <x:f>'Option source'!B326</x:f>
        <x:v>246.84</x:v>
      </x:c>
      <x:c r="H744" s="11" t="n">
        <x:f>'Option source'!B345</x:f>
        <x:v>186.47</x:v>
      </x:c>
      <x:c r="I744" s="11" t="n">
        <x:f>'Option source'!B364</x:f>
        <x:v>143.25</x:v>
      </x:c>
      <x:c r="J744" s="11" t="n">
        <x:f>G744-2*H744+IF(B744="Butterfly",I744,0)</x:f>
        <x:v>17.150000000000006</x:v>
      </x:c>
      <x:c r="K744" s="11" t="n">
        <x:f>ABS(E744-D744)</x:f>
        <x:v>200</x:v>
      </x:c>
      <x:c r="L744" s="11" t="n">
        <x:f>K744-J744</x:f>
        <x:v>182.85</x:v>
      </x:c>
      <x:c r="M744" s="11" t="n">
        <x:f>IF(B744="Butterfly",MAX(J744,0),IF(C744="call","Unlimited",MAX(2*E744-D744+J744,J744,0)))</x:f>
        <x:v>17.150000000000006</x:v>
      </x:c>
      <x:c r="N744" s="11" t="n">
        <x:f>IF(B744="Butterfly",IF(AND(J744&gt;0,J744&lt;K744),D744+J744,"n.a."),IF(C744="call",IF(AND(J744&gt;0,J744&lt;K744),D744+J744,"n.a."),IF(AND(K744&gt;J744,2*E744-D744+J744&gt;=0),2*E744-D744+J744,"n.a.")))</x:f>
        <x:v>7617.15</x:v>
      </x:c>
      <x:c r="O744" s="11" t="n">
        <x:f>IF(B744="Butterfly",IF(AND(J744&gt;0,J744&lt;K744),F744-J744,"n.a."),IF(C744="call",IF(K744&gt;J744,2*E744-D744-J744,"n.a."),IF(AND(J744&gt;0,J744&lt;K744),D744-J744,"n.a.")))</x:f>
        <x:v>7982.85</x:v>
      </x:c>
      <x:c r="P744" s="19" t="n">
        <x:f>IF(AND(B744="Butterfly",J744&gt;0,J744&lt;K744),L744/J744,"n.a.")</x:f>
        <x:v>10.661807580174923</x:v>
      </x:c>
      <x:c r="Q744" s="11" t="n">
        <x:f>J744*'Model inputs'!$B$8</x:f>
        <x:v>1715.0000000000005</x:v>
      </x:c>
      <x:c r="R744" s="1" t="str">
        <x:v>Indicative only</x:v>
      </x:c>
      <x:c r="S744" s="1" t="n">
        <x:v>321</x:v>
      </x:c>
      <x:c r="T744" s="1" t="n">
        <x:v>340</x:v>
      </x:c>
    </x:row>
    <x:row r="745" ht="21" customHeight="1">
      <x:c r="A745" s="12" t="n">
        <x:v>46269</x:v>
      </x:c>
      <x:c r="B745" s="1" t="str">
        <x:v>Butterfly</x:v>
      </x:c>
      <x:c r="C745" s="1" t="str">
        <x:v>put</x:v>
      </x:c>
      <x:c r="D745" s="11" t="n">
        <x:v>6000</x:v>
      </x:c>
      <x:c r="E745" s="11" t="n">
        <x:v>6200</x:v>
      </x:c>
      <x:c r="F745" s="11" t="n">
        <x:v>6400</x:v>
      </x:c>
      <x:c r="G745" s="11" t="n">
        <x:f>'Option source'!B668</x:f>
        <x:v>46.91</x:v>
      </x:c>
      <x:c r="H745" s="11" t="n">
        <x:f>'Option source'!B687</x:f>
        <x:v>76.05</x:v>
      </x:c>
      <x:c r="I745" s="11" t="n">
        <x:f>'Option source'!B706</x:f>
        <x:v>116.45</x:v>
      </x:c>
      <x:c r="J745" s="11" t="n">
        <x:f>G745-2*H745+IF(B745="Butterfly",I745,0)</x:f>
        <x:v>11.260000000000005</x:v>
      </x:c>
      <x:c r="K745" s="11" t="n">
        <x:f>ABS(E745-D745)</x:f>
        <x:v>200</x:v>
      </x:c>
      <x:c r="L745" s="11" t="n">
        <x:f>K745-J745</x:f>
        <x:v>188.74</x:v>
      </x:c>
      <x:c r="M745" s="11" t="n">
        <x:f>IF(B745="Butterfly",MAX(J745,0),IF(C745="call","Unlimited",MAX(2*E745-D745+J745,J745,0)))</x:f>
        <x:v>11.260000000000005</x:v>
      </x:c>
      <x:c r="N745" s="11" t="n">
        <x:f>IF(B745="Butterfly",IF(AND(J745&gt;0,J745&lt;K745),D745+J745,"n.a."),IF(C745="call",IF(AND(J745&gt;0,J745&lt;K745),D745+J745,"n.a."),IF(AND(K745&gt;J745,2*E745-D745+J745&gt;=0),2*E745-D745+J745,"n.a.")))</x:f>
        <x:v>6011.26</x:v>
      </x:c>
      <x:c r="O745" s="11" t="n">
        <x:f>IF(B745="Butterfly",IF(AND(J745&gt;0,J745&lt;K745),F745-J745,"n.a."),IF(C745="call",IF(K745&gt;J745,2*E745-D745-J745,"n.a."),IF(AND(J745&gt;0,J745&lt;K745),D745-J745,"n.a.")))</x:f>
        <x:v>6388.74</x:v>
      </x:c>
      <x:c r="P745" s="19" t="n">
        <x:f>IF(AND(B745="Butterfly",J745&gt;0,J745&lt;K745),L745/J745,"n.a.")</x:f>
        <x:v>16.761989342806388</x:v>
      </x:c>
      <x:c r="Q745" s="11" t="n">
        <x:f>J745*'Model inputs'!$B$8</x:f>
        <x:v>1126.0000000000005</x:v>
      </x:c>
      <x:c r="R745" s="1" t="str">
        <x:v>Indicative only</x:v>
      </x:c>
      <x:c r="S745" s="1" t="n">
        <x:v>663</x:v>
      </x:c>
      <x:c r="T745" s="1" t="n">
        <x:v>682</x:v>
      </x:c>
    </x:row>
    <x:row r="746" ht="21" customHeight="1">
      <x:c r="A746" s="12" t="n">
        <x:v>46269</x:v>
      </x:c>
      <x:c r="B746" s="1" t="str">
        <x:v>Butterfly</x:v>
      </x:c>
      <x:c r="C746" s="1" t="str">
        <x:v>put</x:v>
      </x:c>
      <x:c r="D746" s="11" t="n">
        <x:v>5800</x:v>
      </x:c>
      <x:c r="E746" s="11" t="n">
        <x:v>6000</x:v>
      </x:c>
      <x:c r="F746" s="11" t="n">
        <x:v>6200</x:v>
      </x:c>
      <x:c r="G746" s="11" t="n">
        <x:f>'Option source'!B649</x:f>
        <x:v>27.57</x:v>
      </x:c>
      <x:c r="H746" s="11" t="n">
        <x:f>'Option source'!B668</x:f>
        <x:v>46.91</x:v>
      </x:c>
      <x:c r="I746" s="11" t="n">
        <x:f>'Option source'!B687</x:f>
        <x:v>76.05</x:v>
      </x:c>
      <x:c r="J746" s="11" t="n">
        <x:f>G746-2*H746+IF(B746="Butterfly",I746,0)</x:f>
        <x:v>9.799999999999997</x:v>
      </x:c>
      <x:c r="K746" s="11" t="n">
        <x:f>ABS(E746-D746)</x:f>
        <x:v>200</x:v>
      </x:c>
      <x:c r="L746" s="11" t="n">
        <x:f>K746-J746</x:f>
        <x:v>190.2</x:v>
      </x:c>
      <x:c r="M746" s="11" t="n">
        <x:f>IF(B746="Butterfly",MAX(J746,0),IF(C746="call","Unlimited",MAX(2*E746-D746+J746,J746,0)))</x:f>
        <x:v>9.799999999999997</x:v>
      </x:c>
      <x:c r="N746" s="11" t="n">
        <x:f>IF(B746="Butterfly",IF(AND(J746&gt;0,J746&lt;K746),D746+J746,"n.a."),IF(C746="call",IF(AND(J746&gt;0,J746&lt;K746),D746+J746,"n.a."),IF(AND(K746&gt;J746,2*E746-D746+J746&gt;=0),2*E746-D746+J746,"n.a.")))</x:f>
        <x:v>5809.8</x:v>
      </x:c>
      <x:c r="O746" s="11" t="n">
        <x:f>IF(B746="Butterfly",IF(AND(J746&gt;0,J746&lt;K746),F746-J746,"n.a."),IF(C746="call",IF(K746&gt;J746,2*E746-D746-J746,"n.a."),IF(AND(J746&gt;0,J746&lt;K746),D746-J746,"n.a.")))</x:f>
        <x:v>6190.2</x:v>
      </x:c>
      <x:c r="P746" s="19" t="n">
        <x:f>IF(AND(B746="Butterfly",J746&gt;0,J746&lt;K746),L746/J746,"n.a.")</x:f>
        <x:v>19.408163265306126</x:v>
      </x:c>
      <x:c r="Q746" s="11" t="n">
        <x:f>J746*'Model inputs'!$B$8</x:f>
        <x:v>979.9999999999998</x:v>
      </x:c>
      <x:c r="R746" s="1" t="str">
        <x:v>Indicative only</x:v>
      </x:c>
      <x:c r="S746" s="1" t="n">
        <x:v>644</x:v>
      </x:c>
      <x:c r="T746" s="1" t="n">
        <x:v>663</x:v>
      </x:c>
    </x:row>
    <x:row r="747" ht="21" customHeight="1">
      <x:c r="A747" s="12" t="n">
        <x:v>46269</x:v>
      </x:c>
      <x:c r="B747" s="1" t="str">
        <x:v>Butterfly</x:v>
      </x:c>
      <x:c r="C747" s="1" t="str">
        <x:v>put</x:v>
      </x:c>
      <x:c r="D747" s="11" t="n">
        <x:v>5600</x:v>
      </x:c>
      <x:c r="E747" s="11" t="n">
        <x:v>5800</x:v>
      </x:c>
      <x:c r="F747" s="11" t="n">
        <x:v>6000</x:v>
      </x:c>
      <x:c r="G747" s="11" t="n">
        <x:f>'Option source'!B630</x:f>
        <x:v>16.25</x:v>
      </x:c>
      <x:c r="H747" s="11" t="n">
        <x:f>'Option source'!B649</x:f>
        <x:v>27.57</x:v>
      </x:c>
      <x:c r="I747" s="11" t="n">
        <x:f>'Option source'!B668</x:f>
        <x:v>46.91</x:v>
      </x:c>
      <x:c r="J747" s="11" t="n">
        <x:f>G747-2*H747+IF(B747="Butterfly",I747,0)</x:f>
        <x:v>8.019999999999996</x:v>
      </x:c>
      <x:c r="K747" s="11" t="n">
        <x:f>ABS(E747-D747)</x:f>
        <x:v>200</x:v>
      </x:c>
      <x:c r="L747" s="11" t="n">
        <x:f>K747-J747</x:f>
        <x:v>191.98000000000002</x:v>
      </x:c>
      <x:c r="M747" s="11" t="n">
        <x:f>IF(B747="Butterfly",MAX(J747,0),IF(C747="call","Unlimited",MAX(2*E747-D747+J747,J747,0)))</x:f>
        <x:v>8.019999999999996</x:v>
      </x:c>
      <x:c r="N747" s="11" t="n">
        <x:f>IF(B747="Butterfly",IF(AND(J747&gt;0,J747&lt;K747),D747+J747,"n.a."),IF(C747="call",IF(AND(J747&gt;0,J747&lt;K747),D747+J747,"n.a."),IF(AND(K747&gt;J747,2*E747-D747+J747&gt;=0),2*E747-D747+J747,"n.a.")))</x:f>
        <x:v>5608.02</x:v>
      </x:c>
      <x:c r="O747" s="11" t="n">
        <x:f>IF(B747="Butterfly",IF(AND(J747&gt;0,J747&lt;K747),F747-J747,"n.a."),IF(C747="call",IF(K747&gt;J747,2*E747-D747-J747,"n.a."),IF(AND(J747&gt;0,J747&lt;K747),D747-J747,"n.a.")))</x:f>
        <x:v>5991.98</x:v>
      </x:c>
      <x:c r="P747" s="19" t="n">
        <x:f>IF(AND(B747="Butterfly",J747&gt;0,J747&lt;K747),L747/J747,"n.a.")</x:f>
        <x:v>23.937655860349143</x:v>
      </x:c>
      <x:c r="Q747" s="11" t="n">
        <x:f>J747*'Model inputs'!$B$8</x:f>
        <x:v>801.9999999999995</x:v>
      </x:c>
      <x:c r="R747" s="1" t="str">
        <x:v>Indicative only</x:v>
      </x:c>
      <x:c r="S747" s="1" t="n">
        <x:v>625</x:v>
      </x:c>
      <x:c r="T747" s="1" t="n">
        <x:v>644</x:v>
      </x:c>
    </x:row>
    <x:row r="748" ht="21" customHeight="1">
      <x:c r="A748" s="12" t="n">
        <x:v>46269</x:v>
      </x:c>
      <x:c r="B748" s="1" t="str">
        <x:v>Butterfly</x:v>
      </x:c>
      <x:c r="C748" s="1" t="str">
        <x:v>call</x:v>
      </x:c>
      <x:c r="D748" s="11" t="n">
        <x:v>8000</x:v>
      </x:c>
      <x:c r="E748" s="11" t="n">
        <x:v>8300</x:v>
      </x:c>
      <x:c r="F748" s="11" t="n">
        <x:v>8600</x:v>
      </x:c>
      <x:c r="G748" s="11" t="n">
        <x:f>'Option source'!B364</x:f>
        <x:v>143.25</x:v>
      </x:c>
      <x:c r="H748" s="11" t="n">
        <x:f>'Option source'!B383</x:f>
        <x:v>91.92</x:v>
      </x:c>
      <x:c r="I748" s="11" t="n">
        <x:f>'Option source'!B402</x:f>
        <x:v>56.19</x:v>
      </x:c>
      <x:c r="J748" s="11" t="n">
        <x:f>G748-2*H748+IF(B748="Butterfly",I748,0)</x:f>
        <x:v>15.599999999999994</x:v>
      </x:c>
      <x:c r="K748" s="11" t="n">
        <x:f>ABS(E748-D748)</x:f>
        <x:v>300</x:v>
      </x:c>
      <x:c r="L748" s="11" t="n">
        <x:f>K748-J748</x:f>
        <x:v>284.4</x:v>
      </x:c>
      <x:c r="M748" s="11" t="n">
        <x:f>IF(B748="Butterfly",MAX(J748,0),IF(C748="call","Unlimited",MAX(2*E748-D748+J748,J748,0)))</x:f>
        <x:v>15.599999999999994</x:v>
      </x:c>
      <x:c r="N748" s="11" t="n">
        <x:f>IF(B748="Butterfly",IF(AND(J748&gt;0,J748&lt;K748),D748+J748,"n.a."),IF(C748="call",IF(AND(J748&gt;0,J748&lt;K748),D748+J748,"n.a."),IF(AND(K748&gt;J748,2*E748-D748+J748&gt;=0),2*E748-D748+J748,"n.a.")))</x:f>
        <x:v>8015.6</x:v>
      </x:c>
      <x:c r="O748" s="11" t="n">
        <x:f>IF(B748="Butterfly",IF(AND(J748&gt;0,J748&lt;K748),F748-J748,"n.a."),IF(C748="call",IF(K748&gt;J748,2*E748-D748-J748,"n.a."),IF(AND(J748&gt;0,J748&lt;K748),D748-J748,"n.a.")))</x:f>
        <x:v>8584.4</x:v>
      </x:c>
      <x:c r="P748" s="19" t="n">
        <x:f>IF(AND(B748="Butterfly",J748&gt;0,J748&lt;K748),L748/J748,"n.a.")</x:f>
        <x:v>18.230769230769237</x:v>
      </x:c>
      <x:c r="Q748" s="11" t="n">
        <x:f>J748*'Model inputs'!$B$8</x:f>
        <x:v>1559.9999999999995</x:v>
      </x:c>
      <x:c r="R748" s="1" t="str">
        <x:v>Indicative only</x:v>
      </x:c>
      <x:c r="S748" s="1" t="n">
        <x:v>359</x:v>
      </x:c>
      <x:c r="T748" s="1" t="n">
        <x:v>378</x:v>
      </x:c>
    </x:row>
    <x:row r="749" ht="21" customHeight="1">
      <x:c r="A749" s="12" t="n">
        <x:v>46269</x:v>
      </x:c>
      <x:c r="B749" s="1" t="str">
        <x:v>Butterfly</x:v>
      </x:c>
      <x:c r="C749" s="1" t="str">
        <x:v>put</x:v>
      </x:c>
      <x:c r="D749" s="11" t="n">
        <x:v>5400</x:v>
      </x:c>
      <x:c r="E749" s="11" t="n">
        <x:v>5600</x:v>
      </x:c>
      <x:c r="F749" s="11" t="n">
        <x:v>5800</x:v>
      </x:c>
      <x:c r="G749" s="11" t="n">
        <x:f>'Option source'!B611</x:f>
        <x:v>8.96</x:v>
      </x:c>
      <x:c r="H749" s="11" t="n">
        <x:f>'Option source'!B630</x:f>
        <x:v>16.25</x:v>
      </x:c>
      <x:c r="I749" s="11" t="n">
        <x:f>'Option source'!B649</x:f>
        <x:v>27.57</x:v>
      </x:c>
      <x:c r="J749" s="11" t="n">
        <x:f>G749-2*H749+IF(B749="Butterfly",I749,0)</x:f>
        <x:v>4.030000000000001</x:v>
      </x:c>
      <x:c r="K749" s="11" t="n">
        <x:f>ABS(E749-D749)</x:f>
        <x:v>200</x:v>
      </x:c>
      <x:c r="L749" s="11" t="n">
        <x:f>K749-J749</x:f>
        <x:v>195.97</x:v>
      </x:c>
      <x:c r="M749" s="11" t="n">
        <x:f>IF(B749="Butterfly",MAX(J749,0),IF(C749="call","Unlimited",MAX(2*E749-D749+J749,J749,0)))</x:f>
        <x:v>4.030000000000001</x:v>
      </x:c>
      <x:c r="N749" s="11" t="n">
        <x:f>IF(B749="Butterfly",IF(AND(J749&gt;0,J749&lt;K749),D749+J749,"n.a."),IF(C749="call",IF(AND(J749&gt;0,J749&lt;K749),D749+J749,"n.a."),IF(AND(K749&gt;J749,2*E749-D749+J749&gt;=0),2*E749-D749+J749,"n.a.")))</x:f>
        <x:v>5404.03</x:v>
      </x:c>
      <x:c r="O749" s="11" t="n">
        <x:f>IF(B749="Butterfly",IF(AND(J749&gt;0,J749&lt;K749),F749-J749,"n.a."),IF(C749="call",IF(K749&gt;J749,2*E749-D749-J749,"n.a."),IF(AND(J749&gt;0,J749&lt;K749),D749-J749,"n.a.")))</x:f>
        <x:v>5795.97</x:v>
      </x:c>
      <x:c r="P749" s="19" t="n">
        <x:f>IF(AND(B749="Butterfly",J749&gt;0,J749&lt;K749),L749/J749,"n.a.")</x:f>
        <x:v>48.62779156327542</x:v>
      </x:c>
      <x:c r="Q749" s="11" t="n">
        <x:f>J749*'Model inputs'!$B$8</x:f>
        <x:v>403.0000000000001</x:v>
      </x:c>
      <x:c r="R749" s="1" t="str">
        <x:v>Indicative only</x:v>
      </x:c>
      <x:c r="S749" s="1" t="n">
        <x:v>606</x:v>
      </x:c>
      <x:c r="T749" s="1" t="n">
        <x:v>625</x:v>
      </x:c>
    </x:row>
    <x:row r="750" ht="21" customHeight="1">
      <x:c r="A750" s="12" t="n">
        <x:v>46269</x:v>
      </x:c>
      <x:c r="B750" s="1" t="str">
        <x:v>Butterfly</x:v>
      </x:c>
      <x:c r="C750" s="1" t="str">
        <x:v>call</x:v>
      </x:c>
      <x:c r="D750" s="11" t="n">
        <x:v>8300</x:v>
      </x:c>
      <x:c r="E750" s="11" t="n">
        <x:v>8600</x:v>
      </x:c>
      <x:c r="F750" s="11" t="n">
        <x:v>8900</x:v>
      </x:c>
      <x:c r="G750" s="11" t="n">
        <x:f>'Option source'!B383</x:f>
        <x:v>91.92</x:v>
      </x:c>
      <x:c r="H750" s="11" t="n">
        <x:f>'Option source'!B402</x:f>
        <x:v>56.19</x:v>
      </x:c>
      <x:c r="I750" s="11" t="n">
        <x:f>'Option source'!B421</x:f>
        <x:v>34.74</x:v>
      </x:c>
      <x:c r="J750" s="11" t="n">
        <x:f>G750-2*H750+IF(B750="Butterfly",I750,0)</x:f>
        <x:v>14.280000000000008</x:v>
      </x:c>
      <x:c r="K750" s="11" t="n">
        <x:f>ABS(E750-D750)</x:f>
        <x:v>300</x:v>
      </x:c>
      <x:c r="L750" s="11" t="n">
        <x:f>K750-J750</x:f>
        <x:v>285.71999999999997</x:v>
      </x:c>
      <x:c r="M750" s="11" t="n">
        <x:f>IF(B750="Butterfly",MAX(J750,0),IF(C750="call","Unlimited",MAX(2*E750-D750+J750,J750,0)))</x:f>
        <x:v>14.280000000000008</x:v>
      </x:c>
      <x:c r="N750" s="11" t="n">
        <x:f>IF(B750="Butterfly",IF(AND(J750&gt;0,J750&lt;K750),D750+J750,"n.a."),IF(C750="call",IF(AND(J750&gt;0,J750&lt;K750),D750+J750,"n.a."),IF(AND(K750&gt;J750,2*E750-D750+J750&gt;=0),2*E750-D750+J750,"n.a.")))</x:f>
        <x:v>8314.28</x:v>
      </x:c>
      <x:c r="O750" s="11" t="n">
        <x:f>IF(B750="Butterfly",IF(AND(J750&gt;0,J750&lt;K750),F750-J750,"n.a."),IF(C750="call",IF(K750&gt;J750,2*E750-D750-J750,"n.a."),IF(AND(J750&gt;0,J750&lt;K750),D750-J750,"n.a.")))</x:f>
        <x:v>8885.72</x:v>
      </x:c>
      <x:c r="P750" s="19" t="n">
        <x:f>IF(AND(B750="Butterfly",J750&gt;0,J750&lt;K750),L750/J750,"n.a.")</x:f>
        <x:v>20.008403361344524</x:v>
      </x:c>
      <x:c r="Q750" s="11" t="n">
        <x:f>J750*'Model inputs'!$B$8</x:f>
        <x:v>1428.000000000001</x:v>
      </x:c>
      <x:c r="R750" s="1" t="str">
        <x:v>Indicative only</x:v>
      </x:c>
      <x:c r="S750" s="1" t="n">
        <x:v>378</x:v>
      </x:c>
      <x:c r="T750" s="1" t="n">
        <x:v>397</x:v>
      </x:c>
    </x:row>
    <x:row r="751" ht="21" customHeight="1">
      <x:c r="A751" s="12" t="n">
        <x:v>46269</x:v>
      </x:c>
      <x:c r="B751" s="1" t="str">
        <x:v>Butterfly</x:v>
      </x:c>
      <x:c r="C751" s="1" t="str">
        <x:v>put</x:v>
      </x:c>
      <x:c r="D751" s="11" t="n">
        <x:v>5200</x:v>
      </x:c>
      <x:c r="E751" s="11" t="n">
        <x:v>5400</x:v>
      </x:c>
      <x:c r="F751" s="11" t="n">
        <x:v>5600</x:v>
      </x:c>
      <x:c r="G751" s="11" t="n">
        <x:f>'Option source'!B592</x:f>
        <x:v>4.92</x:v>
      </x:c>
      <x:c r="H751" s="11" t="n">
        <x:f>'Option source'!B611</x:f>
        <x:v>8.96</x:v>
      </x:c>
      <x:c r="I751" s="11" t="n">
        <x:f>'Option source'!B630</x:f>
        <x:v>16.25</x:v>
      </x:c>
      <x:c r="J751" s="11" t="n">
        <x:f>G751-2*H751+IF(B751="Butterfly",I751,0)</x:f>
        <x:v>3.2499999999999982</x:v>
      </x:c>
      <x:c r="K751" s="11" t="n">
        <x:f>ABS(E751-D751)</x:f>
        <x:v>200</x:v>
      </x:c>
      <x:c r="L751" s="11" t="n">
        <x:f>K751-J751</x:f>
        <x:v>196.75</x:v>
      </x:c>
      <x:c r="M751" s="11" t="n">
        <x:f>IF(B751="Butterfly",MAX(J751,0),IF(C751="call","Unlimited",MAX(2*E751-D751+J751,J751,0)))</x:f>
        <x:v>3.2499999999999982</x:v>
      </x:c>
      <x:c r="N751" s="11" t="n">
        <x:f>IF(B751="Butterfly",IF(AND(J751&gt;0,J751&lt;K751),D751+J751,"n.a."),IF(C751="call",IF(AND(J751&gt;0,J751&lt;K751),D751+J751,"n.a."),IF(AND(K751&gt;J751,2*E751-D751+J751&gt;=0),2*E751-D751+J751,"n.a.")))</x:f>
        <x:v>5203.25</x:v>
      </x:c>
      <x:c r="O751" s="11" t="n">
        <x:f>IF(B751="Butterfly",IF(AND(J751&gt;0,J751&lt;K751),F751-J751,"n.a."),IF(C751="call",IF(K751&gt;J751,2*E751-D751-J751,"n.a."),IF(AND(J751&gt;0,J751&lt;K751),D751-J751,"n.a.")))</x:f>
        <x:v>5596.75</x:v>
      </x:c>
      <x:c r="P751" s="19" t="n">
        <x:f>IF(AND(B751="Butterfly",J751&gt;0,J751&lt;K751),L751/J751,"n.a.")</x:f>
        <x:v>60.53846153846157</x:v>
      </x:c>
      <x:c r="Q751" s="11" t="n">
        <x:f>J751*'Model inputs'!$B$8</x:f>
        <x:v>324.99999999999983</x:v>
      </x:c>
      <x:c r="R751" s="1" t="str">
        <x:v>Indicative only</x:v>
      </x:c>
      <x:c r="S751" s="1" t="n">
        <x:v>587</x:v>
      </x:c>
      <x:c r="T751" s="1" t="n">
        <x:v>606</x:v>
      </x:c>
    </x:row>
    <x:row r="752" ht="21" customHeight="1">
      <x:c r="A752" s="12" t="n">
        <x:v>46269</x:v>
      </x:c>
      <x:c r="B752" s="1" t="str">
        <x:v>Butterfly</x:v>
      </x:c>
      <x:c r="C752" s="1" t="str">
        <x:v>put</x:v>
      </x:c>
      <x:c r="D752" s="11" t="n">
        <x:v>5000</x:v>
      </x:c>
      <x:c r="E752" s="11" t="n">
        <x:v>5200</x:v>
      </x:c>
      <x:c r="F752" s="11" t="n">
        <x:v>5400</x:v>
      </x:c>
      <x:c r="G752" s="11" t="n">
        <x:f>'Option source'!B573</x:f>
        <x:v>3.15</x:v>
      </x:c>
      <x:c r="H752" s="11" t="n">
        <x:f>'Option source'!B592</x:f>
        <x:v>4.92</x:v>
      </x:c>
      <x:c r="I752" s="11" t="n">
        <x:f>'Option source'!B611</x:f>
        <x:v>8.96</x:v>
      </x:c>
      <x:c r="J752" s="11" t="n">
        <x:f>G752-2*H752+IF(B752="Butterfly",I752,0)</x:f>
        <x:v>2.2700000000000014</x:v>
      </x:c>
      <x:c r="K752" s="11" t="n">
        <x:f>ABS(E752-D752)</x:f>
        <x:v>200</x:v>
      </x:c>
      <x:c r="L752" s="11" t="n">
        <x:f>K752-J752</x:f>
        <x:v>197.73</x:v>
      </x:c>
      <x:c r="M752" s="11" t="n">
        <x:f>IF(B752="Butterfly",MAX(J752,0),IF(C752="call","Unlimited",MAX(2*E752-D752+J752,J752,0)))</x:f>
        <x:v>2.2700000000000014</x:v>
      </x:c>
      <x:c r="N752" s="11" t="n">
        <x:f>IF(B752="Butterfly",IF(AND(J752&gt;0,J752&lt;K752),D752+J752,"n.a."),IF(C752="call",IF(AND(J752&gt;0,J752&lt;K752),D752+J752,"n.a."),IF(AND(K752&gt;J752,2*E752-D752+J752&gt;=0),2*E752-D752+J752,"n.a.")))</x:f>
        <x:v>5002.27</x:v>
      </x:c>
      <x:c r="O752" s="11" t="n">
        <x:f>IF(B752="Butterfly",IF(AND(J752&gt;0,J752&lt;K752),F752-J752,"n.a."),IF(C752="call",IF(K752&gt;J752,2*E752-D752-J752,"n.a."),IF(AND(J752&gt;0,J752&lt;K752),D752-J752,"n.a.")))</x:f>
        <x:v>5397.73</x:v>
      </x:c>
      <x:c r="P752" s="19" t="n">
        <x:f>IF(AND(B752="Butterfly",J752&gt;0,J752&lt;K752),L752/J752,"n.a.")</x:f>
        <x:v>87.10572687224663</x:v>
      </x:c>
      <x:c r="Q752" s="11" t="n">
        <x:f>J752*'Model inputs'!$B$8</x:f>
        <x:v>227.00000000000014</x:v>
      </x:c>
      <x:c r="R752" s="1" t="str">
        <x:v>Indicative only</x:v>
      </x:c>
      <x:c r="S752" s="1" t="n">
        <x:v>568</x:v>
      </x:c>
      <x:c r="T752" s="1" t="n">
        <x:v>587</x:v>
      </x:c>
    </x:row>
    <x:row r="753" ht="21" customHeight="1">
      <x:c r="A753" s="12" t="n">
        <x:v>46269</x:v>
      </x:c>
      <x:c r="B753" s="1" t="str">
        <x:v>Butterfly</x:v>
      </x:c>
      <x:c r="C753" s="1" t="str">
        <x:v>call</x:v>
      </x:c>
      <x:c r="D753" s="11" t="n">
        <x:v>8600</x:v>
      </x:c>
      <x:c r="E753" s="11" t="n">
        <x:v>8900</x:v>
      </x:c>
      <x:c r="F753" s="11" t="n">
        <x:v>9200</x:v>
      </x:c>
      <x:c r="G753" s="11" t="n">
        <x:f>'Option source'!B402</x:f>
        <x:v>56.19</x:v>
      </x:c>
      <x:c r="H753" s="11" t="n">
        <x:f>'Option source'!B421</x:f>
        <x:v>34.74</x:v>
      </x:c>
      <x:c r="I753" s="11" t="n">
        <x:f>'Option source'!B440</x:f>
        <x:v>21.04</x:v>
      </x:c>
      <x:c r="J753" s="11" t="n">
        <x:f>G753-2*H753+IF(B753="Butterfly",I753,0)</x:f>
        <x:v>7.749999999999993</x:v>
      </x:c>
      <x:c r="K753" s="11" t="n">
        <x:f>ABS(E753-D753)</x:f>
        <x:v>300</x:v>
      </x:c>
      <x:c r="L753" s="11" t="n">
        <x:f>K753-J753</x:f>
        <x:v>292.25</x:v>
      </x:c>
      <x:c r="M753" s="11" t="n">
        <x:f>IF(B753="Butterfly",MAX(J753,0),IF(C753="call","Unlimited",MAX(2*E753-D753+J753,J753,0)))</x:f>
        <x:v>7.749999999999993</x:v>
      </x:c>
      <x:c r="N753" s="11" t="n">
        <x:f>IF(B753="Butterfly",IF(AND(J753&gt;0,J753&lt;K753),D753+J753,"n.a."),IF(C753="call",IF(AND(J753&gt;0,J753&lt;K753),D753+J753,"n.a."),IF(AND(K753&gt;J753,2*E753-D753+J753&gt;=0),2*E753-D753+J753,"n.a.")))</x:f>
        <x:v>8607.75</x:v>
      </x:c>
      <x:c r="O753" s="11" t="n">
        <x:f>IF(B753="Butterfly",IF(AND(J753&gt;0,J753&lt;K753),F753-J753,"n.a."),IF(C753="call",IF(K753&gt;J753,2*E753-D753-J753,"n.a."),IF(AND(J753&gt;0,J753&lt;K753),D753-J753,"n.a.")))</x:f>
        <x:v>9192.25</x:v>
      </x:c>
      <x:c r="P753" s="19" t="n">
        <x:f>IF(AND(B753="Butterfly",J753&gt;0,J753&lt;K753),L753/J753,"n.a.")</x:f>
        <x:v>37.709677419354875</x:v>
      </x:c>
      <x:c r="Q753" s="11" t="n">
        <x:f>J753*'Model inputs'!$B$8</x:f>
        <x:v>774.9999999999993</x:v>
      </x:c>
      <x:c r="R753" s="1" t="str">
        <x:v>Indicative only</x:v>
      </x:c>
      <x:c r="S753" s="1" t="n">
        <x:v>397</x:v>
      </x:c>
      <x:c r="T753" s="1" t="n">
        <x:v>416</x:v>
      </x:c>
    </x:row>
    <x:row r="754" ht="21" customHeight="1">
      <x:c r="A754" s="12" t="n">
        <x:v>46269</x:v>
      </x:c>
      <x:c r="B754" s="1" t="str">
        <x:v>Butterfly</x:v>
      </x:c>
      <x:c r="C754" s="1" t="str">
        <x:v>put</x:v>
      </x:c>
      <x:c r="D754" s="11" t="n">
        <x:v>4800</x:v>
      </x:c>
      <x:c r="E754" s="11" t="n">
        <x:v>5000</x:v>
      </x:c>
      <x:c r="F754" s="11" t="n">
        <x:v>5200</x:v>
      </x:c>
      <x:c r="G754" s="11" t="n">
        <x:f>'Option source'!B554</x:f>
        <x:v>1.8</x:v>
      </x:c>
      <x:c r="H754" s="11" t="n">
        <x:f>'Option source'!B573</x:f>
        <x:v>3.15</x:v>
      </x:c>
      <x:c r="I754" s="11" t="n">
        <x:f>'Option source'!B592</x:f>
        <x:v>4.92</x:v>
      </x:c>
      <x:c r="J754" s="11" t="n">
        <x:f>G754-2*H754+IF(B754="Butterfly",I754,0)</x:f>
        <x:v>0.41999999999999993</x:v>
      </x:c>
      <x:c r="K754" s="11" t="n">
        <x:f>ABS(E754-D754)</x:f>
        <x:v>200</x:v>
      </x:c>
      <x:c r="L754" s="11" t="n">
        <x:f>K754-J754</x:f>
        <x:v>199.58</x:v>
      </x:c>
      <x:c r="M754" s="11" t="n">
        <x:f>IF(B754="Butterfly",MAX(J754,0),IF(C754="call","Unlimited",MAX(2*E754-D754+J754,J754,0)))</x:f>
        <x:v>0.41999999999999993</x:v>
      </x:c>
      <x:c r="N754" s="11" t="n">
        <x:f>IF(B754="Butterfly",IF(AND(J754&gt;0,J754&lt;K754),D754+J754,"n.a."),IF(C754="call",IF(AND(J754&gt;0,J754&lt;K754),D754+J754,"n.a."),IF(AND(K754&gt;J754,2*E754-D754+J754&gt;=0),2*E754-D754+J754,"n.a.")))</x:f>
        <x:v>4800.42</x:v>
      </x:c>
      <x:c r="O754" s="11" t="n">
        <x:f>IF(B754="Butterfly",IF(AND(J754&gt;0,J754&lt;K754),F754-J754,"n.a."),IF(C754="call",IF(K754&gt;J754,2*E754-D754-J754,"n.a."),IF(AND(J754&gt;0,J754&lt;K754),D754-J754,"n.a.")))</x:f>
        <x:v>5199.58</x:v>
      </x:c>
      <x:c r="P754" s="19" t="n">
        <x:f>IF(AND(B754="Butterfly",J754&gt;0,J754&lt;K754),L754/J754,"n.a.")</x:f>
        <x:v>475.1904761904763</x:v>
      </x:c>
      <x:c r="Q754" s="11" t="n">
        <x:f>J754*'Model inputs'!$B$8</x:f>
        <x:v>41.99999999999999</x:v>
      </x:c>
      <x:c r="R754" s="1" t="str">
        <x:v>Indicative only</x:v>
      </x:c>
      <x:c r="S754" s="1" t="n">
        <x:v>549</x:v>
      </x:c>
      <x:c r="T754" s="1" t="n">
        <x:v>568</x:v>
      </x:c>
    </x:row>
    <x:row r="755" ht="21" customHeight="1">
      <x:c r="A755" s="12" t="n">
        <x:v>46269</x:v>
      </x:c>
      <x:c r="B755" s="1" t="str">
        <x:v>Butterfly</x:v>
      </x:c>
      <x:c r="C755" s="1" t="str">
        <x:v>call</x:v>
      </x:c>
      <x:c r="D755" s="11" t="n">
        <x:v>8900</x:v>
      </x:c>
      <x:c r="E755" s="11" t="n">
        <x:v>9200</x:v>
      </x:c>
      <x:c r="F755" s="11" t="n">
        <x:v>9500</x:v>
      </x:c>
      <x:c r="G755" s="11" t="n">
        <x:f>'Option source'!B421</x:f>
        <x:v>34.74</x:v>
      </x:c>
      <x:c r="H755" s="11" t="n">
        <x:f>'Option source'!B440</x:f>
        <x:v>21.04</x:v>
      </x:c>
      <x:c r="I755" s="11" t="n">
        <x:f>'Option source'!B459</x:f>
        <x:v>14.06</x:v>
      </x:c>
      <x:c r="J755" s="11" t="n">
        <x:f>G755-2*H755+IF(B755="Butterfly",I755,0)</x:f>
        <x:v>6.720000000000004</x:v>
      </x:c>
      <x:c r="K755" s="11" t="n">
        <x:f>ABS(E755-D755)</x:f>
        <x:v>300</x:v>
      </x:c>
      <x:c r="L755" s="11" t="n">
        <x:f>K755-J755</x:f>
        <x:v>293.28</x:v>
      </x:c>
      <x:c r="M755" s="11" t="n">
        <x:f>IF(B755="Butterfly",MAX(J755,0),IF(C755="call","Unlimited",MAX(2*E755-D755+J755,J755,0)))</x:f>
        <x:v>6.720000000000004</x:v>
      </x:c>
      <x:c r="N755" s="11" t="n">
        <x:f>IF(B755="Butterfly",IF(AND(J755&gt;0,J755&lt;K755),D755+J755,"n.a."),IF(C755="call",IF(AND(J755&gt;0,J755&lt;K755),D755+J755,"n.a."),IF(AND(K755&gt;J755,2*E755-D755+J755&gt;=0),2*E755-D755+J755,"n.a.")))</x:f>
        <x:v>8906.72</x:v>
      </x:c>
      <x:c r="O755" s="11" t="n">
        <x:f>IF(B755="Butterfly",IF(AND(J755&gt;0,J755&lt;K755),F755-J755,"n.a."),IF(C755="call",IF(K755&gt;J755,2*E755-D755-J755,"n.a."),IF(AND(J755&gt;0,J755&lt;K755),D755-J755,"n.a.")))</x:f>
        <x:v>9493.28</x:v>
      </x:c>
      <x:c r="P755" s="19" t="n">
        <x:f>IF(AND(B755="Butterfly",J755&gt;0,J755&lt;K755),L755/J755,"n.a.")</x:f>
        <x:v>43.64285714285711</x:v>
      </x:c>
      <x:c r="Q755" s="11" t="n">
        <x:f>J755*'Model inputs'!$B$8</x:f>
        <x:v>672.0000000000005</x:v>
      </x:c>
      <x:c r="R755" s="1" t="str">
        <x:v>Indicative only</x:v>
      </x:c>
      <x:c r="S755" s="1" t="n">
        <x:v>416</x:v>
      </x:c>
      <x:c r="T755" s="1" t="n">
        <x:v>435</x:v>
      </x:c>
    </x:row>
    <x:row r="756" ht="21" customHeight="1">
      <x:c r="A756" s="12" t="n">
        <x:v>46269</x:v>
      </x:c>
      <x:c r="B756" s="1" t="str">
        <x:v>Butterfly</x:v>
      </x:c>
      <x:c r="C756" s="1" t="str">
        <x:v>put</x:v>
      </x:c>
      <x:c r="D756" s="11" t="n">
        <x:v>4600</x:v>
      </x:c>
      <x:c r="E756" s="11" t="n">
        <x:v>4800</x:v>
      </x:c>
      <x:c r="F756" s="11" t="n">
        <x:v>5000</x:v>
      </x:c>
      <x:c r="G756" s="11" t="n">
        <x:f>'Option source'!B535</x:f>
        <x:v>1.4</x:v>
      </x:c>
      <x:c r="H756" s="11" t="n">
        <x:f>'Option source'!B554</x:f>
        <x:v>1.8</x:v>
      </x:c>
      <x:c r="I756" s="11" t="n">
        <x:f>'Option source'!B573</x:f>
        <x:v>3.15</x:v>
      </x:c>
      <x:c r="J756" s="11" t="n">
        <x:f>G756-2*H756+IF(B756="Butterfly",I756,0)</x:f>
        <x:v>0.9499999999999997</x:v>
      </x:c>
      <x:c r="K756" s="11" t="n">
        <x:f>ABS(E756-D756)</x:f>
        <x:v>200</x:v>
      </x:c>
      <x:c r="L756" s="11" t="n">
        <x:f>K756-J756</x:f>
        <x:v>199.05</x:v>
      </x:c>
      <x:c r="M756" s="11" t="n">
        <x:f>IF(B756="Butterfly",MAX(J756,0),IF(C756="call","Unlimited",MAX(2*E756-D756+J756,J756,0)))</x:f>
        <x:v>0.9499999999999997</x:v>
      </x:c>
      <x:c r="N756" s="11" t="n">
        <x:f>IF(B756="Butterfly",IF(AND(J756&gt;0,J756&lt;K756),D756+J756,"n.a."),IF(C756="call",IF(AND(J756&gt;0,J756&lt;K756),D756+J756,"n.a."),IF(AND(K756&gt;J756,2*E756-D756+J756&gt;=0),2*E756-D756+J756,"n.a.")))</x:f>
        <x:v>4600.95</x:v>
      </x:c>
      <x:c r="O756" s="11" t="n">
        <x:f>IF(B756="Butterfly",IF(AND(J756&gt;0,J756&lt;K756),F756-J756,"n.a."),IF(C756="call",IF(K756&gt;J756,2*E756-D756-J756,"n.a."),IF(AND(J756&gt;0,J756&lt;K756),D756-J756,"n.a.")))</x:f>
        <x:v>4999.05</x:v>
      </x:c>
      <x:c r="P756" s="19" t="n">
        <x:f>IF(AND(B756="Butterfly",J756&gt;0,J756&lt;K756),L756/J756,"n.a.")</x:f>
        <x:v>209.52631578947376</x:v>
      </x:c>
      <x:c r="Q756" s="11" t="n">
        <x:f>J756*'Model inputs'!$B$8</x:f>
        <x:v>94.99999999999997</x:v>
      </x:c>
      <x:c r="R756" s="1" t="str">
        <x:v>Indicative only</x:v>
      </x:c>
      <x:c r="S756" s="1" t="n">
        <x:v>530</x:v>
      </x:c>
      <x:c r="T756" s="1" t="n">
        <x:v>549</x:v>
      </x:c>
    </x:row>
    <x:row r="757" ht="21" customHeight="1">
      <x:c r="A757" s="12" t="n">
        <x:v>46269</x:v>
      </x:c>
      <x:c r="B757" s="1" t="str">
        <x:v>Butterfly</x:v>
      </x:c>
      <x:c r="C757" s="1" t="str">
        <x:v>put</x:v>
      </x:c>
      <x:c r="D757" s="11" t="n">
        <x:v>4400</x:v>
      </x:c>
      <x:c r="E757" s="11" t="n">
        <x:v>4600</x:v>
      </x:c>
      <x:c r="F757" s="11" t="n">
        <x:v>4800</x:v>
      </x:c>
      <x:c r="G757" s="11" t="n">
        <x:f>'Option source'!B516</x:f>
        <x:v>1.17</x:v>
      </x:c>
      <x:c r="H757" s="11" t="n">
        <x:f>'Option source'!B535</x:f>
        <x:v>1.4</x:v>
      </x:c>
      <x:c r="I757" s="11" t="n">
        <x:f>'Option source'!B554</x:f>
        <x:v>1.8</x:v>
      </x:c>
      <x:c r="J757" s="11" t="n">
        <x:f>G757-2*H757+IF(B757="Butterfly",I757,0)</x:f>
        <x:v>0.17000000000000015</x:v>
      </x:c>
      <x:c r="K757" s="11" t="n">
        <x:f>ABS(E757-D757)</x:f>
        <x:v>200</x:v>
      </x:c>
      <x:c r="L757" s="11" t="n">
        <x:f>K757-J757</x:f>
        <x:v>199.83</x:v>
      </x:c>
      <x:c r="M757" s="11" t="n">
        <x:f>IF(B757="Butterfly",MAX(J757,0),IF(C757="call","Unlimited",MAX(2*E757-D757+J757,J757,0)))</x:f>
        <x:v>0.17000000000000015</x:v>
      </x:c>
      <x:c r="N757" s="11" t="n">
        <x:f>IF(B757="Butterfly",IF(AND(J757&gt;0,J757&lt;K757),D757+J757,"n.a."),IF(C757="call",IF(AND(J757&gt;0,J757&lt;K757),D757+J757,"n.a."),IF(AND(K757&gt;J757,2*E757-D757+J757&gt;=0),2*E757-D757+J757,"n.a.")))</x:f>
        <x:v>4400.17</x:v>
      </x:c>
      <x:c r="O757" s="11" t="n">
        <x:f>IF(B757="Butterfly",IF(AND(J757&gt;0,J757&lt;K757),F757-J757,"n.a."),IF(C757="call",IF(K757&gt;J757,2*E757-D757-J757,"n.a."),IF(AND(J757&gt;0,J757&lt;K757),D757-J757,"n.a.")))</x:f>
        <x:v>4799.83</x:v>
      </x:c>
      <x:c r="P757" s="19" t="n">
        <x:f>IF(AND(B757="Butterfly",J757&gt;0,J757&lt;K757),L757/J757,"n.a.")</x:f>
        <x:v>1175.4705882352932</x:v>
      </x:c>
      <x:c r="Q757" s="11" t="n">
        <x:f>J757*'Model inputs'!$B$8</x:f>
        <x:v>17.000000000000014</x:v>
      </x:c>
      <x:c r="R757" s="1" t="str">
        <x:v>Indicative only</x:v>
      </x:c>
      <x:c r="S757" s="1" t="n">
        <x:v>511</x:v>
      </x:c>
      <x:c r="T757" s="1" t="n">
        <x:v>530</x:v>
      </x:c>
    </x:row>
    <x:row r="758" ht="21" customHeight="1">
      <x:c r="A758" s="12" t="n">
        <x:v>46269</x:v>
      </x:c>
      <x:c r="B758" s="1" t="str">
        <x:v>Butterfly</x:v>
      </x:c>
      <x:c r="C758" s="1" t="str">
        <x:v>put</x:v>
      </x:c>
      <x:c r="D758" s="11" t="n">
        <x:v>4200</x:v>
      </x:c>
      <x:c r="E758" s="11" t="n">
        <x:v>4400</x:v>
      </x:c>
      <x:c r="F758" s="11" t="n">
        <x:v>4600</x:v>
      </x:c>
      <x:c r="G758" s="11" t="n">
        <x:f>'Option source'!B497</x:f>
        <x:v>1.09</x:v>
      </x:c>
      <x:c r="H758" s="11" t="n">
        <x:f>'Option source'!B516</x:f>
        <x:v>1.17</x:v>
      </x:c>
      <x:c r="I758" s="11" t="n">
        <x:f>'Option source'!B535</x:f>
        <x:v>1.4</x:v>
      </x:c>
      <x:c r="J758" s="11" t="n">
        <x:f>G758-2*H758+IF(B758="Butterfly",I758,0)</x:f>
        <x:v>0.15000000000000013</x:v>
      </x:c>
      <x:c r="K758" s="11" t="n">
        <x:f>ABS(E758-D758)</x:f>
        <x:v>200</x:v>
      </x:c>
      <x:c r="L758" s="11" t="n">
        <x:f>K758-J758</x:f>
        <x:v>199.85</x:v>
      </x:c>
      <x:c r="M758" s="11" t="n">
        <x:f>IF(B758="Butterfly",MAX(J758,0),IF(C758="call","Unlimited",MAX(2*E758-D758+J758,J758,0)))</x:f>
        <x:v>0.15000000000000013</x:v>
      </x:c>
      <x:c r="N758" s="11" t="n">
        <x:f>IF(B758="Butterfly",IF(AND(J758&gt;0,J758&lt;K758),D758+J758,"n.a."),IF(C758="call",IF(AND(J758&gt;0,J758&lt;K758),D758+J758,"n.a."),IF(AND(K758&gt;J758,2*E758-D758+J758&gt;=0),2*E758-D758+J758,"n.a.")))</x:f>
        <x:v>4200.15</x:v>
      </x:c>
      <x:c r="O758" s="11" t="n">
        <x:f>IF(B758="Butterfly",IF(AND(J758&gt;0,J758&lt;K758),F758-J758,"n.a."),IF(C758="call",IF(K758&gt;J758,2*E758-D758-J758,"n.a."),IF(AND(J758&gt;0,J758&lt;K758),D758-J758,"n.a.")))</x:f>
        <x:v>4599.85</x:v>
      </x:c>
      <x:c r="P758" s="19" t="n">
        <x:f>IF(AND(B758="Butterfly",J758&gt;0,J758&lt;K758),L758/J758,"n.a.")</x:f>
        <x:v>1332.3333333333321</x:v>
      </x:c>
      <x:c r="Q758" s="11" t="n">
        <x:f>J758*'Model inputs'!$B$8</x:f>
        <x:v>15.000000000000014</x:v>
      </x:c>
      <x:c r="R758" s="1" t="str">
        <x:v>Indicative only</x:v>
      </x:c>
      <x:c r="S758" s="1" t="n">
        <x:v>492</x:v>
      </x:c>
      <x:c r="T758" s="1" t="n">
        <x:v>511</x:v>
      </x:c>
    </x:row>
    <x:row r="759" ht="21" customHeight="1">
      <x:c r="A759" s="12" t="n">
        <x:v>46269</x:v>
      </x:c>
      <x:c r="B759" s="1" t="str">
        <x:v>Butterfly</x:v>
      </x:c>
      <x:c r="C759" s="1" t="str">
        <x:v>call</x:v>
      </x:c>
      <x:c r="D759" s="11" t="n">
        <x:v>6400</x:v>
      </x:c>
      <x:c r="E759" s="11" t="n">
        <x:v>6600</x:v>
      </x:c>
      <x:c r="F759" s="11" t="n">
        <x:v>6800</x:v>
      </x:c>
      <x:c r="G759" s="11" t="n">
        <x:f>'Option source'!B212</x:f>
        <x:v>850</x:v>
      </x:c>
      <x:c r="H759" s="11" t="n">
        <x:f>'Option source'!B231</x:f>
        <x:v>738.92</x:v>
      </x:c>
      <x:c r="I759" s="11" t="n">
        <x:f>'Option source'!B250</x:f>
        <x:v>616.63</x:v>
      </x:c>
      <x:c r="J759" s="11" t="n">
        <x:f>G759-2*H759+IF(B759="Butterfly",I759,0)</x:f>
        <x:v>-11.209999999999923</x:v>
      </x:c>
      <x:c r="K759" s="11" t="n">
        <x:f>ABS(E759-D759)</x:f>
        <x:v>200</x:v>
      </x:c>
      <x:c r="L759" s="11" t="n">
        <x:f>K759-J759</x:f>
        <x:v>211.20999999999992</x:v>
      </x:c>
      <x:c r="M759" s="11" t="n">
        <x:f>IF(B759="Butterfly",MAX(J759,0),IF(C759="call","Unlimited",MAX(2*E759-D759+J759,J759,0)))</x:f>
        <x:v>0</x:v>
      </x:c>
      <x:c r="N759" s="11" t="str">
        <x:f>IF(B759="Butterfly",IF(AND(J759&gt;0,J759&lt;K759),D759+J759,"n.a."),IF(C759="call",IF(AND(J759&gt;0,J759&lt;K759),D759+J759,"n.a."),IF(AND(K759&gt;J759,2*E759-D759+J759&gt;=0),2*E759-D759+J759,"n.a.")))</x:f>
        <x:v>n.a.</x:v>
      </x:c>
      <x:c r="O759" s="11" t="str">
        <x:f>IF(B759="Butterfly",IF(AND(J759&gt;0,J759&lt;K759),F759-J759,"n.a."),IF(C759="call",IF(K759&gt;J759,2*E759-D759-J759,"n.a."),IF(AND(J759&gt;0,J759&lt;K759),D759-J759,"n.a.")))</x:f>
        <x:v>n.a.</x:v>
      </x:c>
      <x:c r="P759" s="19" t="str">
        <x:f>IF(AND(B759="Butterfly",J759&gt;0,J759&lt;K759),L759/J759,"n.a.")</x:f>
        <x:v>n.a.</x:v>
      </x:c>
      <x:c r="Q759" s="11" t="n">
        <x:f>J759*'Model inputs'!$B$8</x:f>
        <x:v>-1120.9999999999923</x:v>
      </x:c>
      <x:c r="R759" s="1" t="str">
        <x:v>Outside standard debit bounds</x:v>
      </x:c>
      <x:c r="S759" s="1" t="n">
        <x:v>207</x:v>
      </x:c>
      <x:c r="T759" s="1" t="n">
        <x:v>226</x:v>
      </x:c>
    </x:row>
    <x:row r="760" ht="21" customHeight="1">
      <x:c r="A760" s="12" t="n">
        <x:v>46269</x:v>
      </x:c>
      <x:c r="B760" s="1" t="str">
        <x:v>Butterfly</x:v>
      </x:c>
      <x:c r="C760" s="1" t="str">
        <x:v>put</x:v>
      </x:c>
      <x:c r="D760" s="11" t="n">
        <x:v>7400</x:v>
      </x:c>
      <x:c r="E760" s="11" t="n">
        <x:v>7600</x:v>
      </x:c>
      <x:c r="F760" s="11" t="n">
        <x:v>7800</x:v>
      </x:c>
      <x:c r="G760" s="11" t="n">
        <x:f>'Option source'!B801</x:f>
        <x:v>534.3</x:v>
      </x:c>
      <x:c r="H760" s="11" t="n">
        <x:f>'Option source'!B820</x:f>
        <x:v>660</x:v>
      </x:c>
      <x:c r="I760" s="11" t="n">
        <x:f>'Option source'!B839</x:f>
        <x:v>780</x:v>
      </x:c>
      <x:c r="J760" s="11" t="n">
        <x:f>G760-2*H760+IF(B760="Butterfly",I760,0)</x:f>
        <x:v>-5.7000000000000455</x:v>
      </x:c>
      <x:c r="K760" s="11" t="n">
        <x:f>ABS(E760-D760)</x:f>
        <x:v>200</x:v>
      </x:c>
      <x:c r="L760" s="11" t="n">
        <x:f>K760-J760</x:f>
        <x:v>205.70000000000005</x:v>
      </x:c>
      <x:c r="M760" s="11" t="n">
        <x:f>IF(B760="Butterfly",MAX(J760,0),IF(C760="call","Unlimited",MAX(2*E760-D760+J760,J760,0)))</x:f>
        <x:v>0</x:v>
      </x:c>
      <x:c r="N760" s="11" t="str">
        <x:f>IF(B760="Butterfly",IF(AND(J760&gt;0,J760&lt;K760),D760+J760,"n.a."),IF(C760="call",IF(AND(J760&gt;0,J760&lt;K760),D760+J760,"n.a."),IF(AND(K760&gt;J760,2*E760-D760+J760&gt;=0),2*E760-D760+J760,"n.a.")))</x:f>
        <x:v>n.a.</x:v>
      </x:c>
      <x:c r="O760" s="11" t="str">
        <x:f>IF(B760="Butterfly",IF(AND(J760&gt;0,J760&lt;K760),F760-J760,"n.a."),IF(C760="call",IF(K760&gt;J760,2*E760-D760-J760,"n.a."),IF(AND(J760&gt;0,J760&lt;K760),D760-J760,"n.a.")))</x:f>
        <x:v>n.a.</x:v>
      </x:c>
      <x:c r="P760" s="19" t="str">
        <x:f>IF(AND(B760="Butterfly",J760&gt;0,J760&lt;K760),L760/J760,"n.a.")</x:f>
        <x:v>n.a.</x:v>
      </x:c>
      <x:c r="Q760" s="11" t="n">
        <x:f>J760*'Model inputs'!$B$8</x:f>
        <x:v>-570.0000000000045</x:v>
      </x:c>
      <x:c r="R760" s="1" t="str">
        <x:v>Outside standard debit bounds</x:v>
      </x:c>
      <x:c r="S760" s="1" t="n">
        <x:v>796</x:v>
      </x:c>
      <x:c r="T760" s="1" t="n">
        <x:v>815</x:v>
      </x:c>
    </x:row>
    <x:row r="761" ht="21" customHeight="1">
      <x:c r="A761" s="12" t="n">
        <x:v>46269</x:v>
      </x:c>
      <x:c r="B761" s="1" t="str">
        <x:v>Butterfly</x:v>
      </x:c>
      <x:c r="C761" s="1" t="str">
        <x:v>call</x:v>
      </x:c>
      <x:c r="D761" s="11" t="n">
        <x:v>6200</x:v>
      </x:c>
      <x:c r="E761" s="11" t="n">
        <x:v>6400</x:v>
      </x:c>
      <x:c r="F761" s="11" t="n">
        <x:v>6600</x:v>
      </x:c>
      <x:c r="G761" s="11" t="n">
        <x:f>'Option source'!B193</x:f>
        <x:v>1015</x:v>
      </x:c>
      <x:c r="H761" s="11" t="n">
        <x:f>'Option source'!B212</x:f>
        <x:v>850</x:v>
      </x:c>
      <x:c r="I761" s="11" t="n">
        <x:f>'Option source'!B231</x:f>
        <x:v>738.92</x:v>
      </x:c>
      <x:c r="J761" s="11" t="n">
        <x:f>G761-2*H761+IF(B761="Butterfly",I761,0)</x:f>
        <x:v>53.91999999999996</x:v>
      </x:c>
      <x:c r="K761" s="11" t="n">
        <x:f>ABS(E761-D761)</x:f>
        <x:v>200</x:v>
      </x:c>
      <x:c r="L761" s="11" t="n">
        <x:f>K761-J761</x:f>
        <x:v>146.08000000000004</x:v>
      </x:c>
      <x:c r="M761" s="11" t="n">
        <x:f>IF(B761="Butterfly",MAX(J761,0),IF(C761="call","Unlimited",MAX(2*E761-D761+J761,J761,0)))</x:f>
        <x:v>53.91999999999996</x:v>
      </x:c>
      <x:c r="N761" s="11" t="n">
        <x:f>IF(B761="Butterfly",IF(AND(J761&gt;0,J761&lt;K761),D761+J761,"n.a."),IF(C761="call",IF(AND(J761&gt;0,J761&lt;K761),D761+J761,"n.a."),IF(AND(K761&gt;J761,2*E761-D761+J761&gt;=0),2*E761-D761+J761,"n.a.")))</x:f>
        <x:v>6253.92</x:v>
      </x:c>
      <x:c r="O761" s="11" t="n">
        <x:f>IF(B761="Butterfly",IF(AND(J761&gt;0,J761&lt;K761),F761-J761,"n.a."),IF(C761="call",IF(K761&gt;J761,2*E761-D761-J761,"n.a."),IF(AND(J761&gt;0,J761&lt;K761),D761-J761,"n.a.")))</x:f>
        <x:v>6546.08</x:v>
      </x:c>
      <x:c r="P761" s="19" t="n">
        <x:f>IF(AND(B761="Butterfly",J761&gt;0,J761&lt;K761),L761/J761,"n.a.")</x:f>
        <x:v>2.7091988130563824</x:v>
      </x:c>
      <x:c r="Q761" s="11" t="n">
        <x:f>J761*'Model inputs'!$B$8</x:f>
        <x:v>5391.999999999996</x:v>
      </x:c>
      <x:c r="R761" s="1" t="str">
        <x:v>Flagged leg data</x:v>
      </x:c>
      <x:c r="S761" s="1" t="n">
        <x:v>188</x:v>
      </x:c>
      <x:c r="T761" s="1" t="n">
        <x:v>207</x:v>
      </x:c>
    </x:row>
    <x:row r="762" ht="21" customHeight="1">
      <x:c r="A762" s="12" t="n">
        <x:v>46269</x:v>
      </x:c>
      <x:c r="B762" s="1" t="str">
        <x:v>Butterfly</x:v>
      </x:c>
      <x:c r="C762" s="1" t="str">
        <x:v>put</x:v>
      </x:c>
      <x:c r="D762" s="11" t="n">
        <x:v>7600</x:v>
      </x:c>
      <x:c r="E762" s="11" t="n">
        <x:v>7800</x:v>
      </x:c>
      <x:c r="F762" s="11" t="n">
        <x:v>8000</x:v>
      </x:c>
      <x:c r="G762" s="11" t="n">
        <x:f>'Option source'!B820</x:f>
        <x:v>660</x:v>
      </x:c>
      <x:c r="H762" s="11" t="n">
        <x:f>'Option source'!B839</x:f>
        <x:v>780</x:v>
      </x:c>
      <x:c r="I762" s="11" t="n">
        <x:f>'Option source'!B858</x:f>
        <x:v>1000</x:v>
      </x:c>
      <x:c r="J762" s="11" t="n">
        <x:f>G762-2*H762+IF(B762="Butterfly",I762,0)</x:f>
        <x:v>100</x:v>
      </x:c>
      <x:c r="K762" s="11" t="n">
        <x:f>ABS(E762-D762)</x:f>
        <x:v>200</x:v>
      </x:c>
      <x:c r="L762" s="11" t="n">
        <x:f>K762-J762</x:f>
        <x:v>100</x:v>
      </x:c>
      <x:c r="M762" s="11" t="n">
        <x:f>IF(B762="Butterfly",MAX(J762,0),IF(C762="call","Unlimited",MAX(2*E762-D762+J762,J762,0)))</x:f>
        <x:v>100</x:v>
      </x:c>
      <x:c r="N762" s="11" t="n">
        <x:f>IF(B762="Butterfly",IF(AND(J762&gt;0,J762&lt;K762),D762+J762,"n.a."),IF(C762="call",IF(AND(J762&gt;0,J762&lt;K762),D762+J762,"n.a."),IF(AND(K762&gt;J762,2*E762-D762+J762&gt;=0),2*E762-D762+J762,"n.a.")))</x:f>
        <x:v>7700</x:v>
      </x:c>
      <x:c r="O762" s="11" t="n">
        <x:f>IF(B762="Butterfly",IF(AND(J762&gt;0,J762&lt;K762),F762-J762,"n.a."),IF(C762="call",IF(K762&gt;J762,2*E762-D762-J762,"n.a."),IF(AND(J762&gt;0,J762&lt;K762),D762-J762,"n.a.")))</x:f>
        <x:v>7900</x:v>
      </x:c>
      <x:c r="P762" s="19" t="n">
        <x:f>IF(AND(B762="Butterfly",J762&gt;0,J762&lt;K762),L762/J762,"n.a.")</x:f>
        <x:v>1</x:v>
      </x:c>
      <x:c r="Q762" s="11" t="n">
        <x:f>J762*'Model inputs'!$B$8</x:f>
        <x:v>10000</x:v>
      </x:c>
      <x:c r="R762" s="1" t="str">
        <x:v>Flagged leg data</x:v>
      </x:c>
      <x:c r="S762" s="1" t="n">
        <x:v>815</x:v>
      </x:c>
      <x:c r="T762" s="1" t="n">
        <x:v>834</x:v>
      </x:c>
    </x:row>
    <x:row r="763" ht="21" customHeight="1">
      <x:c r="A763" s="12" t="n">
        <x:v>46269</x:v>
      </x:c>
      <x:c r="B763" s="1" t="str">
        <x:v>Butterfly</x:v>
      </x:c>
      <x:c r="C763" s="1" t="str">
        <x:v>call</x:v>
      </x:c>
      <x:c r="D763" s="11" t="n">
        <x:v>6000</x:v>
      </x:c>
      <x:c r="E763" s="11" t="n">
        <x:v>6200</x:v>
      </x:c>
      <x:c r="F763" s="11" t="n">
        <x:v>6400</x:v>
      </x:c>
      <x:c r="G763" s="11" t="n">
        <x:f>'Option source'!B174</x:f>
        <x:v>1200.05</x:v>
      </x:c>
      <x:c r="H763" s="11" t="n">
        <x:f>'Option source'!B193</x:f>
        <x:v>1015</x:v>
      </x:c>
      <x:c r="I763" s="11" t="n">
        <x:f>'Option source'!B212</x:f>
        <x:v>850</x:v>
      </x:c>
      <x:c r="J763" s="11" t="n">
        <x:f>G763-2*H763+IF(B763="Butterfly",I763,0)</x:f>
        <x:v>20.049999999999955</x:v>
      </x:c>
      <x:c r="K763" s="11" t="n">
        <x:f>ABS(E763-D763)</x:f>
        <x:v>200</x:v>
      </x:c>
      <x:c r="L763" s="11" t="n">
        <x:f>K763-J763</x:f>
        <x:v>179.95000000000005</x:v>
      </x:c>
      <x:c r="M763" s="11" t="n">
        <x:f>IF(B763="Butterfly",MAX(J763,0),IF(C763="call","Unlimited",MAX(2*E763-D763+J763,J763,0)))</x:f>
        <x:v>20.049999999999955</x:v>
      </x:c>
      <x:c r="N763" s="11" t="n">
        <x:f>IF(B763="Butterfly",IF(AND(J763&gt;0,J763&lt;K763),D763+J763,"n.a."),IF(C763="call",IF(AND(J763&gt;0,J763&lt;K763),D763+J763,"n.a."),IF(AND(K763&gt;J763,2*E763-D763+J763&gt;=0),2*E763-D763+J763,"n.a.")))</x:f>
        <x:v>6020.05</x:v>
      </x:c>
      <x:c r="O763" s="11" t="n">
        <x:f>IF(B763="Butterfly",IF(AND(J763&gt;0,J763&lt;K763),F763-J763,"n.a."),IF(C763="call",IF(K763&gt;J763,2*E763-D763-J763,"n.a."),IF(AND(J763&gt;0,J763&lt;K763),D763-J763,"n.a.")))</x:f>
        <x:v>6379.95</x:v>
      </x:c>
      <x:c r="P763" s="19" t="n">
        <x:f>IF(AND(B763="Butterfly",J763&gt;0,J763&lt;K763),L763/J763,"n.a.")</x:f>
        <x:v>8.975062344139673</x:v>
      </x:c>
      <x:c r="Q763" s="11" t="n">
        <x:f>J763*'Model inputs'!$B$8</x:f>
        <x:v>2004.9999999999955</x:v>
      </x:c>
      <x:c r="R763" s="1" t="str">
        <x:v>Flagged leg data</x:v>
      </x:c>
      <x:c r="S763" s="1" t="n">
        <x:v>169</x:v>
      </x:c>
      <x:c r="T763" s="1" t="n">
        <x:v>188</x:v>
      </x:c>
    </x:row>
    <x:row r="764" ht="21" customHeight="1">
      <x:c r="A764" s="12" t="n">
        <x:v>46269</x:v>
      </x:c>
      <x:c r="B764" s="1" t="str">
        <x:v>Butterfly</x:v>
      </x:c>
      <x:c r="C764" s="1" t="str">
        <x:v>call</x:v>
      </x:c>
      <x:c r="D764" s="11" t="n">
        <x:v>5800</x:v>
      </x:c>
      <x:c r="E764" s="11" t="n">
        <x:v>6000</x:v>
      </x:c>
      <x:c r="F764" s="11" t="n">
        <x:v>6200</x:v>
      </x:c>
      <x:c r="G764" s="11" t="n">
        <x:f>'Option source'!B155</x:f>
        <x:v>1490</x:v>
      </x:c>
      <x:c r="H764" s="11" t="n">
        <x:f>'Option source'!B174</x:f>
        <x:v>1200.05</x:v>
      </x:c>
      <x:c r="I764" s="11" t="n">
        <x:f>'Option source'!B193</x:f>
        <x:v>1015</x:v>
      </x:c>
      <x:c r="J764" s="11" t="n">
        <x:f>G764-2*H764+IF(B764="Butterfly",I764,0)</x:f>
        <x:v>104.90000000000009</x:v>
      </x:c>
      <x:c r="K764" s="11" t="n">
        <x:f>ABS(E764-D764)</x:f>
        <x:v>200</x:v>
      </x:c>
      <x:c r="L764" s="11" t="n">
        <x:f>K764-J764</x:f>
        <x:v>95.09999999999991</x:v>
      </x:c>
      <x:c r="M764" s="11" t="n">
        <x:f>IF(B764="Butterfly",MAX(J764,0),IF(C764="call","Unlimited",MAX(2*E764-D764+J764,J764,0)))</x:f>
        <x:v>104.90000000000009</x:v>
      </x:c>
      <x:c r="N764" s="11" t="n">
        <x:f>IF(B764="Butterfly",IF(AND(J764&gt;0,J764&lt;K764),D764+J764,"n.a."),IF(C764="call",IF(AND(J764&gt;0,J764&lt;K764),D764+J764,"n.a."),IF(AND(K764&gt;J764,2*E764-D764+J764&gt;=0),2*E764-D764+J764,"n.a.")))</x:f>
        <x:v>5904.9</x:v>
      </x:c>
      <x:c r="O764" s="11" t="n">
        <x:f>IF(B764="Butterfly",IF(AND(J764&gt;0,J764&lt;K764),F764-J764,"n.a."),IF(C764="call",IF(K764&gt;J764,2*E764-D764-J764,"n.a."),IF(AND(J764&gt;0,J764&lt;K764),D764-J764,"n.a.")))</x:f>
        <x:v>6095.1</x:v>
      </x:c>
      <x:c r="P764" s="19" t="n">
        <x:f>IF(AND(B764="Butterfly",J764&gt;0,J764&lt;K764),L764/J764,"n.a.")</x:f>
        <x:v>0.9065776930409898</x:v>
      </x:c>
      <x:c r="Q764" s="11" t="n">
        <x:f>J764*'Model inputs'!$B$8</x:f>
        <x:v>10490.00000000001</x:v>
      </x:c>
      <x:c r="R764" s="1" t="str">
        <x:v>Flagged leg data</x:v>
      </x:c>
      <x:c r="S764" s="1" t="n">
        <x:v>150</x:v>
      </x:c>
      <x:c r="T764" s="1" t="n">
        <x:v>169</x:v>
      </x:c>
    </x:row>
    <x:row r="765" ht="21" customHeight="1">
      <x:c r="A765" s="12" t="n">
        <x:v>46269</x:v>
      </x:c>
      <x:c r="B765" s="1" t="str">
        <x:v>Butterfly</x:v>
      </x:c>
      <x:c r="C765" s="1" t="str">
        <x:v>call</x:v>
      </x:c>
      <x:c r="D765" s="11" t="n">
        <x:v>5600</x:v>
      </x:c>
      <x:c r="E765" s="11" t="n">
        <x:v>5800</x:v>
      </x:c>
      <x:c r="F765" s="11" t="n">
        <x:v>6000</x:v>
      </x:c>
      <x:c r="G765" s="11" t="n">
        <x:f>'Option source'!B145</x:f>
        <x:v>1600</x:v>
      </x:c>
      <x:c r="H765" s="11" t="n">
        <x:f>'Option source'!B155</x:f>
        <x:v>1490</x:v>
      </x:c>
      <x:c r="I765" s="11" t="n">
        <x:f>'Option source'!B174</x:f>
        <x:v>1200.05</x:v>
      </x:c>
      <x:c r="J765" s="11" t="n">
        <x:f>G765-2*H765+IF(B765="Butterfly",I765,0)</x:f>
        <x:v>-179.95000000000005</x:v>
      </x:c>
      <x:c r="K765" s="11" t="n">
        <x:f>ABS(E765-D765)</x:f>
        <x:v>200</x:v>
      </x:c>
      <x:c r="L765" s="11" t="n">
        <x:f>K765-J765</x:f>
        <x:v>379.95000000000005</x:v>
      </x:c>
      <x:c r="M765" s="11" t="n">
        <x:f>IF(B765="Butterfly",MAX(J765,0),IF(C765="call","Unlimited",MAX(2*E765-D765+J765,J765,0)))</x:f>
        <x:v>0</x:v>
      </x:c>
      <x:c r="N765" s="11" t="str">
        <x:f>IF(B765="Butterfly",IF(AND(J765&gt;0,J765&lt;K765),D765+J765,"n.a."),IF(C765="call",IF(AND(J765&gt;0,J765&lt;K765),D765+J765,"n.a."),IF(AND(K765&gt;J765,2*E765-D765+J765&gt;=0),2*E765-D765+J765,"n.a.")))</x:f>
        <x:v>n.a.</x:v>
      </x:c>
      <x:c r="O765" s="11" t="str">
        <x:f>IF(B765="Butterfly",IF(AND(J765&gt;0,J765&lt;K765),F765-J765,"n.a."),IF(C765="call",IF(K765&gt;J765,2*E765-D765-J765,"n.a."),IF(AND(J765&gt;0,J765&lt;K765),D765-J765,"n.a.")))</x:f>
        <x:v>n.a.</x:v>
      </x:c>
      <x:c r="P765" s="19" t="str">
        <x:f>IF(AND(B765="Butterfly",J765&gt;0,J765&lt;K765),L765/J765,"n.a.")</x:f>
        <x:v>n.a.</x:v>
      </x:c>
      <x:c r="Q765" s="11" t="n">
        <x:f>J765*'Model inputs'!$B$8</x:f>
        <x:v>-17995.000000000004</x:v>
      </x:c>
      <x:c r="R765" s="1" t="str">
        <x:v>Outside standard debit bounds</x:v>
      </x:c>
      <x:c r="S765" s="1" t="n">
        <x:v>140</x:v>
      </x:c>
      <x:c r="T765" s="1" t="n">
        <x:v>150</x:v>
      </x:c>
    </x:row>
    <x:row r="766" ht="21" customHeight="1">
      <x:c r="A766" s="12" t="n">
        <x:v>46269</x:v>
      </x:c>
      <x:c r="B766" s="1" t="str">
        <x:v>Butterfly</x:v>
      </x:c>
      <x:c r="C766" s="1" t="str">
        <x:v>put</x:v>
      </x:c>
      <x:c r="D766" s="11" t="n">
        <x:v>8000</x:v>
      </x:c>
      <x:c r="E766" s="11" t="n">
        <x:v>8300</x:v>
      </x:c>
      <x:c r="F766" s="11" t="n">
        <x:v>8600</x:v>
      </x:c>
      <x:c r="G766" s="11" t="n">
        <x:f>'Option source'!B858</x:f>
        <x:v>1000</x:v>
      </x:c>
      <x:c r="H766" s="11" t="n">
        <x:f>'Option source'!B877</x:f>
        <x:v>1350</x:v>
      </x:c>
      <x:c r="I766" s="11" t="n">
        <x:f>'Option source'!B896</x:f>
        <x:v>1555.11</x:v>
      </x:c>
      <x:c r="J766" s="11" t="n">
        <x:f>G766-2*H766+IF(B766="Butterfly",I766,0)</x:f>
        <x:v>-144.8900000000001</x:v>
      </x:c>
      <x:c r="K766" s="11" t="n">
        <x:f>ABS(E766-D766)</x:f>
        <x:v>300</x:v>
      </x:c>
      <x:c r="L766" s="11" t="n">
        <x:f>K766-J766</x:f>
        <x:v>444.8900000000001</x:v>
      </x:c>
      <x:c r="M766" s="11" t="n">
        <x:f>IF(B766="Butterfly",MAX(J766,0),IF(C766="call","Unlimited",MAX(2*E766-D766+J766,J766,0)))</x:f>
        <x:v>0</x:v>
      </x:c>
      <x:c r="N766" s="11" t="str">
        <x:f>IF(B766="Butterfly",IF(AND(J766&gt;0,J766&lt;K766),D766+J766,"n.a."),IF(C766="call",IF(AND(J766&gt;0,J766&lt;K766),D766+J766,"n.a."),IF(AND(K766&gt;J766,2*E766-D766+J766&gt;=0),2*E766-D766+J766,"n.a.")))</x:f>
        <x:v>n.a.</x:v>
      </x:c>
      <x:c r="O766" s="11" t="str">
        <x:f>IF(B766="Butterfly",IF(AND(J766&gt;0,J766&lt;K766),F766-J766,"n.a."),IF(C766="call",IF(K766&gt;J766,2*E766-D766-J766,"n.a."),IF(AND(J766&gt;0,J766&lt;K766),D766-J766,"n.a.")))</x:f>
        <x:v>n.a.</x:v>
      </x:c>
      <x:c r="P766" s="19" t="str">
        <x:f>IF(AND(B766="Butterfly",J766&gt;0,J766&lt;K766),L766/J766,"n.a.")</x:f>
        <x:v>n.a.</x:v>
      </x:c>
      <x:c r="Q766" s="11" t="n">
        <x:f>J766*'Model inputs'!$B$8</x:f>
        <x:v>-14489.000000000011</x:v>
      </x:c>
      <x:c r="R766" s="1" t="str">
        <x:v>Outside standard debit bounds</x:v>
      </x:c>
      <x:c r="S766" s="1" t="n">
        <x:v>853</x:v>
      </x:c>
      <x:c r="T766" s="1" t="n">
        <x:v>872</x:v>
      </x:c>
    </x:row>
    <x:row r="767" ht="21" customHeight="1">
      <x:c r="A767" s="12" t="n">
        <x:v>46269</x:v>
      </x:c>
      <x:c r="B767" s="1" t="str">
        <x:v>Butterfly</x:v>
      </x:c>
      <x:c r="C767" s="1" t="str">
        <x:v>call</x:v>
      </x:c>
      <x:c r="D767" s="11" t="n">
        <x:v>5400</x:v>
      </x:c>
      <x:c r="E767" s="11" t="n">
        <x:v>5600</x:v>
      </x:c>
      <x:c r="F767" s="11" t="n">
        <x:v>5800</x:v>
      </x:c>
      <x:c r="G767" s="11" t="n">
        <x:f>'Option source'!B127</x:f>
        <x:v>1680.06</x:v>
      </x:c>
      <x:c r="H767" s="11" t="n">
        <x:f>'Option source'!B145</x:f>
        <x:v>1600</x:v>
      </x:c>
      <x:c r="I767" s="11" t="n">
        <x:f>'Option source'!B155</x:f>
        <x:v>1490</x:v>
      </x:c>
      <x:c r="J767" s="11" t="n">
        <x:f>G767-2*H767+IF(B767="Butterfly",I767,0)</x:f>
        <x:v>-29.940000000000055</x:v>
      </x:c>
      <x:c r="K767" s="11" t="n">
        <x:f>ABS(E767-D767)</x:f>
        <x:v>200</x:v>
      </x:c>
      <x:c r="L767" s="11" t="n">
        <x:f>K767-J767</x:f>
        <x:v>229.94000000000005</x:v>
      </x:c>
      <x:c r="M767" s="11" t="n">
        <x:f>IF(B767="Butterfly",MAX(J767,0),IF(C767="call","Unlimited",MAX(2*E767-D767+J767,J767,0)))</x:f>
        <x:v>0</x:v>
      </x:c>
      <x:c r="N767" s="11" t="str">
        <x:f>IF(B767="Butterfly",IF(AND(J767&gt;0,J767&lt;K767),D767+J767,"n.a."),IF(C767="call",IF(AND(J767&gt;0,J767&lt;K767),D767+J767,"n.a."),IF(AND(K767&gt;J767,2*E767-D767+J767&gt;=0),2*E767-D767+J767,"n.a.")))</x:f>
        <x:v>n.a.</x:v>
      </x:c>
      <x:c r="O767" s="11" t="str">
        <x:f>IF(B767="Butterfly",IF(AND(J767&gt;0,J767&lt;K767),F767-J767,"n.a."),IF(C767="call",IF(K767&gt;J767,2*E767-D767-J767,"n.a."),IF(AND(J767&gt;0,J767&lt;K767),D767-J767,"n.a.")))</x:f>
        <x:v>n.a.</x:v>
      </x:c>
      <x:c r="P767" s="19" t="str">
        <x:f>IF(AND(B767="Butterfly",J767&gt;0,J767&lt;K767),L767/J767,"n.a.")</x:f>
        <x:v>n.a.</x:v>
      </x:c>
      <x:c r="Q767" s="11" t="n">
        <x:f>J767*'Model inputs'!$B$8</x:f>
        <x:v>-2994.0000000000055</x:v>
      </x:c>
      <x:c r="R767" s="1" t="str">
        <x:v>Outside standard debit bounds</x:v>
      </x:c>
      <x:c r="S767" s="1" t="n">
        <x:v>122</x:v>
      </x:c>
      <x:c r="T767" s="1" t="n">
        <x:v>140</x:v>
      </x:c>
    </x:row>
    <x:row r="768" ht="21" customHeight="1">
      <x:c r="A768" s="12" t="n">
        <x:v>46269</x:v>
      </x:c>
      <x:c r="B768" s="1" t="str">
        <x:v>Butterfly</x:v>
      </x:c>
      <x:c r="C768" s="1" t="str">
        <x:v>put</x:v>
      </x:c>
      <x:c r="D768" s="11" t="n">
        <x:v>8300</x:v>
      </x:c>
      <x:c r="E768" s="11" t="n">
        <x:v>8600</x:v>
      </x:c>
      <x:c r="F768" s="11" t="n">
        <x:v>8900</x:v>
      </x:c>
      <x:c r="G768" s="11" t="n">
        <x:f>'Option source'!B877</x:f>
        <x:v>1350</x:v>
      </x:c>
      <x:c r="H768" s="11" t="n">
        <x:f>'Option source'!B896</x:f>
        <x:v>1555.11</x:v>
      </x:c>
      <x:c r="I768" s="11" t="n">
        <x:f>'Option source'!B911</x:f>
        <x:v>2022.5</x:v>
      </x:c>
      <x:c r="J768" s="11" t="n">
        <x:f>G768-2*H768+IF(B768="Butterfly",I768,0)</x:f>
        <x:v>262.2800000000002</x:v>
      </x:c>
      <x:c r="K768" s="11" t="n">
        <x:f>ABS(E768-D768)</x:f>
        <x:v>300</x:v>
      </x:c>
      <x:c r="L768" s="11" t="n">
        <x:f>K768-J768</x:f>
        <x:v>37.7199999999998</x:v>
      </x:c>
      <x:c r="M768" s="11" t="n">
        <x:f>IF(B768="Butterfly",MAX(J768,0),IF(C768="call","Unlimited",MAX(2*E768-D768+J768,J768,0)))</x:f>
        <x:v>262.2800000000002</x:v>
      </x:c>
      <x:c r="N768" s="11" t="n">
        <x:f>IF(B768="Butterfly",IF(AND(J768&gt;0,J768&lt;K768),D768+J768,"n.a."),IF(C768="call",IF(AND(J768&gt;0,J768&lt;K768),D768+J768,"n.a."),IF(AND(K768&gt;J768,2*E768-D768+J768&gt;=0),2*E768-D768+J768,"n.a.")))</x:f>
        <x:v>8562.28</x:v>
      </x:c>
      <x:c r="O768" s="11" t="n">
        <x:f>IF(B768="Butterfly",IF(AND(J768&gt;0,J768&lt;K768),F768-J768,"n.a."),IF(C768="call",IF(K768&gt;J768,2*E768-D768-J768,"n.a."),IF(AND(J768&gt;0,J768&lt;K768),D768-J768,"n.a.")))</x:f>
        <x:v>8637.72</x:v>
      </x:c>
      <x:c r="P768" s="19" t="n">
        <x:f>IF(AND(B768="Butterfly",J768&gt;0,J768&lt;K768),L768/J768,"n.a.")</x:f>
        <x:v>0.14381576940674</x:v>
      </x:c>
      <x:c r="Q768" s="11" t="n">
        <x:f>J768*'Model inputs'!$B$8</x:f>
        <x:v>26228.000000000022</x:v>
      </x:c>
      <x:c r="R768" s="1" t="str">
        <x:v>Flagged leg data</x:v>
      </x:c>
      <x:c r="S768" s="1" t="n">
        <x:v>872</x:v>
      </x:c>
      <x:c r="T768" s="1" t="n">
        <x:v>891</x:v>
      </x:c>
    </x:row>
    <x:row r="769" ht="21" customHeight="1">
      <x:c r="A769" s="12" t="n">
        <x:v>46269</x:v>
      </x:c>
      <x:c r="B769" s="1" t="str">
        <x:v>Butterfly</x:v>
      </x:c>
      <x:c r="C769" s="1" t="str">
        <x:v>call</x:v>
      </x:c>
      <x:c r="D769" s="11" t="n">
        <x:v>5200</x:v>
      </x:c>
      <x:c r="E769" s="11" t="n">
        <x:v>5400</x:v>
      </x:c>
      <x:c r="F769" s="11" t="n">
        <x:v>5600</x:v>
      </x:c>
      <x:c r="G769" s="11" t="n">
        <x:f>'Option source'!B108</x:f>
        <x:v>2076.93</x:v>
      </x:c>
      <x:c r="H769" s="11" t="n">
        <x:f>'Option source'!B127</x:f>
        <x:v>1680.06</x:v>
      </x:c>
      <x:c r="I769" s="11" t="n">
        <x:f>'Option source'!B145</x:f>
        <x:v>1600</x:v>
      </x:c>
      <x:c r="J769" s="11" t="n">
        <x:f>G769-2*H769+IF(B769="Butterfly",I769,0)</x:f>
        <x:v>316.80999999999995</x:v>
      </x:c>
      <x:c r="K769" s="11" t="n">
        <x:f>ABS(E769-D769)</x:f>
        <x:v>200</x:v>
      </x:c>
      <x:c r="L769" s="11" t="n">
        <x:f>K769-J769</x:f>
        <x:v>-116.80999999999995</x:v>
      </x:c>
      <x:c r="M769" s="11" t="n">
        <x:f>IF(B769="Butterfly",MAX(J769,0),IF(C769="call","Unlimited",MAX(2*E769-D769+J769,J769,0)))</x:f>
        <x:v>316.80999999999995</x:v>
      </x:c>
      <x:c r="N769" s="11" t="str">
        <x:f>IF(B769="Butterfly",IF(AND(J769&gt;0,J769&lt;K769),D769+J769,"n.a."),IF(C769="call",IF(AND(J769&gt;0,J769&lt;K769),D769+J769,"n.a."),IF(AND(K769&gt;J769,2*E769-D769+J769&gt;=0),2*E769-D769+J769,"n.a.")))</x:f>
        <x:v>n.a.</x:v>
      </x:c>
      <x:c r="O769" s="11" t="str">
        <x:f>IF(B769="Butterfly",IF(AND(J769&gt;0,J769&lt;K769),F769-J769,"n.a."),IF(C769="call",IF(K769&gt;J769,2*E769-D769-J769,"n.a."),IF(AND(J769&gt;0,J769&lt;K769),D769-J769,"n.a.")))</x:f>
        <x:v>n.a.</x:v>
      </x:c>
      <x:c r="P769" s="19" t="str">
        <x:f>IF(AND(B769="Butterfly",J769&gt;0,J769&lt;K769),L769/J769,"n.a.")</x:f>
        <x:v>n.a.</x:v>
      </x:c>
      <x:c r="Q769" s="11" t="n">
        <x:f>J769*'Model inputs'!$B$8</x:f>
        <x:v>31680.999999999993</x:v>
      </x:c>
      <x:c r="R769" s="1" t="str">
        <x:v>Outside standard debit bounds</x:v>
      </x:c>
      <x:c r="S769" s="1" t="n">
        <x:v>103</x:v>
      </x:c>
      <x:c r="T769" s="1" t="n">
        <x:v>122</x:v>
      </x:c>
    </x:row>
    <x:row r="770" ht="21" customHeight="1">
      <x:c r="A770" s="12" t="n">
        <x:v>46269</x:v>
      </x:c>
      <x:c r="B770" s="1" t="str">
        <x:v>Butterfly</x:v>
      </x:c>
      <x:c r="C770" s="1" t="str">
        <x:v>call</x:v>
      </x:c>
      <x:c r="D770" s="11" t="n">
        <x:v>5000</x:v>
      </x:c>
      <x:c r="E770" s="11" t="n">
        <x:v>5200</x:v>
      </x:c>
      <x:c r="F770" s="11" t="n">
        <x:v>5400</x:v>
      </x:c>
      <x:c r="G770" s="11" t="n">
        <x:f>'Option source'!B89</x:f>
        <x:v>2133.58</x:v>
      </x:c>
      <x:c r="H770" s="11" t="n">
        <x:f>'Option source'!B108</x:f>
        <x:v>2076.93</x:v>
      </x:c>
      <x:c r="I770" s="11" t="n">
        <x:f>'Option source'!B127</x:f>
        <x:v>1680.06</x:v>
      </x:c>
      <x:c r="J770" s="11" t="n">
        <x:f>G770-2*H770+IF(B770="Butterfly",I770,0)</x:f>
        <x:v>-340.2199999999998</x:v>
      </x:c>
      <x:c r="K770" s="11" t="n">
        <x:f>ABS(E770-D770)</x:f>
        <x:v>200</x:v>
      </x:c>
      <x:c r="L770" s="11" t="n">
        <x:f>K770-J770</x:f>
        <x:v>540.2199999999998</x:v>
      </x:c>
      <x:c r="M770" s="11" t="n">
        <x:f>IF(B770="Butterfly",MAX(J770,0),IF(C770="call","Unlimited",MAX(2*E770-D770+J770,J770,0)))</x:f>
        <x:v>0</x:v>
      </x:c>
      <x:c r="N770" s="11" t="str">
        <x:f>IF(B770="Butterfly",IF(AND(J770&gt;0,J770&lt;K770),D770+J770,"n.a."),IF(C770="call",IF(AND(J770&gt;0,J770&lt;K770),D770+J770,"n.a."),IF(AND(K770&gt;J770,2*E770-D770+J770&gt;=0),2*E770-D770+J770,"n.a.")))</x:f>
        <x:v>n.a.</x:v>
      </x:c>
      <x:c r="O770" s="11" t="str">
        <x:f>IF(B770="Butterfly",IF(AND(J770&gt;0,J770&lt;K770),F770-J770,"n.a."),IF(C770="call",IF(K770&gt;J770,2*E770-D770-J770,"n.a."),IF(AND(J770&gt;0,J770&lt;K770),D770-J770,"n.a.")))</x:f>
        <x:v>n.a.</x:v>
      </x:c>
      <x:c r="P770" s="19" t="str">
        <x:f>IF(AND(B770="Butterfly",J770&gt;0,J770&lt;K770),L770/J770,"n.a.")</x:f>
        <x:v>n.a.</x:v>
      </x:c>
      <x:c r="Q770" s="11" t="n">
        <x:f>J770*'Model inputs'!$B$8</x:f>
        <x:v>-34021.99999999998</x:v>
      </x:c>
      <x:c r="R770" s="1" t="str">
        <x:v>Outside standard debit bounds</x:v>
      </x:c>
      <x:c r="S770" s="1" t="n">
        <x:v>84</x:v>
      </x:c>
      <x:c r="T770" s="1" t="n">
        <x:v>103</x:v>
      </x:c>
    </x:row>
    <x:row r="771" ht="21" customHeight="1">
      <x:c r="A771" s="12" t="n">
        <x:v>46269</x:v>
      </x:c>
      <x:c r="B771" s="1" t="str">
        <x:v>Butterfly</x:v>
      </x:c>
      <x:c r="C771" s="1" t="str">
        <x:v>call</x:v>
      </x:c>
      <x:c r="D771" s="11" t="n">
        <x:v>4800</x:v>
      </x:c>
      <x:c r="E771" s="11" t="n">
        <x:v>5000</x:v>
      </x:c>
      <x:c r="F771" s="11" t="n">
        <x:v>5200</x:v>
      </x:c>
      <x:c r="G771" s="11" t="n">
        <x:f>'Option source'!B72</x:f>
        <x:v>2375</x:v>
      </x:c>
      <x:c r="H771" s="11" t="n">
        <x:f>'Option source'!B89</x:f>
        <x:v>2133.58</x:v>
      </x:c>
      <x:c r="I771" s="11" t="n">
        <x:f>'Option source'!B108</x:f>
        <x:v>2076.93</x:v>
      </x:c>
      <x:c r="J771" s="11" t="n">
        <x:f>G771-2*H771+IF(B771="Butterfly",I771,0)</x:f>
        <x:v>184.76999999999998</x:v>
      </x:c>
      <x:c r="K771" s="11" t="n">
        <x:f>ABS(E771-D771)</x:f>
        <x:v>200</x:v>
      </x:c>
      <x:c r="L771" s="11" t="n">
        <x:f>K771-J771</x:f>
        <x:v>15.230000000000018</x:v>
      </x:c>
      <x:c r="M771" s="11" t="n">
        <x:f>IF(B771="Butterfly",MAX(J771,0),IF(C771="call","Unlimited",MAX(2*E771-D771+J771,J771,0)))</x:f>
        <x:v>184.76999999999998</x:v>
      </x:c>
      <x:c r="N771" s="11" t="n">
        <x:f>IF(B771="Butterfly",IF(AND(J771&gt;0,J771&lt;K771),D771+J771,"n.a."),IF(C771="call",IF(AND(J771&gt;0,J771&lt;K771),D771+J771,"n.a."),IF(AND(K771&gt;J771,2*E771-D771+J771&gt;=0),2*E771-D771+J771,"n.a.")))</x:f>
        <x:v>4984.77</x:v>
      </x:c>
      <x:c r="O771" s="11" t="n">
        <x:f>IF(B771="Butterfly",IF(AND(J771&gt;0,J771&lt;K771),F771-J771,"n.a."),IF(C771="call",IF(K771&gt;J771,2*E771-D771-J771,"n.a."),IF(AND(J771&gt;0,J771&lt;K771),D771-J771,"n.a.")))</x:f>
        <x:v>5015.23</x:v>
      </x:c>
      <x:c r="P771" s="19" t="n">
        <x:f>IF(AND(B771="Butterfly",J771&gt;0,J771&lt;K771),L771/J771,"n.a.")</x:f>
        <x:v>0.08242680088759008</x:v>
      </x:c>
      <x:c r="Q771" s="11" t="n">
        <x:f>J771*'Model inputs'!$B$8</x:f>
        <x:v>18477</x:v>
      </x:c>
      <x:c r="R771" s="1" t="str">
        <x:v>Flagged leg data</x:v>
      </x:c>
      <x:c r="S771" s="1" t="n">
        <x:v>67</x:v>
      </x:c>
      <x:c r="T771" s="1" t="n">
        <x:v>84</x:v>
      </x:c>
    </x:row>
    <x:row r="772" ht="21" customHeight="1">
      <x:c r="A772" s="12" t="n">
        <x:v>46269</x:v>
      </x:c>
      <x:c r="B772" s="1" t="str">
        <x:v>Butterfly</x:v>
      </x:c>
      <x:c r="C772" s="1" t="str">
        <x:v>call</x:v>
      </x:c>
      <x:c r="D772" s="11" t="n">
        <x:v>4600</x:v>
      </x:c>
      <x:c r="E772" s="11" t="n">
        <x:v>4800</x:v>
      </x:c>
      <x:c r="F772" s="11" t="n">
        <x:v>5000</x:v>
      </x:c>
      <x:c r="G772" s="11" t="n">
        <x:f>'Option source'!B55</x:f>
        <x:v>2502.92</x:v>
      </x:c>
      <x:c r="H772" s="11" t="n">
        <x:f>'Option source'!B72</x:f>
        <x:v>2375</x:v>
      </x:c>
      <x:c r="I772" s="11" t="n">
        <x:f>'Option source'!B89</x:f>
        <x:v>2133.58</x:v>
      </x:c>
      <x:c r="J772" s="11" t="n">
        <x:f>G772-2*H772+IF(B772="Butterfly",I772,0)</x:f>
        <x:v>-113.5</x:v>
      </x:c>
      <x:c r="K772" s="11" t="n">
        <x:f>ABS(E772-D772)</x:f>
        <x:v>200</x:v>
      </x:c>
      <x:c r="L772" s="11" t="n">
        <x:f>K772-J772</x:f>
        <x:v>313.5</x:v>
      </x:c>
      <x:c r="M772" s="11" t="n">
        <x:f>IF(B772="Butterfly",MAX(J772,0),IF(C772="call","Unlimited",MAX(2*E772-D772+J772,J772,0)))</x:f>
        <x:v>0</x:v>
      </x:c>
      <x:c r="N772" s="11" t="str">
        <x:f>IF(B772="Butterfly",IF(AND(J772&gt;0,J772&lt;K772),D772+J772,"n.a."),IF(C772="call",IF(AND(J772&gt;0,J772&lt;K772),D772+J772,"n.a."),IF(AND(K772&gt;J772,2*E772-D772+J772&gt;=0),2*E772-D772+J772,"n.a.")))</x:f>
        <x:v>n.a.</x:v>
      </x:c>
      <x:c r="O772" s="11" t="str">
        <x:f>IF(B772="Butterfly",IF(AND(J772&gt;0,J772&lt;K772),F772-J772,"n.a."),IF(C772="call",IF(K772&gt;J772,2*E772-D772-J772,"n.a."),IF(AND(J772&gt;0,J772&lt;K772),D772-J772,"n.a.")))</x:f>
        <x:v>n.a.</x:v>
      </x:c>
      <x:c r="P772" s="19" t="str">
        <x:f>IF(AND(B772="Butterfly",J772&gt;0,J772&lt;K772),L772/J772,"n.a.")</x:f>
        <x:v>n.a.</x:v>
      </x:c>
      <x:c r="Q772" s="11" t="n">
        <x:f>J772*'Model inputs'!$B$8</x:f>
        <x:v>-11350</x:v>
      </x:c>
      <x:c r="R772" s="1" t="str">
        <x:v>Outside standard debit bounds</x:v>
      </x:c>
      <x:c r="S772" s="1" t="n">
        <x:v>50</x:v>
      </x:c>
      <x:c r="T772" s="1" t="n">
        <x:v>67</x:v>
      </x:c>
    </x:row>
    <x:row r="773" ht="21" customHeight="1">
      <x:c r="A773" s="12" t="n">
        <x:v>46269</x:v>
      </x:c>
      <x:c r="B773" s="1" t="str">
        <x:v>Butterfly</x:v>
      </x:c>
      <x:c r="C773" s="1" t="str">
        <x:v>call</x:v>
      </x:c>
      <x:c r="D773" s="11" t="n">
        <x:v>4400</x:v>
      </x:c>
      <x:c r="E773" s="11" t="n">
        <x:v>4600</x:v>
      </x:c>
      <x:c r="F773" s="11" t="n">
        <x:v>4800</x:v>
      </x:c>
      <x:c r="G773" s="11" t="n">
        <x:f>'Option source'!B36</x:f>
        <x:v>2707.45</x:v>
      </x:c>
      <x:c r="H773" s="11" t="n">
        <x:f>'Option source'!B55</x:f>
        <x:v>2502.92</x:v>
      </x:c>
      <x:c r="I773" s="11" t="n">
        <x:f>'Option source'!B72</x:f>
        <x:v>2375</x:v>
      </x:c>
      <x:c r="J773" s="11" t="n">
        <x:f>G773-2*H773+IF(B773="Butterfly",I773,0)</x:f>
        <x:v>76.60999999999967</x:v>
      </x:c>
      <x:c r="K773" s="11" t="n">
        <x:f>ABS(E773-D773)</x:f>
        <x:v>200</x:v>
      </x:c>
      <x:c r="L773" s="11" t="n">
        <x:f>K773-J773</x:f>
        <x:v>123.39000000000033</x:v>
      </x:c>
      <x:c r="M773" s="11" t="n">
        <x:f>IF(B773="Butterfly",MAX(J773,0),IF(C773="call","Unlimited",MAX(2*E773-D773+J773,J773,0)))</x:f>
        <x:v>76.60999999999967</x:v>
      </x:c>
      <x:c r="N773" s="11" t="n">
        <x:f>IF(B773="Butterfly",IF(AND(J773&gt;0,J773&lt;K773),D773+J773,"n.a."),IF(C773="call",IF(AND(J773&gt;0,J773&lt;K773),D773+J773,"n.a."),IF(AND(K773&gt;J773,2*E773-D773+J773&gt;=0),2*E773-D773+J773,"n.a.")))</x:f>
        <x:v>4476.61</x:v>
      </x:c>
      <x:c r="O773" s="11" t="n">
        <x:f>IF(B773="Butterfly",IF(AND(J773&gt;0,J773&lt;K773),F773-J773,"n.a."),IF(C773="call",IF(K773&gt;J773,2*E773-D773-J773,"n.a."),IF(AND(J773&gt;0,J773&lt;K773),D773-J773,"n.a.")))</x:f>
        <x:v>4723.39</x:v>
      </x:c>
      <x:c r="P773" s="19" t="n">
        <x:f>IF(AND(B773="Butterfly",J773&gt;0,J773&lt;K773),L773/J773,"n.a.")</x:f>
        <x:v>1.6106252447461278</x:v>
      </x:c>
      <x:c r="Q773" s="11" t="n">
        <x:f>J773*'Model inputs'!$B$8</x:f>
        <x:v>7660.999999999967</x:v>
      </x:c>
      <x:c r="R773" s="1" t="str">
        <x:v>Flagged leg data</x:v>
      </x:c>
      <x:c r="S773" s="1" t="n">
        <x:v>31</x:v>
      </x:c>
      <x:c r="T773" s="1" t="n">
        <x:v>50</x:v>
      </x:c>
    </x:row>
    <x:row r="774" ht="21" customHeight="1">
      <x:c r="A774" s="12" t="n">
        <x:v>46269</x:v>
      </x:c>
      <x:c r="B774" s="1" t="str">
        <x:v>Butterfly</x:v>
      </x:c>
      <x:c r="C774" s="1" t="str">
        <x:v>call</x:v>
      </x:c>
      <x:c r="D774" s="11" t="n">
        <x:v>4200</x:v>
      </x:c>
      <x:c r="E774" s="11" t="n">
        <x:v>4400</x:v>
      </x:c>
      <x:c r="F774" s="11" t="n">
        <x:v>4600</x:v>
      </x:c>
      <x:c r="G774" s="11" t="n">
        <x:f>'Option source'!B17</x:f>
        <x:v>2964.84</x:v>
      </x:c>
      <x:c r="H774" s="11" t="n">
        <x:f>'Option source'!B36</x:f>
        <x:v>2707.45</x:v>
      </x:c>
      <x:c r="I774" s="11" t="n">
        <x:f>'Option source'!B55</x:f>
        <x:v>2502.92</x:v>
      </x:c>
      <x:c r="J774" s="11" t="n">
        <x:f>G774-2*H774+IF(B774="Butterfly",I774,0)</x:f>
        <x:v>52.86000000000058</x:v>
      </x:c>
      <x:c r="K774" s="11" t="n">
        <x:f>ABS(E774-D774)</x:f>
        <x:v>200</x:v>
      </x:c>
      <x:c r="L774" s="11" t="n">
        <x:f>K774-J774</x:f>
        <x:v>147.13999999999942</x:v>
      </x:c>
      <x:c r="M774" s="11" t="n">
        <x:f>IF(B774="Butterfly",MAX(J774,0),IF(C774="call","Unlimited",MAX(2*E774-D774+J774,J774,0)))</x:f>
        <x:v>52.86000000000058</x:v>
      </x:c>
      <x:c r="N774" s="11" t="n">
        <x:f>IF(B774="Butterfly",IF(AND(J774&gt;0,J774&lt;K774),D774+J774,"n.a."),IF(C774="call",IF(AND(J774&gt;0,J774&lt;K774),D774+J774,"n.a."),IF(AND(K774&gt;J774,2*E774-D774+J774&gt;=0),2*E774-D774+J774,"n.a.")))</x:f>
        <x:v>4252.860000000001</x:v>
      </x:c>
      <x:c r="O774" s="11" t="n">
        <x:f>IF(B774="Butterfly",IF(AND(J774&gt;0,J774&lt;K774),F774-J774,"n.a."),IF(C774="call",IF(K774&gt;J774,2*E774-D774-J774,"n.a."),IF(AND(J774&gt;0,J774&lt;K774),D774-J774,"n.a.")))</x:f>
        <x:v>4547.139999999999</x:v>
      </x:c>
      <x:c r="P774" s="19" t="n">
        <x:f>IF(AND(B774="Butterfly",J774&gt;0,J774&lt;K774),L774/J774,"n.a.")</x:f>
        <x:v>2.7835792659855807</x:v>
      </x:c>
      <x:c r="Q774" s="11" t="n">
        <x:f>J774*'Model inputs'!$B$8</x:f>
        <x:v>5286.000000000058</x:v>
      </x:c>
      <x:c r="R774" s="1" t="str">
        <x:v>Flagged leg data</x:v>
      </x:c>
      <x:c r="S774" s="1" t="n">
        <x:v>12</x:v>
      </x:c>
      <x:c r="T774" s="1" t="n">
        <x:v>31</x:v>
      </x:c>
    </x:row>
    <x:row r="775" ht="21" customHeight="1">
      <x:c r="A775" s="12" t="n">
        <x:v>46269</x:v>
      </x:c>
      <x:c r="B775" s="1" t="str">
        <x:v>1x2 ratio</x:v>
      </x:c>
      <x:c r="C775" s="1" t="str">
        <x:v>call</x:v>
      </x:c>
      <x:c r="D775" s="11" t="n">
        <x:v>6800</x:v>
      </x:c>
      <x:c r="E775" s="11" t="n">
        <x:v>7000</x:v>
      </x:c>
      <x:c r="F775" s="11"/>
      <x:c r="G775" s="11" t="n">
        <x:f>'Option source'!B250</x:f>
        <x:v>616.63</x:v>
      </x:c>
      <x:c r="H775" s="11" t="n">
        <x:f>'Option source'!B269</x:f>
        <x:v>501.55</x:v>
      </x:c>
      <x:c r="I775" s="11"/>
      <x:c r="J775" s="11" t="n">
        <x:f>G775-2*H775+IF(B775="Butterfly",I775,0)</x:f>
        <x:v>-386.47</x:v>
      </x:c>
      <x:c r="K775" s="11" t="n">
        <x:f>ABS(E775-D775)</x:f>
        <x:v>200</x:v>
      </x:c>
      <x:c r="L775" s="11" t="n">
        <x:f>K775-J775</x:f>
        <x:v>586.47</x:v>
      </x:c>
      <x:c r="M775" s="11" t="str">
        <x:f>IF(B775="Butterfly",MAX(J775,0),IF(C775="call","Unlimited",MAX(2*E775-D775+J775,J775,0)))</x:f>
        <x:v>Unlimited</x:v>
      </x:c>
      <x:c r="N775" s="11" t="str">
        <x:f>IF(B775="Butterfly",IF(AND(J775&gt;0,J775&lt;K775),D775+J775,"n.a."),IF(C775="call",IF(AND(J775&gt;0,J775&lt;K775),D775+J775,"n.a."),IF(AND(K775&gt;J775,2*E775-D775+J775&gt;=0),2*E775-D775+J775,"n.a.")))</x:f>
        <x:v>n.a.</x:v>
      </x:c>
      <x:c r="O775" s="11" t="n">
        <x:f>IF(B775="Butterfly",IF(AND(J775&gt;0,J775&lt;K775),F775-J775,"n.a."),IF(C775="call",IF(K775&gt;J775,2*E775-D775-J775,"n.a."),IF(AND(J775&gt;0,J775&lt;K775),D775-J775,"n.a.")))</x:f>
        <x:v>7586.47</x:v>
      </x:c>
      <x:c r="P775" s="19" t="str">
        <x:f>IF(AND(B775="Butterfly",J775&gt;0,J775&lt;K775),L775/J775,"n.a.")</x:f>
        <x:v>n.a.</x:v>
      </x:c>
      <x:c r="Q775" s="11" t="n">
        <x:f>J775*'Model inputs'!$B$8</x:f>
        <x:v>-38647</x:v>
      </x:c>
      <x:c r="R775" s="1" t="str">
        <x:v>Indicative only</x:v>
      </x:c>
      <x:c r="S775" s="1" t="n">
        <x:v>245</x:v>
      </x:c>
      <x:c r="T775" s="1" t="n">
        <x:v>264</x:v>
      </x:c>
    </x:row>
    <x:row r="776" ht="21" customHeight="1">
      <x:c r="A776" s="12" t="n">
        <x:v>46269</x:v>
      </x:c>
      <x:c r="B776" s="1" t="str">
        <x:v>1x2 ratio</x:v>
      </x:c>
      <x:c r="C776" s="1" t="str">
        <x:v>put</x:v>
      </x:c>
      <x:c r="D776" s="11" t="n">
        <x:v>7200</x:v>
      </x:c>
      <x:c r="E776" s="11" t="n">
        <x:v>7000</x:v>
      </x:c>
      <x:c r="F776" s="11"/>
      <x:c r="G776" s="11" t="n">
        <x:f>'Option source'!B782</x:f>
        <x:v>420.47</x:v>
      </x:c>
      <x:c r="H776" s="11" t="n">
        <x:f>'Option source'!B763</x:f>
        <x:v>319.58</x:v>
      </x:c>
      <x:c r="I776" s="11"/>
      <x:c r="J776" s="11" t="n">
        <x:f>G776-2*H776+IF(B776="Butterfly",I776,0)</x:f>
        <x:v>-218.68999999999994</x:v>
      </x:c>
      <x:c r="K776" s="11" t="n">
        <x:f>ABS(E776-D776)</x:f>
        <x:v>200</x:v>
      </x:c>
      <x:c r="L776" s="11" t="n">
        <x:f>K776-J776</x:f>
        <x:v>418.68999999999994</x:v>
      </x:c>
      <x:c r="M776" s="11" t="n">
        <x:f>IF(B776="Butterfly",MAX(J776,0),IF(C776="call","Unlimited",MAX(2*E776-D776+J776,J776,0)))</x:f>
        <x:v>6581.31</x:v>
      </x:c>
      <x:c r="N776" s="11" t="n">
        <x:f>IF(B776="Butterfly",IF(AND(J776&gt;0,J776&lt;K776),D776+J776,"n.a."),IF(C776="call",IF(AND(J776&gt;0,J776&lt;K776),D776+J776,"n.a."),IF(AND(K776&gt;J776,2*E776-D776+J776&gt;=0),2*E776-D776+J776,"n.a.")))</x:f>
        <x:v>6581.31</x:v>
      </x:c>
      <x:c r="O776" s="11" t="str">
        <x:f>IF(B776="Butterfly",IF(AND(J776&gt;0,J776&lt;K776),F776-J776,"n.a."),IF(C776="call",IF(K776&gt;J776,2*E776-D776-J776,"n.a."),IF(AND(J776&gt;0,J776&lt;K776),D776-J776,"n.a.")))</x:f>
        <x:v>n.a.</x:v>
      </x:c>
      <x:c r="P776" s="19" t="str">
        <x:f>IF(AND(B776="Butterfly",J776&gt;0,J776&lt;K776),L776/J776,"n.a.")</x:f>
        <x:v>n.a.</x:v>
      </x:c>
      <x:c r="Q776" s="11" t="n">
        <x:f>J776*'Model inputs'!$B$8</x:f>
        <x:v>-21868.999999999993</x:v>
      </x:c>
      <x:c r="R776" s="1" t="str">
        <x:v>Indicative only</x:v>
      </x:c>
      <x:c r="S776" s="1" t="n">
        <x:v>777</x:v>
      </x:c>
      <x:c r="T776" s="1" t="n">
        <x:v>758</x:v>
      </x:c>
    </x:row>
    <x:row r="777" ht="21" customHeight="1">
      <x:c r="A777" s="12" t="n">
        <x:v>46269</x:v>
      </x:c>
      <x:c r="B777" s="1" t="str">
        <x:v>1x2 ratio</x:v>
      </x:c>
      <x:c r="C777" s="1" t="str">
        <x:v>call</x:v>
      </x:c>
      <x:c r="D777" s="11" t="n">
        <x:v>7000</x:v>
      </x:c>
      <x:c r="E777" s="11" t="n">
        <x:v>7200</x:v>
      </x:c>
      <x:c r="F777" s="11"/>
      <x:c r="G777" s="11" t="n">
        <x:f>'Option source'!B269</x:f>
        <x:v>501.55</x:v>
      </x:c>
      <x:c r="H777" s="11" t="n">
        <x:f>'Option source'!B288</x:f>
        <x:v>399.74</x:v>
      </x:c>
      <x:c r="I777" s="11"/>
      <x:c r="J777" s="11" t="n">
        <x:f>G777-2*H777+IF(B777="Butterfly",I777,0)</x:f>
        <x:v>-297.93</x:v>
      </x:c>
      <x:c r="K777" s="11" t="n">
        <x:f>ABS(E777-D777)</x:f>
        <x:v>200</x:v>
      </x:c>
      <x:c r="L777" s="11" t="n">
        <x:f>K777-J777</x:f>
        <x:v>497.93</x:v>
      </x:c>
      <x:c r="M777" s="11" t="str">
        <x:f>IF(B777="Butterfly",MAX(J777,0),IF(C777="call","Unlimited",MAX(2*E777-D777+J777,J777,0)))</x:f>
        <x:v>Unlimited</x:v>
      </x:c>
      <x:c r="N777" s="11" t="str">
        <x:f>IF(B777="Butterfly",IF(AND(J777&gt;0,J777&lt;K777),D777+J777,"n.a."),IF(C777="call",IF(AND(J777&gt;0,J777&lt;K777),D777+J777,"n.a."),IF(AND(K777&gt;J777,2*E777-D777+J777&gt;=0),2*E777-D777+J777,"n.a.")))</x:f>
        <x:v>n.a.</x:v>
      </x:c>
      <x:c r="O777" s="11" t="n">
        <x:f>IF(B777="Butterfly",IF(AND(J777&gt;0,J777&lt;K777),F777-J777,"n.a."),IF(C777="call",IF(K777&gt;J777,2*E777-D777-J777,"n.a."),IF(AND(J777&gt;0,J777&lt;K777),D777-J777,"n.a.")))</x:f>
        <x:v>7697.93</x:v>
      </x:c>
      <x:c r="P777" s="19" t="str">
        <x:f>IF(AND(B777="Butterfly",J777&gt;0,J777&lt;K777),L777/J777,"n.a.")</x:f>
        <x:v>n.a.</x:v>
      </x:c>
      <x:c r="Q777" s="11" t="n">
        <x:f>J777*'Model inputs'!$B$8</x:f>
        <x:v>-29793</x:v>
      </x:c>
      <x:c r="R777" s="1" t="str">
        <x:v>Indicative only</x:v>
      </x:c>
      <x:c r="S777" s="1" t="n">
        <x:v>264</x:v>
      </x:c>
      <x:c r="T777" s="1" t="n">
        <x:v>283</x:v>
      </x:c>
    </x:row>
    <x:row r="778" ht="21" customHeight="1">
      <x:c r="A778" s="12" t="n">
        <x:v>46269</x:v>
      </x:c>
      <x:c r="B778" s="1" t="str">
        <x:v>1x2 ratio</x:v>
      </x:c>
      <x:c r="C778" s="1" t="str">
        <x:v>put</x:v>
      </x:c>
      <x:c r="D778" s="11" t="n">
        <x:v>7400</x:v>
      </x:c>
      <x:c r="E778" s="11" t="n">
        <x:v>7200</x:v>
      </x:c>
      <x:c r="F778" s="11"/>
      <x:c r="G778" s="11" t="n">
        <x:f>'Option source'!B801</x:f>
        <x:v>534.3</x:v>
      </x:c>
      <x:c r="H778" s="11" t="n">
        <x:f>'Option source'!B782</x:f>
        <x:v>420.47</x:v>
      </x:c>
      <x:c r="I778" s="11"/>
      <x:c r="J778" s="11" t="n">
        <x:f>G778-2*H778+IF(B778="Butterfly",I778,0)</x:f>
        <x:v>-306.6400000000001</x:v>
      </x:c>
      <x:c r="K778" s="11" t="n">
        <x:f>ABS(E778-D778)</x:f>
        <x:v>200</x:v>
      </x:c>
      <x:c r="L778" s="11" t="n">
        <x:f>K778-J778</x:f>
        <x:v>506.6400000000001</x:v>
      </x:c>
      <x:c r="M778" s="11" t="n">
        <x:f>IF(B778="Butterfly",MAX(J778,0),IF(C778="call","Unlimited",MAX(2*E778-D778+J778,J778,0)))</x:f>
        <x:v>6693.36</x:v>
      </x:c>
      <x:c r="N778" s="11" t="n">
        <x:f>IF(B778="Butterfly",IF(AND(J778&gt;0,J778&lt;K778),D778+J778,"n.a."),IF(C778="call",IF(AND(J778&gt;0,J778&lt;K778),D778+J778,"n.a."),IF(AND(K778&gt;J778,2*E778-D778+J778&gt;=0),2*E778-D778+J778,"n.a.")))</x:f>
        <x:v>6693.36</x:v>
      </x:c>
      <x:c r="O778" s="11" t="str">
        <x:f>IF(B778="Butterfly",IF(AND(J778&gt;0,J778&lt;K778),F778-J778,"n.a."),IF(C778="call",IF(K778&gt;J778,2*E778-D778-J778,"n.a."),IF(AND(J778&gt;0,J778&lt;K778),D778-J778,"n.a.")))</x:f>
        <x:v>n.a.</x:v>
      </x:c>
      <x:c r="P778" s="19" t="str">
        <x:f>IF(AND(B778="Butterfly",J778&gt;0,J778&lt;K778),L778/J778,"n.a.")</x:f>
        <x:v>n.a.</x:v>
      </x:c>
      <x:c r="Q778" s="11" t="n">
        <x:f>J778*'Model inputs'!$B$8</x:f>
        <x:v>-30664.00000000001</x:v>
      </x:c>
      <x:c r="R778" s="1" t="str">
        <x:v>Indicative only</x:v>
      </x:c>
      <x:c r="S778" s="1" t="n">
        <x:v>796</x:v>
      </x:c>
      <x:c r="T778" s="1" t="n">
        <x:v>777</x:v>
      </x:c>
    </x:row>
    <x:row r="779" ht="21" customHeight="1">
      <x:c r="A779" s="12" t="n">
        <x:v>46269</x:v>
      </x:c>
      <x:c r="B779" s="1" t="str">
        <x:v>1x2 ratio</x:v>
      </x:c>
      <x:c r="C779" s="1" t="str">
        <x:v>call</x:v>
      </x:c>
      <x:c r="D779" s="11" t="n">
        <x:v>6600</x:v>
      </x:c>
      <x:c r="E779" s="11" t="n">
        <x:v>6800</x:v>
      </x:c>
      <x:c r="F779" s="11"/>
      <x:c r="G779" s="11" t="n">
        <x:f>'Option source'!B231</x:f>
        <x:v>738.92</x:v>
      </x:c>
      <x:c r="H779" s="11" t="n">
        <x:f>'Option source'!B250</x:f>
        <x:v>616.63</x:v>
      </x:c>
      <x:c r="I779" s="11"/>
      <x:c r="J779" s="11" t="n">
        <x:f>G779-2*H779+IF(B779="Butterfly",I779,0)</x:f>
        <x:v>-494.34000000000003</x:v>
      </x:c>
      <x:c r="K779" s="11" t="n">
        <x:f>ABS(E779-D779)</x:f>
        <x:v>200</x:v>
      </x:c>
      <x:c r="L779" s="11" t="n">
        <x:f>K779-J779</x:f>
        <x:v>694.34</x:v>
      </x:c>
      <x:c r="M779" s="11" t="str">
        <x:f>IF(B779="Butterfly",MAX(J779,0),IF(C779="call","Unlimited",MAX(2*E779-D779+J779,J779,0)))</x:f>
        <x:v>Unlimited</x:v>
      </x:c>
      <x:c r="N779" s="11" t="str">
        <x:f>IF(B779="Butterfly",IF(AND(J779&gt;0,J779&lt;K779),D779+J779,"n.a."),IF(C779="call",IF(AND(J779&gt;0,J779&lt;K779),D779+J779,"n.a."),IF(AND(K779&gt;J779,2*E779-D779+J779&gt;=0),2*E779-D779+J779,"n.a.")))</x:f>
        <x:v>n.a.</x:v>
      </x:c>
      <x:c r="O779" s="11" t="n">
        <x:f>IF(B779="Butterfly",IF(AND(J779&gt;0,J779&lt;K779),F779-J779,"n.a."),IF(C779="call",IF(K779&gt;J779,2*E779-D779-J779,"n.a."),IF(AND(J779&gt;0,J779&lt;K779),D779-J779,"n.a.")))</x:f>
        <x:v>7494.34</x:v>
      </x:c>
      <x:c r="P779" s="19" t="str">
        <x:f>IF(AND(B779="Butterfly",J779&gt;0,J779&lt;K779),L779/J779,"n.a.")</x:f>
        <x:v>n.a.</x:v>
      </x:c>
      <x:c r="Q779" s="11" t="n">
        <x:f>J779*'Model inputs'!$B$8</x:f>
        <x:v>-49434</x:v>
      </x:c>
      <x:c r="R779" s="1" t="str">
        <x:v>Indicative only</x:v>
      </x:c>
      <x:c r="S779" s="1" t="n">
        <x:v>226</x:v>
      </x:c>
      <x:c r="T779" s="1" t="n">
        <x:v>245</x:v>
      </x:c>
    </x:row>
    <x:row r="780" ht="21" customHeight="1">
      <x:c r="A780" s="12" t="n">
        <x:v>46269</x:v>
      </x:c>
      <x:c r="B780" s="1" t="str">
        <x:v>1x2 ratio</x:v>
      </x:c>
      <x:c r="C780" s="1" t="str">
        <x:v>put</x:v>
      </x:c>
      <x:c r="D780" s="11" t="n">
        <x:v>7000</x:v>
      </x:c>
      <x:c r="E780" s="11" t="n">
        <x:v>6800</x:v>
      </x:c>
      <x:c r="F780" s="11"/>
      <x:c r="G780" s="11" t="n">
        <x:f>'Option source'!B763</x:f>
        <x:v>319.58</x:v>
      </x:c>
      <x:c r="H780" s="11" t="n">
        <x:f>'Option source'!B744</x:f>
        <x:v>237.19</x:v>
      </x:c>
      <x:c r="I780" s="11"/>
      <x:c r="J780" s="11" t="n">
        <x:f>G780-2*H780+IF(B780="Butterfly",I780,0)</x:f>
        <x:v>-154.8</x:v>
      </x:c>
      <x:c r="K780" s="11" t="n">
        <x:f>ABS(E780-D780)</x:f>
        <x:v>200</x:v>
      </x:c>
      <x:c r="L780" s="11" t="n">
        <x:f>K780-J780</x:f>
        <x:v>354.8</x:v>
      </x:c>
      <x:c r="M780" s="11" t="n">
        <x:f>IF(B780="Butterfly",MAX(J780,0),IF(C780="call","Unlimited",MAX(2*E780-D780+J780,J780,0)))</x:f>
        <x:v>6445.2</x:v>
      </x:c>
      <x:c r="N780" s="11" t="n">
        <x:f>IF(B780="Butterfly",IF(AND(J780&gt;0,J780&lt;K780),D780+J780,"n.a."),IF(C780="call",IF(AND(J780&gt;0,J780&lt;K780),D780+J780,"n.a."),IF(AND(K780&gt;J780,2*E780-D780+J780&gt;=0),2*E780-D780+J780,"n.a.")))</x:f>
        <x:v>6445.2</x:v>
      </x:c>
      <x:c r="O780" s="11" t="str">
        <x:f>IF(B780="Butterfly",IF(AND(J780&gt;0,J780&lt;K780),F780-J780,"n.a."),IF(C780="call",IF(K780&gt;J780,2*E780-D780-J780,"n.a."),IF(AND(J780&gt;0,J780&lt;K780),D780-J780,"n.a.")))</x:f>
        <x:v>n.a.</x:v>
      </x:c>
      <x:c r="P780" s="19" t="str">
        <x:f>IF(AND(B780="Butterfly",J780&gt;0,J780&lt;K780),L780/J780,"n.a.")</x:f>
        <x:v>n.a.</x:v>
      </x:c>
      <x:c r="Q780" s="11" t="n">
        <x:f>J780*'Model inputs'!$B$8</x:f>
        <x:v>-15480.000000000002</x:v>
      </x:c>
      <x:c r="R780" s="1" t="str">
        <x:v>Indicative only</x:v>
      </x:c>
      <x:c r="S780" s="1" t="n">
        <x:v>758</x:v>
      </x:c>
      <x:c r="T780" s="1" t="n">
        <x:v>739</x:v>
      </x:c>
    </x:row>
    <x:row r="781" ht="21" customHeight="1">
      <x:c r="A781" s="12" t="n">
        <x:v>46269</x:v>
      </x:c>
      <x:c r="B781" s="1" t="str">
        <x:v>1x2 ratio</x:v>
      </x:c>
      <x:c r="C781" s="1" t="str">
        <x:v>call</x:v>
      </x:c>
      <x:c r="D781" s="11" t="n">
        <x:v>7200</x:v>
      </x:c>
      <x:c r="E781" s="11" t="n">
        <x:v>7400</x:v>
      </x:c>
      <x:c r="F781" s="11"/>
      <x:c r="G781" s="11" t="n">
        <x:f>'Option source'!B288</x:f>
        <x:v>399.74</x:v>
      </x:c>
      <x:c r="H781" s="11" t="n">
        <x:f>'Option source'!B307</x:f>
        <x:v>315.27</x:v>
      </x:c>
      <x:c r="I781" s="11"/>
      <x:c r="J781" s="11" t="n">
        <x:f>G781-2*H781+IF(B781="Butterfly",I781,0)</x:f>
        <x:v>-230.79999999999995</x:v>
      </x:c>
      <x:c r="K781" s="11" t="n">
        <x:f>ABS(E781-D781)</x:f>
        <x:v>200</x:v>
      </x:c>
      <x:c r="L781" s="11" t="n">
        <x:f>K781-J781</x:f>
        <x:v>430.79999999999995</x:v>
      </x:c>
      <x:c r="M781" s="11" t="str">
        <x:f>IF(B781="Butterfly",MAX(J781,0),IF(C781="call","Unlimited",MAX(2*E781-D781+J781,J781,0)))</x:f>
        <x:v>Unlimited</x:v>
      </x:c>
      <x:c r="N781" s="11" t="str">
        <x:f>IF(B781="Butterfly",IF(AND(J781&gt;0,J781&lt;K781),D781+J781,"n.a."),IF(C781="call",IF(AND(J781&gt;0,J781&lt;K781),D781+J781,"n.a."),IF(AND(K781&gt;J781,2*E781-D781+J781&gt;=0),2*E781-D781+J781,"n.a.")))</x:f>
        <x:v>n.a.</x:v>
      </x:c>
      <x:c r="O781" s="11" t="n">
        <x:f>IF(B781="Butterfly",IF(AND(J781&gt;0,J781&lt;K781),F781-J781,"n.a."),IF(C781="call",IF(K781&gt;J781,2*E781-D781-J781,"n.a."),IF(AND(J781&gt;0,J781&lt;K781),D781-J781,"n.a.")))</x:f>
        <x:v>7830.8</x:v>
      </x:c>
      <x:c r="P781" s="19" t="str">
        <x:f>IF(AND(B781="Butterfly",J781&gt;0,J781&lt;K781),L781/J781,"n.a.")</x:f>
        <x:v>n.a.</x:v>
      </x:c>
      <x:c r="Q781" s="11" t="n">
        <x:f>J781*'Model inputs'!$B$8</x:f>
        <x:v>-23079.999999999996</x:v>
      </x:c>
      <x:c r="R781" s="1" t="str">
        <x:v>Indicative only</x:v>
      </x:c>
      <x:c r="S781" s="1" t="n">
        <x:v>283</x:v>
      </x:c>
      <x:c r="T781" s="1" t="n">
        <x:v>302</x:v>
      </x:c>
    </x:row>
    <x:row r="782" ht="21" customHeight="1">
      <x:c r="A782" s="12" t="n">
        <x:v>46269</x:v>
      </x:c>
      <x:c r="B782" s="1" t="str">
        <x:v>1x2 ratio</x:v>
      </x:c>
      <x:c r="C782" s="1" t="str">
        <x:v>put</x:v>
      </x:c>
      <x:c r="D782" s="11" t="n">
        <x:v>7600</x:v>
      </x:c>
      <x:c r="E782" s="11" t="n">
        <x:v>7400</x:v>
      </x:c>
      <x:c r="F782" s="11"/>
      <x:c r="G782" s="11" t="n">
        <x:f>'Option source'!B820</x:f>
        <x:v>660</x:v>
      </x:c>
      <x:c r="H782" s="11" t="n">
        <x:f>'Option source'!B801</x:f>
        <x:v>534.3</x:v>
      </x:c>
      <x:c r="I782" s="11"/>
      <x:c r="J782" s="11" t="n">
        <x:f>G782-2*H782+IF(B782="Butterfly",I782,0)</x:f>
        <x:v>-408.5999999999999</x:v>
      </x:c>
      <x:c r="K782" s="11" t="n">
        <x:f>ABS(E782-D782)</x:f>
        <x:v>200</x:v>
      </x:c>
      <x:c r="L782" s="11" t="n">
        <x:f>K782-J782</x:f>
        <x:v>608.5999999999999</x:v>
      </x:c>
      <x:c r="M782" s="11" t="n">
        <x:f>IF(B782="Butterfly",MAX(J782,0),IF(C782="call","Unlimited",MAX(2*E782-D782+J782,J782,0)))</x:f>
        <x:v>6791.4</x:v>
      </x:c>
      <x:c r="N782" s="11" t="n">
        <x:f>IF(B782="Butterfly",IF(AND(J782&gt;0,J782&lt;K782),D782+J782,"n.a."),IF(C782="call",IF(AND(J782&gt;0,J782&lt;K782),D782+J782,"n.a."),IF(AND(K782&gt;J782,2*E782-D782+J782&gt;=0),2*E782-D782+J782,"n.a.")))</x:f>
        <x:v>6791.4</x:v>
      </x:c>
      <x:c r="O782" s="11" t="str">
        <x:f>IF(B782="Butterfly",IF(AND(J782&gt;0,J782&lt;K782),F782-J782,"n.a."),IF(C782="call",IF(K782&gt;J782,2*E782-D782-J782,"n.a."),IF(AND(J782&gt;0,J782&lt;K782),D782-J782,"n.a.")))</x:f>
        <x:v>n.a.</x:v>
      </x:c>
      <x:c r="P782" s="19" t="str">
        <x:f>IF(AND(B782="Butterfly",J782&gt;0,J782&lt;K782),L782/J782,"n.a.")</x:f>
        <x:v>n.a.</x:v>
      </x:c>
      <x:c r="Q782" s="11" t="n">
        <x:f>J782*'Model inputs'!$B$8</x:f>
        <x:v>-40859.99999999999</x:v>
      </x:c>
      <x:c r="R782" s="1" t="str">
        <x:v>Indicative only</x:v>
      </x:c>
      <x:c r="S782" s="1" t="n">
        <x:v>815</x:v>
      </x:c>
      <x:c r="T782" s="1" t="n">
        <x:v>796</x:v>
      </x:c>
    </x:row>
    <x:row r="783" ht="21" customHeight="1">
      <x:c r="A783" s="12" t="n">
        <x:v>46269</x:v>
      </x:c>
      <x:c r="B783" s="1" t="str">
        <x:v>1x2 ratio</x:v>
      </x:c>
      <x:c r="C783" s="1" t="str">
        <x:v>put</x:v>
      </x:c>
      <x:c r="D783" s="11" t="n">
        <x:v>6800</x:v>
      </x:c>
      <x:c r="E783" s="11" t="n">
        <x:v>6600</x:v>
      </x:c>
      <x:c r="F783" s="11"/>
      <x:c r="G783" s="11" t="n">
        <x:f>'Option source'!B744</x:f>
        <x:v>237.19</x:v>
      </x:c>
      <x:c r="H783" s="11" t="n">
        <x:f>'Option source'!B725</x:f>
        <x:v>169.4</x:v>
      </x:c>
      <x:c r="I783" s="11"/>
      <x:c r="J783" s="11" t="n">
        <x:f>G783-2*H783+IF(B783="Butterfly",I783,0)</x:f>
        <x:v>-101.61000000000001</x:v>
      </x:c>
      <x:c r="K783" s="11" t="n">
        <x:f>ABS(E783-D783)</x:f>
        <x:v>200</x:v>
      </x:c>
      <x:c r="L783" s="11" t="n">
        <x:f>K783-J783</x:f>
        <x:v>301.61</x:v>
      </x:c>
      <x:c r="M783" s="11" t="n">
        <x:f>IF(B783="Butterfly",MAX(J783,0),IF(C783="call","Unlimited",MAX(2*E783-D783+J783,J783,0)))</x:f>
        <x:v>6298.39</x:v>
      </x:c>
      <x:c r="N783" s="11" t="n">
        <x:f>IF(B783="Butterfly",IF(AND(J783&gt;0,J783&lt;K783),D783+J783,"n.a."),IF(C783="call",IF(AND(J783&gt;0,J783&lt;K783),D783+J783,"n.a."),IF(AND(K783&gt;J783,2*E783-D783+J783&gt;=0),2*E783-D783+J783,"n.a.")))</x:f>
        <x:v>6298.39</x:v>
      </x:c>
      <x:c r="O783" s="11" t="str">
        <x:f>IF(B783="Butterfly",IF(AND(J783&gt;0,J783&lt;K783),F783-J783,"n.a."),IF(C783="call",IF(K783&gt;J783,2*E783-D783-J783,"n.a."),IF(AND(J783&gt;0,J783&lt;K783),D783-J783,"n.a.")))</x:f>
        <x:v>n.a.</x:v>
      </x:c>
      <x:c r="P783" s="19" t="str">
        <x:f>IF(AND(B783="Butterfly",J783&gt;0,J783&lt;K783),L783/J783,"n.a.")</x:f>
        <x:v>n.a.</x:v>
      </x:c>
      <x:c r="Q783" s="11" t="n">
        <x:f>J783*'Model inputs'!$B$8</x:f>
        <x:v>-10161.000000000002</x:v>
      </x:c>
      <x:c r="R783" s="1" t="str">
        <x:v>Indicative only</x:v>
      </x:c>
      <x:c r="S783" s="1" t="n">
        <x:v>739</x:v>
      </x:c>
      <x:c r="T783" s="1" t="n">
        <x:v>720</x:v>
      </x:c>
    </x:row>
    <x:row r="784" ht="21" customHeight="1">
      <x:c r="A784" s="12" t="n">
        <x:v>46269</x:v>
      </x:c>
      <x:c r="B784" s="1" t="str">
        <x:v>1x2 ratio</x:v>
      </x:c>
      <x:c r="C784" s="1" t="str">
        <x:v>call</x:v>
      </x:c>
      <x:c r="D784" s="11" t="n">
        <x:v>7400</x:v>
      </x:c>
      <x:c r="E784" s="11" t="n">
        <x:v>7600</x:v>
      </x:c>
      <x:c r="F784" s="11"/>
      <x:c r="G784" s="11" t="n">
        <x:f>'Option source'!B307</x:f>
        <x:v>315.27</x:v>
      </x:c>
      <x:c r="H784" s="11" t="n">
        <x:f>'Option source'!B326</x:f>
        <x:v>246.84</x:v>
      </x:c>
      <x:c r="I784" s="11"/>
      <x:c r="J784" s="11" t="n">
        <x:f>G784-2*H784+IF(B784="Butterfly",I784,0)</x:f>
        <x:v>-178.41000000000003</x:v>
      </x:c>
      <x:c r="K784" s="11" t="n">
        <x:f>ABS(E784-D784)</x:f>
        <x:v>200</x:v>
      </x:c>
      <x:c r="L784" s="11" t="n">
        <x:f>K784-J784</x:f>
        <x:v>378.41</x:v>
      </x:c>
      <x:c r="M784" s="11" t="str">
        <x:f>IF(B784="Butterfly",MAX(J784,0),IF(C784="call","Unlimited",MAX(2*E784-D784+J784,J784,0)))</x:f>
        <x:v>Unlimited</x:v>
      </x:c>
      <x:c r="N784" s="11" t="str">
        <x:f>IF(B784="Butterfly",IF(AND(J784&gt;0,J784&lt;K784),D784+J784,"n.a."),IF(C784="call",IF(AND(J784&gt;0,J784&lt;K784),D784+J784,"n.a."),IF(AND(K784&gt;J784,2*E784-D784+J784&gt;=0),2*E784-D784+J784,"n.a.")))</x:f>
        <x:v>n.a.</x:v>
      </x:c>
      <x:c r="O784" s="11" t="n">
        <x:f>IF(B784="Butterfly",IF(AND(J784&gt;0,J784&lt;K784),F784-J784,"n.a."),IF(C784="call",IF(K784&gt;J784,2*E784-D784-J784,"n.a."),IF(AND(J784&gt;0,J784&lt;K784),D784-J784,"n.a.")))</x:f>
        <x:v>7978.41</x:v>
      </x:c>
      <x:c r="P784" s="19" t="str">
        <x:f>IF(AND(B784="Butterfly",J784&gt;0,J784&lt;K784),L784/J784,"n.a.")</x:f>
        <x:v>n.a.</x:v>
      </x:c>
      <x:c r="Q784" s="11" t="n">
        <x:f>J784*'Model inputs'!$B$8</x:f>
        <x:v>-17841.000000000004</x:v>
      </x:c>
      <x:c r="R784" s="1" t="str">
        <x:v>Indicative only</x:v>
      </x:c>
      <x:c r="S784" s="1" t="n">
        <x:v>302</x:v>
      </x:c>
      <x:c r="T784" s="1" t="n">
        <x:v>321</x:v>
      </x:c>
    </x:row>
    <x:row r="785" ht="21" customHeight="1">
      <x:c r="A785" s="12" t="n">
        <x:v>46269</x:v>
      </x:c>
      <x:c r="B785" s="1" t="str">
        <x:v>1x2 ratio</x:v>
      </x:c>
      <x:c r="C785" s="1" t="str">
        <x:v>put</x:v>
      </x:c>
      <x:c r="D785" s="11" t="n">
        <x:v>6600</x:v>
      </x:c>
      <x:c r="E785" s="11" t="n">
        <x:v>6400</x:v>
      </x:c>
      <x:c r="F785" s="11"/>
      <x:c r="G785" s="11" t="n">
        <x:f>'Option source'!B725</x:f>
        <x:v>169.4</x:v>
      </x:c>
      <x:c r="H785" s="11" t="n">
        <x:f>'Option source'!B706</x:f>
        <x:v>116.45</x:v>
      </x:c>
      <x:c r="I785" s="11"/>
      <x:c r="J785" s="11" t="n">
        <x:f>G785-2*H785+IF(B785="Butterfly",I785,0)</x:f>
        <x:v>-63.5</x:v>
      </x:c>
      <x:c r="K785" s="11" t="n">
        <x:f>ABS(E785-D785)</x:f>
        <x:v>200</x:v>
      </x:c>
      <x:c r="L785" s="11" t="n">
        <x:f>K785-J785</x:f>
        <x:v>263.5</x:v>
      </x:c>
      <x:c r="M785" s="11" t="n">
        <x:f>IF(B785="Butterfly",MAX(J785,0),IF(C785="call","Unlimited",MAX(2*E785-D785+J785,J785,0)))</x:f>
        <x:v>6136.5</x:v>
      </x:c>
      <x:c r="N785" s="11" t="n">
        <x:f>IF(B785="Butterfly",IF(AND(J785&gt;0,J785&lt;K785),D785+J785,"n.a."),IF(C785="call",IF(AND(J785&gt;0,J785&lt;K785),D785+J785,"n.a."),IF(AND(K785&gt;J785,2*E785-D785+J785&gt;=0),2*E785-D785+J785,"n.a.")))</x:f>
        <x:v>6136.5</x:v>
      </x:c>
      <x:c r="O785" s="11" t="str">
        <x:f>IF(B785="Butterfly",IF(AND(J785&gt;0,J785&lt;K785),F785-J785,"n.a."),IF(C785="call",IF(K785&gt;J785,2*E785-D785-J785,"n.a."),IF(AND(J785&gt;0,J785&lt;K785),D785-J785,"n.a.")))</x:f>
        <x:v>n.a.</x:v>
      </x:c>
      <x:c r="P785" s="19" t="str">
        <x:f>IF(AND(B785="Butterfly",J785&gt;0,J785&lt;K785),L785/J785,"n.a.")</x:f>
        <x:v>n.a.</x:v>
      </x:c>
      <x:c r="Q785" s="11" t="n">
        <x:f>J785*'Model inputs'!$B$8</x:f>
        <x:v>-6350</x:v>
      </x:c>
      <x:c r="R785" s="1" t="str">
        <x:v>Indicative only</x:v>
      </x:c>
      <x:c r="S785" s="1" t="n">
        <x:v>720</x:v>
      </x:c>
      <x:c r="T785" s="1" t="n">
        <x:v>701</x:v>
      </x:c>
    </x:row>
    <x:row r="786" ht="21" customHeight="1">
      <x:c r="A786" s="12" t="n">
        <x:v>46269</x:v>
      </x:c>
      <x:c r="B786" s="1" t="str">
        <x:v>1x2 ratio</x:v>
      </x:c>
      <x:c r="C786" s="1" t="str">
        <x:v>call</x:v>
      </x:c>
      <x:c r="D786" s="11" t="n">
        <x:v>7600</x:v>
      </x:c>
      <x:c r="E786" s="11" t="n">
        <x:v>7800</x:v>
      </x:c>
      <x:c r="F786" s="11"/>
      <x:c r="G786" s="11" t="n">
        <x:f>'Option source'!B326</x:f>
        <x:v>246.84</x:v>
      </x:c>
      <x:c r="H786" s="11" t="n">
        <x:f>'Option source'!B345</x:f>
        <x:v>186.47</x:v>
      </x:c>
      <x:c r="I786" s="11"/>
      <x:c r="J786" s="11" t="n">
        <x:f>G786-2*H786+IF(B786="Butterfly",I786,0)</x:f>
        <x:v>-126.1</x:v>
      </x:c>
      <x:c r="K786" s="11" t="n">
        <x:f>ABS(E786-D786)</x:f>
        <x:v>200</x:v>
      </x:c>
      <x:c r="L786" s="11" t="n">
        <x:f>K786-J786</x:f>
        <x:v>326.1</x:v>
      </x:c>
      <x:c r="M786" s="11" t="str">
        <x:f>IF(B786="Butterfly",MAX(J786,0),IF(C786="call","Unlimited",MAX(2*E786-D786+J786,J786,0)))</x:f>
        <x:v>Unlimited</x:v>
      </x:c>
      <x:c r="N786" s="11" t="str">
        <x:f>IF(B786="Butterfly",IF(AND(J786&gt;0,J786&lt;K786),D786+J786,"n.a."),IF(C786="call",IF(AND(J786&gt;0,J786&lt;K786),D786+J786,"n.a."),IF(AND(K786&gt;J786,2*E786-D786+J786&gt;=0),2*E786-D786+J786,"n.a.")))</x:f>
        <x:v>n.a.</x:v>
      </x:c>
      <x:c r="O786" s="11" t="n">
        <x:f>IF(B786="Butterfly",IF(AND(J786&gt;0,J786&lt;K786),F786-J786,"n.a."),IF(C786="call",IF(K786&gt;J786,2*E786-D786-J786,"n.a."),IF(AND(J786&gt;0,J786&lt;K786),D786-J786,"n.a.")))</x:f>
        <x:v>8126.1</x:v>
      </x:c>
      <x:c r="P786" s="19" t="str">
        <x:f>IF(AND(B786="Butterfly",J786&gt;0,J786&lt;K786),L786/J786,"n.a.")</x:f>
        <x:v>n.a.</x:v>
      </x:c>
      <x:c r="Q786" s="11" t="n">
        <x:f>J786*'Model inputs'!$B$8</x:f>
        <x:v>-12610</x:v>
      </x:c>
      <x:c r="R786" s="1" t="str">
        <x:v>Indicative only</x:v>
      </x:c>
      <x:c r="S786" s="1" t="n">
        <x:v>321</x:v>
      </x:c>
      <x:c r="T786" s="1" t="n">
        <x:v>340</x:v>
      </x:c>
    </x:row>
    <x:row r="787" ht="21" customHeight="1">
      <x:c r="A787" s="12" t="n">
        <x:v>46269</x:v>
      </x:c>
      <x:c r="B787" s="1" t="str">
        <x:v>1x2 ratio</x:v>
      </x:c>
      <x:c r="C787" s="1" t="str">
        <x:v>put</x:v>
      </x:c>
      <x:c r="D787" s="11" t="n">
        <x:v>6400</x:v>
      </x:c>
      <x:c r="E787" s="11" t="n">
        <x:v>6200</x:v>
      </x:c>
      <x:c r="F787" s="11"/>
      <x:c r="G787" s="11" t="n">
        <x:f>'Option source'!B706</x:f>
        <x:v>116.45</x:v>
      </x:c>
      <x:c r="H787" s="11" t="n">
        <x:f>'Option source'!B687</x:f>
        <x:v>76.05</x:v>
      </x:c>
      <x:c r="I787" s="11"/>
      <x:c r="J787" s="11" t="n">
        <x:f>G787-2*H787+IF(B787="Butterfly",I787,0)</x:f>
        <x:v>-35.64999999999999</x:v>
      </x:c>
      <x:c r="K787" s="11" t="n">
        <x:f>ABS(E787-D787)</x:f>
        <x:v>200</x:v>
      </x:c>
      <x:c r="L787" s="11" t="n">
        <x:f>K787-J787</x:f>
        <x:v>235.64999999999998</x:v>
      </x:c>
      <x:c r="M787" s="11" t="n">
        <x:f>IF(B787="Butterfly",MAX(J787,0),IF(C787="call","Unlimited",MAX(2*E787-D787+J787,J787,0)))</x:f>
        <x:v>5964.35</x:v>
      </x:c>
      <x:c r="N787" s="11" t="n">
        <x:f>IF(B787="Butterfly",IF(AND(J787&gt;0,J787&lt;K787),D787+J787,"n.a."),IF(C787="call",IF(AND(J787&gt;0,J787&lt;K787),D787+J787,"n.a."),IF(AND(K787&gt;J787,2*E787-D787+J787&gt;=0),2*E787-D787+J787,"n.a.")))</x:f>
        <x:v>5964.35</x:v>
      </x:c>
      <x:c r="O787" s="11" t="str">
        <x:f>IF(B787="Butterfly",IF(AND(J787&gt;0,J787&lt;K787),F787-J787,"n.a."),IF(C787="call",IF(K787&gt;J787,2*E787-D787-J787,"n.a."),IF(AND(J787&gt;0,J787&lt;K787),D787-J787,"n.a.")))</x:f>
        <x:v>n.a.</x:v>
      </x:c>
      <x:c r="P787" s="19" t="str">
        <x:f>IF(AND(B787="Butterfly",J787&gt;0,J787&lt;K787),L787/J787,"n.a.")</x:f>
        <x:v>n.a.</x:v>
      </x:c>
      <x:c r="Q787" s="11" t="n">
        <x:f>J787*'Model inputs'!$B$8</x:f>
        <x:v>-3564.999999999999</x:v>
      </x:c>
      <x:c r="R787" s="1" t="str">
        <x:v>Indicative only</x:v>
      </x:c>
      <x:c r="S787" s="1" t="n">
        <x:v>701</x:v>
      </x:c>
      <x:c r="T787" s="1" t="n">
        <x:v>682</x:v>
      </x:c>
    </x:row>
    <x:row r="788" ht="21" customHeight="1">
      <x:c r="A788" s="12" t="n">
        <x:v>46269</x:v>
      </x:c>
      <x:c r="B788" s="1" t="str">
        <x:v>1x2 ratio</x:v>
      </x:c>
      <x:c r="C788" s="1" t="str">
        <x:v>call</x:v>
      </x:c>
      <x:c r="D788" s="11" t="n">
        <x:v>7800</x:v>
      </x:c>
      <x:c r="E788" s="11" t="n">
        <x:v>8000</x:v>
      </x:c>
      <x:c r="F788" s="11"/>
      <x:c r="G788" s="11" t="n">
        <x:f>'Option source'!B345</x:f>
        <x:v>186.47</x:v>
      </x:c>
      <x:c r="H788" s="11" t="n">
        <x:f>'Option source'!B364</x:f>
        <x:v>143.25</x:v>
      </x:c>
      <x:c r="I788" s="11"/>
      <x:c r="J788" s="11" t="n">
        <x:f>G788-2*H788+IF(B788="Butterfly",I788,0)</x:f>
        <x:v>-100.03</x:v>
      </x:c>
      <x:c r="K788" s="11" t="n">
        <x:f>ABS(E788-D788)</x:f>
        <x:v>200</x:v>
      </x:c>
      <x:c r="L788" s="11" t="n">
        <x:f>K788-J788</x:f>
        <x:v>300.03</x:v>
      </x:c>
      <x:c r="M788" s="11" t="str">
        <x:f>IF(B788="Butterfly",MAX(J788,0),IF(C788="call","Unlimited",MAX(2*E788-D788+J788,J788,0)))</x:f>
        <x:v>Unlimited</x:v>
      </x:c>
      <x:c r="N788" s="11" t="str">
        <x:f>IF(B788="Butterfly",IF(AND(J788&gt;0,J788&lt;K788),D788+J788,"n.a."),IF(C788="call",IF(AND(J788&gt;0,J788&lt;K788),D788+J788,"n.a."),IF(AND(K788&gt;J788,2*E788-D788+J788&gt;=0),2*E788-D788+J788,"n.a.")))</x:f>
        <x:v>n.a.</x:v>
      </x:c>
      <x:c r="O788" s="11" t="n">
        <x:f>IF(B788="Butterfly",IF(AND(J788&gt;0,J788&lt;K788),F788-J788,"n.a."),IF(C788="call",IF(K788&gt;J788,2*E788-D788-J788,"n.a."),IF(AND(J788&gt;0,J788&lt;K788),D788-J788,"n.a.")))</x:f>
        <x:v>8300.03</x:v>
      </x:c>
      <x:c r="P788" s="19" t="str">
        <x:f>IF(AND(B788="Butterfly",J788&gt;0,J788&lt;K788),L788/J788,"n.a.")</x:f>
        <x:v>n.a.</x:v>
      </x:c>
      <x:c r="Q788" s="11" t="n">
        <x:f>J788*'Model inputs'!$B$8</x:f>
        <x:v>-10003</x:v>
      </x:c>
      <x:c r="R788" s="1" t="str">
        <x:v>Indicative only</x:v>
      </x:c>
      <x:c r="S788" s="1" t="n">
        <x:v>340</x:v>
      </x:c>
      <x:c r="T788" s="1" t="n">
        <x:v>359</x:v>
      </x:c>
    </x:row>
    <x:row r="789" ht="21" customHeight="1">
      <x:c r="A789" s="12" t="n">
        <x:v>46269</x:v>
      </x:c>
      <x:c r="B789" s="1" t="str">
        <x:v>1x2 ratio</x:v>
      </x:c>
      <x:c r="C789" s="1" t="str">
        <x:v>put</x:v>
      </x:c>
      <x:c r="D789" s="11" t="n">
        <x:v>8300</x:v>
      </x:c>
      <x:c r="E789" s="11" t="n">
        <x:v>8000</x:v>
      </x:c>
      <x:c r="F789" s="11"/>
      <x:c r="G789" s="11" t="n">
        <x:f>'Option source'!B877</x:f>
        <x:v>1350</x:v>
      </x:c>
      <x:c r="H789" s="11" t="n">
        <x:f>'Option source'!B858</x:f>
        <x:v>1000</x:v>
      </x:c>
      <x:c r="I789" s="11"/>
      <x:c r="J789" s="11" t="n">
        <x:f>G789-2*H789+IF(B789="Butterfly",I789,0)</x:f>
        <x:v>-650</x:v>
      </x:c>
      <x:c r="K789" s="11" t="n">
        <x:f>ABS(E789-D789)</x:f>
        <x:v>300</x:v>
      </x:c>
      <x:c r="L789" s="11" t="n">
        <x:f>K789-J789</x:f>
        <x:v>950</x:v>
      </x:c>
      <x:c r="M789" s="11" t="n">
        <x:f>IF(B789="Butterfly",MAX(J789,0),IF(C789="call","Unlimited",MAX(2*E789-D789+J789,J789,0)))</x:f>
        <x:v>7050</x:v>
      </x:c>
      <x:c r="N789" s="11" t="n">
        <x:f>IF(B789="Butterfly",IF(AND(J789&gt;0,J789&lt;K789),D789+J789,"n.a."),IF(C789="call",IF(AND(J789&gt;0,J789&lt;K789),D789+J789,"n.a."),IF(AND(K789&gt;J789,2*E789-D789+J789&gt;=0),2*E789-D789+J789,"n.a.")))</x:f>
        <x:v>7050</x:v>
      </x:c>
      <x:c r="O789" s="11" t="str">
        <x:f>IF(B789="Butterfly",IF(AND(J789&gt;0,J789&lt;K789),F789-J789,"n.a."),IF(C789="call",IF(K789&gt;J789,2*E789-D789-J789,"n.a."),IF(AND(J789&gt;0,J789&lt;K789),D789-J789,"n.a.")))</x:f>
        <x:v>n.a.</x:v>
      </x:c>
      <x:c r="P789" s="19" t="str">
        <x:f>IF(AND(B789="Butterfly",J789&gt;0,J789&lt;K789),L789/J789,"n.a.")</x:f>
        <x:v>n.a.</x:v>
      </x:c>
      <x:c r="Q789" s="11" t="n">
        <x:f>J789*'Model inputs'!$B$8</x:f>
        <x:v>-65000</x:v>
      </x:c>
      <x:c r="R789" s="1" t="str">
        <x:v>Indicative only</x:v>
      </x:c>
      <x:c r="S789" s="1" t="n">
        <x:v>872</x:v>
      </x:c>
      <x:c r="T789" s="1" t="n">
        <x:v>853</x:v>
      </x:c>
    </x:row>
    <x:row r="790" ht="21" customHeight="1">
      <x:c r="A790" s="12" t="n">
        <x:v>46269</x:v>
      </x:c>
      <x:c r="B790" s="1" t="str">
        <x:v>1x2 ratio</x:v>
      </x:c>
      <x:c r="C790" s="1" t="str">
        <x:v>put</x:v>
      </x:c>
      <x:c r="D790" s="11" t="n">
        <x:v>6200</x:v>
      </x:c>
      <x:c r="E790" s="11" t="n">
        <x:v>6000</x:v>
      </x:c>
      <x:c r="F790" s="11"/>
      <x:c r="G790" s="11" t="n">
        <x:f>'Option source'!B687</x:f>
        <x:v>76.05</x:v>
      </x:c>
      <x:c r="H790" s="11" t="n">
        <x:f>'Option source'!B668</x:f>
        <x:v>46.91</x:v>
      </x:c>
      <x:c r="I790" s="11"/>
      <x:c r="J790" s="11" t="n">
        <x:f>G790-2*H790+IF(B790="Butterfly",I790,0)</x:f>
        <x:v>-17.769999999999996</x:v>
      </x:c>
      <x:c r="K790" s="11" t="n">
        <x:f>ABS(E790-D790)</x:f>
        <x:v>200</x:v>
      </x:c>
      <x:c r="L790" s="11" t="n">
        <x:f>K790-J790</x:f>
        <x:v>217.76999999999998</x:v>
      </x:c>
      <x:c r="M790" s="11" t="n">
        <x:f>IF(B790="Butterfly",MAX(J790,0),IF(C790="call","Unlimited",MAX(2*E790-D790+J790,J790,0)))</x:f>
        <x:v>5782.23</x:v>
      </x:c>
      <x:c r="N790" s="11" t="n">
        <x:f>IF(B790="Butterfly",IF(AND(J790&gt;0,J790&lt;K790),D790+J790,"n.a."),IF(C790="call",IF(AND(J790&gt;0,J790&lt;K790),D790+J790,"n.a."),IF(AND(K790&gt;J790,2*E790-D790+J790&gt;=0),2*E790-D790+J790,"n.a.")))</x:f>
        <x:v>5782.23</x:v>
      </x:c>
      <x:c r="O790" s="11" t="str">
        <x:f>IF(B790="Butterfly",IF(AND(J790&gt;0,J790&lt;K790),F790-J790,"n.a."),IF(C790="call",IF(K790&gt;J790,2*E790-D790-J790,"n.a."),IF(AND(J790&gt;0,J790&lt;K790),D790-J790,"n.a.")))</x:f>
        <x:v>n.a.</x:v>
      </x:c>
      <x:c r="P790" s="19" t="str">
        <x:f>IF(AND(B790="Butterfly",J790&gt;0,J790&lt;K790),L790/J790,"n.a.")</x:f>
        <x:v>n.a.</x:v>
      </x:c>
      <x:c r="Q790" s="11" t="n">
        <x:f>J790*'Model inputs'!$B$8</x:f>
        <x:v>-1776.9999999999995</x:v>
      </x:c>
      <x:c r="R790" s="1" t="str">
        <x:v>Indicative only</x:v>
      </x:c>
      <x:c r="S790" s="1" t="n">
        <x:v>682</x:v>
      </x:c>
      <x:c r="T790" s="1" t="n">
        <x:v>663</x:v>
      </x:c>
    </x:row>
    <x:row r="791" ht="21" customHeight="1">
      <x:c r="A791" s="12" t="n">
        <x:v>46269</x:v>
      </x:c>
      <x:c r="B791" s="1" t="str">
        <x:v>1x2 ratio</x:v>
      </x:c>
      <x:c r="C791" s="1" t="str">
        <x:v>put</x:v>
      </x:c>
      <x:c r="D791" s="11" t="n">
        <x:v>6000</x:v>
      </x:c>
      <x:c r="E791" s="11" t="n">
        <x:v>5800</x:v>
      </x:c>
      <x:c r="F791" s="11"/>
      <x:c r="G791" s="11" t="n">
        <x:f>'Option source'!B668</x:f>
        <x:v>46.91</x:v>
      </x:c>
      <x:c r="H791" s="11" t="n">
        <x:f>'Option source'!B649</x:f>
        <x:v>27.57</x:v>
      </x:c>
      <x:c r="I791" s="11"/>
      <x:c r="J791" s="11" t="n">
        <x:f>G791-2*H791+IF(B791="Butterfly",I791,0)</x:f>
        <x:v>-8.230000000000004</x:v>
      </x:c>
      <x:c r="K791" s="11" t="n">
        <x:f>ABS(E791-D791)</x:f>
        <x:v>200</x:v>
      </x:c>
      <x:c r="L791" s="11" t="n">
        <x:f>K791-J791</x:f>
        <x:v>208.23000000000002</x:v>
      </x:c>
      <x:c r="M791" s="11" t="n">
        <x:f>IF(B791="Butterfly",MAX(J791,0),IF(C791="call","Unlimited",MAX(2*E791-D791+J791,J791,0)))</x:f>
        <x:v>5591.77</x:v>
      </x:c>
      <x:c r="N791" s="11" t="n">
        <x:f>IF(B791="Butterfly",IF(AND(J791&gt;0,J791&lt;K791),D791+J791,"n.a."),IF(C791="call",IF(AND(J791&gt;0,J791&lt;K791),D791+J791,"n.a."),IF(AND(K791&gt;J791,2*E791-D791+J791&gt;=0),2*E791-D791+J791,"n.a.")))</x:f>
        <x:v>5591.77</x:v>
      </x:c>
      <x:c r="O791" s="11" t="str">
        <x:f>IF(B791="Butterfly",IF(AND(J791&gt;0,J791&lt;K791),F791-J791,"n.a."),IF(C791="call",IF(K791&gt;J791,2*E791-D791-J791,"n.a."),IF(AND(J791&gt;0,J791&lt;K791),D791-J791,"n.a.")))</x:f>
        <x:v>n.a.</x:v>
      </x:c>
      <x:c r="P791" s="19" t="str">
        <x:f>IF(AND(B791="Butterfly",J791&gt;0,J791&lt;K791),L791/J791,"n.a.")</x:f>
        <x:v>n.a.</x:v>
      </x:c>
      <x:c r="Q791" s="11" t="n">
        <x:f>J791*'Model inputs'!$B$8</x:f>
        <x:v>-823.0000000000005</x:v>
      </x:c>
      <x:c r="R791" s="1" t="str">
        <x:v>Indicative only</x:v>
      </x:c>
      <x:c r="S791" s="1" t="n">
        <x:v>663</x:v>
      </x:c>
      <x:c r="T791" s="1" t="n">
        <x:v>644</x:v>
      </x:c>
    </x:row>
    <x:row r="792" ht="21" customHeight="1">
      <x:c r="A792" s="12" t="n">
        <x:v>46269</x:v>
      </x:c>
      <x:c r="B792" s="1" t="str">
        <x:v>1x2 ratio</x:v>
      </x:c>
      <x:c r="C792" s="1" t="str">
        <x:v>call</x:v>
      </x:c>
      <x:c r="D792" s="11" t="n">
        <x:v>8000</x:v>
      </x:c>
      <x:c r="E792" s="11" t="n">
        <x:v>8300</x:v>
      </x:c>
      <x:c r="F792" s="11"/>
      <x:c r="G792" s="11" t="n">
        <x:f>'Option source'!B364</x:f>
        <x:v>143.25</x:v>
      </x:c>
      <x:c r="H792" s="11" t="n">
        <x:f>'Option source'!B383</x:f>
        <x:v>91.92</x:v>
      </x:c>
      <x:c r="I792" s="11"/>
      <x:c r="J792" s="11" t="n">
        <x:f>G792-2*H792+IF(B792="Butterfly",I792,0)</x:f>
        <x:v>-40.59</x:v>
      </x:c>
      <x:c r="K792" s="11" t="n">
        <x:f>ABS(E792-D792)</x:f>
        <x:v>300</x:v>
      </x:c>
      <x:c r="L792" s="11" t="n">
        <x:f>K792-J792</x:f>
        <x:v>340.59000000000003</x:v>
      </x:c>
      <x:c r="M792" s="11" t="str">
        <x:f>IF(B792="Butterfly",MAX(J792,0),IF(C792="call","Unlimited",MAX(2*E792-D792+J792,J792,0)))</x:f>
        <x:v>Unlimited</x:v>
      </x:c>
      <x:c r="N792" s="11" t="str">
        <x:f>IF(B792="Butterfly",IF(AND(J792&gt;0,J792&lt;K792),D792+J792,"n.a."),IF(C792="call",IF(AND(J792&gt;0,J792&lt;K792),D792+J792,"n.a."),IF(AND(K792&gt;J792,2*E792-D792+J792&gt;=0),2*E792-D792+J792,"n.a.")))</x:f>
        <x:v>n.a.</x:v>
      </x:c>
      <x:c r="O792" s="11" t="n">
        <x:f>IF(B792="Butterfly",IF(AND(J792&gt;0,J792&lt;K792),F792-J792,"n.a."),IF(C792="call",IF(K792&gt;J792,2*E792-D792-J792,"n.a."),IF(AND(J792&gt;0,J792&lt;K792),D792-J792,"n.a.")))</x:f>
        <x:v>8640.59</x:v>
      </x:c>
      <x:c r="P792" s="19" t="str">
        <x:f>IF(AND(B792="Butterfly",J792&gt;0,J792&lt;K792),L792/J792,"n.a.")</x:f>
        <x:v>n.a.</x:v>
      </x:c>
      <x:c r="Q792" s="11" t="n">
        <x:f>J792*'Model inputs'!$B$8</x:f>
        <x:v>-4059.0000000000005</x:v>
      </x:c>
      <x:c r="R792" s="1" t="str">
        <x:v>Indicative only</x:v>
      </x:c>
      <x:c r="S792" s="1" t="n">
        <x:v>359</x:v>
      </x:c>
      <x:c r="T792" s="1" t="n">
        <x:v>378</x:v>
      </x:c>
    </x:row>
    <x:row r="793" ht="21" customHeight="1">
      <x:c r="A793" s="12" t="n">
        <x:v>46269</x:v>
      </x:c>
      <x:c r="B793" s="1" t="str">
        <x:v>1x2 ratio</x:v>
      </x:c>
      <x:c r="C793" s="1" t="str">
        <x:v>put</x:v>
      </x:c>
      <x:c r="D793" s="11" t="n">
        <x:v>5800</x:v>
      </x:c>
      <x:c r="E793" s="11" t="n">
        <x:v>5600</x:v>
      </x:c>
      <x:c r="F793" s="11"/>
      <x:c r="G793" s="11" t="n">
        <x:f>'Option source'!B649</x:f>
        <x:v>27.57</x:v>
      </x:c>
      <x:c r="H793" s="11" t="n">
        <x:f>'Option source'!B630</x:f>
        <x:v>16.25</x:v>
      </x:c>
      <x:c r="I793" s="11"/>
      <x:c r="J793" s="11" t="n">
        <x:f>G793-2*H793+IF(B793="Butterfly",I793,0)</x:f>
        <x:v>-4.93</x:v>
      </x:c>
      <x:c r="K793" s="11" t="n">
        <x:f>ABS(E793-D793)</x:f>
        <x:v>200</x:v>
      </x:c>
      <x:c r="L793" s="11" t="n">
        <x:f>K793-J793</x:f>
        <x:v>204.93</x:v>
      </x:c>
      <x:c r="M793" s="11" t="n">
        <x:f>IF(B793="Butterfly",MAX(J793,0),IF(C793="call","Unlimited",MAX(2*E793-D793+J793,J793,0)))</x:f>
        <x:v>5395.07</x:v>
      </x:c>
      <x:c r="N793" s="11" t="n">
        <x:f>IF(B793="Butterfly",IF(AND(J793&gt;0,J793&lt;K793),D793+J793,"n.a."),IF(C793="call",IF(AND(J793&gt;0,J793&lt;K793),D793+J793,"n.a."),IF(AND(K793&gt;J793,2*E793-D793+J793&gt;=0),2*E793-D793+J793,"n.a.")))</x:f>
        <x:v>5395.07</x:v>
      </x:c>
      <x:c r="O793" s="11" t="str">
        <x:f>IF(B793="Butterfly",IF(AND(J793&gt;0,J793&lt;K793),F793-J793,"n.a."),IF(C793="call",IF(K793&gt;J793,2*E793-D793-J793,"n.a."),IF(AND(J793&gt;0,J793&lt;K793),D793-J793,"n.a.")))</x:f>
        <x:v>n.a.</x:v>
      </x:c>
      <x:c r="P793" s="19" t="str">
        <x:f>IF(AND(B793="Butterfly",J793&gt;0,J793&lt;K793),L793/J793,"n.a.")</x:f>
        <x:v>n.a.</x:v>
      </x:c>
      <x:c r="Q793" s="11" t="n">
        <x:f>J793*'Model inputs'!$B$8</x:f>
        <x:v>-493</x:v>
      </x:c>
      <x:c r="R793" s="1" t="str">
        <x:v>Indicative only</x:v>
      </x:c>
      <x:c r="S793" s="1" t="n">
        <x:v>644</x:v>
      </x:c>
      <x:c r="T793" s="1" t="n">
        <x:v>625</x:v>
      </x:c>
    </x:row>
    <x:row r="794" ht="21" customHeight="1">
      <x:c r="A794" s="12" t="n">
        <x:v>46269</x:v>
      </x:c>
      <x:c r="B794" s="1" t="str">
        <x:v>1x2 ratio</x:v>
      </x:c>
      <x:c r="C794" s="1" t="str">
        <x:v>call</x:v>
      </x:c>
      <x:c r="D794" s="11" t="n">
        <x:v>8300</x:v>
      </x:c>
      <x:c r="E794" s="11" t="n">
        <x:v>8600</x:v>
      </x:c>
      <x:c r="F794" s="11"/>
      <x:c r="G794" s="11" t="n">
        <x:f>'Option source'!B383</x:f>
        <x:v>91.92</x:v>
      </x:c>
      <x:c r="H794" s="11" t="n">
        <x:f>'Option source'!B402</x:f>
        <x:v>56.19</x:v>
      </x:c>
      <x:c r="I794" s="11"/>
      <x:c r="J794" s="11" t="n">
        <x:f>G794-2*H794+IF(B794="Butterfly",I794,0)</x:f>
        <x:v>-20.459999999999994</x:v>
      </x:c>
      <x:c r="K794" s="11" t="n">
        <x:f>ABS(E794-D794)</x:f>
        <x:v>300</x:v>
      </x:c>
      <x:c r="L794" s="11" t="n">
        <x:f>K794-J794</x:f>
        <x:v>320.46</x:v>
      </x:c>
      <x:c r="M794" s="11" t="str">
        <x:f>IF(B794="Butterfly",MAX(J794,0),IF(C794="call","Unlimited",MAX(2*E794-D794+J794,J794,0)))</x:f>
        <x:v>Unlimited</x:v>
      </x:c>
      <x:c r="N794" s="11" t="str">
        <x:f>IF(B794="Butterfly",IF(AND(J794&gt;0,J794&lt;K794),D794+J794,"n.a."),IF(C794="call",IF(AND(J794&gt;0,J794&lt;K794),D794+J794,"n.a."),IF(AND(K794&gt;J794,2*E794-D794+J794&gt;=0),2*E794-D794+J794,"n.a.")))</x:f>
        <x:v>n.a.</x:v>
      </x:c>
      <x:c r="O794" s="11" t="n">
        <x:f>IF(B794="Butterfly",IF(AND(J794&gt;0,J794&lt;K794),F794-J794,"n.a."),IF(C794="call",IF(K794&gt;J794,2*E794-D794-J794,"n.a."),IF(AND(J794&gt;0,J794&lt;K794),D794-J794,"n.a.")))</x:f>
        <x:v>8920.46</x:v>
      </x:c>
      <x:c r="P794" s="19" t="str">
        <x:f>IF(AND(B794="Butterfly",J794&gt;0,J794&lt;K794),L794/J794,"n.a.")</x:f>
        <x:v>n.a.</x:v>
      </x:c>
      <x:c r="Q794" s="11" t="n">
        <x:f>J794*'Model inputs'!$B$8</x:f>
        <x:v>-2045.9999999999993</x:v>
      </x:c>
      <x:c r="R794" s="1" t="str">
        <x:v>Indicative only</x:v>
      </x:c>
      <x:c r="S794" s="1" t="n">
        <x:v>378</x:v>
      </x:c>
      <x:c r="T794" s="1" t="n">
        <x:v>397</x:v>
      </x:c>
    </x:row>
    <x:row r="795" ht="21" customHeight="1">
      <x:c r="A795" s="12" t="n">
        <x:v>46269</x:v>
      </x:c>
      <x:c r="B795" s="1" t="str">
        <x:v>1x2 ratio</x:v>
      </x:c>
      <x:c r="C795" s="1" t="str">
        <x:v>put</x:v>
      </x:c>
      <x:c r="D795" s="11" t="n">
        <x:v>5600</x:v>
      </x:c>
      <x:c r="E795" s="11" t="n">
        <x:v>5400</x:v>
      </x:c>
      <x:c r="F795" s="11"/>
      <x:c r="G795" s="11" t="n">
        <x:f>'Option source'!B630</x:f>
        <x:v>16.25</x:v>
      </x:c>
      <x:c r="H795" s="11" t="n">
        <x:f>'Option source'!B611</x:f>
        <x:v>8.96</x:v>
      </x:c>
      <x:c r="I795" s="11"/>
      <x:c r="J795" s="11" t="n">
        <x:f>G795-2*H795+IF(B795="Butterfly",I795,0)</x:f>
        <x:v>-1.6700000000000017</x:v>
      </x:c>
      <x:c r="K795" s="11" t="n">
        <x:f>ABS(E795-D795)</x:f>
        <x:v>200</x:v>
      </x:c>
      <x:c r="L795" s="11" t="n">
        <x:f>K795-J795</x:f>
        <x:v>201.67000000000002</x:v>
      </x:c>
      <x:c r="M795" s="11" t="n">
        <x:f>IF(B795="Butterfly",MAX(J795,0),IF(C795="call","Unlimited",MAX(2*E795-D795+J795,J795,0)))</x:f>
        <x:v>5198.33</x:v>
      </x:c>
      <x:c r="N795" s="11" t="n">
        <x:f>IF(B795="Butterfly",IF(AND(J795&gt;0,J795&lt;K795),D795+J795,"n.a."),IF(C795="call",IF(AND(J795&gt;0,J795&lt;K795),D795+J795,"n.a."),IF(AND(K795&gt;J795,2*E795-D795+J795&gt;=0),2*E795-D795+J795,"n.a.")))</x:f>
        <x:v>5198.33</x:v>
      </x:c>
      <x:c r="O795" s="11" t="str">
        <x:f>IF(B795="Butterfly",IF(AND(J795&gt;0,J795&lt;K795),F795-J795,"n.a."),IF(C795="call",IF(K795&gt;J795,2*E795-D795-J795,"n.a."),IF(AND(J795&gt;0,J795&lt;K795),D795-J795,"n.a.")))</x:f>
        <x:v>n.a.</x:v>
      </x:c>
      <x:c r="P795" s="19" t="str">
        <x:f>IF(AND(B795="Butterfly",J795&gt;0,J795&lt;K795),L795/J795,"n.a.")</x:f>
        <x:v>n.a.</x:v>
      </x:c>
      <x:c r="Q795" s="11" t="n">
        <x:f>J795*'Model inputs'!$B$8</x:f>
        <x:v>-167.00000000000017</x:v>
      </x:c>
      <x:c r="R795" s="1" t="str">
        <x:v>Indicative only</x:v>
      </x:c>
      <x:c r="S795" s="1" t="n">
        <x:v>625</x:v>
      </x:c>
      <x:c r="T795" s="1" t="n">
        <x:v>606</x:v>
      </x:c>
    </x:row>
    <x:row r="796" ht="21" customHeight="1">
      <x:c r="A796" s="12" t="n">
        <x:v>46269</x:v>
      </x:c>
      <x:c r="B796" s="1" t="str">
        <x:v>1x2 ratio</x:v>
      </x:c>
      <x:c r="C796" s="1" t="str">
        <x:v>put</x:v>
      </x:c>
      <x:c r="D796" s="11" t="n">
        <x:v>5400</x:v>
      </x:c>
      <x:c r="E796" s="11" t="n">
        <x:v>5200</x:v>
      </x:c>
      <x:c r="F796" s="11"/>
      <x:c r="G796" s="11" t="n">
        <x:f>'Option source'!B611</x:f>
        <x:v>8.96</x:v>
      </x:c>
      <x:c r="H796" s="11" t="n">
        <x:f>'Option source'!B592</x:f>
        <x:v>4.92</x:v>
      </x:c>
      <x:c r="I796" s="11"/>
      <x:c r="J796" s="11" t="n">
        <x:f>G796-2*H796+IF(B796="Butterfly",I796,0)</x:f>
        <x:v>-0.879999999999999</x:v>
      </x:c>
      <x:c r="K796" s="11" t="n">
        <x:f>ABS(E796-D796)</x:f>
        <x:v>200</x:v>
      </x:c>
      <x:c r="L796" s="11" t="n">
        <x:f>K796-J796</x:f>
        <x:v>200.88</x:v>
      </x:c>
      <x:c r="M796" s="11" t="n">
        <x:f>IF(B796="Butterfly",MAX(J796,0),IF(C796="call","Unlimited",MAX(2*E796-D796+J796,J796,0)))</x:f>
        <x:v>4999.12</x:v>
      </x:c>
      <x:c r="N796" s="11" t="n">
        <x:f>IF(B796="Butterfly",IF(AND(J796&gt;0,J796&lt;K796),D796+J796,"n.a."),IF(C796="call",IF(AND(J796&gt;0,J796&lt;K796),D796+J796,"n.a."),IF(AND(K796&gt;J796,2*E796-D796+J796&gt;=0),2*E796-D796+J796,"n.a.")))</x:f>
        <x:v>4999.12</x:v>
      </x:c>
      <x:c r="O796" s="11" t="str">
        <x:f>IF(B796="Butterfly",IF(AND(J796&gt;0,J796&lt;K796),F796-J796,"n.a."),IF(C796="call",IF(K796&gt;J796,2*E796-D796-J796,"n.a."),IF(AND(J796&gt;0,J796&lt;K796),D796-J796,"n.a.")))</x:f>
        <x:v>n.a.</x:v>
      </x:c>
      <x:c r="P796" s="19" t="str">
        <x:f>IF(AND(B796="Butterfly",J796&gt;0,J796&lt;K796),L796/J796,"n.a.")</x:f>
        <x:v>n.a.</x:v>
      </x:c>
      <x:c r="Q796" s="11" t="n">
        <x:f>J796*'Model inputs'!$B$8</x:f>
        <x:v>-87.9999999999999</x:v>
      </x:c>
      <x:c r="R796" s="1" t="str">
        <x:v>Indicative only</x:v>
      </x:c>
      <x:c r="S796" s="1" t="n">
        <x:v>606</x:v>
      </x:c>
      <x:c r="T796" s="1" t="n">
        <x:v>587</x:v>
      </x:c>
    </x:row>
    <x:row r="797" ht="21" customHeight="1">
      <x:c r="A797" s="12" t="n">
        <x:v>46269</x:v>
      </x:c>
      <x:c r="B797" s="1" t="str">
        <x:v>1x2 ratio</x:v>
      </x:c>
      <x:c r="C797" s="1" t="str">
        <x:v>call</x:v>
      </x:c>
      <x:c r="D797" s="11" t="n">
        <x:v>8600</x:v>
      </x:c>
      <x:c r="E797" s="11" t="n">
        <x:v>8900</x:v>
      </x:c>
      <x:c r="F797" s="11"/>
      <x:c r="G797" s="11" t="n">
        <x:f>'Option source'!B402</x:f>
        <x:v>56.19</x:v>
      </x:c>
      <x:c r="H797" s="11" t="n">
        <x:f>'Option source'!B421</x:f>
        <x:v>34.74</x:v>
      </x:c>
      <x:c r="I797" s="11"/>
      <x:c r="J797" s="11" t="n">
        <x:f>G797-2*H797+IF(B797="Butterfly",I797,0)</x:f>
        <x:v>-13.290000000000006</x:v>
      </x:c>
      <x:c r="K797" s="11" t="n">
        <x:f>ABS(E797-D797)</x:f>
        <x:v>300</x:v>
      </x:c>
      <x:c r="L797" s="11" t="n">
        <x:f>K797-J797</x:f>
        <x:v>313.29</x:v>
      </x:c>
      <x:c r="M797" s="11" t="str">
        <x:f>IF(B797="Butterfly",MAX(J797,0),IF(C797="call","Unlimited",MAX(2*E797-D797+J797,J797,0)))</x:f>
        <x:v>Unlimited</x:v>
      </x:c>
      <x:c r="N797" s="11" t="str">
        <x:f>IF(B797="Butterfly",IF(AND(J797&gt;0,J797&lt;K797),D797+J797,"n.a."),IF(C797="call",IF(AND(J797&gt;0,J797&lt;K797),D797+J797,"n.a."),IF(AND(K797&gt;J797,2*E797-D797+J797&gt;=0),2*E797-D797+J797,"n.a.")))</x:f>
        <x:v>n.a.</x:v>
      </x:c>
      <x:c r="O797" s="11" t="n">
        <x:f>IF(B797="Butterfly",IF(AND(J797&gt;0,J797&lt;K797),F797-J797,"n.a."),IF(C797="call",IF(K797&gt;J797,2*E797-D797-J797,"n.a."),IF(AND(J797&gt;0,J797&lt;K797),D797-J797,"n.a.")))</x:f>
        <x:v>9213.29</x:v>
      </x:c>
      <x:c r="P797" s="19" t="str">
        <x:f>IF(AND(B797="Butterfly",J797&gt;0,J797&lt;K797),L797/J797,"n.a.")</x:f>
        <x:v>n.a.</x:v>
      </x:c>
      <x:c r="Q797" s="11" t="n">
        <x:f>J797*'Model inputs'!$B$8</x:f>
        <x:v>-1329.0000000000007</x:v>
      </x:c>
      <x:c r="R797" s="1" t="str">
        <x:v>Indicative only</x:v>
      </x:c>
      <x:c r="S797" s="1" t="n">
        <x:v>397</x:v>
      </x:c>
      <x:c r="T797" s="1" t="n">
        <x:v>416</x:v>
      </x:c>
    </x:row>
    <x:row r="798" ht="21" customHeight="1">
      <x:c r="A798" s="12" t="n">
        <x:v>46269</x:v>
      </x:c>
      <x:c r="B798" s="1" t="str">
        <x:v>1x2 ratio</x:v>
      </x:c>
      <x:c r="C798" s="1" t="str">
        <x:v>put</x:v>
      </x:c>
      <x:c r="D798" s="11" t="n">
        <x:v>5200</x:v>
      </x:c>
      <x:c r="E798" s="11" t="n">
        <x:v>5000</x:v>
      </x:c>
      <x:c r="F798" s="11"/>
      <x:c r="G798" s="11" t="n">
        <x:f>'Option source'!B592</x:f>
        <x:v>4.92</x:v>
      </x:c>
      <x:c r="H798" s="11" t="n">
        <x:f>'Option source'!B573</x:f>
        <x:v>3.15</x:v>
      </x:c>
      <x:c r="I798" s="11"/>
      <x:c r="J798" s="11" t="n">
        <x:f>G798-2*H798+IF(B798="Butterfly",I798,0)</x:f>
        <x:v>-1.38</x:v>
      </x:c>
      <x:c r="K798" s="11" t="n">
        <x:f>ABS(E798-D798)</x:f>
        <x:v>200</x:v>
      </x:c>
      <x:c r="L798" s="11" t="n">
        <x:f>K798-J798</x:f>
        <x:v>201.38</x:v>
      </x:c>
      <x:c r="M798" s="11" t="n">
        <x:f>IF(B798="Butterfly",MAX(J798,0),IF(C798="call","Unlimited",MAX(2*E798-D798+J798,J798,0)))</x:f>
        <x:v>4798.62</x:v>
      </x:c>
      <x:c r="N798" s="11" t="n">
        <x:f>IF(B798="Butterfly",IF(AND(J798&gt;0,J798&lt;K798),D798+J798,"n.a."),IF(C798="call",IF(AND(J798&gt;0,J798&lt;K798),D798+J798,"n.a."),IF(AND(K798&gt;J798,2*E798-D798+J798&gt;=0),2*E798-D798+J798,"n.a.")))</x:f>
        <x:v>4798.62</x:v>
      </x:c>
      <x:c r="O798" s="11" t="str">
        <x:f>IF(B798="Butterfly",IF(AND(J798&gt;0,J798&lt;K798),F798-J798,"n.a."),IF(C798="call",IF(K798&gt;J798,2*E798-D798-J798,"n.a."),IF(AND(J798&gt;0,J798&lt;K798),D798-J798,"n.a.")))</x:f>
        <x:v>n.a.</x:v>
      </x:c>
      <x:c r="P798" s="19" t="str">
        <x:f>IF(AND(B798="Butterfly",J798&gt;0,J798&lt;K798),L798/J798,"n.a.")</x:f>
        <x:v>n.a.</x:v>
      </x:c>
      <x:c r="Q798" s="11" t="n">
        <x:f>J798*'Model inputs'!$B$8</x:f>
        <x:v>-138</x:v>
      </x:c>
      <x:c r="R798" s="1" t="str">
        <x:v>Indicative only</x:v>
      </x:c>
      <x:c r="S798" s="1" t="n">
        <x:v>587</x:v>
      </x:c>
      <x:c r="T798" s="1" t="n">
        <x:v>568</x:v>
      </x:c>
    </x:row>
    <x:row r="799" ht="21" customHeight="1">
      <x:c r="A799" s="12" t="n">
        <x:v>46269</x:v>
      </x:c>
      <x:c r="B799" s="1" t="str">
        <x:v>1x2 ratio</x:v>
      </x:c>
      <x:c r="C799" s="1" t="str">
        <x:v>call</x:v>
      </x:c>
      <x:c r="D799" s="11" t="n">
        <x:v>8900</x:v>
      </x:c>
      <x:c r="E799" s="11" t="n">
        <x:v>9200</x:v>
      </x:c>
      <x:c r="F799" s="11"/>
      <x:c r="G799" s="11" t="n">
        <x:f>'Option source'!B421</x:f>
        <x:v>34.74</x:v>
      </x:c>
      <x:c r="H799" s="11" t="n">
        <x:f>'Option source'!B440</x:f>
        <x:v>21.04</x:v>
      </x:c>
      <x:c r="I799" s="11"/>
      <x:c r="J799" s="11" t="n">
        <x:f>G799-2*H799+IF(B799="Butterfly",I799,0)</x:f>
        <x:v>-7.339999999999996</x:v>
      </x:c>
      <x:c r="K799" s="11" t="n">
        <x:f>ABS(E799-D799)</x:f>
        <x:v>300</x:v>
      </x:c>
      <x:c r="L799" s="11" t="n">
        <x:f>K799-J799</x:f>
        <x:v>307.34</x:v>
      </x:c>
      <x:c r="M799" s="11" t="str">
        <x:f>IF(B799="Butterfly",MAX(J799,0),IF(C799="call","Unlimited",MAX(2*E799-D799+J799,J799,0)))</x:f>
        <x:v>Unlimited</x:v>
      </x:c>
      <x:c r="N799" s="11" t="str">
        <x:f>IF(B799="Butterfly",IF(AND(J799&gt;0,J799&lt;K799),D799+J799,"n.a."),IF(C799="call",IF(AND(J799&gt;0,J799&lt;K799),D799+J799,"n.a."),IF(AND(K799&gt;J799,2*E799-D799+J799&gt;=0),2*E799-D799+J799,"n.a.")))</x:f>
        <x:v>n.a.</x:v>
      </x:c>
      <x:c r="O799" s="11" t="n">
        <x:f>IF(B799="Butterfly",IF(AND(J799&gt;0,J799&lt;K799),F799-J799,"n.a."),IF(C799="call",IF(K799&gt;J799,2*E799-D799-J799,"n.a."),IF(AND(J799&gt;0,J799&lt;K799),D799-J799,"n.a.")))</x:f>
        <x:v>9507.34</x:v>
      </x:c>
      <x:c r="P799" s="19" t="str">
        <x:f>IF(AND(B799="Butterfly",J799&gt;0,J799&lt;K799),L799/J799,"n.a.")</x:f>
        <x:v>n.a.</x:v>
      </x:c>
      <x:c r="Q799" s="11" t="n">
        <x:f>J799*'Model inputs'!$B$8</x:f>
        <x:v>-733.9999999999997</x:v>
      </x:c>
      <x:c r="R799" s="1" t="str">
        <x:v>Indicative only</x:v>
      </x:c>
      <x:c r="S799" s="1" t="n">
        <x:v>416</x:v>
      </x:c>
      <x:c r="T799" s="1" t="n">
        <x:v>435</x:v>
      </x:c>
    </x:row>
    <x:row r="800" ht="21" customHeight="1">
      <x:c r="A800" s="12" t="n">
        <x:v>46269</x:v>
      </x:c>
      <x:c r="B800" s="1" t="str">
        <x:v>1x2 ratio</x:v>
      </x:c>
      <x:c r="C800" s="1" t="str">
        <x:v>put</x:v>
      </x:c>
      <x:c r="D800" s="11" t="n">
        <x:v>5000</x:v>
      </x:c>
      <x:c r="E800" s="11" t="n">
        <x:v>4800</x:v>
      </x:c>
      <x:c r="F800" s="11"/>
      <x:c r="G800" s="11" t="n">
        <x:f>'Option source'!B573</x:f>
        <x:v>3.15</x:v>
      </x:c>
      <x:c r="H800" s="11" t="n">
        <x:f>'Option source'!B554</x:f>
        <x:v>1.8</x:v>
      </x:c>
      <x:c r="I800" s="11"/>
      <x:c r="J800" s="11" t="n">
        <x:f>G800-2*H800+IF(B800="Butterfly",I800,0)</x:f>
        <x:v>-0.4500000000000002</x:v>
      </x:c>
      <x:c r="K800" s="11" t="n">
        <x:f>ABS(E800-D800)</x:f>
        <x:v>200</x:v>
      </x:c>
      <x:c r="L800" s="11" t="n">
        <x:f>K800-J800</x:f>
        <x:v>200.45</x:v>
      </x:c>
      <x:c r="M800" s="11" t="n">
        <x:f>IF(B800="Butterfly",MAX(J800,0),IF(C800="call","Unlimited",MAX(2*E800-D800+J800,J800,0)))</x:f>
        <x:v>4599.55</x:v>
      </x:c>
      <x:c r="N800" s="11" t="n">
        <x:f>IF(B800="Butterfly",IF(AND(J800&gt;0,J800&lt;K800),D800+J800,"n.a."),IF(C800="call",IF(AND(J800&gt;0,J800&lt;K800),D800+J800,"n.a."),IF(AND(K800&gt;J800,2*E800-D800+J800&gt;=0),2*E800-D800+J800,"n.a.")))</x:f>
        <x:v>4599.55</x:v>
      </x:c>
      <x:c r="O800" s="11" t="str">
        <x:f>IF(B800="Butterfly",IF(AND(J800&gt;0,J800&lt;K800),F800-J800,"n.a."),IF(C800="call",IF(K800&gt;J800,2*E800-D800-J800,"n.a."),IF(AND(J800&gt;0,J800&lt;K800),D800-J800,"n.a.")))</x:f>
        <x:v>n.a.</x:v>
      </x:c>
      <x:c r="P800" s="19" t="str">
        <x:f>IF(AND(B800="Butterfly",J800&gt;0,J800&lt;K800),L800/J800,"n.a.")</x:f>
        <x:v>n.a.</x:v>
      </x:c>
      <x:c r="Q800" s="11" t="n">
        <x:f>J800*'Model inputs'!$B$8</x:f>
        <x:v>-45.000000000000014</x:v>
      </x:c>
      <x:c r="R800" s="1" t="str">
        <x:v>Indicative only</x:v>
      </x:c>
      <x:c r="S800" s="1" t="n">
        <x:v>568</x:v>
      </x:c>
      <x:c r="T800" s="1" t="n">
        <x:v>549</x:v>
      </x:c>
    </x:row>
    <x:row r="801" ht="21" customHeight="1">
      <x:c r="A801" s="12" t="n">
        <x:v>46269</x:v>
      </x:c>
      <x:c r="B801" s="1" t="str">
        <x:v>1x2 ratio</x:v>
      </x:c>
      <x:c r="C801" s="1" t="str">
        <x:v>put</x:v>
      </x:c>
      <x:c r="D801" s="11" t="n">
        <x:v>4800</x:v>
      </x:c>
      <x:c r="E801" s="11" t="n">
        <x:v>4600</x:v>
      </x:c>
      <x:c r="F801" s="11"/>
      <x:c r="G801" s="11" t="n">
        <x:f>'Option source'!B554</x:f>
        <x:v>1.8</x:v>
      </x:c>
      <x:c r="H801" s="11" t="n">
        <x:f>'Option source'!B535</x:f>
        <x:v>1.4</x:v>
      </x:c>
      <x:c r="I801" s="11"/>
      <x:c r="J801" s="11" t="n">
        <x:f>G801-2*H801+IF(B801="Butterfly",I801,0)</x:f>
        <x:v>-0.9999999999999998</x:v>
      </x:c>
      <x:c r="K801" s="11" t="n">
        <x:f>ABS(E801-D801)</x:f>
        <x:v>200</x:v>
      </x:c>
      <x:c r="L801" s="11" t="n">
        <x:f>K801-J801</x:f>
        <x:v>201</x:v>
      </x:c>
      <x:c r="M801" s="11" t="n">
        <x:f>IF(B801="Butterfly",MAX(J801,0),IF(C801="call","Unlimited",MAX(2*E801-D801+J801,J801,0)))</x:f>
        <x:v>4399</x:v>
      </x:c>
      <x:c r="N801" s="11" t="n">
        <x:f>IF(B801="Butterfly",IF(AND(J801&gt;0,J801&lt;K801),D801+J801,"n.a."),IF(C801="call",IF(AND(J801&gt;0,J801&lt;K801),D801+J801,"n.a."),IF(AND(K801&gt;J801,2*E801-D801+J801&gt;=0),2*E801-D801+J801,"n.a.")))</x:f>
        <x:v>4399</x:v>
      </x:c>
      <x:c r="O801" s="11" t="str">
        <x:f>IF(B801="Butterfly",IF(AND(J801&gt;0,J801&lt;K801),F801-J801,"n.a."),IF(C801="call",IF(K801&gt;J801,2*E801-D801-J801,"n.a."),IF(AND(J801&gt;0,J801&lt;K801),D801-J801,"n.a.")))</x:f>
        <x:v>n.a.</x:v>
      </x:c>
      <x:c r="P801" s="19" t="str">
        <x:f>IF(AND(B801="Butterfly",J801&gt;0,J801&lt;K801),L801/J801,"n.a.")</x:f>
        <x:v>n.a.</x:v>
      </x:c>
      <x:c r="Q801" s="11" t="n">
        <x:f>J801*'Model inputs'!$B$8</x:f>
        <x:v>-99.99999999999997</x:v>
      </x:c>
      <x:c r="R801" s="1" t="str">
        <x:v>Indicative only</x:v>
      </x:c>
      <x:c r="S801" s="1" t="n">
        <x:v>549</x:v>
      </x:c>
      <x:c r="T801" s="1" t="n">
        <x:v>530</x:v>
      </x:c>
    </x:row>
    <x:row r="802" ht="21" customHeight="1">
      <x:c r="A802" s="12" t="n">
        <x:v>46269</x:v>
      </x:c>
      <x:c r="B802" s="1" t="str">
        <x:v>1x2 ratio</x:v>
      </x:c>
      <x:c r="C802" s="1" t="str">
        <x:v>call</x:v>
      </x:c>
      <x:c r="D802" s="11" t="n">
        <x:v>9200</x:v>
      </x:c>
      <x:c r="E802" s="11" t="n">
        <x:v>9500</x:v>
      </x:c>
      <x:c r="F802" s="11"/>
      <x:c r="G802" s="11" t="n">
        <x:f>'Option source'!B440</x:f>
        <x:v>21.04</x:v>
      </x:c>
      <x:c r="H802" s="11" t="n">
        <x:f>'Option source'!B459</x:f>
        <x:v>14.06</x:v>
      </x:c>
      <x:c r="I802" s="11"/>
      <x:c r="J802" s="11" t="n">
        <x:f>G802-2*H802+IF(B802="Butterfly",I802,0)</x:f>
        <x:v>-7.080000000000002</x:v>
      </x:c>
      <x:c r="K802" s="11" t="n">
        <x:f>ABS(E802-D802)</x:f>
        <x:v>300</x:v>
      </x:c>
      <x:c r="L802" s="11" t="n">
        <x:f>K802-J802</x:f>
        <x:v>307.08</x:v>
      </x:c>
      <x:c r="M802" s="11" t="str">
        <x:f>IF(B802="Butterfly",MAX(J802,0),IF(C802="call","Unlimited",MAX(2*E802-D802+J802,J802,0)))</x:f>
        <x:v>Unlimited</x:v>
      </x:c>
      <x:c r="N802" s="11" t="str">
        <x:f>IF(B802="Butterfly",IF(AND(J802&gt;0,J802&lt;K802),D802+J802,"n.a."),IF(C802="call",IF(AND(J802&gt;0,J802&lt;K802),D802+J802,"n.a."),IF(AND(K802&gt;J802,2*E802-D802+J802&gt;=0),2*E802-D802+J802,"n.a.")))</x:f>
        <x:v>n.a.</x:v>
      </x:c>
      <x:c r="O802" s="11" t="n">
        <x:f>IF(B802="Butterfly",IF(AND(J802&gt;0,J802&lt;K802),F802-J802,"n.a."),IF(C802="call",IF(K802&gt;J802,2*E802-D802-J802,"n.a."),IF(AND(J802&gt;0,J802&lt;K802),D802-J802,"n.a.")))</x:f>
        <x:v>9807.08</x:v>
      </x:c>
      <x:c r="P802" s="19" t="str">
        <x:f>IF(AND(B802="Butterfly",J802&gt;0,J802&lt;K802),L802/J802,"n.a.")</x:f>
        <x:v>n.a.</x:v>
      </x:c>
      <x:c r="Q802" s="11" t="n">
        <x:f>J802*'Model inputs'!$B$8</x:f>
        <x:v>-708.0000000000002</x:v>
      </x:c>
      <x:c r="R802" s="1" t="str">
        <x:v>Indicative only</x:v>
      </x:c>
      <x:c r="S802" s="1" t="n">
        <x:v>435</x:v>
      </x:c>
      <x:c r="T802" s="1" t="n">
        <x:v>454</x:v>
      </x:c>
    </x:row>
    <x:row r="803" ht="21" customHeight="1">
      <x:c r="A803" s="12" t="n">
        <x:v>46269</x:v>
      </x:c>
      <x:c r="B803" s="1" t="str">
        <x:v>1x2 ratio</x:v>
      </x:c>
      <x:c r="C803" s="1" t="str">
        <x:v>put</x:v>
      </x:c>
      <x:c r="D803" s="11" t="n">
        <x:v>4600</x:v>
      </x:c>
      <x:c r="E803" s="11" t="n">
        <x:v>4400</x:v>
      </x:c>
      <x:c r="F803" s="11"/>
      <x:c r="G803" s="11" t="n">
        <x:f>'Option source'!B535</x:f>
        <x:v>1.4</x:v>
      </x:c>
      <x:c r="H803" s="11" t="n">
        <x:f>'Option source'!B516</x:f>
        <x:v>1.17</x:v>
      </x:c>
      <x:c r="I803" s="11"/>
      <x:c r="J803" s="11" t="n">
        <x:f>G803-2*H803+IF(B803="Butterfly",I803,0)</x:f>
        <x:v>-0.94</x:v>
      </x:c>
      <x:c r="K803" s="11" t="n">
        <x:f>ABS(E803-D803)</x:f>
        <x:v>200</x:v>
      </x:c>
      <x:c r="L803" s="11" t="n">
        <x:f>K803-J803</x:f>
        <x:v>200.94</x:v>
      </x:c>
      <x:c r="M803" s="11" t="n">
        <x:f>IF(B803="Butterfly",MAX(J803,0),IF(C803="call","Unlimited",MAX(2*E803-D803+J803,J803,0)))</x:f>
        <x:v>4199.06</x:v>
      </x:c>
      <x:c r="N803" s="11" t="n">
        <x:f>IF(B803="Butterfly",IF(AND(J803&gt;0,J803&lt;K803),D803+J803,"n.a."),IF(C803="call",IF(AND(J803&gt;0,J803&lt;K803),D803+J803,"n.a."),IF(AND(K803&gt;J803,2*E803-D803+J803&gt;=0),2*E803-D803+J803,"n.a.")))</x:f>
        <x:v>4199.06</x:v>
      </x:c>
      <x:c r="O803" s="11" t="str">
        <x:f>IF(B803="Butterfly",IF(AND(J803&gt;0,J803&lt;K803),F803-J803,"n.a."),IF(C803="call",IF(K803&gt;J803,2*E803-D803-J803,"n.a."),IF(AND(J803&gt;0,J803&lt;K803),D803-J803,"n.a.")))</x:f>
        <x:v>n.a.</x:v>
      </x:c>
      <x:c r="P803" s="19" t="str">
        <x:f>IF(AND(B803="Butterfly",J803&gt;0,J803&lt;K803),L803/J803,"n.a.")</x:f>
        <x:v>n.a.</x:v>
      </x:c>
      <x:c r="Q803" s="11" t="n">
        <x:f>J803*'Model inputs'!$B$8</x:f>
        <x:v>-94</x:v>
      </x:c>
      <x:c r="R803" s="1" t="str">
        <x:v>Indicative only</x:v>
      </x:c>
      <x:c r="S803" s="1" t="n">
        <x:v>530</x:v>
      </x:c>
      <x:c r="T803" s="1" t="n">
        <x:v>511</x:v>
      </x:c>
    </x:row>
    <x:row r="804" ht="21" customHeight="1">
      <x:c r="A804" s="12" t="n">
        <x:v>46269</x:v>
      </x:c>
      <x:c r="B804" s="1" t="str">
        <x:v>1x2 ratio</x:v>
      </x:c>
      <x:c r="C804" s="1" t="str">
        <x:v>put</x:v>
      </x:c>
      <x:c r="D804" s="11" t="n">
        <x:v>4400</x:v>
      </x:c>
      <x:c r="E804" s="11" t="n">
        <x:v>4200</x:v>
      </x:c>
      <x:c r="F804" s="11"/>
      <x:c r="G804" s="11" t="n">
        <x:f>'Option source'!B516</x:f>
        <x:v>1.17</x:v>
      </x:c>
      <x:c r="H804" s="11" t="n">
        <x:f>'Option source'!B497</x:f>
        <x:v>1.09</x:v>
      </x:c>
      <x:c r="I804" s="11"/>
      <x:c r="J804" s="11" t="n">
        <x:f>G804-2*H804+IF(B804="Butterfly",I804,0)</x:f>
        <x:v>-1.0100000000000002</x:v>
      </x:c>
      <x:c r="K804" s="11" t="n">
        <x:f>ABS(E804-D804)</x:f>
        <x:v>200</x:v>
      </x:c>
      <x:c r="L804" s="11" t="n">
        <x:f>K804-J804</x:f>
        <x:v>201.01</x:v>
      </x:c>
      <x:c r="M804" s="11" t="n">
        <x:f>IF(B804="Butterfly",MAX(J804,0),IF(C804="call","Unlimited",MAX(2*E804-D804+J804,J804,0)))</x:f>
        <x:v>3998.99</x:v>
      </x:c>
      <x:c r="N804" s="11" t="n">
        <x:f>IF(B804="Butterfly",IF(AND(J804&gt;0,J804&lt;K804),D804+J804,"n.a."),IF(C804="call",IF(AND(J804&gt;0,J804&lt;K804),D804+J804,"n.a."),IF(AND(K804&gt;J804,2*E804-D804+J804&gt;=0),2*E804-D804+J804,"n.a.")))</x:f>
        <x:v>3998.99</x:v>
      </x:c>
      <x:c r="O804" s="11" t="str">
        <x:f>IF(B804="Butterfly",IF(AND(J804&gt;0,J804&lt;K804),F804-J804,"n.a."),IF(C804="call",IF(K804&gt;J804,2*E804-D804-J804,"n.a."),IF(AND(J804&gt;0,J804&lt;K804),D804-J804,"n.a.")))</x:f>
        <x:v>n.a.</x:v>
      </x:c>
      <x:c r="P804" s="19" t="str">
        <x:f>IF(AND(B804="Butterfly",J804&gt;0,J804&lt;K804),L804/J804,"n.a.")</x:f>
        <x:v>n.a.</x:v>
      </x:c>
      <x:c r="Q804" s="11" t="n">
        <x:f>J804*'Model inputs'!$B$8</x:f>
        <x:v>-101.00000000000003</x:v>
      </x:c>
      <x:c r="R804" s="1" t="str">
        <x:v>Indicative only</x:v>
      </x:c>
      <x:c r="S804" s="1" t="n">
        <x:v>511</x:v>
      </x:c>
      <x:c r="T804" s="1" t="n">
        <x:v>492</x:v>
      </x:c>
    </x:row>
    <x:row r="805" ht="21" customHeight="1">
      <x:c r="A805" s="12" t="n">
        <x:v>46269</x:v>
      </x:c>
      <x:c r="B805" s="1" t="str">
        <x:v>1x2 ratio</x:v>
      </x:c>
      <x:c r="C805" s="1" t="str">
        <x:v>call</x:v>
      </x:c>
      <x:c r="D805" s="11" t="n">
        <x:v>9500</x:v>
      </x:c>
      <x:c r="E805" s="11" t="n">
        <x:v>9900</x:v>
      </x:c>
      <x:c r="F805" s="11"/>
      <x:c r="G805" s="11" t="n">
        <x:f>'Option source'!B459</x:f>
        <x:v>14.06</x:v>
      </x:c>
      <x:c r="H805" s="11" t="n">
        <x:f>'Option source'!B478</x:f>
        <x:v>8.02</x:v>
      </x:c>
      <x:c r="I805" s="11"/>
      <x:c r="J805" s="11" t="n">
        <x:f>G805-2*H805+IF(B805="Butterfly",I805,0)</x:f>
        <x:v>-1.9799999999999986</x:v>
      </x:c>
      <x:c r="K805" s="11" t="n">
        <x:f>ABS(E805-D805)</x:f>
        <x:v>400</x:v>
      </x:c>
      <x:c r="L805" s="11" t="n">
        <x:f>K805-J805</x:f>
        <x:v>401.98</x:v>
      </x:c>
      <x:c r="M805" s="11" t="str">
        <x:f>IF(B805="Butterfly",MAX(J805,0),IF(C805="call","Unlimited",MAX(2*E805-D805+J805,J805,0)))</x:f>
        <x:v>Unlimited</x:v>
      </x:c>
      <x:c r="N805" s="11" t="str">
        <x:f>IF(B805="Butterfly",IF(AND(J805&gt;0,J805&lt;K805),D805+J805,"n.a."),IF(C805="call",IF(AND(J805&gt;0,J805&lt;K805),D805+J805,"n.a."),IF(AND(K805&gt;J805,2*E805-D805+J805&gt;=0),2*E805-D805+J805,"n.a.")))</x:f>
        <x:v>n.a.</x:v>
      </x:c>
      <x:c r="O805" s="11" t="n">
        <x:f>IF(B805="Butterfly",IF(AND(J805&gt;0,J805&lt;K805),F805-J805,"n.a."),IF(C805="call",IF(K805&gt;J805,2*E805-D805-J805,"n.a."),IF(AND(J805&gt;0,J805&lt;K805),D805-J805,"n.a.")))</x:f>
        <x:v>10301.98</x:v>
      </x:c>
      <x:c r="P805" s="19" t="str">
        <x:f>IF(AND(B805="Butterfly",J805&gt;0,J805&lt;K805),L805/J805,"n.a.")</x:f>
        <x:v>n.a.</x:v>
      </x:c>
      <x:c r="Q805" s="11" t="n">
        <x:f>J805*'Model inputs'!$B$8</x:f>
        <x:v>-197.99999999999986</x:v>
      </x:c>
      <x:c r="R805" s="1" t="str">
        <x:v>Indicative only</x:v>
      </x:c>
      <x:c r="S805" s="1" t="n">
        <x:v>454</x:v>
      </x:c>
      <x:c r="T805" s="1" t="n">
        <x:v>473</x:v>
      </x:c>
    </x:row>
    <x:row r="806" ht="21" customHeight="1">
      <x:c r="A806" s="12" t="n">
        <x:v>46269</x:v>
      </x:c>
      <x:c r="B806" s="1" t="str">
        <x:v>1x2 ratio</x:v>
      </x:c>
      <x:c r="C806" s="1" t="str">
        <x:v>call</x:v>
      </x:c>
      <x:c r="D806" s="11" t="n">
        <x:v>6400</x:v>
      </x:c>
      <x:c r="E806" s="11" t="n">
        <x:v>6600</x:v>
      </x:c>
      <x:c r="F806" s="11"/>
      <x:c r="G806" s="11" t="n">
        <x:f>'Option source'!B212</x:f>
        <x:v>850</x:v>
      </x:c>
      <x:c r="H806" s="11" t="n">
        <x:f>'Option source'!B231</x:f>
        <x:v>738.92</x:v>
      </x:c>
      <x:c r="I806" s="11"/>
      <x:c r="J806" s="11" t="n">
        <x:f>G806-2*H806+IF(B806="Butterfly",I806,0)</x:f>
        <x:v>-627.8399999999999</x:v>
      </x:c>
      <x:c r="K806" s="11" t="n">
        <x:f>ABS(E806-D806)</x:f>
        <x:v>200</x:v>
      </x:c>
      <x:c r="L806" s="11" t="n">
        <x:f>K806-J806</x:f>
        <x:v>827.8399999999999</x:v>
      </x:c>
      <x:c r="M806" s="11" t="str">
        <x:f>IF(B806="Butterfly",MAX(J806,0),IF(C806="call","Unlimited",MAX(2*E806-D806+J806,J806,0)))</x:f>
        <x:v>Unlimited</x:v>
      </x:c>
      <x:c r="N806" s="11" t="str">
        <x:f>IF(B806="Butterfly",IF(AND(J806&gt;0,J806&lt;K806),D806+J806,"n.a."),IF(C806="call",IF(AND(J806&gt;0,J806&lt;K806),D806+J806,"n.a."),IF(AND(K806&gt;J806,2*E806-D806+J806&gt;=0),2*E806-D806+J806,"n.a.")))</x:f>
        <x:v>n.a.</x:v>
      </x:c>
      <x:c r="O806" s="11" t="n">
        <x:f>IF(B806="Butterfly",IF(AND(J806&gt;0,J806&lt;K806),F806-J806,"n.a."),IF(C806="call",IF(K806&gt;J806,2*E806-D806-J806,"n.a."),IF(AND(J806&gt;0,J806&lt;K806),D806-J806,"n.a.")))</x:f>
        <x:v>7427.84</x:v>
      </x:c>
      <x:c r="P806" s="19" t="str">
        <x:f>IF(AND(B806="Butterfly",J806&gt;0,J806&lt;K806),L806/J806,"n.a.")</x:f>
        <x:v>n.a.</x:v>
      </x:c>
      <x:c r="Q806" s="11" t="n">
        <x:f>J806*'Model inputs'!$B$8</x:f>
        <x:v>-62783.99999999999</x:v>
      </x:c>
      <x:c r="R806" s="1" t="str">
        <x:v>Flagged leg data</x:v>
      </x:c>
      <x:c r="S806" s="1" t="n">
        <x:v>207</x:v>
      </x:c>
      <x:c r="T806" s="1" t="n">
        <x:v>226</x:v>
      </x:c>
    </x:row>
    <x:row r="807" ht="21" customHeight="1">
      <x:c r="A807" s="12" t="n">
        <x:v>46269</x:v>
      </x:c>
      <x:c r="B807" s="1" t="str">
        <x:v>1x2 ratio</x:v>
      </x:c>
      <x:c r="C807" s="1" t="str">
        <x:v>put</x:v>
      </x:c>
      <x:c r="D807" s="11" t="n">
        <x:v>7800</x:v>
      </x:c>
      <x:c r="E807" s="11" t="n">
        <x:v>7600</x:v>
      </x:c>
      <x:c r="F807" s="11"/>
      <x:c r="G807" s="11" t="n">
        <x:f>'Option source'!B839</x:f>
        <x:v>780</x:v>
      </x:c>
      <x:c r="H807" s="11" t="n">
        <x:f>'Option source'!B820</x:f>
        <x:v>660</x:v>
      </x:c>
      <x:c r="I807" s="11"/>
      <x:c r="J807" s="11" t="n">
        <x:f>G807-2*H807+IF(B807="Butterfly",I807,0)</x:f>
        <x:v>-540</x:v>
      </x:c>
      <x:c r="K807" s="11" t="n">
        <x:f>ABS(E807-D807)</x:f>
        <x:v>200</x:v>
      </x:c>
      <x:c r="L807" s="11" t="n">
        <x:f>K807-J807</x:f>
        <x:v>740</x:v>
      </x:c>
      <x:c r="M807" s="11" t="n">
        <x:f>IF(B807="Butterfly",MAX(J807,0),IF(C807="call","Unlimited",MAX(2*E807-D807+J807,J807,0)))</x:f>
        <x:v>6860</x:v>
      </x:c>
      <x:c r="N807" s="11" t="n">
        <x:f>IF(B807="Butterfly",IF(AND(J807&gt;0,J807&lt;K807),D807+J807,"n.a."),IF(C807="call",IF(AND(J807&gt;0,J807&lt;K807),D807+J807,"n.a."),IF(AND(K807&gt;J807,2*E807-D807+J807&gt;=0),2*E807-D807+J807,"n.a.")))</x:f>
        <x:v>6860</x:v>
      </x:c>
      <x:c r="O807" s="11" t="str">
        <x:f>IF(B807="Butterfly",IF(AND(J807&gt;0,J807&lt;K807),F807-J807,"n.a."),IF(C807="call",IF(K807&gt;J807,2*E807-D807-J807,"n.a."),IF(AND(J807&gt;0,J807&lt;K807),D807-J807,"n.a.")))</x:f>
        <x:v>n.a.</x:v>
      </x:c>
      <x:c r="P807" s="19" t="str">
        <x:f>IF(AND(B807="Butterfly",J807&gt;0,J807&lt;K807),L807/J807,"n.a.")</x:f>
        <x:v>n.a.</x:v>
      </x:c>
      <x:c r="Q807" s="11" t="n">
        <x:f>J807*'Model inputs'!$B$8</x:f>
        <x:v>-54000</x:v>
      </x:c>
      <x:c r="R807" s="1" t="str">
        <x:v>Flagged leg data</x:v>
      </x:c>
      <x:c r="S807" s="1" t="n">
        <x:v>834</x:v>
      </x:c>
      <x:c r="T807" s="1" t="n">
        <x:v>815</x:v>
      </x:c>
    </x:row>
    <x:row r="808" ht="21" customHeight="1">
      <x:c r="A808" s="12" t="n">
        <x:v>46269</x:v>
      </x:c>
      <x:c r="B808" s="1" t="str">
        <x:v>1x2 ratio</x:v>
      </x:c>
      <x:c r="C808" s="1" t="str">
        <x:v>call</x:v>
      </x:c>
      <x:c r="D808" s="11" t="n">
        <x:v>6200</x:v>
      </x:c>
      <x:c r="E808" s="11" t="n">
        <x:v>6400</x:v>
      </x:c>
      <x:c r="F808" s="11"/>
      <x:c r="G808" s="11" t="n">
        <x:f>'Option source'!B193</x:f>
        <x:v>1015</x:v>
      </x:c>
      <x:c r="H808" s="11" t="n">
        <x:f>'Option source'!B212</x:f>
        <x:v>850</x:v>
      </x:c>
      <x:c r="I808" s="11"/>
      <x:c r="J808" s="11" t="n">
        <x:f>G808-2*H808+IF(B808="Butterfly",I808,0)</x:f>
        <x:v>-685</x:v>
      </x:c>
      <x:c r="K808" s="11" t="n">
        <x:f>ABS(E808-D808)</x:f>
        <x:v>200</x:v>
      </x:c>
      <x:c r="L808" s="11" t="n">
        <x:f>K808-J808</x:f>
        <x:v>885</x:v>
      </x:c>
      <x:c r="M808" s="11" t="str">
        <x:f>IF(B808="Butterfly",MAX(J808,0),IF(C808="call","Unlimited",MAX(2*E808-D808+J808,J808,0)))</x:f>
        <x:v>Unlimited</x:v>
      </x:c>
      <x:c r="N808" s="11" t="str">
        <x:f>IF(B808="Butterfly",IF(AND(J808&gt;0,J808&lt;K808),D808+J808,"n.a."),IF(C808="call",IF(AND(J808&gt;0,J808&lt;K808),D808+J808,"n.a."),IF(AND(K808&gt;J808,2*E808-D808+J808&gt;=0),2*E808-D808+J808,"n.a.")))</x:f>
        <x:v>n.a.</x:v>
      </x:c>
      <x:c r="O808" s="11" t="n">
        <x:f>IF(B808="Butterfly",IF(AND(J808&gt;0,J808&lt;K808),F808-J808,"n.a."),IF(C808="call",IF(K808&gt;J808,2*E808-D808-J808,"n.a."),IF(AND(J808&gt;0,J808&lt;K808),D808-J808,"n.a.")))</x:f>
        <x:v>7285</x:v>
      </x:c>
      <x:c r="P808" s="19" t="str">
        <x:f>IF(AND(B808="Butterfly",J808&gt;0,J808&lt;K808),L808/J808,"n.a.")</x:f>
        <x:v>n.a.</x:v>
      </x:c>
      <x:c r="Q808" s="11" t="n">
        <x:f>J808*'Model inputs'!$B$8</x:f>
        <x:v>-68500</x:v>
      </x:c>
      <x:c r="R808" s="1" t="str">
        <x:v>Flagged leg data</x:v>
      </x:c>
      <x:c r="S808" s="1" t="n">
        <x:v>188</x:v>
      </x:c>
      <x:c r="T808" s="1" t="n">
        <x:v>207</x:v>
      </x:c>
    </x:row>
    <x:row r="809" ht="21" customHeight="1">
      <x:c r="A809" s="12" t="n">
        <x:v>46269</x:v>
      </x:c>
      <x:c r="B809" s="1" t="str">
        <x:v>1x2 ratio</x:v>
      </x:c>
      <x:c r="C809" s="1" t="str">
        <x:v>put</x:v>
      </x:c>
      <x:c r="D809" s="11" t="n">
        <x:v>8000</x:v>
      </x:c>
      <x:c r="E809" s="11" t="n">
        <x:v>7800</x:v>
      </x:c>
      <x:c r="F809" s="11"/>
      <x:c r="G809" s="11" t="n">
        <x:f>'Option source'!B858</x:f>
        <x:v>1000</x:v>
      </x:c>
      <x:c r="H809" s="11" t="n">
        <x:f>'Option source'!B839</x:f>
        <x:v>780</x:v>
      </x:c>
      <x:c r="I809" s="11"/>
      <x:c r="J809" s="11" t="n">
        <x:f>G809-2*H809+IF(B809="Butterfly",I809,0)</x:f>
        <x:v>-560</x:v>
      </x:c>
      <x:c r="K809" s="11" t="n">
        <x:f>ABS(E809-D809)</x:f>
        <x:v>200</x:v>
      </x:c>
      <x:c r="L809" s="11" t="n">
        <x:f>K809-J809</x:f>
        <x:v>760</x:v>
      </x:c>
      <x:c r="M809" s="11" t="n">
        <x:f>IF(B809="Butterfly",MAX(J809,0),IF(C809="call","Unlimited",MAX(2*E809-D809+J809,J809,0)))</x:f>
        <x:v>7040</x:v>
      </x:c>
      <x:c r="N809" s="11" t="n">
        <x:f>IF(B809="Butterfly",IF(AND(J809&gt;0,J809&lt;K809),D809+J809,"n.a."),IF(C809="call",IF(AND(J809&gt;0,J809&lt;K809),D809+J809,"n.a."),IF(AND(K809&gt;J809,2*E809-D809+J809&gt;=0),2*E809-D809+J809,"n.a.")))</x:f>
        <x:v>7040</x:v>
      </x:c>
      <x:c r="O809" s="11" t="str">
        <x:f>IF(B809="Butterfly",IF(AND(J809&gt;0,J809&lt;K809),F809-J809,"n.a."),IF(C809="call",IF(K809&gt;J809,2*E809-D809-J809,"n.a."),IF(AND(J809&gt;0,J809&lt;K809),D809-J809,"n.a.")))</x:f>
        <x:v>n.a.</x:v>
      </x:c>
      <x:c r="P809" s="19" t="str">
        <x:f>IF(AND(B809="Butterfly",J809&gt;0,J809&lt;K809),L809/J809,"n.a.")</x:f>
        <x:v>n.a.</x:v>
      </x:c>
      <x:c r="Q809" s="11" t="n">
        <x:f>J809*'Model inputs'!$B$8</x:f>
        <x:v>-56000</x:v>
      </x:c>
      <x:c r="R809" s="1" t="str">
        <x:v>Flagged leg data</x:v>
      </x:c>
      <x:c r="S809" s="1" t="n">
        <x:v>853</x:v>
      </x:c>
      <x:c r="T809" s="1" t="n">
        <x:v>834</x:v>
      </x:c>
    </x:row>
    <x:row r="810" ht="21" customHeight="1">
      <x:c r="A810" s="12" t="n">
        <x:v>46269</x:v>
      </x:c>
      <x:c r="B810" s="1" t="str">
        <x:v>1x2 ratio</x:v>
      </x:c>
      <x:c r="C810" s="1" t="str">
        <x:v>call</x:v>
      </x:c>
      <x:c r="D810" s="11" t="n">
        <x:v>6000</x:v>
      </x:c>
      <x:c r="E810" s="11" t="n">
        <x:v>6200</x:v>
      </x:c>
      <x:c r="F810" s="11"/>
      <x:c r="G810" s="11" t="n">
        <x:f>'Option source'!B174</x:f>
        <x:v>1200.05</x:v>
      </x:c>
      <x:c r="H810" s="11" t="n">
        <x:f>'Option source'!B193</x:f>
        <x:v>1015</x:v>
      </x:c>
      <x:c r="I810" s="11"/>
      <x:c r="J810" s="11" t="n">
        <x:f>G810-2*H810+IF(B810="Butterfly",I810,0)</x:f>
        <x:v>-829.95</x:v>
      </x:c>
      <x:c r="K810" s="11" t="n">
        <x:f>ABS(E810-D810)</x:f>
        <x:v>200</x:v>
      </x:c>
      <x:c r="L810" s="11" t="n">
        <x:f>K810-J810</x:f>
        <x:v>1029.95</x:v>
      </x:c>
      <x:c r="M810" s="11" t="str">
        <x:f>IF(B810="Butterfly",MAX(J810,0),IF(C810="call","Unlimited",MAX(2*E810-D810+J810,J810,0)))</x:f>
        <x:v>Unlimited</x:v>
      </x:c>
      <x:c r="N810" s="11" t="str">
        <x:f>IF(B810="Butterfly",IF(AND(J810&gt;0,J810&lt;K810),D810+J810,"n.a."),IF(C810="call",IF(AND(J810&gt;0,J810&lt;K810),D810+J810,"n.a."),IF(AND(K810&gt;J810,2*E810-D810+J810&gt;=0),2*E810-D810+J810,"n.a.")))</x:f>
        <x:v>n.a.</x:v>
      </x:c>
      <x:c r="O810" s="11" t="n">
        <x:f>IF(B810="Butterfly",IF(AND(J810&gt;0,J810&lt;K810),F810-J810,"n.a."),IF(C810="call",IF(K810&gt;J810,2*E810-D810-J810,"n.a."),IF(AND(J810&gt;0,J810&lt;K810),D810-J810,"n.a.")))</x:f>
        <x:v>7229.95</x:v>
      </x:c>
      <x:c r="P810" s="19" t="str">
        <x:f>IF(AND(B810="Butterfly",J810&gt;0,J810&lt;K810),L810/J810,"n.a.")</x:f>
        <x:v>n.a.</x:v>
      </x:c>
      <x:c r="Q810" s="11" t="n">
        <x:f>J810*'Model inputs'!$B$8</x:f>
        <x:v>-82995</x:v>
      </x:c>
      <x:c r="R810" s="1" t="str">
        <x:v>Flagged leg data</x:v>
      </x:c>
      <x:c r="S810" s="1" t="n">
        <x:v>169</x:v>
      </x:c>
      <x:c r="T810" s="1" t="n">
        <x:v>188</x:v>
      </x:c>
    </x:row>
    <x:row r="811" ht="21" customHeight="1">
      <x:c r="A811" s="12" t="n">
        <x:v>46269</x:v>
      </x:c>
      <x:c r="B811" s="1" t="str">
        <x:v>1x2 ratio</x:v>
      </x:c>
      <x:c r="C811" s="1" t="str">
        <x:v>call</x:v>
      </x:c>
      <x:c r="D811" s="11" t="n">
        <x:v>5800</x:v>
      </x:c>
      <x:c r="E811" s="11" t="n">
        <x:v>6000</x:v>
      </x:c>
      <x:c r="F811" s="11"/>
      <x:c r="G811" s="11" t="n">
        <x:f>'Option source'!B155</x:f>
        <x:v>1490</x:v>
      </x:c>
      <x:c r="H811" s="11" t="n">
        <x:f>'Option source'!B174</x:f>
        <x:v>1200.05</x:v>
      </x:c>
      <x:c r="I811" s="11"/>
      <x:c r="J811" s="11" t="n">
        <x:f>G811-2*H811+IF(B811="Butterfly",I811,0)</x:f>
        <x:v>-910.0999999999999</x:v>
      </x:c>
      <x:c r="K811" s="11" t="n">
        <x:f>ABS(E811-D811)</x:f>
        <x:v>200</x:v>
      </x:c>
      <x:c r="L811" s="11" t="n">
        <x:f>K811-J811</x:f>
        <x:v>1110.1</x:v>
      </x:c>
      <x:c r="M811" s="11" t="str">
        <x:f>IF(B811="Butterfly",MAX(J811,0),IF(C811="call","Unlimited",MAX(2*E811-D811+J811,J811,0)))</x:f>
        <x:v>Unlimited</x:v>
      </x:c>
      <x:c r="N811" s="11" t="str">
        <x:f>IF(B811="Butterfly",IF(AND(J811&gt;0,J811&lt;K811),D811+J811,"n.a."),IF(C811="call",IF(AND(J811&gt;0,J811&lt;K811),D811+J811,"n.a."),IF(AND(K811&gt;J811,2*E811-D811+J811&gt;=0),2*E811-D811+J811,"n.a.")))</x:f>
        <x:v>n.a.</x:v>
      </x:c>
      <x:c r="O811" s="11" t="n">
        <x:f>IF(B811="Butterfly",IF(AND(J811&gt;0,J811&lt;K811),F811-J811,"n.a."),IF(C811="call",IF(K811&gt;J811,2*E811-D811-J811,"n.a."),IF(AND(J811&gt;0,J811&lt;K811),D811-J811,"n.a.")))</x:f>
        <x:v>7110.1</x:v>
      </x:c>
      <x:c r="P811" s="19" t="str">
        <x:f>IF(AND(B811="Butterfly",J811&gt;0,J811&lt;K811),L811/J811,"n.a.")</x:f>
        <x:v>n.a.</x:v>
      </x:c>
      <x:c r="Q811" s="11" t="n">
        <x:f>J811*'Model inputs'!$B$8</x:f>
        <x:v>-91009.99999999999</x:v>
      </x:c>
      <x:c r="R811" s="1" t="str">
        <x:v>Flagged leg data</x:v>
      </x:c>
      <x:c r="S811" s="1" t="n">
        <x:v>150</x:v>
      </x:c>
      <x:c r="T811" s="1" t="n">
        <x:v>169</x:v>
      </x:c>
    </x:row>
    <x:row r="812" ht="21" customHeight="1">
      <x:c r="A812" s="12" t="n">
        <x:v>46269</x:v>
      </x:c>
      <x:c r="B812" s="1" t="str">
        <x:v>1x2 ratio</x:v>
      </x:c>
      <x:c r="C812" s="1" t="str">
        <x:v>call</x:v>
      </x:c>
      <x:c r="D812" s="11" t="n">
        <x:v>5600</x:v>
      </x:c>
      <x:c r="E812" s="11" t="n">
        <x:v>5800</x:v>
      </x:c>
      <x:c r="F812" s="11"/>
      <x:c r="G812" s="11" t="n">
        <x:f>'Option source'!B145</x:f>
        <x:v>1600</x:v>
      </x:c>
      <x:c r="H812" s="11" t="n">
        <x:f>'Option source'!B155</x:f>
        <x:v>1490</x:v>
      </x:c>
      <x:c r="I812" s="11"/>
      <x:c r="J812" s="11" t="n">
        <x:f>G812-2*H812+IF(B812="Butterfly",I812,0)</x:f>
        <x:v>-1380</x:v>
      </x:c>
      <x:c r="K812" s="11" t="n">
        <x:f>ABS(E812-D812)</x:f>
        <x:v>200</x:v>
      </x:c>
      <x:c r="L812" s="11" t="n">
        <x:f>K812-J812</x:f>
        <x:v>1580</x:v>
      </x:c>
      <x:c r="M812" s="11" t="str">
        <x:f>IF(B812="Butterfly",MAX(J812,0),IF(C812="call","Unlimited",MAX(2*E812-D812+J812,J812,0)))</x:f>
        <x:v>Unlimited</x:v>
      </x:c>
      <x:c r="N812" s="11" t="str">
        <x:f>IF(B812="Butterfly",IF(AND(J812&gt;0,J812&lt;K812),D812+J812,"n.a."),IF(C812="call",IF(AND(J812&gt;0,J812&lt;K812),D812+J812,"n.a."),IF(AND(K812&gt;J812,2*E812-D812+J812&gt;=0),2*E812-D812+J812,"n.a.")))</x:f>
        <x:v>n.a.</x:v>
      </x:c>
      <x:c r="O812" s="11" t="n">
        <x:f>IF(B812="Butterfly",IF(AND(J812&gt;0,J812&lt;K812),F812-J812,"n.a."),IF(C812="call",IF(K812&gt;J812,2*E812-D812-J812,"n.a."),IF(AND(J812&gt;0,J812&lt;K812),D812-J812,"n.a.")))</x:f>
        <x:v>7380</x:v>
      </x:c>
      <x:c r="P812" s="19" t="str">
        <x:f>IF(AND(B812="Butterfly",J812&gt;0,J812&lt;K812),L812/J812,"n.a.")</x:f>
        <x:v>n.a.</x:v>
      </x:c>
      <x:c r="Q812" s="11" t="n">
        <x:f>J812*'Model inputs'!$B$8</x:f>
        <x:v>-138000</x:v>
      </x:c>
      <x:c r="R812" s="1" t="str">
        <x:v>Flagged leg data</x:v>
      </x:c>
      <x:c r="S812" s="1" t="n">
        <x:v>140</x:v>
      </x:c>
      <x:c r="T812" s="1" t="n">
        <x:v>150</x:v>
      </x:c>
    </x:row>
    <x:row r="813" ht="21" customHeight="1">
      <x:c r="A813" s="12" t="n">
        <x:v>46269</x:v>
      </x:c>
      <x:c r="B813" s="1" t="str">
        <x:v>1x2 ratio</x:v>
      </x:c>
      <x:c r="C813" s="1" t="str">
        <x:v>put</x:v>
      </x:c>
      <x:c r="D813" s="11" t="n">
        <x:v>8600</x:v>
      </x:c>
      <x:c r="E813" s="11" t="n">
        <x:v>8300</x:v>
      </x:c>
      <x:c r="F813" s="11"/>
      <x:c r="G813" s="11" t="n">
        <x:f>'Option source'!B896</x:f>
        <x:v>1555.11</x:v>
      </x:c>
      <x:c r="H813" s="11" t="n">
        <x:f>'Option source'!B877</x:f>
        <x:v>1350</x:v>
      </x:c>
      <x:c r="I813" s="11"/>
      <x:c r="J813" s="11" t="n">
        <x:f>G813-2*H813+IF(B813="Butterfly",I813,0)</x:f>
        <x:v>-1144.89</x:v>
      </x:c>
      <x:c r="K813" s="11" t="n">
        <x:f>ABS(E813-D813)</x:f>
        <x:v>300</x:v>
      </x:c>
      <x:c r="L813" s="11" t="n">
        <x:f>K813-J813</x:f>
        <x:v>1444.89</x:v>
      </x:c>
      <x:c r="M813" s="11" t="n">
        <x:f>IF(B813="Butterfly",MAX(J813,0),IF(C813="call","Unlimited",MAX(2*E813-D813+J813,J813,0)))</x:f>
        <x:v>6855.11</x:v>
      </x:c>
      <x:c r="N813" s="11" t="n">
        <x:f>IF(B813="Butterfly",IF(AND(J813&gt;0,J813&lt;K813),D813+J813,"n.a."),IF(C813="call",IF(AND(J813&gt;0,J813&lt;K813),D813+J813,"n.a."),IF(AND(K813&gt;J813,2*E813-D813+J813&gt;=0),2*E813-D813+J813,"n.a.")))</x:f>
        <x:v>6855.11</x:v>
      </x:c>
      <x:c r="O813" s="11" t="str">
        <x:f>IF(B813="Butterfly",IF(AND(J813&gt;0,J813&lt;K813),F813-J813,"n.a."),IF(C813="call",IF(K813&gt;J813,2*E813-D813-J813,"n.a."),IF(AND(J813&gt;0,J813&lt;K813),D813-J813,"n.a.")))</x:f>
        <x:v>n.a.</x:v>
      </x:c>
      <x:c r="P813" s="19" t="str">
        <x:f>IF(AND(B813="Butterfly",J813&gt;0,J813&lt;K813),L813/J813,"n.a.")</x:f>
        <x:v>n.a.</x:v>
      </x:c>
      <x:c r="Q813" s="11" t="n">
        <x:f>J813*'Model inputs'!$B$8</x:f>
        <x:v>-114489.00000000001</x:v>
      </x:c>
      <x:c r="R813" s="1" t="str">
        <x:v>Flagged leg data</x:v>
      </x:c>
      <x:c r="S813" s="1" t="n">
        <x:v>891</x:v>
      </x:c>
      <x:c r="T813" s="1" t="n">
        <x:v>872</x:v>
      </x:c>
    </x:row>
    <x:row r="814" ht="21" customHeight="1">
      <x:c r="A814" s="12" t="n">
        <x:v>46269</x:v>
      </x:c>
      <x:c r="B814" s="1" t="str">
        <x:v>1x2 ratio</x:v>
      </x:c>
      <x:c r="C814" s="1" t="str">
        <x:v>call</x:v>
      </x:c>
      <x:c r="D814" s="11" t="n">
        <x:v>5400</x:v>
      </x:c>
      <x:c r="E814" s="11" t="n">
        <x:v>5600</x:v>
      </x:c>
      <x:c r="F814" s="11"/>
      <x:c r="G814" s="11" t="n">
        <x:f>'Option source'!B127</x:f>
        <x:v>1680.06</x:v>
      </x:c>
      <x:c r="H814" s="11" t="n">
        <x:f>'Option source'!B145</x:f>
        <x:v>1600</x:v>
      </x:c>
      <x:c r="I814" s="11"/>
      <x:c r="J814" s="11" t="n">
        <x:f>G814-2*H814+IF(B814="Butterfly",I814,0)</x:f>
        <x:v>-1519.94</x:v>
      </x:c>
      <x:c r="K814" s="11" t="n">
        <x:f>ABS(E814-D814)</x:f>
        <x:v>200</x:v>
      </x:c>
      <x:c r="L814" s="11" t="n">
        <x:f>K814-J814</x:f>
        <x:v>1719.94</x:v>
      </x:c>
      <x:c r="M814" s="11" t="str">
        <x:f>IF(B814="Butterfly",MAX(J814,0),IF(C814="call","Unlimited",MAX(2*E814-D814+J814,J814,0)))</x:f>
        <x:v>Unlimited</x:v>
      </x:c>
      <x:c r="N814" s="11" t="str">
        <x:f>IF(B814="Butterfly",IF(AND(J814&gt;0,J814&lt;K814),D814+J814,"n.a."),IF(C814="call",IF(AND(J814&gt;0,J814&lt;K814),D814+J814,"n.a."),IF(AND(K814&gt;J814,2*E814-D814+J814&gt;=0),2*E814-D814+J814,"n.a.")))</x:f>
        <x:v>n.a.</x:v>
      </x:c>
      <x:c r="O814" s="11" t="n">
        <x:f>IF(B814="Butterfly",IF(AND(J814&gt;0,J814&lt;K814),F814-J814,"n.a."),IF(C814="call",IF(K814&gt;J814,2*E814-D814-J814,"n.a."),IF(AND(J814&gt;0,J814&lt;K814),D814-J814,"n.a.")))</x:f>
        <x:v>7319.9400000000005</x:v>
      </x:c>
      <x:c r="P814" s="19" t="str">
        <x:f>IF(AND(B814="Butterfly",J814&gt;0,J814&lt;K814),L814/J814,"n.a.")</x:f>
        <x:v>n.a.</x:v>
      </x:c>
      <x:c r="Q814" s="11" t="n">
        <x:f>J814*'Model inputs'!$B$8</x:f>
        <x:v>-151994</x:v>
      </x:c>
      <x:c r="R814" s="1" t="str">
        <x:v>Flagged leg data</x:v>
      </x:c>
      <x:c r="S814" s="1" t="n">
        <x:v>122</x:v>
      </x:c>
      <x:c r="T814" s="1" t="n">
        <x:v>140</x:v>
      </x:c>
    </x:row>
    <x:row r="815" ht="21" customHeight="1">
      <x:c r="A815" s="12" t="n">
        <x:v>46269</x:v>
      </x:c>
      <x:c r="B815" s="1" t="str">
        <x:v>1x2 ratio</x:v>
      </x:c>
      <x:c r="C815" s="1" t="str">
        <x:v>put</x:v>
      </x:c>
      <x:c r="D815" s="11" t="n">
        <x:v>8900</x:v>
      </x:c>
      <x:c r="E815" s="11" t="n">
        <x:v>8600</x:v>
      </x:c>
      <x:c r="F815" s="11"/>
      <x:c r="G815" s="11" t="n">
        <x:f>'Option source'!B911</x:f>
        <x:v>2022.5</x:v>
      </x:c>
      <x:c r="H815" s="11" t="n">
        <x:f>'Option source'!B896</x:f>
        <x:v>1555.11</x:v>
      </x:c>
      <x:c r="I815" s="11"/>
      <x:c r="J815" s="11" t="n">
        <x:f>G815-2*H815+IF(B815="Butterfly",I815,0)</x:f>
        <x:v>-1087.7199999999998</x:v>
      </x:c>
      <x:c r="K815" s="11" t="n">
        <x:f>ABS(E815-D815)</x:f>
        <x:v>300</x:v>
      </x:c>
      <x:c r="L815" s="11" t="n">
        <x:f>K815-J815</x:f>
        <x:v>1387.7199999999998</x:v>
      </x:c>
      <x:c r="M815" s="11" t="n">
        <x:f>IF(B815="Butterfly",MAX(J815,0),IF(C815="call","Unlimited",MAX(2*E815-D815+J815,J815,0)))</x:f>
        <x:v>7212.280000000001</x:v>
      </x:c>
      <x:c r="N815" s="11" t="n">
        <x:f>IF(B815="Butterfly",IF(AND(J815&gt;0,J815&lt;K815),D815+J815,"n.a."),IF(C815="call",IF(AND(J815&gt;0,J815&lt;K815),D815+J815,"n.a."),IF(AND(K815&gt;J815,2*E815-D815+J815&gt;=0),2*E815-D815+J815,"n.a.")))</x:f>
        <x:v>7212.280000000001</x:v>
      </x:c>
      <x:c r="O815" s="11" t="str">
        <x:f>IF(B815="Butterfly",IF(AND(J815&gt;0,J815&lt;K815),F815-J815,"n.a."),IF(C815="call",IF(K815&gt;J815,2*E815-D815-J815,"n.a."),IF(AND(J815&gt;0,J815&lt;K815),D815-J815,"n.a.")))</x:f>
        <x:v>n.a.</x:v>
      </x:c>
      <x:c r="P815" s="19" t="str">
        <x:f>IF(AND(B815="Butterfly",J815&gt;0,J815&lt;K815),L815/J815,"n.a.")</x:f>
        <x:v>n.a.</x:v>
      </x:c>
      <x:c r="Q815" s="11" t="n">
        <x:f>J815*'Model inputs'!$B$8</x:f>
        <x:v>-108771.99999999999</x:v>
      </x:c>
      <x:c r="R815" s="1" t="str">
        <x:v>Flagged leg data</x:v>
      </x:c>
      <x:c r="S815" s="1" t="n">
        <x:v>906</x:v>
      </x:c>
      <x:c r="T815" s="1" t="n">
        <x:v>891</x:v>
      </x:c>
    </x:row>
    <x:row r="816" ht="21" customHeight="1">
      <x:c r="A816" s="12" t="n">
        <x:v>46269</x:v>
      </x:c>
      <x:c r="B816" s="1" t="str">
        <x:v>1x2 ratio</x:v>
      </x:c>
      <x:c r="C816" s="1" t="str">
        <x:v>call</x:v>
      </x:c>
      <x:c r="D816" s="11" t="n">
        <x:v>5200</x:v>
      </x:c>
      <x:c r="E816" s="11" t="n">
        <x:v>5400</x:v>
      </x:c>
      <x:c r="F816" s="11"/>
      <x:c r="G816" s="11" t="n">
        <x:f>'Option source'!B108</x:f>
        <x:v>2076.93</x:v>
      </x:c>
      <x:c r="H816" s="11" t="n">
        <x:f>'Option source'!B127</x:f>
        <x:v>1680.06</x:v>
      </x:c>
      <x:c r="I816" s="11"/>
      <x:c r="J816" s="11" t="n">
        <x:f>G816-2*H816+IF(B816="Butterfly",I816,0)</x:f>
        <x:v>-1283.19</x:v>
      </x:c>
      <x:c r="K816" s="11" t="n">
        <x:f>ABS(E816-D816)</x:f>
        <x:v>200</x:v>
      </x:c>
      <x:c r="L816" s="11" t="n">
        <x:f>K816-J816</x:f>
        <x:v>1483.19</x:v>
      </x:c>
      <x:c r="M816" s="11" t="str">
        <x:f>IF(B816="Butterfly",MAX(J816,0),IF(C816="call","Unlimited",MAX(2*E816-D816+J816,J816,0)))</x:f>
        <x:v>Unlimited</x:v>
      </x:c>
      <x:c r="N816" s="11" t="str">
        <x:f>IF(B816="Butterfly",IF(AND(J816&gt;0,J816&lt;K816),D816+J816,"n.a."),IF(C816="call",IF(AND(J816&gt;0,J816&lt;K816),D816+J816,"n.a."),IF(AND(K816&gt;J816,2*E816-D816+J816&gt;=0),2*E816-D816+J816,"n.a.")))</x:f>
        <x:v>n.a.</x:v>
      </x:c>
      <x:c r="O816" s="11" t="n">
        <x:f>IF(B816="Butterfly",IF(AND(J816&gt;0,J816&lt;K816),F816-J816,"n.a."),IF(C816="call",IF(K816&gt;J816,2*E816-D816-J816,"n.a."),IF(AND(J816&gt;0,J816&lt;K816),D816-J816,"n.a.")))</x:f>
        <x:v>6883.1900000000005</x:v>
      </x:c>
      <x:c r="P816" s="19" t="str">
        <x:f>IF(AND(B816="Butterfly",J816&gt;0,J816&lt;K816),L816/J816,"n.a.")</x:f>
        <x:v>n.a.</x:v>
      </x:c>
      <x:c r="Q816" s="11" t="n">
        <x:f>J816*'Model inputs'!$B$8</x:f>
        <x:v>-128319</x:v>
      </x:c>
      <x:c r="R816" s="1" t="str">
        <x:v>Flagged leg data</x:v>
      </x:c>
      <x:c r="S816" s="1" t="n">
        <x:v>103</x:v>
      </x:c>
      <x:c r="T816" s="1" t="n">
        <x:v>122</x:v>
      </x:c>
    </x:row>
    <x:row r="817" ht="21" customHeight="1">
      <x:c r="A817" s="12" t="n">
        <x:v>46269</x:v>
      </x:c>
      <x:c r="B817" s="1" t="str">
        <x:v>1x2 ratio</x:v>
      </x:c>
      <x:c r="C817" s="1" t="str">
        <x:v>call</x:v>
      </x:c>
      <x:c r="D817" s="11" t="n">
        <x:v>5000</x:v>
      </x:c>
      <x:c r="E817" s="11" t="n">
        <x:v>5200</x:v>
      </x:c>
      <x:c r="F817" s="11"/>
      <x:c r="G817" s="11" t="n">
        <x:f>'Option source'!B89</x:f>
        <x:v>2133.58</x:v>
      </x:c>
      <x:c r="H817" s="11" t="n">
        <x:f>'Option source'!B108</x:f>
        <x:v>2076.93</x:v>
      </x:c>
      <x:c r="I817" s="11"/>
      <x:c r="J817" s="11" t="n">
        <x:f>G817-2*H817+IF(B817="Butterfly",I817,0)</x:f>
        <x:v>-2020.2799999999997</x:v>
      </x:c>
      <x:c r="K817" s="11" t="n">
        <x:f>ABS(E817-D817)</x:f>
        <x:v>200</x:v>
      </x:c>
      <x:c r="L817" s="11" t="n">
        <x:f>K817-J817</x:f>
        <x:v>2220.2799999999997</x:v>
      </x:c>
      <x:c r="M817" s="11" t="str">
        <x:f>IF(B817="Butterfly",MAX(J817,0),IF(C817="call","Unlimited",MAX(2*E817-D817+J817,J817,0)))</x:f>
        <x:v>Unlimited</x:v>
      </x:c>
      <x:c r="N817" s="11" t="str">
        <x:f>IF(B817="Butterfly",IF(AND(J817&gt;0,J817&lt;K817),D817+J817,"n.a."),IF(C817="call",IF(AND(J817&gt;0,J817&lt;K817),D817+J817,"n.a."),IF(AND(K817&gt;J817,2*E817-D817+J817&gt;=0),2*E817-D817+J817,"n.a.")))</x:f>
        <x:v>n.a.</x:v>
      </x:c>
      <x:c r="O817" s="11" t="n">
        <x:f>IF(B817="Butterfly",IF(AND(J817&gt;0,J817&lt;K817),F817-J817,"n.a."),IF(C817="call",IF(K817&gt;J817,2*E817-D817-J817,"n.a."),IF(AND(J817&gt;0,J817&lt;K817),D817-J817,"n.a.")))</x:f>
        <x:v>7420.28</x:v>
      </x:c>
      <x:c r="P817" s="19" t="str">
        <x:f>IF(AND(B817="Butterfly",J817&gt;0,J817&lt;K817),L817/J817,"n.a.")</x:f>
        <x:v>n.a.</x:v>
      </x:c>
      <x:c r="Q817" s="11" t="n">
        <x:f>J817*'Model inputs'!$B$8</x:f>
        <x:v>-202027.99999999997</x:v>
      </x:c>
      <x:c r="R817" s="1" t="str">
        <x:v>Flagged leg data</x:v>
      </x:c>
      <x:c r="S817" s="1" t="n">
        <x:v>84</x:v>
      </x:c>
      <x:c r="T817" s="1" t="n">
        <x:v>103</x:v>
      </x:c>
    </x:row>
    <x:row r="818" ht="21" customHeight="1">
      <x:c r="A818" s="12" t="n">
        <x:v>46269</x:v>
      </x:c>
      <x:c r="B818" s="1" t="str">
        <x:v>1x2 ratio</x:v>
      </x:c>
      <x:c r="C818" s="1" t="str">
        <x:v>call</x:v>
      </x:c>
      <x:c r="D818" s="11" t="n">
        <x:v>4800</x:v>
      </x:c>
      <x:c r="E818" s="11" t="n">
        <x:v>5000</x:v>
      </x:c>
      <x:c r="F818" s="11"/>
      <x:c r="G818" s="11" t="n">
        <x:f>'Option source'!B72</x:f>
        <x:v>2375</x:v>
      </x:c>
      <x:c r="H818" s="11" t="n">
        <x:f>'Option source'!B89</x:f>
        <x:v>2133.58</x:v>
      </x:c>
      <x:c r="I818" s="11"/>
      <x:c r="J818" s="11" t="n">
        <x:f>G818-2*H818+IF(B818="Butterfly",I818,0)</x:f>
        <x:v>-1892.1599999999999</x:v>
      </x:c>
      <x:c r="K818" s="11" t="n">
        <x:f>ABS(E818-D818)</x:f>
        <x:v>200</x:v>
      </x:c>
      <x:c r="L818" s="11" t="n">
        <x:f>K818-J818</x:f>
        <x:v>2092.16</x:v>
      </x:c>
      <x:c r="M818" s="11" t="str">
        <x:f>IF(B818="Butterfly",MAX(J818,0),IF(C818="call","Unlimited",MAX(2*E818-D818+J818,J818,0)))</x:f>
        <x:v>Unlimited</x:v>
      </x:c>
      <x:c r="N818" s="11" t="str">
        <x:f>IF(B818="Butterfly",IF(AND(J818&gt;0,J818&lt;K818),D818+J818,"n.a."),IF(C818="call",IF(AND(J818&gt;0,J818&lt;K818),D818+J818,"n.a."),IF(AND(K818&gt;J818,2*E818-D818+J818&gt;=0),2*E818-D818+J818,"n.a.")))</x:f>
        <x:v>n.a.</x:v>
      </x:c>
      <x:c r="O818" s="11" t="n">
        <x:f>IF(B818="Butterfly",IF(AND(J818&gt;0,J818&lt;K818),F818-J818,"n.a."),IF(C818="call",IF(K818&gt;J818,2*E818-D818-J818,"n.a."),IF(AND(J818&gt;0,J818&lt;K818),D818-J818,"n.a.")))</x:f>
        <x:v>7092.16</x:v>
      </x:c>
      <x:c r="P818" s="19" t="str">
        <x:f>IF(AND(B818="Butterfly",J818&gt;0,J818&lt;K818),L818/J818,"n.a.")</x:f>
        <x:v>n.a.</x:v>
      </x:c>
      <x:c r="Q818" s="11" t="n">
        <x:f>J818*'Model inputs'!$B$8</x:f>
        <x:v>-189216</x:v>
      </x:c>
      <x:c r="R818" s="1" t="str">
        <x:v>Flagged leg data</x:v>
      </x:c>
      <x:c r="S818" s="1" t="n">
        <x:v>67</x:v>
      </x:c>
      <x:c r="T818" s="1" t="n">
        <x:v>84</x:v>
      </x:c>
    </x:row>
    <x:row r="819" ht="21" customHeight="1">
      <x:c r="A819" s="12" t="n">
        <x:v>46269</x:v>
      </x:c>
      <x:c r="B819" s="1" t="str">
        <x:v>1x2 ratio</x:v>
      </x:c>
      <x:c r="C819" s="1" t="str">
        <x:v>call</x:v>
      </x:c>
      <x:c r="D819" s="11" t="n">
        <x:v>4600</x:v>
      </x:c>
      <x:c r="E819" s="11" t="n">
        <x:v>4800</x:v>
      </x:c>
      <x:c r="F819" s="11"/>
      <x:c r="G819" s="11" t="n">
        <x:f>'Option source'!B55</x:f>
        <x:v>2502.92</x:v>
      </x:c>
      <x:c r="H819" s="11" t="n">
        <x:f>'Option source'!B72</x:f>
        <x:v>2375</x:v>
      </x:c>
      <x:c r="I819" s="11"/>
      <x:c r="J819" s="11" t="n">
        <x:f>G819-2*H819+IF(B819="Butterfly",I819,0)</x:f>
        <x:v>-2247.08</x:v>
      </x:c>
      <x:c r="K819" s="11" t="n">
        <x:f>ABS(E819-D819)</x:f>
        <x:v>200</x:v>
      </x:c>
      <x:c r="L819" s="11" t="n">
        <x:f>K819-J819</x:f>
        <x:v>2447.08</x:v>
      </x:c>
      <x:c r="M819" s="11" t="str">
        <x:f>IF(B819="Butterfly",MAX(J819,0),IF(C819="call","Unlimited",MAX(2*E819-D819+J819,J819,0)))</x:f>
        <x:v>Unlimited</x:v>
      </x:c>
      <x:c r="N819" s="11" t="str">
        <x:f>IF(B819="Butterfly",IF(AND(J819&gt;0,J819&lt;K819),D819+J819,"n.a."),IF(C819="call",IF(AND(J819&gt;0,J819&lt;K819),D819+J819,"n.a."),IF(AND(K819&gt;J819,2*E819-D819+J819&gt;=0),2*E819-D819+J819,"n.a.")))</x:f>
        <x:v>n.a.</x:v>
      </x:c>
      <x:c r="O819" s="11" t="n">
        <x:f>IF(B819="Butterfly",IF(AND(J819&gt;0,J819&lt;K819),F819-J819,"n.a."),IF(C819="call",IF(K819&gt;J819,2*E819-D819-J819,"n.a."),IF(AND(J819&gt;0,J819&lt;K819),D819-J819,"n.a.")))</x:f>
        <x:v>7247.08</x:v>
      </x:c>
      <x:c r="P819" s="19" t="str">
        <x:f>IF(AND(B819="Butterfly",J819&gt;0,J819&lt;K819),L819/J819,"n.a.")</x:f>
        <x:v>n.a.</x:v>
      </x:c>
      <x:c r="Q819" s="11" t="n">
        <x:f>J819*'Model inputs'!$B$8</x:f>
        <x:v>-224708</x:v>
      </x:c>
      <x:c r="R819" s="1" t="str">
        <x:v>Flagged leg data</x:v>
      </x:c>
      <x:c r="S819" s="1" t="n">
        <x:v>50</x:v>
      </x:c>
      <x:c r="T819" s="1" t="n">
        <x:v>67</x:v>
      </x:c>
    </x:row>
    <x:row r="820" ht="21" customHeight="1">
      <x:c r="A820" s="12" t="n">
        <x:v>46269</x:v>
      </x:c>
      <x:c r="B820" s="1" t="str">
        <x:v>1x2 ratio</x:v>
      </x:c>
      <x:c r="C820" s="1" t="str">
        <x:v>call</x:v>
      </x:c>
      <x:c r="D820" s="11" t="n">
        <x:v>4400</x:v>
      </x:c>
      <x:c r="E820" s="11" t="n">
        <x:v>4600</x:v>
      </x:c>
      <x:c r="F820" s="11"/>
      <x:c r="G820" s="11" t="n">
        <x:f>'Option source'!B36</x:f>
        <x:v>2707.45</x:v>
      </x:c>
      <x:c r="H820" s="11" t="n">
        <x:f>'Option source'!B55</x:f>
        <x:v>2502.92</x:v>
      </x:c>
      <x:c r="I820" s="11"/>
      <x:c r="J820" s="11" t="n">
        <x:f>G820-2*H820+IF(B820="Butterfly",I820,0)</x:f>
        <x:v>-2298.3900000000003</x:v>
      </x:c>
      <x:c r="K820" s="11" t="n">
        <x:f>ABS(E820-D820)</x:f>
        <x:v>200</x:v>
      </x:c>
      <x:c r="L820" s="11" t="n">
        <x:f>K820-J820</x:f>
        <x:v>2498.3900000000003</x:v>
      </x:c>
      <x:c r="M820" s="11" t="str">
        <x:f>IF(B820="Butterfly",MAX(J820,0),IF(C820="call","Unlimited",MAX(2*E820-D820+J820,J820,0)))</x:f>
        <x:v>Unlimited</x:v>
      </x:c>
      <x:c r="N820" s="11" t="str">
        <x:f>IF(B820="Butterfly",IF(AND(J820&gt;0,J820&lt;K820),D820+J820,"n.a."),IF(C820="call",IF(AND(J820&gt;0,J820&lt;K820),D820+J820,"n.a."),IF(AND(K820&gt;J820,2*E820-D820+J820&gt;=0),2*E820-D820+J820,"n.a.")))</x:f>
        <x:v>n.a.</x:v>
      </x:c>
      <x:c r="O820" s="11" t="n">
        <x:f>IF(B820="Butterfly",IF(AND(J820&gt;0,J820&lt;K820),F820-J820,"n.a."),IF(C820="call",IF(K820&gt;J820,2*E820-D820-J820,"n.a."),IF(AND(J820&gt;0,J820&lt;K820),D820-J820,"n.a.")))</x:f>
        <x:v>7098.39</x:v>
      </x:c>
      <x:c r="P820" s="19" t="str">
        <x:f>IF(AND(B820="Butterfly",J820&gt;0,J820&lt;K820),L820/J820,"n.a.")</x:f>
        <x:v>n.a.</x:v>
      </x:c>
      <x:c r="Q820" s="11" t="n">
        <x:f>J820*'Model inputs'!$B$8</x:f>
        <x:v>-229839.00000000003</x:v>
      </x:c>
      <x:c r="R820" s="1" t="str">
        <x:v>Flagged leg data</x:v>
      </x:c>
      <x:c r="S820" s="1" t="n">
        <x:v>31</x:v>
      </x:c>
      <x:c r="T820" s="1" t="n">
        <x:v>50</x:v>
      </x:c>
    </x:row>
    <x:row r="821" ht="21" customHeight="1">
      <x:c r="A821" s="12" t="n">
        <x:v>46269</x:v>
      </x:c>
      <x:c r="B821" s="1" t="str">
        <x:v>1x2 ratio</x:v>
      </x:c>
      <x:c r="C821" s="1" t="str">
        <x:v>call</x:v>
      </x:c>
      <x:c r="D821" s="11" t="n">
        <x:v>4200</x:v>
      </x:c>
      <x:c r="E821" s="11" t="n">
        <x:v>4400</x:v>
      </x:c>
      <x:c r="F821" s="11"/>
      <x:c r="G821" s="11" t="n">
        <x:f>'Option source'!B17</x:f>
        <x:v>2964.84</x:v>
      </x:c>
      <x:c r="H821" s="11" t="n">
        <x:f>'Option source'!B36</x:f>
        <x:v>2707.45</x:v>
      </x:c>
      <x:c r="I821" s="11"/>
      <x:c r="J821" s="11" t="n">
        <x:f>G821-2*H821+IF(B821="Butterfly",I821,0)</x:f>
        <x:v>-2450.0599999999995</x:v>
      </x:c>
      <x:c r="K821" s="11" t="n">
        <x:f>ABS(E821-D821)</x:f>
        <x:v>200</x:v>
      </x:c>
      <x:c r="L821" s="11" t="n">
        <x:f>K821-J821</x:f>
        <x:v>2650.0599999999995</x:v>
      </x:c>
      <x:c r="M821" s="11" t="str">
        <x:f>IF(B821="Butterfly",MAX(J821,0),IF(C821="call","Unlimited",MAX(2*E821-D821+J821,J821,0)))</x:f>
        <x:v>Unlimited</x:v>
      </x:c>
      <x:c r="N821" s="11" t="str">
        <x:f>IF(B821="Butterfly",IF(AND(J821&gt;0,J821&lt;K821),D821+J821,"n.a."),IF(C821="call",IF(AND(J821&gt;0,J821&lt;K821),D821+J821,"n.a."),IF(AND(K821&gt;J821,2*E821-D821+J821&gt;=0),2*E821-D821+J821,"n.a.")))</x:f>
        <x:v>n.a.</x:v>
      </x:c>
      <x:c r="O821" s="11" t="n">
        <x:f>IF(B821="Butterfly",IF(AND(J821&gt;0,J821&lt;K821),F821-J821,"n.a."),IF(C821="call",IF(K821&gt;J821,2*E821-D821-J821,"n.a."),IF(AND(J821&gt;0,J821&lt;K821),D821-J821,"n.a.")))</x:f>
        <x:v>7050.0599999999995</x:v>
      </x:c>
      <x:c r="P821" s="19" t="str">
        <x:f>IF(AND(B821="Butterfly",J821&gt;0,J821&lt;K821),L821/J821,"n.a.")</x:f>
        <x:v>n.a.</x:v>
      </x:c>
      <x:c r="Q821" s="11" t="n">
        <x:f>J821*'Model inputs'!$B$8</x:f>
        <x:v>-245005.99999999994</x:v>
      </x:c>
      <x:c r="R821" s="1" t="str">
        <x:v>Flagged leg data</x:v>
      </x:c>
      <x:c r="S821" s="1" t="n">
        <x:v>12</x:v>
      </x:c>
      <x:c r="T821" s="1" t="n">
        <x:v>31</x:v>
      </x:c>
    </x:row>
    <x:row r="822" ht="21" customHeight="1">
      <x:c r="A822" s="12" t="n">
        <x:v>46268</x:v>
      </x:c>
      <x:c r="B822" s="1" t="str">
        <x:v>Butterfly</x:v>
      </x:c>
      <x:c r="C822" s="1" t="str">
        <x:v>call</x:v>
      </x:c>
      <x:c r="D822" s="11" t="n">
        <x:v>6800</x:v>
      </x:c>
      <x:c r="E822" s="11" t="n">
        <x:v>7000</x:v>
      </x:c>
      <x:c r="F822" s="11" t="n">
        <x:v>7200</x:v>
      </x:c>
      <x:c r="G822" s="11" t="n">
        <x:f>'Option source'!B249</x:f>
        <x:v>665.11</x:v>
      </x:c>
      <x:c r="H822" s="11" t="n">
        <x:f>'Option source'!B268</x:f>
        <x:v>547.83</x:v>
      </x:c>
      <x:c r="I822" s="11" t="n">
        <x:f>'Option source'!B287</x:f>
        <x:v>446.85</x:v>
      </x:c>
      <x:c r="J822" s="11" t="n">
        <x:f>G822-2*H822+IF(B822="Butterfly",I822,0)</x:f>
        <x:v>16.299999999999955</x:v>
      </x:c>
      <x:c r="K822" s="11" t="n">
        <x:f>ABS(E822-D822)</x:f>
        <x:v>200</x:v>
      </x:c>
      <x:c r="L822" s="11" t="n">
        <x:f>K822-J822</x:f>
        <x:v>183.70000000000005</x:v>
      </x:c>
      <x:c r="M822" s="11" t="n">
        <x:f>IF(B822="Butterfly",MAX(J822,0),IF(C822="call","Unlimited",MAX(2*E822-D822+J822,J822,0)))</x:f>
        <x:v>16.299999999999955</x:v>
      </x:c>
      <x:c r="N822" s="11" t="n">
        <x:f>IF(B822="Butterfly",IF(AND(J822&gt;0,J822&lt;K822),D822+J822,"n.a."),IF(C822="call",IF(AND(J822&gt;0,J822&lt;K822),D822+J822,"n.a."),IF(AND(K822&gt;J822,2*E822-D822+J822&gt;=0),2*E822-D822+J822,"n.a.")))</x:f>
        <x:v>6816.3</x:v>
      </x:c>
      <x:c r="O822" s="11" t="n">
        <x:f>IF(B822="Butterfly",IF(AND(J822&gt;0,J822&lt;K822),F822-J822,"n.a."),IF(C822="call",IF(K822&gt;J822,2*E822-D822-J822,"n.a."),IF(AND(J822&gt;0,J822&lt;K822),D822-J822,"n.a.")))</x:f>
        <x:v>7183.7</x:v>
      </x:c>
      <x:c r="P822" s="19" t="n">
        <x:f>IF(AND(B822="Butterfly",J822&gt;0,J822&lt;K822),L822/J822,"n.a.")</x:f>
        <x:v>11.269938650306782</x:v>
      </x:c>
      <x:c r="Q822" s="11" t="n">
        <x:f>J822*'Model inputs'!$B$8</x:f>
        <x:v>1629.9999999999955</x:v>
      </x:c>
      <x:c r="R822" s="1" t="str">
        <x:v>Indicative only</x:v>
      </x:c>
      <x:c r="S822" s="1" t="n">
        <x:v>244</x:v>
      </x:c>
      <x:c r="T822" s="1" t="n">
        <x:v>263</x:v>
      </x:c>
    </x:row>
    <x:row r="823" ht="21" customHeight="1">
      <x:c r="A823" s="12" t="n">
        <x:v>46268</x:v>
      </x:c>
      <x:c r="B823" s="1" t="str">
        <x:v>Butterfly</x:v>
      </x:c>
      <x:c r="C823" s="1" t="str">
        <x:v>put</x:v>
      </x:c>
      <x:c r="D823" s="11" t="n">
        <x:v>6800</x:v>
      </x:c>
      <x:c r="E823" s="11" t="n">
        <x:v>7000</x:v>
      </x:c>
      <x:c r="F823" s="11" t="n">
        <x:v>7200</x:v>
      </x:c>
      <x:c r="G823" s="11" t="n">
        <x:f>'Option source'!B743</x:f>
        <x:v>235.69</x:v>
      </x:c>
      <x:c r="H823" s="11" t="n">
        <x:f>'Option source'!B762</x:f>
        <x:v>315.24</x:v>
      </x:c>
      <x:c r="I823" s="11" t="n">
        <x:f>'Option source'!B781</x:f>
        <x:v>403.61</x:v>
      </x:c>
      <x:c r="J823" s="11" t="n">
        <x:f>G823-2*H823+IF(B823="Butterfly",I823,0)</x:f>
        <x:v>8.819999999999993</x:v>
      </x:c>
      <x:c r="K823" s="11" t="n">
        <x:f>ABS(E823-D823)</x:f>
        <x:v>200</x:v>
      </x:c>
      <x:c r="L823" s="11" t="n">
        <x:f>K823-J823</x:f>
        <x:v>191.18</x:v>
      </x:c>
      <x:c r="M823" s="11" t="n">
        <x:f>IF(B823="Butterfly",MAX(J823,0),IF(C823="call","Unlimited",MAX(2*E823-D823+J823,J823,0)))</x:f>
        <x:v>8.819999999999993</x:v>
      </x:c>
      <x:c r="N823" s="11" t="n">
        <x:f>IF(B823="Butterfly",IF(AND(J823&gt;0,J823&lt;K823),D823+J823,"n.a."),IF(C823="call",IF(AND(J823&gt;0,J823&lt;K823),D823+J823,"n.a."),IF(AND(K823&gt;J823,2*E823-D823+J823&gt;=0),2*E823-D823+J823,"n.a.")))</x:f>
        <x:v>6808.82</x:v>
      </x:c>
      <x:c r="O823" s="11" t="n">
        <x:f>IF(B823="Butterfly",IF(AND(J823&gt;0,J823&lt;K823),F823-J823,"n.a."),IF(C823="call",IF(K823&gt;J823,2*E823-D823-J823,"n.a."),IF(AND(J823&gt;0,J823&lt;K823),D823-J823,"n.a.")))</x:f>
        <x:v>7191.18</x:v>
      </x:c>
      <x:c r="P823" s="19" t="n">
        <x:f>IF(AND(B823="Butterfly",J823&gt;0,J823&lt;K823),L823/J823,"n.a.")</x:f>
        <x:v>21.675736961451264</x:v>
      </x:c>
      <x:c r="Q823" s="11" t="n">
        <x:f>J823*'Model inputs'!$B$8</x:f>
        <x:v>881.9999999999993</x:v>
      </x:c>
      <x:c r="R823" s="1" t="str">
        <x:v>Indicative only</x:v>
      </x:c>
      <x:c r="S823" s="1" t="n">
        <x:v>738</x:v>
      </x:c>
      <x:c r="T823" s="1" t="n">
        <x:v>757</x:v>
      </x:c>
    </x:row>
    <x:row r="824" ht="21" customHeight="1">
      <x:c r="A824" s="12" t="n">
        <x:v>46268</x:v>
      </x:c>
      <x:c r="B824" s="1" t="str">
        <x:v>Butterfly</x:v>
      </x:c>
      <x:c r="C824" s="1" t="str">
        <x:v>call</x:v>
      </x:c>
      <x:c r="D824" s="11" t="n">
        <x:v>7000</x:v>
      </x:c>
      <x:c r="E824" s="11" t="n">
        <x:v>7200</x:v>
      </x:c>
      <x:c r="F824" s="11" t="n">
        <x:v>7400</x:v>
      </x:c>
      <x:c r="G824" s="11" t="n">
        <x:f>'Option source'!B268</x:f>
        <x:v>547.83</x:v>
      </x:c>
      <x:c r="H824" s="11" t="n">
        <x:f>'Option source'!B287</x:f>
        <x:v>446.85</x:v>
      </x:c>
      <x:c r="I824" s="11" t="n">
        <x:f>'Option source'!B306</x:f>
        <x:v>355.55</x:v>
      </x:c>
      <x:c r="J824" s="11" t="n">
        <x:f>G824-2*H824+IF(B824="Butterfly",I824,0)</x:f>
        <x:v>9.680000000000007</x:v>
      </x:c>
      <x:c r="K824" s="11" t="n">
        <x:f>ABS(E824-D824)</x:f>
        <x:v>200</x:v>
      </x:c>
      <x:c r="L824" s="11" t="n">
        <x:f>K824-J824</x:f>
        <x:v>190.32</x:v>
      </x:c>
      <x:c r="M824" s="11" t="n">
        <x:f>IF(B824="Butterfly",MAX(J824,0),IF(C824="call","Unlimited",MAX(2*E824-D824+J824,J824,0)))</x:f>
        <x:v>9.680000000000007</x:v>
      </x:c>
      <x:c r="N824" s="11" t="n">
        <x:f>IF(B824="Butterfly",IF(AND(J824&gt;0,J824&lt;K824),D824+J824,"n.a."),IF(C824="call",IF(AND(J824&gt;0,J824&lt;K824),D824+J824,"n.a."),IF(AND(K824&gt;J824,2*E824-D824+J824&gt;=0),2*E824-D824+J824,"n.a.")))</x:f>
        <x:v>7009.68</x:v>
      </x:c>
      <x:c r="O824" s="11" t="n">
        <x:f>IF(B824="Butterfly",IF(AND(J824&gt;0,J824&lt;K824),F824-J824,"n.a."),IF(C824="call",IF(K824&gt;J824,2*E824-D824-J824,"n.a."),IF(AND(J824&gt;0,J824&lt;K824),D824-J824,"n.a.")))</x:f>
        <x:v>7390.32</x:v>
      </x:c>
      <x:c r="P824" s="19" t="n">
        <x:f>IF(AND(B824="Butterfly",J824&gt;0,J824&lt;K824),L824/J824,"n.a.")</x:f>
        <x:v>19.661157024793376</x:v>
      </x:c>
      <x:c r="Q824" s="11" t="n">
        <x:f>J824*'Model inputs'!$B$8</x:f>
        <x:v>968.0000000000007</x:v>
      </x:c>
      <x:c r="R824" s="1" t="str">
        <x:v>Indicative only</x:v>
      </x:c>
      <x:c r="S824" s="1" t="n">
        <x:v>263</x:v>
      </x:c>
      <x:c r="T824" s="1" t="n">
        <x:v>282</x:v>
      </x:c>
    </x:row>
    <x:row r="825" ht="21" customHeight="1">
      <x:c r="A825" s="12" t="n">
        <x:v>46268</x:v>
      </x:c>
      <x:c r="B825" s="1" t="str">
        <x:v>Butterfly</x:v>
      </x:c>
      <x:c r="C825" s="1" t="str">
        <x:v>put</x:v>
      </x:c>
      <x:c r="D825" s="11" t="n">
        <x:v>7000</x:v>
      </x:c>
      <x:c r="E825" s="11" t="n">
        <x:v>7200</x:v>
      </x:c>
      <x:c r="F825" s="11" t="n">
        <x:v>7400</x:v>
      </x:c>
      <x:c r="G825" s="11" t="n">
        <x:f>'Option source'!B762</x:f>
        <x:v>315.24</x:v>
      </x:c>
      <x:c r="H825" s="11" t="n">
        <x:f>'Option source'!B781</x:f>
        <x:v>403.61</x:v>
      </x:c>
      <x:c r="I825" s="11" t="n">
        <x:f>'Option source'!B800</x:f>
        <x:v>521.53</x:v>
      </x:c>
      <x:c r="J825" s="11" t="n">
        <x:f>G825-2*H825+IF(B825="Butterfly",I825,0)</x:f>
        <x:v>29.549999999999955</x:v>
      </x:c>
      <x:c r="K825" s="11" t="n">
        <x:f>ABS(E825-D825)</x:f>
        <x:v>200</x:v>
      </x:c>
      <x:c r="L825" s="11" t="n">
        <x:f>K825-J825</x:f>
        <x:v>170.45000000000005</x:v>
      </x:c>
      <x:c r="M825" s="11" t="n">
        <x:f>IF(B825="Butterfly",MAX(J825,0),IF(C825="call","Unlimited",MAX(2*E825-D825+J825,J825,0)))</x:f>
        <x:v>29.549999999999955</x:v>
      </x:c>
      <x:c r="N825" s="11" t="n">
        <x:f>IF(B825="Butterfly",IF(AND(J825&gt;0,J825&lt;K825),D825+J825,"n.a."),IF(C825="call",IF(AND(J825&gt;0,J825&lt;K825),D825+J825,"n.a."),IF(AND(K825&gt;J825,2*E825-D825+J825&gt;=0),2*E825-D825+J825,"n.a.")))</x:f>
        <x:v>7029.55</x:v>
      </x:c>
      <x:c r="O825" s="11" t="n">
        <x:f>IF(B825="Butterfly",IF(AND(J825&gt;0,J825&lt;K825),F825-J825,"n.a."),IF(C825="call",IF(K825&gt;J825,2*E825-D825-J825,"n.a."),IF(AND(J825&gt;0,J825&lt;K825),D825-J825,"n.a.")))</x:f>
        <x:v>7370.45</x:v>
      </x:c>
      <x:c r="P825" s="19" t="n">
        <x:f>IF(AND(B825="Butterfly",J825&gt;0,J825&lt;K825),L825/J825,"n.a.")</x:f>
        <x:v>5.768189509306271</x:v>
      </x:c>
      <x:c r="Q825" s="11" t="n">
        <x:f>J825*'Model inputs'!$B$8</x:f>
        <x:v>2954.9999999999955</x:v>
      </x:c>
      <x:c r="R825" s="1" t="str">
        <x:v>Indicative only</x:v>
      </x:c>
      <x:c r="S825" s="1" t="n">
        <x:v>757</x:v>
      </x:c>
      <x:c r="T825" s="1" t="n">
        <x:v>776</x:v>
      </x:c>
    </x:row>
    <x:row r="826" ht="21" customHeight="1">
      <x:c r="A826" s="12" t="n">
        <x:v>46268</x:v>
      </x:c>
      <x:c r="B826" s="1" t="str">
        <x:v>Butterfly</x:v>
      </x:c>
      <x:c r="C826" s="1" t="str">
        <x:v>call</x:v>
      </x:c>
      <x:c r="D826" s="11" t="n">
        <x:v>6600</x:v>
      </x:c>
      <x:c r="E826" s="11" t="n">
        <x:v>6800</x:v>
      </x:c>
      <x:c r="F826" s="11" t="n">
        <x:v>7000</x:v>
      </x:c>
      <x:c r="G826" s="11" t="n">
        <x:f>'Option source'!B230</x:f>
        <x:v>800.04</x:v>
      </x:c>
      <x:c r="H826" s="11" t="n">
        <x:f>'Option source'!B249</x:f>
        <x:v>665.11</x:v>
      </x:c>
      <x:c r="I826" s="11" t="n">
        <x:f>'Option source'!B268</x:f>
        <x:v>547.83</x:v>
      </x:c>
      <x:c r="J826" s="11" t="n">
        <x:f>G826-2*H826+IF(B826="Butterfly",I826,0)</x:f>
        <x:v>17.649999999999977</x:v>
      </x:c>
      <x:c r="K826" s="11" t="n">
        <x:f>ABS(E826-D826)</x:f>
        <x:v>200</x:v>
      </x:c>
      <x:c r="L826" s="11" t="n">
        <x:f>K826-J826</x:f>
        <x:v>182.35000000000002</x:v>
      </x:c>
      <x:c r="M826" s="11" t="n">
        <x:f>IF(B826="Butterfly",MAX(J826,0),IF(C826="call","Unlimited",MAX(2*E826-D826+J826,J826,0)))</x:f>
        <x:v>17.649999999999977</x:v>
      </x:c>
      <x:c r="N826" s="11" t="n">
        <x:f>IF(B826="Butterfly",IF(AND(J826&gt;0,J826&lt;K826),D826+J826,"n.a."),IF(C826="call",IF(AND(J826&gt;0,J826&lt;K826),D826+J826,"n.a."),IF(AND(K826&gt;J826,2*E826-D826+J826&gt;=0),2*E826-D826+J826,"n.a.")))</x:f>
        <x:v>6617.65</x:v>
      </x:c>
      <x:c r="O826" s="11" t="n">
        <x:f>IF(B826="Butterfly",IF(AND(J826&gt;0,J826&lt;K826),F826-J826,"n.a."),IF(C826="call",IF(K826&gt;J826,2*E826-D826-J826,"n.a."),IF(AND(J826&gt;0,J826&lt;K826),D826-J826,"n.a.")))</x:f>
        <x:v>6982.35</x:v>
      </x:c>
      <x:c r="P826" s="19" t="n">
        <x:f>IF(AND(B826="Butterfly",J826&gt;0,J826&lt;K826),L826/J826,"n.a.")</x:f>
        <x:v>10.331444759206814</x:v>
      </x:c>
      <x:c r="Q826" s="11" t="n">
        <x:f>J826*'Model inputs'!$B$8</x:f>
        <x:v>1764.9999999999977</x:v>
      </x:c>
      <x:c r="R826" s="1" t="str">
        <x:v>Indicative only</x:v>
      </x:c>
      <x:c r="S826" s="1" t="n">
        <x:v>225</x:v>
      </x:c>
      <x:c r="T826" s="1" t="n">
        <x:v>244</x:v>
      </x:c>
    </x:row>
    <x:row r="827" ht="21" customHeight="1">
      <x:c r="A827" s="12" t="n">
        <x:v>46268</x:v>
      </x:c>
      <x:c r="B827" s="1" t="str">
        <x:v>Butterfly</x:v>
      </x:c>
      <x:c r="C827" s="1" t="str">
        <x:v>put</x:v>
      </x:c>
      <x:c r="D827" s="11" t="n">
        <x:v>6600</x:v>
      </x:c>
      <x:c r="E827" s="11" t="n">
        <x:v>6800</x:v>
      </x:c>
      <x:c r="F827" s="11" t="n">
        <x:v>7000</x:v>
      </x:c>
      <x:c r="G827" s="11" t="n">
        <x:f>'Option source'!B724</x:f>
        <x:v>167.73</x:v>
      </x:c>
      <x:c r="H827" s="11" t="n">
        <x:f>'Option source'!B743</x:f>
        <x:v>235.69</x:v>
      </x:c>
      <x:c r="I827" s="11" t="n">
        <x:f>'Option source'!B762</x:f>
        <x:v>315.24</x:v>
      </x:c>
      <x:c r="J827" s="11" t="n">
        <x:f>G827-2*H827+IF(B827="Butterfly",I827,0)</x:f>
        <x:v>11.590000000000032</x:v>
      </x:c>
      <x:c r="K827" s="11" t="n">
        <x:f>ABS(E827-D827)</x:f>
        <x:v>200</x:v>
      </x:c>
      <x:c r="L827" s="11" t="n">
        <x:f>K827-J827</x:f>
        <x:v>188.40999999999997</x:v>
      </x:c>
      <x:c r="M827" s="11" t="n">
        <x:f>IF(B827="Butterfly",MAX(J827,0),IF(C827="call","Unlimited",MAX(2*E827-D827+J827,J827,0)))</x:f>
        <x:v>11.590000000000032</x:v>
      </x:c>
      <x:c r="N827" s="11" t="n">
        <x:f>IF(B827="Butterfly",IF(AND(J827&gt;0,J827&lt;K827),D827+J827,"n.a."),IF(C827="call",IF(AND(J827&gt;0,J827&lt;K827),D827+J827,"n.a."),IF(AND(K827&gt;J827,2*E827-D827+J827&gt;=0),2*E827-D827+J827,"n.a.")))</x:f>
        <x:v>6611.59</x:v>
      </x:c>
      <x:c r="O827" s="11" t="n">
        <x:f>IF(B827="Butterfly",IF(AND(J827&gt;0,J827&lt;K827),F827-J827,"n.a."),IF(C827="call",IF(K827&gt;J827,2*E827-D827-J827,"n.a."),IF(AND(J827&gt;0,J827&lt;K827),D827-J827,"n.a.")))</x:f>
        <x:v>6988.41</x:v>
      </x:c>
      <x:c r="P827" s="19" t="n">
        <x:f>IF(AND(B827="Butterfly",J827&gt;0,J827&lt;K827),L827/J827,"n.a.")</x:f>
        <x:v>16.256255392579764</x:v>
      </x:c>
      <x:c r="Q827" s="11" t="n">
        <x:f>J827*'Model inputs'!$B$8</x:f>
        <x:v>1159.0000000000032</x:v>
      </x:c>
      <x:c r="R827" s="1" t="str">
        <x:v>Indicative only</x:v>
      </x:c>
      <x:c r="S827" s="1" t="n">
        <x:v>719</x:v>
      </x:c>
      <x:c r="T827" s="1" t="n">
        <x:v>738</x:v>
      </x:c>
    </x:row>
    <x:row r="828" ht="21" customHeight="1">
      <x:c r="A828" s="12" t="n">
        <x:v>46268</x:v>
      </x:c>
      <x:c r="B828" s="1" t="str">
        <x:v>Butterfly</x:v>
      </x:c>
      <x:c r="C828" s="1" t="str">
        <x:v>call</x:v>
      </x:c>
      <x:c r="D828" s="11" t="n">
        <x:v>7200</x:v>
      </x:c>
      <x:c r="E828" s="11" t="n">
        <x:v>7400</x:v>
      </x:c>
      <x:c r="F828" s="11" t="n">
        <x:v>7600</x:v>
      </x:c>
      <x:c r="G828" s="11" t="n">
        <x:f>'Option source'!B287</x:f>
        <x:v>446.85</x:v>
      </x:c>
      <x:c r="H828" s="11" t="n">
        <x:f>'Option source'!B306</x:f>
        <x:v>355.55</x:v>
      </x:c>
      <x:c r="I828" s="11" t="n">
        <x:f>'Option source'!B325</x:f>
        <x:v>280.92</x:v>
      </x:c>
      <x:c r="J828" s="11" t="n">
        <x:f>G828-2*H828+IF(B828="Butterfly",I828,0)</x:f>
        <x:v>16.670000000000016</x:v>
      </x:c>
      <x:c r="K828" s="11" t="n">
        <x:f>ABS(E828-D828)</x:f>
        <x:v>200</x:v>
      </x:c>
      <x:c r="L828" s="11" t="n">
        <x:f>K828-J828</x:f>
        <x:v>183.32999999999998</x:v>
      </x:c>
      <x:c r="M828" s="11" t="n">
        <x:f>IF(B828="Butterfly",MAX(J828,0),IF(C828="call","Unlimited",MAX(2*E828-D828+J828,J828,0)))</x:f>
        <x:v>16.670000000000016</x:v>
      </x:c>
      <x:c r="N828" s="11" t="n">
        <x:f>IF(B828="Butterfly",IF(AND(J828&gt;0,J828&lt;K828),D828+J828,"n.a."),IF(C828="call",IF(AND(J828&gt;0,J828&lt;K828),D828+J828,"n.a."),IF(AND(K828&gt;J828,2*E828-D828+J828&gt;=0),2*E828-D828+J828,"n.a.")))</x:f>
        <x:v>7216.67</x:v>
      </x:c>
      <x:c r="O828" s="11" t="n">
        <x:f>IF(B828="Butterfly",IF(AND(J828&gt;0,J828&lt;K828),F828-J828,"n.a."),IF(C828="call",IF(K828&gt;J828,2*E828-D828-J828,"n.a."),IF(AND(J828&gt;0,J828&lt;K828),D828-J828,"n.a.")))</x:f>
        <x:v>7583.33</x:v>
      </x:c>
      <x:c r="P828" s="19" t="n">
        <x:f>IF(AND(B828="Butterfly",J828&gt;0,J828&lt;K828),L828/J828,"n.a.")</x:f>
        <x:v>10.997600479904008</x:v>
      </x:c>
      <x:c r="Q828" s="11" t="n">
        <x:f>J828*'Model inputs'!$B$8</x:f>
        <x:v>1667.0000000000016</x:v>
      </x:c>
      <x:c r="R828" s="1" t="str">
        <x:v>Indicative only</x:v>
      </x:c>
      <x:c r="S828" s="1" t="n">
        <x:v>282</x:v>
      </x:c>
      <x:c r="T828" s="1" t="n">
        <x:v>301</x:v>
      </x:c>
    </x:row>
    <x:row r="829" ht="21" customHeight="1">
      <x:c r="A829" s="12" t="n">
        <x:v>46268</x:v>
      </x:c>
      <x:c r="B829" s="1" t="str">
        <x:v>Butterfly</x:v>
      </x:c>
      <x:c r="C829" s="1" t="str">
        <x:v>put</x:v>
      </x:c>
      <x:c r="D829" s="11" t="n">
        <x:v>7200</x:v>
      </x:c>
      <x:c r="E829" s="11" t="n">
        <x:v>7400</x:v>
      </x:c>
      <x:c r="F829" s="11" t="n">
        <x:v>7600</x:v>
      </x:c>
      <x:c r="G829" s="11" t="n">
        <x:f>'Option source'!B781</x:f>
        <x:v>403.61</x:v>
      </x:c>
      <x:c r="H829" s="11" t="n">
        <x:f>'Option source'!B800</x:f>
        <x:v>521.53</x:v>
      </x:c>
      <x:c r="I829" s="11" t="n">
        <x:f>'Option source'!B819</x:f>
        <x:v>650</x:v>
      </x:c>
      <x:c r="J829" s="11" t="n">
        <x:f>G829-2*H829+IF(B829="Butterfly",I829,0)</x:f>
        <x:v>10.550000000000068</x:v>
      </x:c>
      <x:c r="K829" s="11" t="n">
        <x:f>ABS(E829-D829)</x:f>
        <x:v>200</x:v>
      </x:c>
      <x:c r="L829" s="11" t="n">
        <x:f>K829-J829</x:f>
        <x:v>189.44999999999993</x:v>
      </x:c>
      <x:c r="M829" s="11" t="n">
        <x:f>IF(B829="Butterfly",MAX(J829,0),IF(C829="call","Unlimited",MAX(2*E829-D829+J829,J829,0)))</x:f>
        <x:v>10.550000000000068</x:v>
      </x:c>
      <x:c r="N829" s="11" t="n">
        <x:f>IF(B829="Butterfly",IF(AND(J829&gt;0,J829&lt;K829),D829+J829,"n.a."),IF(C829="call",IF(AND(J829&gt;0,J829&lt;K829),D829+J829,"n.a."),IF(AND(K829&gt;J829,2*E829-D829+J829&gt;=0),2*E829-D829+J829,"n.a.")))</x:f>
        <x:v>7210.55</x:v>
      </x:c>
      <x:c r="O829" s="11" t="n">
        <x:f>IF(B829="Butterfly",IF(AND(J829&gt;0,J829&lt;K829),F829-J829,"n.a."),IF(C829="call",IF(K829&gt;J829,2*E829-D829-J829,"n.a."),IF(AND(J829&gt;0,J829&lt;K829),D829-J829,"n.a.")))</x:f>
        <x:v>7589.45</x:v>
      </x:c>
      <x:c r="P829" s="19" t="n">
        <x:f>IF(AND(B829="Butterfly",J829&gt;0,J829&lt;K829),L829/J829,"n.a.")</x:f>
        <x:v>17.957345971563857</x:v>
      </x:c>
      <x:c r="Q829" s="11" t="n">
        <x:f>J829*'Model inputs'!$B$8</x:f>
        <x:v>1055.0000000000068</x:v>
      </x:c>
      <x:c r="R829" s="1" t="str">
        <x:v>Indicative only</x:v>
      </x:c>
      <x:c r="S829" s="1" t="n">
        <x:v>776</x:v>
      </x:c>
      <x:c r="T829" s="1" t="n">
        <x:v>795</x:v>
      </x:c>
    </x:row>
    <x:row r="830" ht="21" customHeight="1">
      <x:c r="A830" s="12" t="n">
        <x:v>46268</x:v>
      </x:c>
      <x:c r="B830" s="1" t="str">
        <x:v>Butterfly</x:v>
      </x:c>
      <x:c r="C830" s="1" t="str">
        <x:v>put</x:v>
      </x:c>
      <x:c r="D830" s="11" t="n">
        <x:v>6400</x:v>
      </x:c>
      <x:c r="E830" s="11" t="n">
        <x:v>6600</x:v>
      </x:c>
      <x:c r="F830" s="11" t="n">
        <x:v>6800</x:v>
      </x:c>
      <x:c r="G830" s="11" t="n">
        <x:f>'Option source'!B705</x:f>
        <x:v>113.71</x:v>
      </x:c>
      <x:c r="H830" s="11" t="n">
        <x:f>'Option source'!B724</x:f>
        <x:v>167.73</x:v>
      </x:c>
      <x:c r="I830" s="11" t="n">
        <x:f>'Option source'!B743</x:f>
        <x:v>235.69</x:v>
      </x:c>
      <x:c r="J830" s="11" t="n">
        <x:f>G830-2*H830+IF(B830="Butterfly",I830,0)</x:f>
        <x:v>13.939999999999998</x:v>
      </x:c>
      <x:c r="K830" s="11" t="n">
        <x:f>ABS(E830-D830)</x:f>
        <x:v>200</x:v>
      </x:c>
      <x:c r="L830" s="11" t="n">
        <x:f>K830-J830</x:f>
        <x:v>186.06</x:v>
      </x:c>
      <x:c r="M830" s="11" t="n">
        <x:f>IF(B830="Butterfly",MAX(J830,0),IF(C830="call","Unlimited",MAX(2*E830-D830+J830,J830,0)))</x:f>
        <x:v>13.939999999999998</x:v>
      </x:c>
      <x:c r="N830" s="11" t="n">
        <x:f>IF(B830="Butterfly",IF(AND(J830&gt;0,J830&lt;K830),D830+J830,"n.a."),IF(C830="call",IF(AND(J830&gt;0,J830&lt;K830),D830+J830,"n.a."),IF(AND(K830&gt;J830,2*E830-D830+J830&gt;=0),2*E830-D830+J830,"n.a.")))</x:f>
        <x:v>6413.94</x:v>
      </x:c>
      <x:c r="O830" s="11" t="n">
        <x:f>IF(B830="Butterfly",IF(AND(J830&gt;0,J830&lt;K830),F830-J830,"n.a."),IF(C830="call",IF(K830&gt;J830,2*E830-D830-J830,"n.a."),IF(AND(J830&gt;0,J830&lt;K830),D830-J830,"n.a.")))</x:f>
        <x:v>6786.06</x:v>
      </x:c>
      <x:c r="P830" s="19" t="n">
        <x:f>IF(AND(B830="Butterfly",J830&gt;0,J830&lt;K830),L830/J830,"n.a.")</x:f>
        <x:v>13.34720229555237</x:v>
      </x:c>
      <x:c r="Q830" s="11" t="n">
        <x:f>J830*'Model inputs'!$B$8</x:f>
        <x:v>1393.9999999999998</x:v>
      </x:c>
      <x:c r="R830" s="1" t="str">
        <x:v>Indicative only</x:v>
      </x:c>
      <x:c r="S830" s="1" t="n">
        <x:v>700</x:v>
      </x:c>
      <x:c r="T830" s="1" t="n">
        <x:v>719</x:v>
      </x:c>
    </x:row>
    <x:row r="831" ht="21" customHeight="1">
      <x:c r="A831" s="12" t="n">
        <x:v>46268</x:v>
      </x:c>
      <x:c r="B831" s="1" t="str">
        <x:v>Butterfly</x:v>
      </x:c>
      <x:c r="C831" s="1" t="str">
        <x:v>call</x:v>
      </x:c>
      <x:c r="D831" s="11" t="n">
        <x:v>7400</x:v>
      </x:c>
      <x:c r="E831" s="11" t="n">
        <x:v>7600</x:v>
      </x:c>
      <x:c r="F831" s="11" t="n">
        <x:v>7800</x:v>
      </x:c>
      <x:c r="G831" s="11" t="n">
        <x:f>'Option source'!B306</x:f>
        <x:v>355.55</x:v>
      </x:c>
      <x:c r="H831" s="11" t="n">
        <x:f>'Option source'!B325</x:f>
        <x:v>280.92</x:v>
      </x:c>
      <x:c r="I831" s="11" t="n">
        <x:f>'Option source'!B344</x:f>
        <x:v>216.52</x:v>
      </x:c>
      <x:c r="J831" s="11" t="n">
        <x:f>G831-2*H831+IF(B831="Butterfly",I831,0)</x:f>
        <x:v>10.22999999999999</x:v>
      </x:c>
      <x:c r="K831" s="11" t="n">
        <x:f>ABS(E831-D831)</x:f>
        <x:v>200</x:v>
      </x:c>
      <x:c r="L831" s="11" t="n">
        <x:f>K831-J831</x:f>
        <x:v>189.77</x:v>
      </x:c>
      <x:c r="M831" s="11" t="n">
        <x:f>IF(B831="Butterfly",MAX(J831,0),IF(C831="call","Unlimited",MAX(2*E831-D831+J831,J831,0)))</x:f>
        <x:v>10.22999999999999</x:v>
      </x:c>
      <x:c r="N831" s="11" t="n">
        <x:f>IF(B831="Butterfly",IF(AND(J831&gt;0,J831&lt;K831),D831+J831,"n.a."),IF(C831="call",IF(AND(J831&gt;0,J831&lt;K831),D831+J831,"n.a."),IF(AND(K831&gt;J831,2*E831-D831+J831&gt;=0),2*E831-D831+J831,"n.a.")))</x:f>
        <x:v>7410.23</x:v>
      </x:c>
      <x:c r="O831" s="11" t="n">
        <x:f>IF(B831="Butterfly",IF(AND(J831&gt;0,J831&lt;K831),F831-J831,"n.a."),IF(C831="call",IF(K831&gt;J831,2*E831-D831-J831,"n.a."),IF(AND(J831&gt;0,J831&lt;K831),D831-J831,"n.a.")))</x:f>
        <x:v>7789.77</x:v>
      </x:c>
      <x:c r="P831" s="19" t="n">
        <x:f>IF(AND(B831="Butterfly",J831&gt;0,J831&lt;K831),L831/J831,"n.a.")</x:f>
        <x:v>18.55034213098731</x:v>
      </x:c>
      <x:c r="Q831" s="11" t="n">
        <x:f>J831*'Model inputs'!$B$8</x:f>
        <x:v>1022.999999999999</x:v>
      </x:c>
      <x:c r="R831" s="1" t="str">
        <x:v>Indicative only</x:v>
      </x:c>
      <x:c r="S831" s="1" t="n">
        <x:v>301</x:v>
      </x:c>
      <x:c r="T831" s="1" t="n">
        <x:v>320</x:v>
      </x:c>
    </x:row>
    <x:row r="832" ht="21" customHeight="1">
      <x:c r="A832" s="12" t="n">
        <x:v>46268</x:v>
      </x:c>
      <x:c r="B832" s="1" t="str">
        <x:v>Butterfly</x:v>
      </x:c>
      <x:c r="C832" s="1" t="str">
        <x:v>put</x:v>
      </x:c>
      <x:c r="D832" s="11" t="n">
        <x:v>6200</x:v>
      </x:c>
      <x:c r="E832" s="11" t="n">
        <x:v>6400</x:v>
      </x:c>
      <x:c r="F832" s="11" t="n">
        <x:v>6600</x:v>
      </x:c>
      <x:c r="G832" s="11" t="n">
        <x:f>'Option source'!B686</x:f>
        <x:v>73.43</x:v>
      </x:c>
      <x:c r="H832" s="11" t="n">
        <x:f>'Option source'!B705</x:f>
        <x:v>113.71</x:v>
      </x:c>
      <x:c r="I832" s="11" t="n">
        <x:f>'Option source'!B724</x:f>
        <x:v>167.73</x:v>
      </x:c>
      <x:c r="J832" s="11" t="n">
        <x:f>G832-2*H832+IF(B832="Butterfly",I832,0)</x:f>
        <x:v>13.740000000000009</x:v>
      </x:c>
      <x:c r="K832" s="11" t="n">
        <x:f>ABS(E832-D832)</x:f>
        <x:v>200</x:v>
      </x:c>
      <x:c r="L832" s="11" t="n">
        <x:f>K832-J832</x:f>
        <x:v>186.26</x:v>
      </x:c>
      <x:c r="M832" s="11" t="n">
        <x:f>IF(B832="Butterfly",MAX(J832,0),IF(C832="call","Unlimited",MAX(2*E832-D832+J832,J832,0)))</x:f>
        <x:v>13.740000000000009</x:v>
      </x:c>
      <x:c r="N832" s="11" t="n">
        <x:f>IF(B832="Butterfly",IF(AND(J832&gt;0,J832&lt;K832),D832+J832,"n.a."),IF(C832="call",IF(AND(J832&gt;0,J832&lt;K832),D832+J832,"n.a."),IF(AND(K832&gt;J832,2*E832-D832+J832&gt;=0),2*E832-D832+J832,"n.a.")))</x:f>
        <x:v>6213.74</x:v>
      </x:c>
      <x:c r="O832" s="11" t="n">
        <x:f>IF(B832="Butterfly",IF(AND(J832&gt;0,J832&lt;K832),F832-J832,"n.a."),IF(C832="call",IF(K832&gt;J832,2*E832-D832-J832,"n.a."),IF(AND(J832&gt;0,J832&lt;K832),D832-J832,"n.a.")))</x:f>
        <x:v>6586.26</x:v>
      </x:c>
      <x:c r="P832" s="19" t="n">
        <x:f>IF(AND(B832="Butterfly",J832&gt;0,J832&lt;K832),L832/J832,"n.a.")</x:f>
        <x:v>13.55604075691411</x:v>
      </x:c>
      <x:c r="Q832" s="11" t="n">
        <x:f>J832*'Model inputs'!$B$8</x:f>
        <x:v>1374.000000000001</x:v>
      </x:c>
      <x:c r="R832" s="1" t="str">
        <x:v>Indicative only</x:v>
      </x:c>
      <x:c r="S832" s="1" t="n">
        <x:v>681</x:v>
      </x:c>
      <x:c r="T832" s="1" t="n">
        <x:v>700</x:v>
      </x:c>
    </x:row>
    <x:row r="833" ht="21" customHeight="1">
      <x:c r="A833" s="12" t="n">
        <x:v>46268</x:v>
      </x:c>
      <x:c r="B833" s="1" t="str">
        <x:v>Butterfly</x:v>
      </x:c>
      <x:c r="C833" s="1" t="str">
        <x:v>call</x:v>
      </x:c>
      <x:c r="D833" s="11" t="n">
        <x:v>7600</x:v>
      </x:c>
      <x:c r="E833" s="11" t="n">
        <x:v>7800</x:v>
      </x:c>
      <x:c r="F833" s="11" t="n">
        <x:v>8000</x:v>
      </x:c>
      <x:c r="G833" s="11" t="n">
        <x:f>'Option source'!B325</x:f>
        <x:v>280.92</x:v>
      </x:c>
      <x:c r="H833" s="11" t="n">
        <x:f>'Option source'!B344</x:f>
        <x:v>216.52</x:v>
      </x:c>
      <x:c r="I833" s="11" t="n">
        <x:f>'Option source'!B363</x:f>
        <x:v>167.84</x:v>
      </x:c>
      <x:c r="J833" s="11" t="n">
        <x:f>G833-2*H833+IF(B833="Butterfly",I833,0)</x:f>
        <x:v>15.719999999999999</x:v>
      </x:c>
      <x:c r="K833" s="11" t="n">
        <x:f>ABS(E833-D833)</x:f>
        <x:v>200</x:v>
      </x:c>
      <x:c r="L833" s="11" t="n">
        <x:f>K833-J833</x:f>
        <x:v>184.28</x:v>
      </x:c>
      <x:c r="M833" s="11" t="n">
        <x:f>IF(B833="Butterfly",MAX(J833,0),IF(C833="call","Unlimited",MAX(2*E833-D833+J833,J833,0)))</x:f>
        <x:v>15.719999999999999</x:v>
      </x:c>
      <x:c r="N833" s="11" t="n">
        <x:f>IF(B833="Butterfly",IF(AND(J833&gt;0,J833&lt;K833),D833+J833,"n.a."),IF(C833="call",IF(AND(J833&gt;0,J833&lt;K833),D833+J833,"n.a."),IF(AND(K833&gt;J833,2*E833-D833+J833&gt;=0),2*E833-D833+J833,"n.a.")))</x:f>
        <x:v>7615.72</x:v>
      </x:c>
      <x:c r="O833" s="11" t="n">
        <x:f>IF(B833="Butterfly",IF(AND(J833&gt;0,J833&lt;K833),F833-J833,"n.a."),IF(C833="call",IF(K833&gt;J833,2*E833-D833-J833,"n.a."),IF(AND(J833&gt;0,J833&lt;K833),D833-J833,"n.a.")))</x:f>
        <x:v>7984.28</x:v>
      </x:c>
      <x:c r="P833" s="19" t="n">
        <x:f>IF(AND(B833="Butterfly",J833&gt;0,J833&lt;K833),L833/J833,"n.a.")</x:f>
        <x:v>11.722646310432571</x:v>
      </x:c>
      <x:c r="Q833" s="11" t="n">
        <x:f>J833*'Model inputs'!$B$8</x:f>
        <x:v>1572</x:v>
      </x:c>
      <x:c r="R833" s="1" t="str">
        <x:v>Indicative only</x:v>
      </x:c>
      <x:c r="S833" s="1" t="n">
        <x:v>320</x:v>
      </x:c>
      <x:c r="T833" s="1" t="n">
        <x:v>339</x:v>
      </x:c>
    </x:row>
    <x:row r="834" ht="21" customHeight="1">
      <x:c r="A834" s="12" t="n">
        <x:v>46268</x:v>
      </x:c>
      <x:c r="B834" s="1" t="str">
        <x:v>Butterfly</x:v>
      </x:c>
      <x:c r="C834" s="1" t="str">
        <x:v>put</x:v>
      </x:c>
      <x:c r="D834" s="11" t="n">
        <x:v>6000</x:v>
      </x:c>
      <x:c r="E834" s="11" t="n">
        <x:v>6200</x:v>
      </x:c>
      <x:c r="F834" s="11" t="n">
        <x:v>6400</x:v>
      </x:c>
      <x:c r="G834" s="11" t="n">
        <x:f>'Option source'!B667</x:f>
        <x:v>45.1</x:v>
      </x:c>
      <x:c r="H834" s="11" t="n">
        <x:f>'Option source'!B686</x:f>
        <x:v>73.43</x:v>
      </x:c>
      <x:c r="I834" s="11" t="n">
        <x:f>'Option source'!B705</x:f>
        <x:v>113.71</x:v>
      </x:c>
      <x:c r="J834" s="11" t="n">
        <x:f>G834-2*H834+IF(B834="Butterfly",I834,0)</x:f>
        <x:v>11.949999999999974</x:v>
      </x:c>
      <x:c r="K834" s="11" t="n">
        <x:f>ABS(E834-D834)</x:f>
        <x:v>200</x:v>
      </x:c>
      <x:c r="L834" s="11" t="n">
        <x:f>K834-J834</x:f>
        <x:v>188.05</x:v>
      </x:c>
      <x:c r="M834" s="11" t="n">
        <x:f>IF(B834="Butterfly",MAX(J834,0),IF(C834="call","Unlimited",MAX(2*E834-D834+J834,J834,0)))</x:f>
        <x:v>11.949999999999974</x:v>
      </x:c>
      <x:c r="N834" s="11" t="n">
        <x:f>IF(B834="Butterfly",IF(AND(J834&gt;0,J834&lt;K834),D834+J834,"n.a."),IF(C834="call",IF(AND(J834&gt;0,J834&lt;K834),D834+J834,"n.a."),IF(AND(K834&gt;J834,2*E834-D834+J834&gt;=0),2*E834-D834+J834,"n.a.")))</x:f>
        <x:v>6011.95</x:v>
      </x:c>
      <x:c r="O834" s="11" t="n">
        <x:f>IF(B834="Butterfly",IF(AND(J834&gt;0,J834&lt;K834),F834-J834,"n.a."),IF(C834="call",IF(K834&gt;J834,2*E834-D834-J834,"n.a."),IF(AND(J834&gt;0,J834&lt;K834),D834-J834,"n.a.")))</x:f>
        <x:v>6388.05</x:v>
      </x:c>
      <x:c r="P834" s="19" t="n">
        <x:f>IF(AND(B834="Butterfly",J834&gt;0,J834&lt;K834),L834/J834,"n.a.")</x:f>
        <x:v>15.736401673640202</x:v>
      </x:c>
      <x:c r="Q834" s="11" t="n">
        <x:f>J834*'Model inputs'!$B$8</x:f>
        <x:v>1194.9999999999975</x:v>
      </x:c>
      <x:c r="R834" s="1" t="str">
        <x:v>Indicative only</x:v>
      </x:c>
      <x:c r="S834" s="1" t="n">
        <x:v>662</x:v>
      </x:c>
      <x:c r="T834" s="1" t="n">
        <x:v>681</x:v>
      </x:c>
    </x:row>
    <x:row r="835" ht="21" customHeight="1">
      <x:c r="A835" s="12" t="n">
        <x:v>46268</x:v>
      </x:c>
      <x:c r="B835" s="1" t="str">
        <x:v>Butterfly</x:v>
      </x:c>
      <x:c r="C835" s="1" t="str">
        <x:v>put</x:v>
      </x:c>
      <x:c r="D835" s="11" t="n">
        <x:v>5800</x:v>
      </x:c>
      <x:c r="E835" s="11" t="n">
        <x:v>6000</x:v>
      </x:c>
      <x:c r="F835" s="11" t="n">
        <x:v>6200</x:v>
      </x:c>
      <x:c r="G835" s="11" t="n">
        <x:f>'Option source'!B648</x:f>
        <x:v>26.51</x:v>
      </x:c>
      <x:c r="H835" s="11" t="n">
        <x:f>'Option source'!B667</x:f>
        <x:v>45.1</x:v>
      </x:c>
      <x:c r="I835" s="11" t="n">
        <x:f>'Option source'!B686</x:f>
        <x:v>73.43</x:v>
      </x:c>
      <x:c r="J835" s="11" t="n">
        <x:f>G835-2*H835+IF(B835="Butterfly",I835,0)</x:f>
        <x:v>9.740000000000009</x:v>
      </x:c>
      <x:c r="K835" s="11" t="n">
        <x:f>ABS(E835-D835)</x:f>
        <x:v>200</x:v>
      </x:c>
      <x:c r="L835" s="11" t="n">
        <x:f>K835-J835</x:f>
        <x:v>190.26</x:v>
      </x:c>
      <x:c r="M835" s="11" t="n">
        <x:f>IF(B835="Butterfly",MAX(J835,0),IF(C835="call","Unlimited",MAX(2*E835-D835+J835,J835,0)))</x:f>
        <x:v>9.740000000000009</x:v>
      </x:c>
      <x:c r="N835" s="11" t="n">
        <x:f>IF(B835="Butterfly",IF(AND(J835&gt;0,J835&lt;K835),D835+J835,"n.a."),IF(C835="call",IF(AND(J835&gt;0,J835&lt;K835),D835+J835,"n.a."),IF(AND(K835&gt;J835,2*E835-D835+J835&gt;=0),2*E835-D835+J835,"n.a.")))</x:f>
        <x:v>5809.74</x:v>
      </x:c>
      <x:c r="O835" s="11" t="n">
        <x:f>IF(B835="Butterfly",IF(AND(J835&gt;0,J835&lt;K835),F835-J835,"n.a."),IF(C835="call",IF(K835&gt;J835,2*E835-D835-J835,"n.a."),IF(AND(J835&gt;0,J835&lt;K835),D835-J835,"n.a.")))</x:f>
        <x:v>6190.26</x:v>
      </x:c>
      <x:c r="P835" s="19" t="n">
        <x:f>IF(AND(B835="Butterfly",J835&gt;0,J835&lt;K835),L835/J835,"n.a.")</x:f>
        <x:v>19.53388090349074</x:v>
      </x:c>
      <x:c r="Q835" s="11" t="n">
        <x:f>J835*'Model inputs'!$B$8</x:f>
        <x:v>974.0000000000009</x:v>
      </x:c>
      <x:c r="R835" s="1" t="str">
        <x:v>Indicative only</x:v>
      </x:c>
      <x:c r="S835" s="1" t="n">
        <x:v>643</x:v>
      </x:c>
      <x:c r="T835" s="1" t="n">
        <x:v>662</x:v>
      </x:c>
    </x:row>
    <x:row r="836" ht="21" customHeight="1">
      <x:c r="A836" s="12" t="n">
        <x:v>46268</x:v>
      </x:c>
      <x:c r="B836" s="1" t="str">
        <x:v>Butterfly</x:v>
      </x:c>
      <x:c r="C836" s="1" t="str">
        <x:v>call</x:v>
      </x:c>
      <x:c r="D836" s="11" t="n">
        <x:v>8000</x:v>
      </x:c>
      <x:c r="E836" s="11" t="n">
        <x:v>8300</x:v>
      </x:c>
      <x:c r="F836" s="11" t="n">
        <x:v>8600</x:v>
      </x:c>
      <x:c r="G836" s="11" t="n">
        <x:f>'Option source'!B363</x:f>
        <x:v>167.84</x:v>
      </x:c>
      <x:c r="H836" s="11" t="n">
        <x:f>'Option source'!B382</x:f>
        <x:v>112.69</x:v>
      </x:c>
      <x:c r="I836" s="11" t="n">
        <x:f>'Option source'!B401</x:f>
        <x:v>70.6</x:v>
      </x:c>
      <x:c r="J836" s="11" t="n">
        <x:f>G836-2*H836+IF(B836="Butterfly",I836,0)</x:f>
        <x:v>13.060000000000002</x:v>
      </x:c>
      <x:c r="K836" s="11" t="n">
        <x:f>ABS(E836-D836)</x:f>
        <x:v>300</x:v>
      </x:c>
      <x:c r="L836" s="11" t="n">
        <x:f>K836-J836</x:f>
        <x:v>286.94</x:v>
      </x:c>
      <x:c r="M836" s="11" t="n">
        <x:f>IF(B836="Butterfly",MAX(J836,0),IF(C836="call","Unlimited",MAX(2*E836-D836+J836,J836,0)))</x:f>
        <x:v>13.060000000000002</x:v>
      </x:c>
      <x:c r="N836" s="11" t="n">
        <x:f>IF(B836="Butterfly",IF(AND(J836&gt;0,J836&lt;K836),D836+J836,"n.a."),IF(C836="call",IF(AND(J836&gt;0,J836&lt;K836),D836+J836,"n.a."),IF(AND(K836&gt;J836,2*E836-D836+J836&gt;=0),2*E836-D836+J836,"n.a.")))</x:f>
        <x:v>8013.06</x:v>
      </x:c>
      <x:c r="O836" s="11" t="n">
        <x:f>IF(B836="Butterfly",IF(AND(J836&gt;0,J836&lt;K836),F836-J836,"n.a."),IF(C836="call",IF(K836&gt;J836,2*E836-D836-J836,"n.a."),IF(AND(J836&gt;0,J836&lt;K836),D836-J836,"n.a.")))</x:f>
        <x:v>8586.94</x:v>
      </x:c>
      <x:c r="P836" s="19" t="n">
        <x:f>IF(AND(B836="Butterfly",J836&gt;0,J836&lt;K836),L836/J836,"n.a.")</x:f>
        <x:v>21.9709035222052</x:v>
      </x:c>
      <x:c r="Q836" s="11" t="n">
        <x:f>J836*'Model inputs'!$B$8</x:f>
        <x:v>1306.0000000000002</x:v>
      </x:c>
      <x:c r="R836" s="1" t="str">
        <x:v>Indicative only</x:v>
      </x:c>
      <x:c r="S836" s="1" t="n">
        <x:v>358</x:v>
      </x:c>
      <x:c r="T836" s="1" t="n">
        <x:v>377</x:v>
      </x:c>
    </x:row>
    <x:row r="837" ht="21" customHeight="1">
      <x:c r="A837" s="12" t="n">
        <x:v>46268</x:v>
      </x:c>
      <x:c r="B837" s="1" t="str">
        <x:v>Butterfly</x:v>
      </x:c>
      <x:c r="C837" s="1" t="str">
        <x:v>put</x:v>
      </x:c>
      <x:c r="D837" s="11" t="n">
        <x:v>5600</x:v>
      </x:c>
      <x:c r="E837" s="11" t="n">
        <x:v>5800</x:v>
      </x:c>
      <x:c r="F837" s="11" t="n">
        <x:v>6000</x:v>
      </x:c>
      <x:c r="G837" s="11" t="n">
        <x:f>'Option source'!B629</x:f>
        <x:v>15.36</x:v>
      </x:c>
      <x:c r="H837" s="11" t="n">
        <x:f>'Option source'!B648</x:f>
        <x:v>26.51</x:v>
      </x:c>
      <x:c r="I837" s="11" t="n">
        <x:f>'Option source'!B667</x:f>
        <x:v>45.1</x:v>
      </x:c>
      <x:c r="J837" s="11" t="n">
        <x:f>G837-2*H837+IF(B837="Butterfly",I837,0)</x:f>
        <x:v>7.439999999999998</x:v>
      </x:c>
      <x:c r="K837" s="11" t="n">
        <x:f>ABS(E837-D837)</x:f>
        <x:v>200</x:v>
      </x:c>
      <x:c r="L837" s="11" t="n">
        <x:f>K837-J837</x:f>
        <x:v>192.56</x:v>
      </x:c>
      <x:c r="M837" s="11" t="n">
        <x:f>IF(B837="Butterfly",MAX(J837,0),IF(C837="call","Unlimited",MAX(2*E837-D837+J837,J837,0)))</x:f>
        <x:v>7.439999999999998</x:v>
      </x:c>
      <x:c r="N837" s="11" t="n">
        <x:f>IF(B837="Butterfly",IF(AND(J837&gt;0,J837&lt;K837),D837+J837,"n.a."),IF(C837="call",IF(AND(J837&gt;0,J837&lt;K837),D837+J837,"n.a."),IF(AND(K837&gt;J837,2*E837-D837+J837&gt;=0),2*E837-D837+J837,"n.a.")))</x:f>
        <x:v>5607.44</x:v>
      </x:c>
      <x:c r="O837" s="11" t="n">
        <x:f>IF(B837="Butterfly",IF(AND(J837&gt;0,J837&lt;K837),F837-J837,"n.a."),IF(C837="call",IF(K837&gt;J837,2*E837-D837-J837,"n.a."),IF(AND(J837&gt;0,J837&lt;K837),D837-J837,"n.a.")))</x:f>
        <x:v>5992.56</x:v>
      </x:c>
      <x:c r="P837" s="19" t="n">
        <x:f>IF(AND(B837="Butterfly",J837&gt;0,J837&lt;K837),L837/J837,"n.a.")</x:f>
        <x:v>25.881720430107535</x:v>
      </x:c>
      <x:c r="Q837" s="11" t="n">
        <x:f>J837*'Model inputs'!$B$8</x:f>
        <x:v>743.9999999999998</x:v>
      </x:c>
      <x:c r="R837" s="1" t="str">
        <x:v>Indicative only</x:v>
      </x:c>
      <x:c r="S837" s="1" t="n">
        <x:v>624</x:v>
      </x:c>
      <x:c r="T837" s="1" t="n">
        <x:v>643</x:v>
      </x:c>
    </x:row>
    <x:row r="838" ht="21" customHeight="1">
      <x:c r="A838" s="12" t="n">
        <x:v>46268</x:v>
      </x:c>
      <x:c r="B838" s="1" t="str">
        <x:v>Butterfly</x:v>
      </x:c>
      <x:c r="C838" s="1" t="str">
        <x:v>put</x:v>
      </x:c>
      <x:c r="D838" s="11" t="n">
        <x:v>5400</x:v>
      </x:c>
      <x:c r="E838" s="11" t="n">
        <x:v>5600</x:v>
      </x:c>
      <x:c r="F838" s="11" t="n">
        <x:v>5800</x:v>
      </x:c>
      <x:c r="G838" s="11" t="n">
        <x:f>'Option source'!B610</x:f>
        <x:v>8.78</x:v>
      </x:c>
      <x:c r="H838" s="11" t="n">
        <x:f>'Option source'!B629</x:f>
        <x:v>15.36</x:v>
      </x:c>
      <x:c r="I838" s="11" t="n">
        <x:f>'Option source'!B648</x:f>
        <x:v>26.51</x:v>
      </x:c>
      <x:c r="J838" s="11" t="n">
        <x:f>G838-2*H838+IF(B838="Butterfly",I838,0)</x:f>
        <x:v>4.570000000000004</x:v>
      </x:c>
      <x:c r="K838" s="11" t="n">
        <x:f>ABS(E838-D838)</x:f>
        <x:v>200</x:v>
      </x:c>
      <x:c r="L838" s="11" t="n">
        <x:f>K838-J838</x:f>
        <x:v>195.43</x:v>
      </x:c>
      <x:c r="M838" s="11" t="n">
        <x:f>IF(B838="Butterfly",MAX(J838,0),IF(C838="call","Unlimited",MAX(2*E838-D838+J838,J838,0)))</x:f>
        <x:v>4.570000000000004</x:v>
      </x:c>
      <x:c r="N838" s="11" t="n">
        <x:f>IF(B838="Butterfly",IF(AND(J838&gt;0,J838&lt;K838),D838+J838,"n.a."),IF(C838="call",IF(AND(J838&gt;0,J838&lt;K838),D838+J838,"n.a."),IF(AND(K838&gt;J838,2*E838-D838+J838&gt;=0),2*E838-D838+J838,"n.a.")))</x:f>
        <x:v>5404.57</x:v>
      </x:c>
      <x:c r="O838" s="11" t="n">
        <x:f>IF(B838="Butterfly",IF(AND(J838&gt;0,J838&lt;K838),F838-J838,"n.a."),IF(C838="call",IF(K838&gt;J838,2*E838-D838-J838,"n.a."),IF(AND(J838&gt;0,J838&lt;K838),D838-J838,"n.a.")))</x:f>
        <x:v>5795.43</x:v>
      </x:c>
      <x:c r="P838" s="19" t="n">
        <x:f>IF(AND(B838="Butterfly",J838&gt;0,J838&lt;K838),L838/J838,"n.a.")</x:f>
        <x:v>42.76367614879646</x:v>
      </x:c>
      <x:c r="Q838" s="11" t="n">
        <x:f>J838*'Model inputs'!$B$8</x:f>
        <x:v>457.0000000000004</x:v>
      </x:c>
      <x:c r="R838" s="1" t="str">
        <x:v>Indicative only</x:v>
      </x:c>
      <x:c r="S838" s="1" t="n">
        <x:v>605</x:v>
      </x:c>
      <x:c r="T838" s="1" t="n">
        <x:v>624</x:v>
      </x:c>
    </x:row>
    <x:row r="839" ht="21" customHeight="1">
      <x:c r="A839" s="12" t="n">
        <x:v>46268</x:v>
      </x:c>
      <x:c r="B839" s="1" t="str">
        <x:v>Butterfly</x:v>
      </x:c>
      <x:c r="C839" s="1" t="str">
        <x:v>call</x:v>
      </x:c>
      <x:c r="D839" s="11" t="n">
        <x:v>8300</x:v>
      </x:c>
      <x:c r="E839" s="11" t="n">
        <x:v>8600</x:v>
      </x:c>
      <x:c r="F839" s="11" t="n">
        <x:v>8900</x:v>
      </x:c>
      <x:c r="G839" s="11" t="n">
        <x:f>'Option source'!B382</x:f>
        <x:v>112.69</x:v>
      </x:c>
      <x:c r="H839" s="11" t="n">
        <x:f>'Option source'!B401</x:f>
        <x:v>70.6</x:v>
      </x:c>
      <x:c r="I839" s="11" t="n">
        <x:f>'Option source'!B420</x:f>
        <x:v>41.9</x:v>
      </x:c>
      <x:c r="J839" s="11" t="n">
        <x:f>G839-2*H839+IF(B839="Butterfly",I839,0)</x:f>
        <x:v>13.390000000000008</x:v>
      </x:c>
      <x:c r="K839" s="11" t="n">
        <x:f>ABS(E839-D839)</x:f>
        <x:v>300</x:v>
      </x:c>
      <x:c r="L839" s="11" t="n">
        <x:f>K839-J839</x:f>
        <x:v>286.61</x:v>
      </x:c>
      <x:c r="M839" s="11" t="n">
        <x:f>IF(B839="Butterfly",MAX(J839,0),IF(C839="call","Unlimited",MAX(2*E839-D839+J839,J839,0)))</x:f>
        <x:v>13.390000000000008</x:v>
      </x:c>
      <x:c r="N839" s="11" t="n">
        <x:f>IF(B839="Butterfly",IF(AND(J839&gt;0,J839&lt;K839),D839+J839,"n.a."),IF(C839="call",IF(AND(J839&gt;0,J839&lt;K839),D839+J839,"n.a."),IF(AND(K839&gt;J839,2*E839-D839+J839&gt;=0),2*E839-D839+J839,"n.a.")))</x:f>
        <x:v>8313.39</x:v>
      </x:c>
      <x:c r="O839" s="11" t="n">
        <x:f>IF(B839="Butterfly",IF(AND(J839&gt;0,J839&lt;K839),F839-J839,"n.a."),IF(C839="call",IF(K839&gt;J839,2*E839-D839-J839,"n.a."),IF(AND(J839&gt;0,J839&lt;K839),D839-J839,"n.a.")))</x:f>
        <x:v>8886.61</x:v>
      </x:c>
      <x:c r="P839" s="19" t="n">
        <x:f>IF(AND(B839="Butterfly",J839&gt;0,J839&lt;K839),L839/J839,"n.a.")</x:f>
        <x:v>21.40477968633307</x:v>
      </x:c>
      <x:c r="Q839" s="11" t="n">
        <x:f>J839*'Model inputs'!$B$8</x:f>
        <x:v>1339.0000000000007</x:v>
      </x:c>
      <x:c r="R839" s="1" t="str">
        <x:v>Indicative only</x:v>
      </x:c>
      <x:c r="S839" s="1" t="n">
        <x:v>377</x:v>
      </x:c>
      <x:c r="T839" s="1" t="n">
        <x:v>396</x:v>
      </x:c>
    </x:row>
    <x:row r="840" ht="21" customHeight="1">
      <x:c r="A840" s="12" t="n">
        <x:v>46268</x:v>
      </x:c>
      <x:c r="B840" s="1" t="str">
        <x:v>Butterfly</x:v>
      </x:c>
      <x:c r="C840" s="1" t="str">
        <x:v>put</x:v>
      </x:c>
      <x:c r="D840" s="11" t="n">
        <x:v>5200</x:v>
      </x:c>
      <x:c r="E840" s="11" t="n">
        <x:v>5400</x:v>
      </x:c>
      <x:c r="F840" s="11" t="n">
        <x:v>5600</x:v>
      </x:c>
      <x:c r="G840" s="11" t="n">
        <x:f>'Option source'!B591</x:f>
        <x:v>4.98</x:v>
      </x:c>
      <x:c r="H840" s="11" t="n">
        <x:f>'Option source'!B610</x:f>
        <x:v>8.78</x:v>
      </x:c>
      <x:c r="I840" s="11" t="n">
        <x:f>'Option source'!B629</x:f>
        <x:v>15.36</x:v>
      </x:c>
      <x:c r="J840" s="11" t="n">
        <x:f>G840-2*H840+IF(B840="Butterfly",I840,0)</x:f>
        <x:v>2.780000000000001</x:v>
      </x:c>
      <x:c r="K840" s="11" t="n">
        <x:f>ABS(E840-D840)</x:f>
        <x:v>200</x:v>
      </x:c>
      <x:c r="L840" s="11" t="n">
        <x:f>K840-J840</x:f>
        <x:v>197.22</x:v>
      </x:c>
      <x:c r="M840" s="11" t="n">
        <x:f>IF(B840="Butterfly",MAX(J840,0),IF(C840="call","Unlimited",MAX(2*E840-D840+J840,J840,0)))</x:f>
        <x:v>2.780000000000001</x:v>
      </x:c>
      <x:c r="N840" s="11" t="n">
        <x:f>IF(B840="Butterfly",IF(AND(J840&gt;0,J840&lt;K840),D840+J840,"n.a."),IF(C840="call",IF(AND(J840&gt;0,J840&lt;K840),D840+J840,"n.a."),IF(AND(K840&gt;J840,2*E840-D840+J840&gt;=0),2*E840-D840+J840,"n.a.")))</x:f>
        <x:v>5202.78</x:v>
      </x:c>
      <x:c r="O840" s="11" t="n">
        <x:f>IF(B840="Butterfly",IF(AND(J840&gt;0,J840&lt;K840),F840-J840,"n.a."),IF(C840="call",IF(K840&gt;J840,2*E840-D840-J840,"n.a."),IF(AND(J840&gt;0,J840&lt;K840),D840-J840,"n.a.")))</x:f>
        <x:v>5597.22</x:v>
      </x:c>
      <x:c r="P840" s="19" t="n">
        <x:f>IF(AND(B840="Butterfly",J840&gt;0,J840&lt;K840),L840/J840,"n.a.")</x:f>
        <x:v>70.94244604316543</x:v>
      </x:c>
      <x:c r="Q840" s="11" t="n">
        <x:f>J840*'Model inputs'!$B$8</x:f>
        <x:v>278.0000000000001</x:v>
      </x:c>
      <x:c r="R840" s="1" t="str">
        <x:v>Indicative only</x:v>
      </x:c>
      <x:c r="S840" s="1" t="n">
        <x:v>586</x:v>
      </x:c>
      <x:c r="T840" s="1" t="n">
        <x:v>605</x:v>
      </x:c>
    </x:row>
    <x:row r="841" ht="21" customHeight="1">
      <x:c r="A841" s="12" t="n">
        <x:v>46268</x:v>
      </x:c>
      <x:c r="B841" s="1" t="str">
        <x:v>Butterfly</x:v>
      </x:c>
      <x:c r="C841" s="1" t="str">
        <x:v>call</x:v>
      </x:c>
      <x:c r="D841" s="11" t="n">
        <x:v>8600</x:v>
      </x:c>
      <x:c r="E841" s="11" t="n">
        <x:v>8900</x:v>
      </x:c>
      <x:c r="F841" s="11" t="n">
        <x:v>9200</x:v>
      </x:c>
      <x:c r="G841" s="11" t="n">
        <x:f>'Option source'!B401</x:f>
        <x:v>70.6</x:v>
      </x:c>
      <x:c r="H841" s="11" t="n">
        <x:f>'Option source'!B420</x:f>
        <x:v>41.9</x:v>
      </x:c>
      <x:c r="I841" s="11" t="n">
        <x:f>'Option source'!B439</x:f>
        <x:v>26.71</x:v>
      </x:c>
      <x:c r="J841" s="11" t="n">
        <x:f>G841-2*H841+IF(B841="Butterfly",I841,0)</x:f>
        <x:v>13.509999999999998</x:v>
      </x:c>
      <x:c r="K841" s="11" t="n">
        <x:f>ABS(E841-D841)</x:f>
        <x:v>300</x:v>
      </x:c>
      <x:c r="L841" s="11" t="n">
        <x:f>K841-J841</x:f>
        <x:v>286.49</x:v>
      </x:c>
      <x:c r="M841" s="11" t="n">
        <x:f>IF(B841="Butterfly",MAX(J841,0),IF(C841="call","Unlimited",MAX(2*E841-D841+J841,J841,0)))</x:f>
        <x:v>13.509999999999998</x:v>
      </x:c>
      <x:c r="N841" s="11" t="n">
        <x:f>IF(B841="Butterfly",IF(AND(J841&gt;0,J841&lt;K841),D841+J841,"n.a."),IF(C841="call",IF(AND(J841&gt;0,J841&lt;K841),D841+J841,"n.a."),IF(AND(K841&gt;J841,2*E841-D841+J841&gt;=0),2*E841-D841+J841,"n.a.")))</x:f>
        <x:v>8613.51</x:v>
      </x:c>
      <x:c r="O841" s="11" t="n">
        <x:f>IF(B841="Butterfly",IF(AND(J841&gt;0,J841&lt;K841),F841-J841,"n.a."),IF(C841="call",IF(K841&gt;J841,2*E841-D841-J841,"n.a."),IF(AND(J841&gt;0,J841&lt;K841),D841-J841,"n.a.")))</x:f>
        <x:v>9186.49</x:v>
      </x:c>
      <x:c r="P841" s="19" t="n">
        <x:f>IF(AND(B841="Butterfly",J841&gt;0,J841&lt;K841),L841/J841,"n.a.")</x:f>
        <x:v>21.205773501110293</x:v>
      </x:c>
      <x:c r="Q841" s="11" t="n">
        <x:f>J841*'Model inputs'!$B$8</x:f>
        <x:v>1350.9999999999998</x:v>
      </x:c>
      <x:c r="R841" s="1" t="str">
        <x:v>Indicative only</x:v>
      </x:c>
      <x:c r="S841" s="1" t="n">
        <x:v>396</x:v>
      </x:c>
      <x:c r="T841" s="1" t="n">
        <x:v>415</x:v>
      </x:c>
    </x:row>
    <x:row r="842" ht="21" customHeight="1">
      <x:c r="A842" s="12" t="n">
        <x:v>46268</x:v>
      </x:c>
      <x:c r="B842" s="1" t="str">
        <x:v>Butterfly</x:v>
      </x:c>
      <x:c r="C842" s="1" t="str">
        <x:v>put</x:v>
      </x:c>
      <x:c r="D842" s="11" t="n">
        <x:v>5000</x:v>
      </x:c>
      <x:c r="E842" s="11" t="n">
        <x:v>5200</x:v>
      </x:c>
      <x:c r="F842" s="11" t="n">
        <x:v>5400</x:v>
      </x:c>
      <x:c r="G842" s="11" t="n">
        <x:f>'Option source'!B572</x:f>
        <x:v>2.37</x:v>
      </x:c>
      <x:c r="H842" s="11" t="n">
        <x:f>'Option source'!B591</x:f>
        <x:v>4.98</x:v>
      </x:c>
      <x:c r="I842" s="11" t="n">
        <x:f>'Option source'!B610</x:f>
        <x:v>8.78</x:v>
      </x:c>
      <x:c r="J842" s="11" t="n">
        <x:f>G842-2*H842+IF(B842="Butterfly",I842,0)</x:f>
        <x:v>1.1899999999999986</x:v>
      </x:c>
      <x:c r="K842" s="11" t="n">
        <x:f>ABS(E842-D842)</x:f>
        <x:v>200</x:v>
      </x:c>
      <x:c r="L842" s="11" t="n">
        <x:f>K842-J842</x:f>
        <x:v>198.81</x:v>
      </x:c>
      <x:c r="M842" s="11" t="n">
        <x:f>IF(B842="Butterfly",MAX(J842,0),IF(C842="call","Unlimited",MAX(2*E842-D842+J842,J842,0)))</x:f>
        <x:v>1.1899999999999986</x:v>
      </x:c>
      <x:c r="N842" s="11" t="n">
        <x:f>IF(B842="Butterfly",IF(AND(J842&gt;0,J842&lt;K842),D842+J842,"n.a."),IF(C842="call",IF(AND(J842&gt;0,J842&lt;K842),D842+J842,"n.a."),IF(AND(K842&gt;J842,2*E842-D842+J842&gt;=0),2*E842-D842+J842,"n.a.")))</x:f>
        <x:v>5001.19</x:v>
      </x:c>
      <x:c r="O842" s="11" t="n">
        <x:f>IF(B842="Butterfly",IF(AND(J842&gt;0,J842&lt;K842),F842-J842,"n.a."),IF(C842="call",IF(K842&gt;J842,2*E842-D842-J842,"n.a."),IF(AND(J842&gt;0,J842&lt;K842),D842-J842,"n.a.")))</x:f>
        <x:v>5398.81</x:v>
      </x:c>
      <x:c r="P842" s="19" t="n">
        <x:f>IF(AND(B842="Butterfly",J842&gt;0,J842&lt;K842),L842/J842,"n.a.")</x:f>
        <x:v>167.0672268907565</x:v>
      </x:c>
      <x:c r="Q842" s="11" t="n">
        <x:f>J842*'Model inputs'!$B$8</x:f>
        <x:v>118.99999999999986</x:v>
      </x:c>
      <x:c r="R842" s="1" t="str">
        <x:v>Indicative only</x:v>
      </x:c>
      <x:c r="S842" s="1" t="n">
        <x:v>567</x:v>
      </x:c>
      <x:c r="T842" s="1" t="n">
        <x:v>586</x:v>
      </x:c>
    </x:row>
    <x:row r="843" ht="21" customHeight="1">
      <x:c r="A843" s="12" t="n">
        <x:v>46268</x:v>
      </x:c>
      <x:c r="B843" s="1" t="str">
        <x:v>Butterfly</x:v>
      </x:c>
      <x:c r="C843" s="1" t="str">
        <x:v>put</x:v>
      </x:c>
      <x:c r="D843" s="11" t="n">
        <x:v>4800</x:v>
      </x:c>
      <x:c r="E843" s="11" t="n">
        <x:v>5000</x:v>
      </x:c>
      <x:c r="F843" s="11" t="n">
        <x:v>5200</x:v>
      </x:c>
      <x:c r="G843" s="11" t="n">
        <x:f>'Option source'!B553</x:f>
        <x:v>2.2</x:v>
      </x:c>
      <x:c r="H843" s="11" t="n">
        <x:f>'Option source'!B572</x:f>
        <x:v>2.37</x:v>
      </x:c>
      <x:c r="I843" s="11" t="n">
        <x:f>'Option source'!B591</x:f>
        <x:v>4.98</x:v>
      </x:c>
      <x:c r="J843" s="11" t="n">
        <x:f>G843-2*H843+IF(B843="Butterfly",I843,0)</x:f>
        <x:v>2.4400000000000004</x:v>
      </x:c>
      <x:c r="K843" s="11" t="n">
        <x:f>ABS(E843-D843)</x:f>
        <x:v>200</x:v>
      </x:c>
      <x:c r="L843" s="11" t="n">
        <x:f>K843-J843</x:f>
        <x:v>197.56</x:v>
      </x:c>
      <x:c r="M843" s="11" t="n">
        <x:f>IF(B843="Butterfly",MAX(J843,0),IF(C843="call","Unlimited",MAX(2*E843-D843+J843,J843,0)))</x:f>
        <x:v>2.4400000000000004</x:v>
      </x:c>
      <x:c r="N843" s="11" t="n">
        <x:f>IF(B843="Butterfly",IF(AND(J843&gt;0,J843&lt;K843),D843+J843,"n.a."),IF(C843="call",IF(AND(J843&gt;0,J843&lt;K843),D843+J843,"n.a."),IF(AND(K843&gt;J843,2*E843-D843+J843&gt;=0),2*E843-D843+J843,"n.a.")))</x:f>
        <x:v>4802.44</x:v>
      </x:c>
      <x:c r="O843" s="11" t="n">
        <x:f>IF(B843="Butterfly",IF(AND(J843&gt;0,J843&lt;K843),F843-J843,"n.a."),IF(C843="call",IF(K843&gt;J843,2*E843-D843-J843,"n.a."),IF(AND(J843&gt;0,J843&lt;K843),D843-J843,"n.a.")))</x:f>
        <x:v>5197.56</x:v>
      </x:c>
      <x:c r="P843" s="19" t="n">
        <x:f>IF(AND(B843="Butterfly",J843&gt;0,J843&lt;K843),L843/J843,"n.a.")</x:f>
        <x:v>80.96721311475409</x:v>
      </x:c>
      <x:c r="Q843" s="11" t="n">
        <x:f>J843*'Model inputs'!$B$8</x:f>
        <x:v>244.00000000000003</x:v>
      </x:c>
      <x:c r="R843" s="1" t="str">
        <x:v>Indicative only</x:v>
      </x:c>
      <x:c r="S843" s="1" t="n">
        <x:v>548</x:v>
      </x:c>
      <x:c r="T843" s="1" t="n">
        <x:v>567</x:v>
      </x:c>
    </x:row>
    <x:row r="844" ht="21" customHeight="1">
      <x:c r="A844" s="12" t="n">
        <x:v>46268</x:v>
      </x:c>
      <x:c r="B844" s="1" t="str">
        <x:v>Butterfly</x:v>
      </x:c>
      <x:c r="C844" s="1" t="str">
        <x:v>call</x:v>
      </x:c>
      <x:c r="D844" s="11" t="n">
        <x:v>8900</x:v>
      </x:c>
      <x:c r="E844" s="11" t="n">
        <x:v>9200</x:v>
      </x:c>
      <x:c r="F844" s="11" t="n">
        <x:v>9500</x:v>
      </x:c>
      <x:c r="G844" s="11" t="n">
        <x:f>'Option source'!B420</x:f>
        <x:v>41.9</x:v>
      </x:c>
      <x:c r="H844" s="11" t="n">
        <x:f>'Option source'!B439</x:f>
        <x:v>26.71</x:v>
      </x:c>
      <x:c r="I844" s="11" t="n">
        <x:f>'Option source'!B458</x:f>
        <x:v>16.43</x:v>
      </x:c>
      <x:c r="J844" s="11" t="n">
        <x:f>G844-2*H844+IF(B844="Butterfly",I844,0)</x:f>
        <x:v>4.909999999999997</x:v>
      </x:c>
      <x:c r="K844" s="11" t="n">
        <x:f>ABS(E844-D844)</x:f>
        <x:v>300</x:v>
      </x:c>
      <x:c r="L844" s="11" t="n">
        <x:f>K844-J844</x:f>
        <x:v>295.09000000000003</x:v>
      </x:c>
      <x:c r="M844" s="11" t="n">
        <x:f>IF(B844="Butterfly",MAX(J844,0),IF(C844="call","Unlimited",MAX(2*E844-D844+J844,J844,0)))</x:f>
        <x:v>4.909999999999997</x:v>
      </x:c>
      <x:c r="N844" s="11" t="n">
        <x:f>IF(B844="Butterfly",IF(AND(J844&gt;0,J844&lt;K844),D844+J844,"n.a."),IF(C844="call",IF(AND(J844&gt;0,J844&lt;K844),D844+J844,"n.a."),IF(AND(K844&gt;J844,2*E844-D844+J844&gt;=0),2*E844-D844+J844,"n.a.")))</x:f>
        <x:v>8904.91</x:v>
      </x:c>
      <x:c r="O844" s="11" t="n">
        <x:f>IF(B844="Butterfly",IF(AND(J844&gt;0,J844&lt;K844),F844-J844,"n.a."),IF(C844="call",IF(K844&gt;J844,2*E844-D844-J844,"n.a."),IF(AND(J844&gt;0,J844&lt;K844),D844-J844,"n.a.")))</x:f>
        <x:v>9495.09</x:v>
      </x:c>
      <x:c r="P844" s="19" t="n">
        <x:f>IF(AND(B844="Butterfly",J844&gt;0,J844&lt;K844),L844/J844,"n.a.")</x:f>
        <x:v>60.09979633401227</x:v>
      </x:c>
      <x:c r="Q844" s="11" t="n">
        <x:f>J844*'Model inputs'!$B$8</x:f>
        <x:v>490.99999999999966</x:v>
      </x:c>
      <x:c r="R844" s="1" t="str">
        <x:v>Indicative only</x:v>
      </x:c>
      <x:c r="S844" s="1" t="n">
        <x:v>415</x:v>
      </x:c>
      <x:c r="T844" s="1" t="n">
        <x:v>434</x:v>
      </x:c>
    </x:row>
    <x:row r="845" ht="21" customHeight="1">
      <x:c r="A845" s="12" t="n">
        <x:v>46268</x:v>
      </x:c>
      <x:c r="B845" s="1" t="str">
        <x:v>Butterfly</x:v>
      </x:c>
      <x:c r="C845" s="1" t="str">
        <x:v>put</x:v>
      </x:c>
      <x:c r="D845" s="11" t="n">
        <x:v>4400</x:v>
      </x:c>
      <x:c r="E845" s="11" t="n">
        <x:v>4600</x:v>
      </x:c>
      <x:c r="F845" s="11" t="n">
        <x:v>4800</x:v>
      </x:c>
      <x:c r="G845" s="11" t="n">
        <x:f>'Option source'!B515</x:f>
        <x:v>1.55</x:v>
      </x:c>
      <x:c r="H845" s="11" t="n">
        <x:f>'Option source'!B534</x:f>
        <x:v>1.48</x:v>
      </x:c>
      <x:c r="I845" s="11" t="n">
        <x:f>'Option source'!B553</x:f>
        <x:v>2.2</x:v>
      </x:c>
      <x:c r="J845" s="11" t="n">
        <x:f>G845-2*H845+IF(B845="Butterfly",I845,0)</x:f>
        <x:v>0.7900000000000003</x:v>
      </x:c>
      <x:c r="K845" s="11" t="n">
        <x:f>ABS(E845-D845)</x:f>
        <x:v>200</x:v>
      </x:c>
      <x:c r="L845" s="11" t="n">
        <x:f>K845-J845</x:f>
        <x:v>199.21</x:v>
      </x:c>
      <x:c r="M845" s="11" t="n">
        <x:f>IF(B845="Butterfly",MAX(J845,0),IF(C845="call","Unlimited",MAX(2*E845-D845+J845,J845,0)))</x:f>
        <x:v>0.7900000000000003</x:v>
      </x:c>
      <x:c r="N845" s="11" t="n">
        <x:f>IF(B845="Butterfly",IF(AND(J845&gt;0,J845&lt;K845),D845+J845,"n.a."),IF(C845="call",IF(AND(J845&gt;0,J845&lt;K845),D845+J845,"n.a."),IF(AND(K845&gt;J845,2*E845-D845+J845&gt;=0),2*E845-D845+J845,"n.a.")))</x:f>
        <x:v>4400.79</x:v>
      </x:c>
      <x:c r="O845" s="11" t="n">
        <x:f>IF(B845="Butterfly",IF(AND(J845&gt;0,J845&lt;K845),F845-J845,"n.a."),IF(C845="call",IF(K845&gt;J845,2*E845-D845-J845,"n.a."),IF(AND(J845&gt;0,J845&lt;K845),D845-J845,"n.a.")))</x:f>
        <x:v>4799.21</x:v>
      </x:c>
      <x:c r="P845" s="19" t="n">
        <x:f>IF(AND(B845="Butterfly",J845&gt;0,J845&lt;K845),L845/J845,"n.a.")</x:f>
        <x:v>252.16455696202524</x:v>
      </x:c>
      <x:c r="Q845" s="11" t="n">
        <x:f>J845*'Model inputs'!$B$8</x:f>
        <x:v>79.00000000000003</x:v>
      </x:c>
      <x:c r="R845" s="1" t="str">
        <x:v>Indicative only</x:v>
      </x:c>
      <x:c r="S845" s="1" t="n">
        <x:v>510</x:v>
      </x:c>
      <x:c r="T845" s="1" t="n">
        <x:v>529</x:v>
      </x:c>
    </x:row>
    <x:row r="846" ht="21" customHeight="1">
      <x:c r="A846" s="12" t="n">
        <x:v>46268</x:v>
      </x:c>
      <x:c r="B846" s="1" t="str">
        <x:v>Butterfly</x:v>
      </x:c>
      <x:c r="C846" s="1" t="str">
        <x:v>call</x:v>
      </x:c>
      <x:c r="D846" s="11" t="n">
        <x:v>6400</x:v>
      </x:c>
      <x:c r="E846" s="11" t="n">
        <x:v>6600</x:v>
      </x:c>
      <x:c r="F846" s="11" t="n">
        <x:v>6800</x:v>
      </x:c>
      <x:c r="G846" s="11" t="n">
        <x:f>'Option source'!B211</x:f>
        <x:v>935</x:v>
      </x:c>
      <x:c r="H846" s="11" t="n">
        <x:f>'Option source'!B230</x:f>
        <x:v>800.04</x:v>
      </x:c>
      <x:c r="I846" s="11" t="n">
        <x:f>'Option source'!B249</x:f>
        <x:v>665.11</x:v>
      </x:c>
      <x:c r="J846" s="11" t="n">
        <x:f>G846-2*H846+IF(B846="Butterfly",I846,0)</x:f>
        <x:v>0.030000000000086402</x:v>
      </x:c>
      <x:c r="K846" s="11" t="n">
        <x:f>ABS(E846-D846)</x:f>
        <x:v>200</x:v>
      </x:c>
      <x:c r="L846" s="11" t="n">
        <x:f>K846-J846</x:f>
        <x:v>199.9699999999999</x:v>
      </x:c>
      <x:c r="M846" s="11" t="n">
        <x:f>IF(B846="Butterfly",MAX(J846,0),IF(C846="call","Unlimited",MAX(2*E846-D846+J846,J846,0)))</x:f>
        <x:v>0.030000000000086402</x:v>
      </x:c>
      <x:c r="N846" s="11" t="n">
        <x:f>IF(B846="Butterfly",IF(AND(J846&gt;0,J846&lt;K846),D846+J846,"n.a."),IF(C846="call",IF(AND(J846&gt;0,J846&lt;K846),D846+J846,"n.a."),IF(AND(K846&gt;J846,2*E846-D846+J846&gt;=0),2*E846-D846+J846,"n.a.")))</x:f>
        <x:v>6400.03</x:v>
      </x:c>
      <x:c r="O846" s="11" t="n">
        <x:f>IF(B846="Butterfly",IF(AND(J846&gt;0,J846&lt;K846),F846-J846,"n.a."),IF(C846="call",IF(K846&gt;J846,2*E846-D846-J846,"n.a."),IF(AND(J846&gt;0,J846&lt;K846),D846-J846,"n.a.")))</x:f>
        <x:v>6799.97</x:v>
      </x:c>
      <x:c r="P846" s="19" t="n">
        <x:f>IF(AND(B846="Butterfly",J846&gt;0,J846&lt;K846),L846/J846,"n.a.")</x:f>
        <x:v>6665.666666647467</x:v>
      </x:c>
      <x:c r="Q846" s="11" t="n">
        <x:f>J846*'Model inputs'!$B$8</x:f>
        <x:v>3.00000000000864</x:v>
      </x:c>
      <x:c r="R846" s="1" t="str">
        <x:v>Flagged leg data</x:v>
      </x:c>
      <x:c r="S846" s="1" t="n">
        <x:v>206</x:v>
      </x:c>
      <x:c r="T846" s="1" t="n">
        <x:v>225</x:v>
      </x:c>
    </x:row>
    <x:row r="847" ht="21" customHeight="1">
      <x:c r="A847" s="12" t="n">
        <x:v>46268</x:v>
      </x:c>
      <x:c r="B847" s="1" t="str">
        <x:v>Butterfly</x:v>
      </x:c>
      <x:c r="C847" s="1" t="str">
        <x:v>put</x:v>
      </x:c>
      <x:c r="D847" s="11" t="n">
        <x:v>7400</x:v>
      </x:c>
      <x:c r="E847" s="11" t="n">
        <x:v>7600</x:v>
      </x:c>
      <x:c r="F847" s="11" t="n">
        <x:v>7800</x:v>
      </x:c>
      <x:c r="G847" s="11" t="n">
        <x:f>'Option source'!B800</x:f>
        <x:v>521.53</x:v>
      </x:c>
      <x:c r="H847" s="11" t="n">
        <x:f>'Option source'!B819</x:f>
        <x:v>650</x:v>
      </x:c>
      <x:c r="I847" s="11" t="n">
        <x:f>'Option source'!B838</x:f>
        <x:v>898.99</x:v>
      </x:c>
      <x:c r="J847" s="11" t="n">
        <x:f>G847-2*H847+IF(B847="Butterfly",I847,0)</x:f>
        <x:v>120.51999999999998</x:v>
      </x:c>
      <x:c r="K847" s="11" t="n">
        <x:f>ABS(E847-D847)</x:f>
        <x:v>200</x:v>
      </x:c>
      <x:c r="L847" s="11" t="n">
        <x:f>K847-J847</x:f>
        <x:v>79.48000000000002</x:v>
      </x:c>
      <x:c r="M847" s="11" t="n">
        <x:f>IF(B847="Butterfly",MAX(J847,0),IF(C847="call","Unlimited",MAX(2*E847-D847+J847,J847,0)))</x:f>
        <x:v>120.51999999999998</x:v>
      </x:c>
      <x:c r="N847" s="11" t="n">
        <x:f>IF(B847="Butterfly",IF(AND(J847&gt;0,J847&lt;K847),D847+J847,"n.a."),IF(C847="call",IF(AND(J847&gt;0,J847&lt;K847),D847+J847,"n.a."),IF(AND(K847&gt;J847,2*E847-D847+J847&gt;=0),2*E847-D847+J847,"n.a.")))</x:f>
        <x:v>7520.52</x:v>
      </x:c>
      <x:c r="O847" s="11" t="n">
        <x:f>IF(B847="Butterfly",IF(AND(J847&gt;0,J847&lt;K847),F847-J847,"n.a."),IF(C847="call",IF(K847&gt;J847,2*E847-D847-J847,"n.a."),IF(AND(J847&gt;0,J847&lt;K847),D847-J847,"n.a.")))</x:f>
        <x:v>7679.48</x:v>
      </x:c>
      <x:c r="P847" s="19" t="n">
        <x:f>IF(AND(B847="Butterfly",J847&gt;0,J847&lt;K847),L847/J847,"n.a.")</x:f>
        <x:v>0.6594756057085963</x:v>
      </x:c>
      <x:c r="Q847" s="11" t="n">
        <x:f>J847*'Model inputs'!$B$8</x:f>
        <x:v>12051.999999999998</x:v>
      </x:c>
      <x:c r="R847" s="1" t="str">
        <x:v>Flagged leg data</x:v>
      </x:c>
      <x:c r="S847" s="1" t="n">
        <x:v>795</x:v>
      </x:c>
      <x:c r="T847" s="1" t="n">
        <x:v>814</x:v>
      </x:c>
    </x:row>
    <x:row r="848" ht="21" customHeight="1">
      <x:c r="A848" s="12" t="n">
        <x:v>46268</x:v>
      </x:c>
      <x:c r="B848" s="1" t="str">
        <x:v>Butterfly</x:v>
      </x:c>
      <x:c r="C848" s="1" t="str">
        <x:v>call</x:v>
      </x:c>
      <x:c r="D848" s="11" t="n">
        <x:v>6200</x:v>
      </x:c>
      <x:c r="E848" s="11" t="n">
        <x:v>6400</x:v>
      </x:c>
      <x:c r="F848" s="11" t="n">
        <x:v>6600</x:v>
      </x:c>
      <x:c r="G848" s="11" t="n">
        <x:f>'Option source'!B192</x:f>
        <x:v>1100</x:v>
      </x:c>
      <x:c r="H848" s="11" t="n">
        <x:f>'Option source'!B211</x:f>
        <x:v>935</x:v>
      </x:c>
      <x:c r="I848" s="11" t="n">
        <x:f>'Option source'!B230</x:f>
        <x:v>800.04</x:v>
      </x:c>
      <x:c r="J848" s="11" t="n">
        <x:f>G848-2*H848+IF(B848="Butterfly",I848,0)</x:f>
        <x:v>30.039999999999964</x:v>
      </x:c>
      <x:c r="K848" s="11" t="n">
        <x:f>ABS(E848-D848)</x:f>
        <x:v>200</x:v>
      </x:c>
      <x:c r="L848" s="11" t="n">
        <x:f>K848-J848</x:f>
        <x:v>169.96000000000004</x:v>
      </x:c>
      <x:c r="M848" s="11" t="n">
        <x:f>IF(B848="Butterfly",MAX(J848,0),IF(C848="call","Unlimited",MAX(2*E848-D848+J848,J848,0)))</x:f>
        <x:v>30.039999999999964</x:v>
      </x:c>
      <x:c r="N848" s="11" t="n">
        <x:f>IF(B848="Butterfly",IF(AND(J848&gt;0,J848&lt;K848),D848+J848,"n.a."),IF(C848="call",IF(AND(J848&gt;0,J848&lt;K848),D848+J848,"n.a."),IF(AND(K848&gt;J848,2*E848-D848+J848&gt;=0),2*E848-D848+J848,"n.a.")))</x:f>
        <x:v>6230.04</x:v>
      </x:c>
      <x:c r="O848" s="11" t="n">
        <x:f>IF(B848="Butterfly",IF(AND(J848&gt;0,J848&lt;K848),F848-J848,"n.a."),IF(C848="call",IF(K848&gt;J848,2*E848-D848-J848,"n.a."),IF(AND(J848&gt;0,J848&lt;K848),D848-J848,"n.a.")))</x:f>
        <x:v>6569.96</x:v>
      </x:c>
      <x:c r="P848" s="19" t="n">
        <x:f>IF(AND(B848="Butterfly",J848&gt;0,J848&lt;K848),L848/J848,"n.a.")</x:f>
        <x:v>5.657789613848211</x:v>
      </x:c>
      <x:c r="Q848" s="11" t="n">
        <x:f>J848*'Model inputs'!$B$8</x:f>
        <x:v>3003.9999999999964</x:v>
      </x:c>
      <x:c r="R848" s="1" t="str">
        <x:v>Flagged leg data</x:v>
      </x:c>
      <x:c r="S848" s="1" t="n">
        <x:v>187</x:v>
      </x:c>
      <x:c r="T848" s="1" t="n">
        <x:v>206</x:v>
      </x:c>
    </x:row>
    <x:row r="849" ht="21" customHeight="1">
      <x:c r="A849" s="12" t="n">
        <x:v>46268</x:v>
      </x:c>
      <x:c r="B849" s="1" t="str">
        <x:v>Butterfly</x:v>
      </x:c>
      <x:c r="C849" s="1" t="str">
        <x:v>put</x:v>
      </x:c>
      <x:c r="D849" s="11" t="n">
        <x:v>7600</x:v>
      </x:c>
      <x:c r="E849" s="11" t="n">
        <x:v>7800</x:v>
      </x:c>
      <x:c r="F849" s="11" t="n">
        <x:v>8000</x:v>
      </x:c>
      <x:c r="G849" s="11" t="n">
        <x:f>'Option source'!B819</x:f>
        <x:v>650</x:v>
      </x:c>
      <x:c r="H849" s="11" t="n">
        <x:f>'Option source'!B838</x:f>
        <x:v>898.99</x:v>
      </x:c>
      <x:c r="I849" s="11" t="n">
        <x:f>'Option source'!B857</x:f>
        <x:v>1000</x:v>
      </x:c>
      <x:c r="J849" s="11" t="n">
        <x:f>G849-2*H849+IF(B849="Butterfly",I849,0)</x:f>
        <x:v>-147.98000000000002</x:v>
      </x:c>
      <x:c r="K849" s="11" t="n">
        <x:f>ABS(E849-D849)</x:f>
        <x:v>200</x:v>
      </x:c>
      <x:c r="L849" s="11" t="n">
        <x:f>K849-J849</x:f>
        <x:v>347.98</x:v>
      </x:c>
      <x:c r="M849" s="11" t="n">
        <x:f>IF(B849="Butterfly",MAX(J849,0),IF(C849="call","Unlimited",MAX(2*E849-D849+J849,J849,0)))</x:f>
        <x:v>0</x:v>
      </x:c>
      <x:c r="N849" s="11" t="str">
        <x:f>IF(B849="Butterfly",IF(AND(J849&gt;0,J849&lt;K849),D849+J849,"n.a."),IF(C849="call",IF(AND(J849&gt;0,J849&lt;K849),D849+J849,"n.a."),IF(AND(K849&gt;J849,2*E849-D849+J849&gt;=0),2*E849-D849+J849,"n.a.")))</x:f>
        <x:v>n.a.</x:v>
      </x:c>
      <x:c r="O849" s="11" t="str">
        <x:f>IF(B849="Butterfly",IF(AND(J849&gt;0,J849&lt;K849),F849-J849,"n.a."),IF(C849="call",IF(K849&gt;J849,2*E849-D849-J849,"n.a."),IF(AND(J849&gt;0,J849&lt;K849),D849-J849,"n.a.")))</x:f>
        <x:v>n.a.</x:v>
      </x:c>
      <x:c r="P849" s="19" t="str">
        <x:f>IF(AND(B849="Butterfly",J849&gt;0,J849&lt;K849),L849/J849,"n.a.")</x:f>
        <x:v>n.a.</x:v>
      </x:c>
      <x:c r="Q849" s="11" t="n">
        <x:f>J849*'Model inputs'!$B$8</x:f>
        <x:v>-14798.000000000002</x:v>
      </x:c>
      <x:c r="R849" s="1" t="str">
        <x:v>Outside standard debit bounds</x:v>
      </x:c>
      <x:c r="S849" s="1" t="n">
        <x:v>814</x:v>
      </x:c>
      <x:c r="T849" s="1" t="n">
        <x:v>833</x:v>
      </x:c>
    </x:row>
    <x:row r="850" ht="21" customHeight="1">
      <x:c r="A850" s="12" t="n">
        <x:v>46268</x:v>
      </x:c>
      <x:c r="B850" s="1" t="str">
        <x:v>Butterfly</x:v>
      </x:c>
      <x:c r="C850" s="1" t="str">
        <x:v>call</x:v>
      </x:c>
      <x:c r="D850" s="11" t="n">
        <x:v>6000</x:v>
      </x:c>
      <x:c r="E850" s="11" t="n">
        <x:v>6200</x:v>
      </x:c>
      <x:c r="F850" s="11" t="n">
        <x:v>6400</x:v>
      </x:c>
      <x:c r="G850" s="11" t="n">
        <x:f>'Option source'!B173</x:f>
        <x:v>1215.59</x:v>
      </x:c>
      <x:c r="H850" s="11" t="n">
        <x:f>'Option source'!B192</x:f>
        <x:v>1100</x:v>
      </x:c>
      <x:c r="I850" s="11" t="n">
        <x:f>'Option source'!B211</x:f>
        <x:v>935</x:v>
      </x:c>
      <x:c r="J850" s="11" t="n">
        <x:f>G850-2*H850+IF(B850="Butterfly",I850,0)</x:f>
        <x:v>-49.41000000000008</x:v>
      </x:c>
      <x:c r="K850" s="11" t="n">
        <x:f>ABS(E850-D850)</x:f>
        <x:v>200</x:v>
      </x:c>
      <x:c r="L850" s="11" t="n">
        <x:f>K850-J850</x:f>
        <x:v>249.41000000000008</x:v>
      </x:c>
      <x:c r="M850" s="11" t="n">
        <x:f>IF(B850="Butterfly",MAX(J850,0),IF(C850="call","Unlimited",MAX(2*E850-D850+J850,J850,0)))</x:f>
        <x:v>0</x:v>
      </x:c>
      <x:c r="N850" s="11" t="str">
        <x:f>IF(B850="Butterfly",IF(AND(J850&gt;0,J850&lt;K850),D850+J850,"n.a."),IF(C850="call",IF(AND(J850&gt;0,J850&lt;K850),D850+J850,"n.a."),IF(AND(K850&gt;J850,2*E850-D850+J850&gt;=0),2*E850-D850+J850,"n.a.")))</x:f>
        <x:v>n.a.</x:v>
      </x:c>
      <x:c r="O850" s="11" t="str">
        <x:f>IF(B850="Butterfly",IF(AND(J850&gt;0,J850&lt;K850),F850-J850,"n.a."),IF(C850="call",IF(K850&gt;J850,2*E850-D850-J850,"n.a."),IF(AND(J850&gt;0,J850&lt;K850),D850-J850,"n.a.")))</x:f>
        <x:v>n.a.</x:v>
      </x:c>
      <x:c r="P850" s="19" t="str">
        <x:f>IF(AND(B850="Butterfly",J850&gt;0,J850&lt;K850),L850/J850,"n.a.")</x:f>
        <x:v>n.a.</x:v>
      </x:c>
      <x:c r="Q850" s="11" t="n">
        <x:f>J850*'Model inputs'!$B$8</x:f>
        <x:v>-4941.000000000008</x:v>
      </x:c>
      <x:c r="R850" s="1" t="str">
        <x:v>Outside standard debit bounds</x:v>
      </x:c>
      <x:c r="S850" s="1" t="n">
        <x:v>168</x:v>
      </x:c>
      <x:c r="T850" s="1" t="n">
        <x:v>187</x:v>
      </x:c>
    </x:row>
    <x:row r="851" ht="21" customHeight="1">
      <x:c r="A851" s="12" t="n">
        <x:v>46268</x:v>
      </x:c>
      <x:c r="B851" s="1" t="str">
        <x:v>Butterfly</x:v>
      </x:c>
      <x:c r="C851" s="1" t="str">
        <x:v>call</x:v>
      </x:c>
      <x:c r="D851" s="11" t="n">
        <x:v>5800</x:v>
      </x:c>
      <x:c r="E851" s="11" t="n">
        <x:v>6000</x:v>
      </x:c>
      <x:c r="F851" s="11" t="n">
        <x:v>6200</x:v>
      </x:c>
      <x:c r="G851" s="11" t="n">
        <x:f>'Option source'!B154</x:f>
        <x:v>1490</x:v>
      </x:c>
      <x:c r="H851" s="11" t="n">
        <x:f>'Option source'!B173</x:f>
        <x:v>1215.59</x:v>
      </x:c>
      <x:c r="I851" s="11" t="n">
        <x:f>'Option source'!B192</x:f>
        <x:v>1100</x:v>
      </x:c>
      <x:c r="J851" s="11" t="n">
        <x:f>G851-2*H851+IF(B851="Butterfly",I851,0)</x:f>
        <x:v>158.82000000000016</x:v>
      </x:c>
      <x:c r="K851" s="11" t="n">
        <x:f>ABS(E851-D851)</x:f>
        <x:v>200</x:v>
      </x:c>
      <x:c r="L851" s="11" t="n">
        <x:f>K851-J851</x:f>
        <x:v>41.179999999999836</x:v>
      </x:c>
      <x:c r="M851" s="11" t="n">
        <x:f>IF(B851="Butterfly",MAX(J851,0),IF(C851="call","Unlimited",MAX(2*E851-D851+J851,J851,0)))</x:f>
        <x:v>158.82000000000016</x:v>
      </x:c>
      <x:c r="N851" s="11" t="n">
        <x:f>IF(B851="Butterfly",IF(AND(J851&gt;0,J851&lt;K851),D851+J851,"n.a."),IF(C851="call",IF(AND(J851&gt;0,J851&lt;K851),D851+J851,"n.a."),IF(AND(K851&gt;J851,2*E851-D851+J851&gt;=0),2*E851-D851+J851,"n.a.")))</x:f>
        <x:v>5958.82</x:v>
      </x:c>
      <x:c r="O851" s="11" t="n">
        <x:f>IF(B851="Butterfly",IF(AND(J851&gt;0,J851&lt;K851),F851-J851,"n.a."),IF(C851="call",IF(K851&gt;J851,2*E851-D851-J851,"n.a."),IF(AND(J851&gt;0,J851&lt;K851),D851-J851,"n.a.")))</x:f>
        <x:v>6041.18</x:v>
      </x:c>
      <x:c r="P851" s="19" t="n">
        <x:f>IF(AND(B851="Butterfly",J851&gt;0,J851&lt;K851),L851/J851,"n.a.")</x:f>
        <x:v>0.25928724342022286</x:v>
      </x:c>
      <x:c r="Q851" s="11" t="n">
        <x:f>J851*'Model inputs'!$B$8</x:f>
        <x:v>15882.000000000016</x:v>
      </x:c>
      <x:c r="R851" s="1" t="str">
        <x:v>Flagged leg data</x:v>
      </x:c>
      <x:c r="S851" s="1" t="n">
        <x:v>149</x:v>
      </x:c>
      <x:c r="T851" s="1" t="n">
        <x:v>168</x:v>
      </x:c>
    </x:row>
    <x:row r="852" ht="21" customHeight="1">
      <x:c r="A852" s="12" t="n">
        <x:v>46268</x:v>
      </x:c>
      <x:c r="B852" s="1" t="str">
        <x:v>Butterfly</x:v>
      </x:c>
      <x:c r="C852" s="1" t="str">
        <x:v>put</x:v>
      </x:c>
      <x:c r="D852" s="11" t="n">
        <x:v>8000</x:v>
      </x:c>
      <x:c r="E852" s="11" t="n">
        <x:v>8300</x:v>
      </x:c>
      <x:c r="F852" s="11" t="n">
        <x:v>8600</x:v>
      </x:c>
      <x:c r="G852" s="11" t="n">
        <x:f>'Option source'!B857</x:f>
        <x:v>1000</x:v>
      </x:c>
      <x:c r="H852" s="11" t="n">
        <x:f>'Option source'!B876</x:f>
        <x:v>1270</x:v>
      </x:c>
      <x:c r="I852" s="11" t="n">
        <x:f>'Option source'!B895</x:f>
        <x:v>1555.11</x:v>
      </x:c>
      <x:c r="J852" s="11" t="n">
        <x:f>G852-2*H852+IF(B852="Butterfly",I852,0)</x:f>
        <x:v>15.1099999999999</x:v>
      </x:c>
      <x:c r="K852" s="11" t="n">
        <x:f>ABS(E852-D852)</x:f>
        <x:v>300</x:v>
      </x:c>
      <x:c r="L852" s="11" t="n">
        <x:f>K852-J852</x:f>
        <x:v>284.8900000000001</x:v>
      </x:c>
      <x:c r="M852" s="11" t="n">
        <x:f>IF(B852="Butterfly",MAX(J852,0),IF(C852="call","Unlimited",MAX(2*E852-D852+J852,J852,0)))</x:f>
        <x:v>15.1099999999999</x:v>
      </x:c>
      <x:c r="N852" s="11" t="n">
        <x:f>IF(B852="Butterfly",IF(AND(J852&gt;0,J852&lt;K852),D852+J852,"n.a."),IF(C852="call",IF(AND(J852&gt;0,J852&lt;K852),D852+J852,"n.a."),IF(AND(K852&gt;J852,2*E852-D852+J852&gt;=0),2*E852-D852+J852,"n.a.")))</x:f>
        <x:v>8015.11</x:v>
      </x:c>
      <x:c r="O852" s="11" t="n">
        <x:f>IF(B852="Butterfly",IF(AND(J852&gt;0,J852&lt;K852),F852-J852,"n.a."),IF(C852="call",IF(K852&gt;J852,2*E852-D852-J852,"n.a."),IF(AND(J852&gt;0,J852&lt;K852),D852-J852,"n.a.")))</x:f>
        <x:v>8584.89</x:v>
      </x:c>
      <x:c r="P852" s="19" t="n">
        <x:f>IF(AND(B852="Butterfly",J852&gt;0,J852&lt;K852),L852/J852,"n.a.")</x:f>
        <x:v>18.854401058901523</x:v>
      </x:c>
      <x:c r="Q852" s="11" t="n">
        <x:f>J852*'Model inputs'!$B$8</x:f>
        <x:v>1510.99999999999</x:v>
      </x:c>
      <x:c r="R852" s="1" t="str">
        <x:v>Flagged leg data</x:v>
      </x:c>
      <x:c r="S852" s="1" t="n">
        <x:v>852</x:v>
      </x:c>
      <x:c r="T852" s="1" t="n">
        <x:v>871</x:v>
      </x:c>
    </x:row>
    <x:row r="853" ht="21" customHeight="1">
      <x:c r="A853" s="12" t="n">
        <x:v>46268</x:v>
      </x:c>
      <x:c r="B853" s="1" t="str">
        <x:v>Butterfly</x:v>
      </x:c>
      <x:c r="C853" s="1" t="str">
        <x:v>call</x:v>
      </x:c>
      <x:c r="D853" s="11" t="n">
        <x:v>5600</x:v>
      </x:c>
      <x:c r="E853" s="11" t="n">
        <x:v>5800</x:v>
      </x:c>
      <x:c r="F853" s="11" t="n">
        <x:v>6000</x:v>
      </x:c>
      <x:c r="G853" s="11" t="n">
        <x:f>'Option source'!B144</x:f>
        <x:v>1600</x:v>
      </x:c>
      <x:c r="H853" s="11" t="n">
        <x:f>'Option source'!B154</x:f>
        <x:v>1490</x:v>
      </x:c>
      <x:c r="I853" s="11" t="n">
        <x:f>'Option source'!B173</x:f>
        <x:v>1215.59</x:v>
      </x:c>
      <x:c r="J853" s="11" t="n">
        <x:f>G853-2*H853+IF(B853="Butterfly",I853,0)</x:f>
        <x:v>-164.41000000000008</x:v>
      </x:c>
      <x:c r="K853" s="11" t="n">
        <x:f>ABS(E853-D853)</x:f>
        <x:v>200</x:v>
      </x:c>
      <x:c r="L853" s="11" t="n">
        <x:f>K853-J853</x:f>
        <x:v>364.4100000000001</x:v>
      </x:c>
      <x:c r="M853" s="11" t="n">
        <x:f>IF(B853="Butterfly",MAX(J853,0),IF(C853="call","Unlimited",MAX(2*E853-D853+J853,J853,0)))</x:f>
        <x:v>0</x:v>
      </x:c>
      <x:c r="N853" s="11" t="str">
        <x:f>IF(B853="Butterfly",IF(AND(J853&gt;0,J853&lt;K853),D853+J853,"n.a."),IF(C853="call",IF(AND(J853&gt;0,J853&lt;K853),D853+J853,"n.a."),IF(AND(K853&gt;J853,2*E853-D853+J853&gt;=0),2*E853-D853+J853,"n.a.")))</x:f>
        <x:v>n.a.</x:v>
      </x:c>
      <x:c r="O853" s="11" t="str">
        <x:f>IF(B853="Butterfly",IF(AND(J853&gt;0,J853&lt;K853),F853-J853,"n.a."),IF(C853="call",IF(K853&gt;J853,2*E853-D853-J853,"n.a."),IF(AND(J853&gt;0,J853&lt;K853),D853-J853,"n.a.")))</x:f>
        <x:v>n.a.</x:v>
      </x:c>
      <x:c r="P853" s="19" t="str">
        <x:f>IF(AND(B853="Butterfly",J853&gt;0,J853&lt;K853),L853/J853,"n.a.")</x:f>
        <x:v>n.a.</x:v>
      </x:c>
      <x:c r="Q853" s="11" t="n">
        <x:f>J853*'Model inputs'!$B$8</x:f>
        <x:v>-16441.000000000007</x:v>
      </x:c>
      <x:c r="R853" s="1" t="str">
        <x:v>Outside standard debit bounds</x:v>
      </x:c>
      <x:c r="S853" s="1" t="n">
        <x:v>139</x:v>
      </x:c>
      <x:c r="T853" s="1" t="n">
        <x:v>149</x:v>
      </x:c>
    </x:row>
    <x:row r="854" ht="21" customHeight="1">
      <x:c r="A854" s="12" t="n">
        <x:v>46268</x:v>
      </x:c>
      <x:c r="B854" s="1" t="str">
        <x:v>Butterfly</x:v>
      </x:c>
      <x:c r="C854" s="1" t="str">
        <x:v>call</x:v>
      </x:c>
      <x:c r="D854" s="11" t="n">
        <x:v>5400</x:v>
      </x:c>
      <x:c r="E854" s="11" t="n">
        <x:v>5600</x:v>
      </x:c>
      <x:c r="F854" s="11" t="n">
        <x:v>5800</x:v>
      </x:c>
      <x:c r="G854" s="11" t="n">
        <x:f>'Option source'!B126</x:f>
        <x:v>1829.26</x:v>
      </x:c>
      <x:c r="H854" s="11" t="n">
        <x:f>'Option source'!B144</x:f>
        <x:v>1600</x:v>
      </x:c>
      <x:c r="I854" s="11" t="n">
        <x:f>'Option source'!B154</x:f>
        <x:v>1490</x:v>
      </x:c>
      <x:c r="J854" s="11" t="n">
        <x:f>G854-2*H854+IF(B854="Butterfly",I854,0)</x:f>
        <x:v>119.25999999999999</x:v>
      </x:c>
      <x:c r="K854" s="11" t="n">
        <x:f>ABS(E854-D854)</x:f>
        <x:v>200</x:v>
      </x:c>
      <x:c r="L854" s="11" t="n">
        <x:f>K854-J854</x:f>
        <x:v>80.74000000000001</x:v>
      </x:c>
      <x:c r="M854" s="11" t="n">
        <x:f>IF(B854="Butterfly",MAX(J854,0),IF(C854="call","Unlimited",MAX(2*E854-D854+J854,J854,0)))</x:f>
        <x:v>119.25999999999999</x:v>
      </x:c>
      <x:c r="N854" s="11" t="n">
        <x:f>IF(B854="Butterfly",IF(AND(J854&gt;0,J854&lt;K854),D854+J854,"n.a."),IF(C854="call",IF(AND(J854&gt;0,J854&lt;K854),D854+J854,"n.a."),IF(AND(K854&gt;J854,2*E854-D854+J854&gt;=0),2*E854-D854+J854,"n.a.")))</x:f>
        <x:v>5519.26</x:v>
      </x:c>
      <x:c r="O854" s="11" t="n">
        <x:f>IF(B854="Butterfly",IF(AND(J854&gt;0,J854&lt;K854),F854-J854,"n.a."),IF(C854="call",IF(K854&gt;J854,2*E854-D854-J854,"n.a."),IF(AND(J854&gt;0,J854&lt;K854),D854-J854,"n.a.")))</x:f>
        <x:v>5680.74</x:v>
      </x:c>
      <x:c r="P854" s="19" t="n">
        <x:f>IF(AND(B854="Butterfly",J854&gt;0,J854&lt;K854),L854/J854,"n.a.")</x:f>
        <x:v>0.6770082173402651</x:v>
      </x:c>
      <x:c r="Q854" s="11" t="n">
        <x:f>J854*'Model inputs'!$B$8</x:f>
        <x:v>11926</x:v>
      </x:c>
      <x:c r="R854" s="1" t="str">
        <x:v>Flagged leg data</x:v>
      </x:c>
      <x:c r="S854" s="1" t="n">
        <x:v>121</x:v>
      </x:c>
      <x:c r="T854" s="1" t="n">
        <x:v>139</x:v>
      </x:c>
    </x:row>
    <x:row r="855" ht="21" customHeight="1">
      <x:c r="A855" s="12" t="n">
        <x:v>46268</x:v>
      </x:c>
      <x:c r="B855" s="1" t="str">
        <x:v>Butterfly</x:v>
      </x:c>
      <x:c r="C855" s="1" t="str">
        <x:v>put</x:v>
      </x:c>
      <x:c r="D855" s="11" t="n">
        <x:v>8300</x:v>
      </x:c>
      <x:c r="E855" s="11" t="n">
        <x:v>8600</x:v>
      </x:c>
      <x:c r="F855" s="11" t="n">
        <x:v>8900</x:v>
      </x:c>
      <x:c r="G855" s="11" t="n">
        <x:f>'Option source'!B876</x:f>
        <x:v>1270</x:v>
      </x:c>
      <x:c r="H855" s="11" t="n">
        <x:f>'Option source'!B895</x:f>
        <x:v>1555.11</x:v>
      </x:c>
      <x:c r="I855" s="11" t="n">
        <x:f>'Option source'!B910</x:f>
        <x:v>2022.5</x:v>
      </x:c>
      <x:c r="J855" s="11" t="n">
        <x:f>G855-2*H855+IF(B855="Butterfly",I855,0)</x:f>
        <x:v>182.2800000000002</x:v>
      </x:c>
      <x:c r="K855" s="11" t="n">
        <x:f>ABS(E855-D855)</x:f>
        <x:v>300</x:v>
      </x:c>
      <x:c r="L855" s="11" t="n">
        <x:f>K855-J855</x:f>
        <x:v>117.7199999999998</x:v>
      </x:c>
      <x:c r="M855" s="11" t="n">
        <x:f>IF(B855="Butterfly",MAX(J855,0),IF(C855="call","Unlimited",MAX(2*E855-D855+J855,J855,0)))</x:f>
        <x:v>182.2800000000002</x:v>
      </x:c>
      <x:c r="N855" s="11" t="n">
        <x:f>IF(B855="Butterfly",IF(AND(J855&gt;0,J855&lt;K855),D855+J855,"n.a."),IF(C855="call",IF(AND(J855&gt;0,J855&lt;K855),D855+J855,"n.a."),IF(AND(K855&gt;J855,2*E855-D855+J855&gt;=0),2*E855-D855+J855,"n.a.")))</x:f>
        <x:v>8482.28</x:v>
      </x:c>
      <x:c r="O855" s="11" t="n">
        <x:f>IF(B855="Butterfly",IF(AND(J855&gt;0,J855&lt;K855),F855-J855,"n.a."),IF(C855="call",IF(K855&gt;J855,2*E855-D855-J855,"n.a."),IF(AND(J855&gt;0,J855&lt;K855),D855-J855,"n.a.")))</x:f>
        <x:v>8717.72</x:v>
      </x:c>
      <x:c r="P855" s="19" t="n">
        <x:f>IF(AND(B855="Butterfly",J855&gt;0,J855&lt;K855),L855/J855,"n.a.")</x:f>
        <x:v>0.6458196181698468</x:v>
      </x:c>
      <x:c r="Q855" s="11" t="n">
        <x:f>J855*'Model inputs'!$B$8</x:f>
        <x:v>18228.000000000022</x:v>
      </x:c>
      <x:c r="R855" s="1" t="str">
        <x:v>Flagged leg data</x:v>
      </x:c>
      <x:c r="S855" s="1" t="n">
        <x:v>871</x:v>
      </x:c>
      <x:c r="T855" s="1" t="n">
        <x:v>890</x:v>
      </x:c>
    </x:row>
    <x:row r="856" ht="21" customHeight="1">
      <x:c r="A856" s="12" t="n">
        <x:v>46268</x:v>
      </x:c>
      <x:c r="B856" s="1" t="str">
        <x:v>Butterfly</x:v>
      </x:c>
      <x:c r="C856" s="1" t="str">
        <x:v>call</x:v>
      </x:c>
      <x:c r="D856" s="11" t="n">
        <x:v>5200</x:v>
      </x:c>
      <x:c r="E856" s="11" t="n">
        <x:v>5400</x:v>
      </x:c>
      <x:c r="F856" s="11" t="n">
        <x:v>5600</x:v>
      </x:c>
      <x:c r="G856" s="11" t="n">
        <x:f>'Option source'!B107</x:f>
        <x:v>2076.93</x:v>
      </x:c>
      <x:c r="H856" s="11" t="n">
        <x:f>'Option source'!B126</x:f>
        <x:v>1829.26</x:v>
      </x:c>
      <x:c r="I856" s="11" t="n">
        <x:f>'Option source'!B144</x:f>
        <x:v>1600</x:v>
      </x:c>
      <x:c r="J856" s="11" t="n">
        <x:f>G856-2*H856+IF(B856="Butterfly",I856,0)</x:f>
        <x:v>18.409999999999854</x:v>
      </x:c>
      <x:c r="K856" s="11" t="n">
        <x:f>ABS(E856-D856)</x:f>
        <x:v>200</x:v>
      </x:c>
      <x:c r="L856" s="11" t="n">
        <x:f>K856-J856</x:f>
        <x:v>181.59000000000015</x:v>
      </x:c>
      <x:c r="M856" s="11" t="n">
        <x:f>IF(B856="Butterfly",MAX(J856,0),IF(C856="call","Unlimited",MAX(2*E856-D856+J856,J856,0)))</x:f>
        <x:v>18.409999999999854</x:v>
      </x:c>
      <x:c r="N856" s="11" t="n">
        <x:f>IF(B856="Butterfly",IF(AND(J856&gt;0,J856&lt;K856),D856+J856,"n.a."),IF(C856="call",IF(AND(J856&gt;0,J856&lt;K856),D856+J856,"n.a."),IF(AND(K856&gt;J856,2*E856-D856+J856&gt;=0),2*E856-D856+J856,"n.a.")))</x:f>
        <x:v>5218.41</x:v>
      </x:c>
      <x:c r="O856" s="11" t="n">
        <x:f>IF(B856="Butterfly",IF(AND(J856&gt;0,J856&lt;K856),F856-J856,"n.a."),IF(C856="call",IF(K856&gt;J856,2*E856-D856-J856,"n.a."),IF(AND(J856&gt;0,J856&lt;K856),D856-J856,"n.a.")))</x:f>
        <x:v>5581.59</x:v>
      </x:c>
      <x:c r="P856" s="19" t="n">
        <x:f>IF(AND(B856="Butterfly",J856&gt;0,J856&lt;K856),L856/J856,"n.a.")</x:f>
        <x:v>9.863661053775209</x:v>
      </x:c>
      <x:c r="Q856" s="11" t="n">
        <x:f>J856*'Model inputs'!$B$8</x:f>
        <x:v>1840.9999999999854</x:v>
      </x:c>
      <x:c r="R856" s="1" t="str">
        <x:v>Flagged leg data</x:v>
      </x:c>
      <x:c r="S856" s="1" t="n">
        <x:v>102</x:v>
      </x:c>
      <x:c r="T856" s="1" t="n">
        <x:v>121</x:v>
      </x:c>
    </x:row>
    <x:row r="857" ht="21" customHeight="1">
      <x:c r="A857" s="12" t="n">
        <x:v>46268</x:v>
      </x:c>
      <x:c r="B857" s="1" t="str">
        <x:v>Butterfly</x:v>
      </x:c>
      <x:c r="C857" s="1" t="str">
        <x:v>call</x:v>
      </x:c>
      <x:c r="D857" s="11" t="n">
        <x:v>5000</x:v>
      </x:c>
      <x:c r="E857" s="11" t="n">
        <x:v>5200</x:v>
      </x:c>
      <x:c r="F857" s="11" t="n">
        <x:v>5400</x:v>
      </x:c>
      <x:c r="G857" s="11" t="n">
        <x:f>'Option source'!B88</x:f>
        <x:v>2221.63</x:v>
      </x:c>
      <x:c r="H857" s="11" t="n">
        <x:f>'Option source'!B107</x:f>
        <x:v>2076.93</x:v>
      </x:c>
      <x:c r="I857" s="11" t="n">
        <x:f>'Option source'!B126</x:f>
        <x:v>1829.26</x:v>
      </x:c>
      <x:c r="J857" s="11" t="n">
        <x:f>G857-2*H857+IF(B857="Butterfly",I857,0)</x:f>
        <x:v>-102.96999999999957</x:v>
      </x:c>
      <x:c r="K857" s="11" t="n">
        <x:f>ABS(E857-D857)</x:f>
        <x:v>200</x:v>
      </x:c>
      <x:c r="L857" s="11" t="n">
        <x:f>K857-J857</x:f>
        <x:v>302.9699999999996</x:v>
      </x:c>
      <x:c r="M857" s="11" t="n">
        <x:f>IF(B857="Butterfly",MAX(J857,0),IF(C857="call","Unlimited",MAX(2*E857-D857+J857,J857,0)))</x:f>
        <x:v>0</x:v>
      </x:c>
      <x:c r="N857" s="11" t="str">
        <x:f>IF(B857="Butterfly",IF(AND(J857&gt;0,J857&lt;K857),D857+J857,"n.a."),IF(C857="call",IF(AND(J857&gt;0,J857&lt;K857),D857+J857,"n.a."),IF(AND(K857&gt;J857,2*E857-D857+J857&gt;=0),2*E857-D857+J857,"n.a.")))</x:f>
        <x:v>n.a.</x:v>
      </x:c>
      <x:c r="O857" s="11" t="str">
        <x:f>IF(B857="Butterfly",IF(AND(J857&gt;0,J857&lt;K857),F857-J857,"n.a."),IF(C857="call",IF(K857&gt;J857,2*E857-D857-J857,"n.a."),IF(AND(J857&gt;0,J857&lt;K857),D857-J857,"n.a.")))</x:f>
        <x:v>n.a.</x:v>
      </x:c>
      <x:c r="P857" s="19" t="str">
        <x:f>IF(AND(B857="Butterfly",J857&gt;0,J857&lt;K857),L857/J857,"n.a.")</x:f>
        <x:v>n.a.</x:v>
      </x:c>
      <x:c r="Q857" s="11" t="n">
        <x:f>J857*'Model inputs'!$B$8</x:f>
        <x:v>-10296.999999999956</x:v>
      </x:c>
      <x:c r="R857" s="1" t="str">
        <x:v>Outside standard debit bounds</x:v>
      </x:c>
      <x:c r="S857" s="1" t="n">
        <x:v>83</x:v>
      </x:c>
      <x:c r="T857" s="1" t="n">
        <x:v>102</x:v>
      </x:c>
    </x:row>
    <x:row r="858" ht="21" customHeight="1">
      <x:c r="A858" s="12" t="n">
        <x:v>46268</x:v>
      </x:c>
      <x:c r="B858" s="1" t="str">
        <x:v>Butterfly</x:v>
      </x:c>
      <x:c r="C858" s="1" t="str">
        <x:v>call</x:v>
      </x:c>
      <x:c r="D858" s="11" t="n">
        <x:v>4800</x:v>
      </x:c>
      <x:c r="E858" s="11" t="n">
        <x:v>5000</x:v>
      </x:c>
      <x:c r="F858" s="11" t="n">
        <x:v>5200</x:v>
      </x:c>
      <x:c r="G858" s="11" t="n">
        <x:f>'Option source'!B71</x:f>
        <x:v>2375</x:v>
      </x:c>
      <x:c r="H858" s="11" t="n">
        <x:f>'Option source'!B88</x:f>
        <x:v>2221.63</x:v>
      </x:c>
      <x:c r="I858" s="11" t="n">
        <x:f>'Option source'!B107</x:f>
        <x:v>2076.93</x:v>
      </x:c>
      <x:c r="J858" s="11" t="n">
        <x:f>G858-2*H858+IF(B858="Butterfly",I858,0)</x:f>
        <x:v>8.669999999999618</x:v>
      </x:c>
      <x:c r="K858" s="11" t="n">
        <x:f>ABS(E858-D858)</x:f>
        <x:v>200</x:v>
      </x:c>
      <x:c r="L858" s="11" t="n">
        <x:f>K858-J858</x:f>
        <x:v>191.33000000000038</x:v>
      </x:c>
      <x:c r="M858" s="11" t="n">
        <x:f>IF(B858="Butterfly",MAX(J858,0),IF(C858="call","Unlimited",MAX(2*E858-D858+J858,J858,0)))</x:f>
        <x:v>8.669999999999618</x:v>
      </x:c>
      <x:c r="N858" s="11" t="n">
        <x:f>IF(B858="Butterfly",IF(AND(J858&gt;0,J858&lt;K858),D858+J858,"n.a."),IF(C858="call",IF(AND(J858&gt;0,J858&lt;K858),D858+J858,"n.a."),IF(AND(K858&gt;J858,2*E858-D858+J858&gt;=0),2*E858-D858+J858,"n.a.")))</x:f>
        <x:v>4808.67</x:v>
      </x:c>
      <x:c r="O858" s="11" t="n">
        <x:f>IF(B858="Butterfly",IF(AND(J858&gt;0,J858&lt;K858),F858-J858,"n.a."),IF(C858="call",IF(K858&gt;J858,2*E858-D858-J858,"n.a."),IF(AND(J858&gt;0,J858&lt;K858),D858-J858,"n.a.")))</x:f>
        <x:v>5191.33</x:v>
      </x:c>
      <x:c r="P858" s="19" t="n">
        <x:f>IF(AND(B858="Butterfly",J858&gt;0,J858&lt;K858),L858/J858,"n.a.")</x:f>
        <x:v>22.068050749712665</x:v>
      </x:c>
      <x:c r="Q858" s="11" t="n">
        <x:f>J858*'Model inputs'!$B$8</x:f>
        <x:v>866.9999999999618</x:v>
      </x:c>
      <x:c r="R858" s="1" t="str">
        <x:v>Flagged leg data</x:v>
      </x:c>
      <x:c r="S858" s="1" t="n">
        <x:v>66</x:v>
      </x:c>
      <x:c r="T858" s="1" t="n">
        <x:v>83</x:v>
      </x:c>
    </x:row>
    <x:row r="859" ht="21" customHeight="1">
      <x:c r="A859" s="12" t="n">
        <x:v>46268</x:v>
      </x:c>
      <x:c r="B859" s="1" t="str">
        <x:v>Butterfly</x:v>
      </x:c>
      <x:c r="C859" s="1" t="str">
        <x:v>call</x:v>
      </x:c>
      <x:c r="D859" s="11" t="n">
        <x:v>4600</x:v>
      </x:c>
      <x:c r="E859" s="11" t="n">
        <x:v>4800</x:v>
      </x:c>
      <x:c r="F859" s="11" t="n">
        <x:v>5000</x:v>
      </x:c>
      <x:c r="G859" s="11" t="n">
        <x:f>'Option source'!B54</x:f>
        <x:v>2581.05</x:v>
      </x:c>
      <x:c r="H859" s="11" t="n">
        <x:f>'Option source'!B71</x:f>
        <x:v>2375</x:v>
      </x:c>
      <x:c r="I859" s="11" t="n">
        <x:f>'Option source'!B88</x:f>
        <x:v>2221.63</x:v>
      </x:c>
      <x:c r="J859" s="11" t="n">
        <x:f>G859-2*H859+IF(B859="Butterfly",I859,0)</x:f>
        <x:v>52.68000000000029</x:v>
      </x:c>
      <x:c r="K859" s="11" t="n">
        <x:f>ABS(E859-D859)</x:f>
        <x:v>200</x:v>
      </x:c>
      <x:c r="L859" s="11" t="n">
        <x:f>K859-J859</x:f>
        <x:v>147.3199999999997</x:v>
      </x:c>
      <x:c r="M859" s="11" t="n">
        <x:f>IF(B859="Butterfly",MAX(J859,0),IF(C859="call","Unlimited",MAX(2*E859-D859+J859,J859,0)))</x:f>
        <x:v>52.68000000000029</x:v>
      </x:c>
      <x:c r="N859" s="11" t="n">
        <x:f>IF(B859="Butterfly",IF(AND(J859&gt;0,J859&lt;K859),D859+J859,"n.a."),IF(C859="call",IF(AND(J859&gt;0,J859&lt;K859),D859+J859,"n.a."),IF(AND(K859&gt;J859,2*E859-D859+J859&gt;=0),2*E859-D859+J859,"n.a.")))</x:f>
        <x:v>4652.68</x:v>
      </x:c>
      <x:c r="O859" s="11" t="n">
        <x:f>IF(B859="Butterfly",IF(AND(J859&gt;0,J859&lt;K859),F859-J859,"n.a."),IF(C859="call",IF(K859&gt;J859,2*E859-D859-J859,"n.a."),IF(AND(J859&gt;0,J859&lt;K859),D859-J859,"n.a.")))</x:f>
        <x:v>4947.32</x:v>
      </x:c>
      <x:c r="P859" s="19" t="n">
        <x:f>IF(AND(B859="Butterfly",J859&gt;0,J859&lt;K859),L859/J859,"n.a.")</x:f>
        <x:v>2.7965072133636846</x:v>
      </x:c>
      <x:c r="Q859" s="11" t="n">
        <x:f>J859*'Model inputs'!$B$8</x:f>
        <x:v>5268.000000000029</x:v>
      </x:c>
      <x:c r="R859" s="1" t="str">
        <x:v>Flagged leg data</x:v>
      </x:c>
      <x:c r="S859" s="1" t="n">
        <x:v>49</x:v>
      </x:c>
      <x:c r="T859" s="1" t="n">
        <x:v>66</x:v>
      </x:c>
    </x:row>
    <x:row r="860" ht="21" customHeight="1">
      <x:c r="A860" s="12" t="n">
        <x:v>46268</x:v>
      </x:c>
      <x:c r="B860" s="1" t="str">
        <x:v>Butterfly</x:v>
      </x:c>
      <x:c r="C860" s="1" t="str">
        <x:v>put</x:v>
      </x:c>
      <x:c r="D860" s="11" t="n">
        <x:v>4600</x:v>
      </x:c>
      <x:c r="E860" s="11" t="n">
        <x:v>4800</x:v>
      </x:c>
      <x:c r="F860" s="11" t="n">
        <x:v>5000</x:v>
      </x:c>
      <x:c r="G860" s="11" t="n">
        <x:f>'Option source'!B534</x:f>
        <x:v>1.48</x:v>
      </x:c>
      <x:c r="H860" s="11" t="n">
        <x:f>'Option source'!B553</x:f>
        <x:v>2.2</x:v>
      </x:c>
      <x:c r="I860" s="11" t="n">
        <x:f>'Option source'!B572</x:f>
        <x:v>2.37</x:v>
      </x:c>
      <x:c r="J860" s="11" t="n">
        <x:f>G860-2*H860+IF(B860="Butterfly",I860,0)</x:f>
        <x:v>-0.5500000000000003</x:v>
      </x:c>
      <x:c r="K860" s="11" t="n">
        <x:f>ABS(E860-D860)</x:f>
        <x:v>200</x:v>
      </x:c>
      <x:c r="L860" s="11" t="n">
        <x:f>K860-J860</x:f>
        <x:v>200.55</x:v>
      </x:c>
      <x:c r="M860" s="11" t="n">
        <x:f>IF(B860="Butterfly",MAX(J860,0),IF(C860="call","Unlimited",MAX(2*E860-D860+J860,J860,0)))</x:f>
        <x:v>0</x:v>
      </x:c>
      <x:c r="N860" s="11" t="str">
        <x:f>IF(B860="Butterfly",IF(AND(J860&gt;0,J860&lt;K860),D860+J860,"n.a."),IF(C860="call",IF(AND(J860&gt;0,J860&lt;K860),D860+J860,"n.a."),IF(AND(K860&gt;J860,2*E860-D860+J860&gt;=0),2*E860-D860+J860,"n.a.")))</x:f>
        <x:v>n.a.</x:v>
      </x:c>
      <x:c r="O860" s="11" t="str">
        <x:f>IF(B860="Butterfly",IF(AND(J860&gt;0,J860&lt;K860),F860-J860,"n.a."),IF(C860="call",IF(K860&gt;J860,2*E860-D860-J860,"n.a."),IF(AND(J860&gt;0,J860&lt;K860),D860-J860,"n.a.")))</x:f>
        <x:v>n.a.</x:v>
      </x:c>
      <x:c r="P860" s="19" t="str">
        <x:f>IF(AND(B860="Butterfly",J860&gt;0,J860&lt;K860),L860/J860,"n.a.")</x:f>
        <x:v>n.a.</x:v>
      </x:c>
      <x:c r="Q860" s="11" t="n">
        <x:f>J860*'Model inputs'!$B$8</x:f>
        <x:v>-55.00000000000003</x:v>
      </x:c>
      <x:c r="R860" s="1" t="str">
        <x:v>Outside standard debit bounds</x:v>
      </x:c>
      <x:c r="S860" s="1" t="n">
        <x:v>529</x:v>
      </x:c>
      <x:c r="T860" s="1" t="n">
        <x:v>548</x:v>
      </x:c>
    </x:row>
    <x:row r="861" ht="21" customHeight="1">
      <x:c r="A861" s="12" t="n">
        <x:v>46268</x:v>
      </x:c>
      <x:c r="B861" s="1" t="str">
        <x:v>Butterfly</x:v>
      </x:c>
      <x:c r="C861" s="1" t="str">
        <x:v>call</x:v>
      </x:c>
      <x:c r="D861" s="11" t="n">
        <x:v>4400</x:v>
      </x:c>
      <x:c r="E861" s="11" t="n">
        <x:v>4600</x:v>
      </x:c>
      <x:c r="F861" s="11" t="n">
        <x:v>4800</x:v>
      </x:c>
      <x:c r="G861" s="11" t="n">
        <x:f>'Option source'!B35</x:f>
        <x:v>2772.89</x:v>
      </x:c>
      <x:c r="H861" s="11" t="n">
        <x:f>'Option source'!B54</x:f>
        <x:v>2581.05</x:v>
      </x:c>
      <x:c r="I861" s="11" t="n">
        <x:f>'Option source'!B71</x:f>
        <x:v>2375</x:v>
      </x:c>
      <x:c r="J861" s="11" t="n">
        <x:f>G861-2*H861+IF(B861="Butterfly",I861,0)</x:f>
        <x:v>-14.210000000000491</x:v>
      </x:c>
      <x:c r="K861" s="11" t="n">
        <x:f>ABS(E861-D861)</x:f>
        <x:v>200</x:v>
      </x:c>
      <x:c r="L861" s="11" t="n">
        <x:f>K861-J861</x:f>
        <x:v>214.2100000000005</x:v>
      </x:c>
      <x:c r="M861" s="11" t="n">
        <x:f>IF(B861="Butterfly",MAX(J861,0),IF(C861="call","Unlimited",MAX(2*E861-D861+J861,J861,0)))</x:f>
        <x:v>0</x:v>
      </x:c>
      <x:c r="N861" s="11" t="str">
        <x:f>IF(B861="Butterfly",IF(AND(J861&gt;0,J861&lt;K861),D861+J861,"n.a."),IF(C861="call",IF(AND(J861&gt;0,J861&lt;K861),D861+J861,"n.a."),IF(AND(K861&gt;J861,2*E861-D861+J861&gt;=0),2*E861-D861+J861,"n.a.")))</x:f>
        <x:v>n.a.</x:v>
      </x:c>
      <x:c r="O861" s="11" t="str">
        <x:f>IF(B861="Butterfly",IF(AND(J861&gt;0,J861&lt;K861),F861-J861,"n.a."),IF(C861="call",IF(K861&gt;J861,2*E861-D861-J861,"n.a."),IF(AND(J861&gt;0,J861&lt;K861),D861-J861,"n.a.")))</x:f>
        <x:v>n.a.</x:v>
      </x:c>
      <x:c r="P861" s="19" t="str">
        <x:f>IF(AND(B861="Butterfly",J861&gt;0,J861&lt;K861),L861/J861,"n.a.")</x:f>
        <x:v>n.a.</x:v>
      </x:c>
      <x:c r="Q861" s="11" t="n">
        <x:f>J861*'Model inputs'!$B$8</x:f>
        <x:v>-1421.000000000049</x:v>
      </x:c>
      <x:c r="R861" s="1" t="str">
        <x:v>Outside standard debit bounds</x:v>
      </x:c>
      <x:c r="S861" s="1" t="n">
        <x:v>30</x:v>
      </x:c>
      <x:c r="T861" s="1" t="n">
        <x:v>49</x:v>
      </x:c>
    </x:row>
    <x:row r="862" ht="21" customHeight="1">
      <x:c r="A862" s="12" t="n">
        <x:v>46268</x:v>
      </x:c>
      <x:c r="B862" s="1" t="str">
        <x:v>Butterfly</x:v>
      </x:c>
      <x:c r="C862" s="1" t="str">
        <x:v>call</x:v>
      </x:c>
      <x:c r="D862" s="11" t="n">
        <x:v>4200</x:v>
      </x:c>
      <x:c r="E862" s="11" t="n">
        <x:v>4400</x:v>
      </x:c>
      <x:c r="F862" s="11" t="n">
        <x:v>4600</x:v>
      </x:c>
      <x:c r="G862" s="11" t="n">
        <x:f>'Option source'!B16</x:f>
        <x:v>2964.84</x:v>
      </x:c>
      <x:c r="H862" s="11" t="n">
        <x:f>'Option source'!B35</x:f>
        <x:v>2772.89</x:v>
      </x:c>
      <x:c r="I862" s="11" t="n">
        <x:f>'Option source'!B54</x:f>
        <x:v>2581.05</x:v>
      </x:c>
      <x:c r="J862" s="11" t="n">
        <x:f>G862-2*H862+IF(B862="Butterfly",I862,0)</x:f>
        <x:v>0.11000000000058208</x:v>
      </x:c>
      <x:c r="K862" s="11" t="n">
        <x:f>ABS(E862-D862)</x:f>
        <x:v>200</x:v>
      </x:c>
      <x:c r="L862" s="11" t="n">
        <x:f>K862-J862</x:f>
        <x:v>199.88999999999942</x:v>
      </x:c>
      <x:c r="M862" s="11" t="n">
        <x:f>IF(B862="Butterfly",MAX(J862,0),IF(C862="call","Unlimited",MAX(2*E862-D862+J862,J862,0)))</x:f>
        <x:v>0.11000000000058208</x:v>
      </x:c>
      <x:c r="N862" s="11" t="n">
        <x:f>IF(B862="Butterfly",IF(AND(J862&gt;0,J862&lt;K862),D862+J862,"n.a."),IF(C862="call",IF(AND(J862&gt;0,J862&lt;K862),D862+J862,"n.a."),IF(AND(K862&gt;J862,2*E862-D862+J862&gt;=0),2*E862-D862+J862,"n.a.")))</x:f>
        <x:v>4200.110000000001</x:v>
      </x:c>
      <x:c r="O862" s="11" t="n">
        <x:f>IF(B862="Butterfly",IF(AND(J862&gt;0,J862&lt;K862),F862-J862,"n.a."),IF(C862="call",IF(K862&gt;J862,2*E862-D862-J862,"n.a."),IF(AND(J862&gt;0,J862&lt;K862),D862-J862,"n.a.")))</x:f>
        <x:v>4599.889999999999</x:v>
      </x:c>
      <x:c r="P862" s="19" t="n">
        <x:f>IF(AND(B862="Butterfly",J862&gt;0,J862&lt;K862),L862/J862,"n.a.")</x:f>
        <x:v>1817.1818181721972</x:v>
      </x:c>
      <x:c r="Q862" s="11" t="n">
        <x:f>J862*'Model inputs'!$B$8</x:f>
        <x:v>11.000000000058208</x:v>
      </x:c>
      <x:c r="R862" s="1" t="str">
        <x:v>Flagged leg data</x:v>
      </x:c>
      <x:c r="S862" s="1" t="n">
        <x:v>11</x:v>
      </x:c>
      <x:c r="T862" s="1" t="n">
        <x:v>30</x:v>
      </x:c>
    </x:row>
    <x:row r="863" ht="21" customHeight="1">
      <x:c r="A863" s="12" t="n">
        <x:v>46268</x:v>
      </x:c>
      <x:c r="B863" s="1" t="str">
        <x:v>Butterfly</x:v>
      </x:c>
      <x:c r="C863" s="1" t="str">
        <x:v>put</x:v>
      </x:c>
      <x:c r="D863" s="11" t="n">
        <x:v>4200</x:v>
      </x:c>
      <x:c r="E863" s="11" t="n">
        <x:v>4400</x:v>
      </x:c>
      <x:c r="F863" s="11" t="n">
        <x:v>4600</x:v>
      </x:c>
      <x:c r="G863" s="11" t="n">
        <x:f>'Option source'!B496</x:f>
        <x:v>1.05</x:v>
      </x:c>
      <x:c r="H863" s="11" t="n">
        <x:f>'Option source'!B515</x:f>
        <x:v>1.55</x:v>
      </x:c>
      <x:c r="I863" s="11" t="n">
        <x:f>'Option source'!B534</x:f>
        <x:v>1.48</x:v>
      </x:c>
      <x:c r="J863" s="11" t="n">
        <x:f>G863-2*H863+IF(B863="Butterfly",I863,0)</x:f>
        <x:v>-0.5699999999999998</x:v>
      </x:c>
      <x:c r="K863" s="11" t="n">
        <x:f>ABS(E863-D863)</x:f>
        <x:v>200</x:v>
      </x:c>
      <x:c r="L863" s="11" t="n">
        <x:f>K863-J863</x:f>
        <x:v>200.57</x:v>
      </x:c>
      <x:c r="M863" s="11" t="n">
        <x:f>IF(B863="Butterfly",MAX(J863,0),IF(C863="call","Unlimited",MAX(2*E863-D863+J863,J863,0)))</x:f>
        <x:v>0</x:v>
      </x:c>
      <x:c r="N863" s="11" t="str">
        <x:f>IF(B863="Butterfly",IF(AND(J863&gt;0,J863&lt;K863),D863+J863,"n.a."),IF(C863="call",IF(AND(J863&gt;0,J863&lt;K863),D863+J863,"n.a."),IF(AND(K863&gt;J863,2*E863-D863+J863&gt;=0),2*E863-D863+J863,"n.a.")))</x:f>
        <x:v>n.a.</x:v>
      </x:c>
      <x:c r="O863" s="11" t="str">
        <x:f>IF(B863="Butterfly",IF(AND(J863&gt;0,J863&lt;K863),F863-J863,"n.a."),IF(C863="call",IF(K863&gt;J863,2*E863-D863-J863,"n.a."),IF(AND(J863&gt;0,J863&lt;K863),D863-J863,"n.a.")))</x:f>
        <x:v>n.a.</x:v>
      </x:c>
      <x:c r="P863" s="19" t="str">
        <x:f>IF(AND(B863="Butterfly",J863&gt;0,J863&lt;K863),L863/J863,"n.a.")</x:f>
        <x:v>n.a.</x:v>
      </x:c>
      <x:c r="Q863" s="11" t="n">
        <x:f>J863*'Model inputs'!$B$8</x:f>
        <x:v>-56.999999999999986</x:v>
      </x:c>
      <x:c r="R863" s="1" t="str">
        <x:v>Outside standard debit bounds</x:v>
      </x:c>
      <x:c r="S863" s="1" t="n">
        <x:v>491</x:v>
      </x:c>
      <x:c r="T863" s="1" t="n">
        <x:v>510</x:v>
      </x:c>
    </x:row>
    <x:row r="864" ht="21" customHeight="1">
      <x:c r="A864" s="12" t="n">
        <x:v>46268</x:v>
      </x:c>
      <x:c r="B864" s="1" t="str">
        <x:v>1x2 ratio</x:v>
      </x:c>
      <x:c r="C864" s="1" t="str">
        <x:v>call</x:v>
      </x:c>
      <x:c r="D864" s="11" t="n">
        <x:v>6800</x:v>
      </x:c>
      <x:c r="E864" s="11" t="n">
        <x:v>7000</x:v>
      </x:c>
      <x:c r="F864" s="11"/>
      <x:c r="G864" s="11" t="n">
        <x:f>'Option source'!B249</x:f>
        <x:v>665.11</x:v>
      </x:c>
      <x:c r="H864" s="11" t="n">
        <x:f>'Option source'!B268</x:f>
        <x:v>547.83</x:v>
      </x:c>
      <x:c r="I864" s="11"/>
      <x:c r="J864" s="11" t="n">
        <x:f>G864-2*H864+IF(B864="Butterfly",I864,0)</x:f>
        <x:v>-430.55000000000007</x:v>
      </x:c>
      <x:c r="K864" s="11" t="n">
        <x:f>ABS(E864-D864)</x:f>
        <x:v>200</x:v>
      </x:c>
      <x:c r="L864" s="11" t="n">
        <x:f>K864-J864</x:f>
        <x:v>630.5500000000001</x:v>
      </x:c>
      <x:c r="M864" s="11" t="str">
        <x:f>IF(B864="Butterfly",MAX(J864,0),IF(C864="call","Unlimited",MAX(2*E864-D864+J864,J864,0)))</x:f>
        <x:v>Unlimited</x:v>
      </x:c>
      <x:c r="N864" s="11" t="str">
        <x:f>IF(B864="Butterfly",IF(AND(J864&gt;0,J864&lt;K864),D864+J864,"n.a."),IF(C864="call",IF(AND(J864&gt;0,J864&lt;K864),D864+J864,"n.a."),IF(AND(K864&gt;J864,2*E864-D864+J864&gt;=0),2*E864-D864+J864,"n.a.")))</x:f>
        <x:v>n.a.</x:v>
      </x:c>
      <x:c r="O864" s="11" t="n">
        <x:f>IF(B864="Butterfly",IF(AND(J864&gt;0,J864&lt;K864),F864-J864,"n.a."),IF(C864="call",IF(K864&gt;J864,2*E864-D864-J864,"n.a."),IF(AND(J864&gt;0,J864&lt;K864),D864-J864,"n.a.")))</x:f>
        <x:v>7630.55</x:v>
      </x:c>
      <x:c r="P864" s="19" t="str">
        <x:f>IF(AND(B864="Butterfly",J864&gt;0,J864&lt;K864),L864/J864,"n.a.")</x:f>
        <x:v>n.a.</x:v>
      </x:c>
      <x:c r="Q864" s="11" t="n">
        <x:f>J864*'Model inputs'!$B$8</x:f>
        <x:v>-43055.00000000001</x:v>
      </x:c>
      <x:c r="R864" s="1" t="str">
        <x:v>Indicative only</x:v>
      </x:c>
      <x:c r="S864" s="1" t="n">
        <x:v>244</x:v>
      </x:c>
      <x:c r="T864" s="1" t="n">
        <x:v>263</x:v>
      </x:c>
    </x:row>
    <x:row r="865" ht="21" customHeight="1">
      <x:c r="A865" s="12" t="n">
        <x:v>46268</x:v>
      </x:c>
      <x:c r="B865" s="1" t="str">
        <x:v>1x2 ratio</x:v>
      </x:c>
      <x:c r="C865" s="1" t="str">
        <x:v>put</x:v>
      </x:c>
      <x:c r="D865" s="11" t="n">
        <x:v>7200</x:v>
      </x:c>
      <x:c r="E865" s="11" t="n">
        <x:v>7000</x:v>
      </x:c>
      <x:c r="F865" s="11"/>
      <x:c r="G865" s="11" t="n">
        <x:f>'Option source'!B781</x:f>
        <x:v>403.61</x:v>
      </x:c>
      <x:c r="H865" s="11" t="n">
        <x:f>'Option source'!B762</x:f>
        <x:v>315.24</x:v>
      </x:c>
      <x:c r="I865" s="11"/>
      <x:c r="J865" s="11" t="n">
        <x:f>G865-2*H865+IF(B865="Butterfly",I865,0)</x:f>
        <x:v>-226.87</x:v>
      </x:c>
      <x:c r="K865" s="11" t="n">
        <x:f>ABS(E865-D865)</x:f>
        <x:v>200</x:v>
      </x:c>
      <x:c r="L865" s="11" t="n">
        <x:f>K865-J865</x:f>
        <x:v>426.87</x:v>
      </x:c>
      <x:c r="M865" s="11" t="n">
        <x:f>IF(B865="Butterfly",MAX(J865,0),IF(C865="call","Unlimited",MAX(2*E865-D865+J865,J865,0)))</x:f>
        <x:v>6573.13</x:v>
      </x:c>
      <x:c r="N865" s="11" t="n">
        <x:f>IF(B865="Butterfly",IF(AND(J865&gt;0,J865&lt;K865),D865+J865,"n.a."),IF(C865="call",IF(AND(J865&gt;0,J865&lt;K865),D865+J865,"n.a."),IF(AND(K865&gt;J865,2*E865-D865+J865&gt;=0),2*E865-D865+J865,"n.a.")))</x:f>
        <x:v>6573.13</x:v>
      </x:c>
      <x:c r="O865" s="11" t="str">
        <x:f>IF(B865="Butterfly",IF(AND(J865&gt;0,J865&lt;K865),F865-J865,"n.a."),IF(C865="call",IF(K865&gt;J865,2*E865-D865-J865,"n.a."),IF(AND(J865&gt;0,J865&lt;K865),D865-J865,"n.a.")))</x:f>
        <x:v>n.a.</x:v>
      </x:c>
      <x:c r="P865" s="19" t="str">
        <x:f>IF(AND(B865="Butterfly",J865&gt;0,J865&lt;K865),L865/J865,"n.a.")</x:f>
        <x:v>n.a.</x:v>
      </x:c>
      <x:c r="Q865" s="11" t="n">
        <x:f>J865*'Model inputs'!$B$8</x:f>
        <x:v>-22687</x:v>
      </x:c>
      <x:c r="R865" s="1" t="str">
        <x:v>Indicative only</x:v>
      </x:c>
      <x:c r="S865" s="1" t="n">
        <x:v>776</x:v>
      </x:c>
      <x:c r="T865" s="1" t="n">
        <x:v>757</x:v>
      </x:c>
    </x:row>
    <x:row r="866" ht="21" customHeight="1">
      <x:c r="A866" s="12" t="n">
        <x:v>46268</x:v>
      </x:c>
      <x:c r="B866" s="1" t="str">
        <x:v>1x2 ratio</x:v>
      </x:c>
      <x:c r="C866" s="1" t="str">
        <x:v>call</x:v>
      </x:c>
      <x:c r="D866" s="11" t="n">
        <x:v>7000</x:v>
      </x:c>
      <x:c r="E866" s="11" t="n">
        <x:v>7200</x:v>
      </x:c>
      <x:c r="F866" s="11"/>
      <x:c r="G866" s="11" t="n">
        <x:f>'Option source'!B268</x:f>
        <x:v>547.83</x:v>
      </x:c>
      <x:c r="H866" s="11" t="n">
        <x:f>'Option source'!B287</x:f>
        <x:v>446.85</x:v>
      </x:c>
      <x:c r="I866" s="11"/>
      <x:c r="J866" s="11" t="n">
        <x:f>G866-2*H866+IF(B866="Butterfly",I866,0)</x:f>
        <x:v>-345.87</x:v>
      </x:c>
      <x:c r="K866" s="11" t="n">
        <x:f>ABS(E866-D866)</x:f>
        <x:v>200</x:v>
      </x:c>
      <x:c r="L866" s="11" t="n">
        <x:f>K866-J866</x:f>
        <x:v>545.87</x:v>
      </x:c>
      <x:c r="M866" s="11" t="str">
        <x:f>IF(B866="Butterfly",MAX(J866,0),IF(C866="call","Unlimited",MAX(2*E866-D866+J866,J866,0)))</x:f>
        <x:v>Unlimited</x:v>
      </x:c>
      <x:c r="N866" s="11" t="str">
        <x:f>IF(B866="Butterfly",IF(AND(J866&gt;0,J866&lt;K866),D866+J866,"n.a."),IF(C866="call",IF(AND(J866&gt;0,J866&lt;K866),D866+J866,"n.a."),IF(AND(K866&gt;J866,2*E866-D866+J866&gt;=0),2*E866-D866+J866,"n.a.")))</x:f>
        <x:v>n.a.</x:v>
      </x:c>
      <x:c r="O866" s="11" t="n">
        <x:f>IF(B866="Butterfly",IF(AND(J866&gt;0,J866&lt;K866),F866-J866,"n.a."),IF(C866="call",IF(K866&gt;J866,2*E866-D866-J866,"n.a."),IF(AND(J866&gt;0,J866&lt;K866),D866-J866,"n.a.")))</x:f>
        <x:v>7745.87</x:v>
      </x:c>
      <x:c r="P866" s="19" t="str">
        <x:f>IF(AND(B866="Butterfly",J866&gt;0,J866&lt;K866),L866/J866,"n.a.")</x:f>
        <x:v>n.a.</x:v>
      </x:c>
      <x:c r="Q866" s="11" t="n">
        <x:f>J866*'Model inputs'!$B$8</x:f>
        <x:v>-34587</x:v>
      </x:c>
      <x:c r="R866" s="1" t="str">
        <x:v>Indicative only</x:v>
      </x:c>
      <x:c r="S866" s="1" t="n">
        <x:v>263</x:v>
      </x:c>
      <x:c r="T866" s="1" t="n">
        <x:v>282</x:v>
      </x:c>
    </x:row>
    <x:row r="867" ht="21" customHeight="1">
      <x:c r="A867" s="12" t="n">
        <x:v>46268</x:v>
      </x:c>
      <x:c r="B867" s="1" t="str">
        <x:v>1x2 ratio</x:v>
      </x:c>
      <x:c r="C867" s="1" t="str">
        <x:v>put</x:v>
      </x:c>
      <x:c r="D867" s="11" t="n">
        <x:v>7400</x:v>
      </x:c>
      <x:c r="E867" s="11" t="n">
        <x:v>7200</x:v>
      </x:c>
      <x:c r="F867" s="11"/>
      <x:c r="G867" s="11" t="n">
        <x:f>'Option source'!B800</x:f>
        <x:v>521.53</x:v>
      </x:c>
      <x:c r="H867" s="11" t="n">
        <x:f>'Option source'!B781</x:f>
        <x:v>403.61</x:v>
      </x:c>
      <x:c r="I867" s="11"/>
      <x:c r="J867" s="11" t="n">
        <x:f>G867-2*H867+IF(B867="Butterfly",I867,0)</x:f>
        <x:v>-285.69000000000005</x:v>
      </x:c>
      <x:c r="K867" s="11" t="n">
        <x:f>ABS(E867-D867)</x:f>
        <x:v>200</x:v>
      </x:c>
      <x:c r="L867" s="11" t="n">
        <x:f>K867-J867</x:f>
        <x:v>485.69000000000005</x:v>
      </x:c>
      <x:c r="M867" s="11" t="n">
        <x:f>IF(B867="Butterfly",MAX(J867,0),IF(C867="call","Unlimited",MAX(2*E867-D867+J867,J867,0)))</x:f>
        <x:v>6714.3099999999995</x:v>
      </x:c>
      <x:c r="N867" s="11" t="n">
        <x:f>IF(B867="Butterfly",IF(AND(J867&gt;0,J867&lt;K867),D867+J867,"n.a."),IF(C867="call",IF(AND(J867&gt;0,J867&lt;K867),D867+J867,"n.a."),IF(AND(K867&gt;J867,2*E867-D867+J867&gt;=0),2*E867-D867+J867,"n.a.")))</x:f>
        <x:v>6714.3099999999995</x:v>
      </x:c>
      <x:c r="O867" s="11" t="str">
        <x:f>IF(B867="Butterfly",IF(AND(J867&gt;0,J867&lt;K867),F867-J867,"n.a."),IF(C867="call",IF(K867&gt;J867,2*E867-D867-J867,"n.a."),IF(AND(J867&gt;0,J867&lt;K867),D867-J867,"n.a.")))</x:f>
        <x:v>n.a.</x:v>
      </x:c>
      <x:c r="P867" s="19" t="str">
        <x:f>IF(AND(B867="Butterfly",J867&gt;0,J867&lt;K867),L867/J867,"n.a.")</x:f>
        <x:v>n.a.</x:v>
      </x:c>
      <x:c r="Q867" s="11" t="n">
        <x:f>J867*'Model inputs'!$B$8</x:f>
        <x:v>-28569.000000000007</x:v>
      </x:c>
      <x:c r="R867" s="1" t="str">
        <x:v>Indicative only</x:v>
      </x:c>
      <x:c r="S867" s="1" t="n">
        <x:v>795</x:v>
      </x:c>
      <x:c r="T867" s="1" t="n">
        <x:v>776</x:v>
      </x:c>
    </x:row>
    <x:row r="868" ht="21" customHeight="1">
      <x:c r="A868" s="12" t="n">
        <x:v>46268</x:v>
      </x:c>
      <x:c r="B868" s="1" t="str">
        <x:v>1x2 ratio</x:v>
      </x:c>
      <x:c r="C868" s="1" t="str">
        <x:v>call</x:v>
      </x:c>
      <x:c r="D868" s="11" t="n">
        <x:v>6600</x:v>
      </x:c>
      <x:c r="E868" s="11" t="n">
        <x:v>6800</x:v>
      </x:c>
      <x:c r="F868" s="11"/>
      <x:c r="G868" s="11" t="n">
        <x:f>'Option source'!B230</x:f>
        <x:v>800.04</x:v>
      </x:c>
      <x:c r="H868" s="11" t="n">
        <x:f>'Option source'!B249</x:f>
        <x:v>665.11</x:v>
      </x:c>
      <x:c r="I868" s="11"/>
      <x:c r="J868" s="11" t="n">
        <x:f>G868-2*H868+IF(B868="Butterfly",I868,0)</x:f>
        <x:v>-530.1800000000001</x:v>
      </x:c>
      <x:c r="K868" s="11" t="n">
        <x:f>ABS(E868-D868)</x:f>
        <x:v>200</x:v>
      </x:c>
      <x:c r="L868" s="11" t="n">
        <x:f>K868-J868</x:f>
        <x:v>730.1800000000001</x:v>
      </x:c>
      <x:c r="M868" s="11" t="str">
        <x:f>IF(B868="Butterfly",MAX(J868,0),IF(C868="call","Unlimited",MAX(2*E868-D868+J868,J868,0)))</x:f>
        <x:v>Unlimited</x:v>
      </x:c>
      <x:c r="N868" s="11" t="str">
        <x:f>IF(B868="Butterfly",IF(AND(J868&gt;0,J868&lt;K868),D868+J868,"n.a."),IF(C868="call",IF(AND(J868&gt;0,J868&lt;K868),D868+J868,"n.a."),IF(AND(K868&gt;J868,2*E868-D868+J868&gt;=0),2*E868-D868+J868,"n.a.")))</x:f>
        <x:v>n.a.</x:v>
      </x:c>
      <x:c r="O868" s="11" t="n">
        <x:f>IF(B868="Butterfly",IF(AND(J868&gt;0,J868&lt;K868),F868-J868,"n.a."),IF(C868="call",IF(K868&gt;J868,2*E868-D868-J868,"n.a."),IF(AND(J868&gt;0,J868&lt;K868),D868-J868,"n.a.")))</x:f>
        <x:v>7530.18</x:v>
      </x:c>
      <x:c r="P868" s="19" t="str">
        <x:f>IF(AND(B868="Butterfly",J868&gt;0,J868&lt;K868),L868/J868,"n.a.")</x:f>
        <x:v>n.a.</x:v>
      </x:c>
      <x:c r="Q868" s="11" t="n">
        <x:f>J868*'Model inputs'!$B$8</x:f>
        <x:v>-53018.00000000001</x:v>
      </x:c>
      <x:c r="R868" s="1" t="str">
        <x:v>Indicative only</x:v>
      </x:c>
      <x:c r="S868" s="1" t="n">
        <x:v>225</x:v>
      </x:c>
      <x:c r="T868" s="1" t="n">
        <x:v>244</x:v>
      </x:c>
    </x:row>
    <x:row r="869" ht="21" customHeight="1">
      <x:c r="A869" s="12" t="n">
        <x:v>46268</x:v>
      </x:c>
      <x:c r="B869" s="1" t="str">
        <x:v>1x2 ratio</x:v>
      </x:c>
      <x:c r="C869" s="1" t="str">
        <x:v>put</x:v>
      </x:c>
      <x:c r="D869" s="11" t="n">
        <x:v>7000</x:v>
      </x:c>
      <x:c r="E869" s="11" t="n">
        <x:v>6800</x:v>
      </x:c>
      <x:c r="F869" s="11"/>
      <x:c r="G869" s="11" t="n">
        <x:f>'Option source'!B762</x:f>
        <x:v>315.24</x:v>
      </x:c>
      <x:c r="H869" s="11" t="n">
        <x:f>'Option source'!B743</x:f>
        <x:v>235.69</x:v>
      </x:c>
      <x:c r="I869" s="11"/>
      <x:c r="J869" s="11" t="n">
        <x:f>G869-2*H869+IF(B869="Butterfly",I869,0)</x:f>
        <x:v>-156.14</x:v>
      </x:c>
      <x:c r="K869" s="11" t="n">
        <x:f>ABS(E869-D869)</x:f>
        <x:v>200</x:v>
      </x:c>
      <x:c r="L869" s="11" t="n">
        <x:f>K869-J869</x:f>
        <x:v>356.14</x:v>
      </x:c>
      <x:c r="M869" s="11" t="n">
        <x:f>IF(B869="Butterfly",MAX(J869,0),IF(C869="call","Unlimited",MAX(2*E869-D869+J869,J869,0)))</x:f>
        <x:v>6443.86</x:v>
      </x:c>
      <x:c r="N869" s="11" t="n">
        <x:f>IF(B869="Butterfly",IF(AND(J869&gt;0,J869&lt;K869),D869+J869,"n.a."),IF(C869="call",IF(AND(J869&gt;0,J869&lt;K869),D869+J869,"n.a."),IF(AND(K869&gt;J869,2*E869-D869+J869&gt;=0),2*E869-D869+J869,"n.a.")))</x:f>
        <x:v>6443.86</x:v>
      </x:c>
      <x:c r="O869" s="11" t="str">
        <x:f>IF(B869="Butterfly",IF(AND(J869&gt;0,J869&lt;K869),F869-J869,"n.a."),IF(C869="call",IF(K869&gt;J869,2*E869-D869-J869,"n.a."),IF(AND(J869&gt;0,J869&lt;K869),D869-J869,"n.a.")))</x:f>
        <x:v>n.a.</x:v>
      </x:c>
      <x:c r="P869" s="19" t="str">
        <x:f>IF(AND(B869="Butterfly",J869&gt;0,J869&lt;K869),L869/J869,"n.a.")</x:f>
        <x:v>n.a.</x:v>
      </x:c>
      <x:c r="Q869" s="11" t="n">
        <x:f>J869*'Model inputs'!$B$8</x:f>
        <x:v>-15613.999999999998</x:v>
      </x:c>
      <x:c r="R869" s="1" t="str">
        <x:v>Indicative only</x:v>
      </x:c>
      <x:c r="S869" s="1" t="n">
        <x:v>757</x:v>
      </x:c>
      <x:c r="T869" s="1" t="n">
        <x:v>738</x:v>
      </x:c>
    </x:row>
    <x:row r="870" ht="21" customHeight="1">
      <x:c r="A870" s="12" t="n">
        <x:v>46268</x:v>
      </x:c>
      <x:c r="B870" s="1" t="str">
        <x:v>1x2 ratio</x:v>
      </x:c>
      <x:c r="C870" s="1" t="str">
        <x:v>call</x:v>
      </x:c>
      <x:c r="D870" s="11" t="n">
        <x:v>7200</x:v>
      </x:c>
      <x:c r="E870" s="11" t="n">
        <x:v>7400</x:v>
      </x:c>
      <x:c r="F870" s="11"/>
      <x:c r="G870" s="11" t="n">
        <x:f>'Option source'!B287</x:f>
        <x:v>446.85</x:v>
      </x:c>
      <x:c r="H870" s="11" t="n">
        <x:f>'Option source'!B306</x:f>
        <x:v>355.55</x:v>
      </x:c>
      <x:c r="I870" s="11"/>
      <x:c r="J870" s="11" t="n">
        <x:f>G870-2*H870+IF(B870="Butterfly",I870,0)</x:f>
        <x:v>-264.25</x:v>
      </x:c>
      <x:c r="K870" s="11" t="n">
        <x:f>ABS(E870-D870)</x:f>
        <x:v>200</x:v>
      </x:c>
      <x:c r="L870" s="11" t="n">
        <x:f>K870-J870</x:f>
        <x:v>464.25</x:v>
      </x:c>
      <x:c r="M870" s="11" t="str">
        <x:f>IF(B870="Butterfly",MAX(J870,0),IF(C870="call","Unlimited",MAX(2*E870-D870+J870,J870,0)))</x:f>
        <x:v>Unlimited</x:v>
      </x:c>
      <x:c r="N870" s="11" t="str">
        <x:f>IF(B870="Butterfly",IF(AND(J870&gt;0,J870&lt;K870),D870+J870,"n.a."),IF(C870="call",IF(AND(J870&gt;0,J870&lt;K870),D870+J870,"n.a."),IF(AND(K870&gt;J870,2*E870-D870+J870&gt;=0),2*E870-D870+J870,"n.a.")))</x:f>
        <x:v>n.a.</x:v>
      </x:c>
      <x:c r="O870" s="11" t="n">
        <x:f>IF(B870="Butterfly",IF(AND(J870&gt;0,J870&lt;K870),F870-J870,"n.a."),IF(C870="call",IF(K870&gt;J870,2*E870-D870-J870,"n.a."),IF(AND(J870&gt;0,J870&lt;K870),D870-J870,"n.a.")))</x:f>
        <x:v>7864.25</x:v>
      </x:c>
      <x:c r="P870" s="19" t="str">
        <x:f>IF(AND(B870="Butterfly",J870&gt;0,J870&lt;K870),L870/J870,"n.a.")</x:f>
        <x:v>n.a.</x:v>
      </x:c>
      <x:c r="Q870" s="11" t="n">
        <x:f>J870*'Model inputs'!$B$8</x:f>
        <x:v>-26425</x:v>
      </x:c>
      <x:c r="R870" s="1" t="str">
        <x:v>Indicative only</x:v>
      </x:c>
      <x:c r="S870" s="1" t="n">
        <x:v>282</x:v>
      </x:c>
      <x:c r="T870" s="1" t="n">
        <x:v>301</x:v>
      </x:c>
    </x:row>
    <x:row r="871" ht="21" customHeight="1">
      <x:c r="A871" s="12" t="n">
        <x:v>46268</x:v>
      </x:c>
      <x:c r="B871" s="1" t="str">
        <x:v>1x2 ratio</x:v>
      </x:c>
      <x:c r="C871" s="1" t="str">
        <x:v>put</x:v>
      </x:c>
      <x:c r="D871" s="11" t="n">
        <x:v>7600</x:v>
      </x:c>
      <x:c r="E871" s="11" t="n">
        <x:v>7400</x:v>
      </x:c>
      <x:c r="F871" s="11"/>
      <x:c r="G871" s="11" t="n">
        <x:f>'Option source'!B819</x:f>
        <x:v>650</x:v>
      </x:c>
      <x:c r="H871" s="11" t="n">
        <x:f>'Option source'!B800</x:f>
        <x:v>521.53</x:v>
      </x:c>
      <x:c r="I871" s="11"/>
      <x:c r="J871" s="11" t="n">
        <x:f>G871-2*H871+IF(B871="Butterfly",I871,0)</x:f>
        <x:v>-393.05999999999995</x:v>
      </x:c>
      <x:c r="K871" s="11" t="n">
        <x:f>ABS(E871-D871)</x:f>
        <x:v>200</x:v>
      </x:c>
      <x:c r="L871" s="11" t="n">
        <x:f>K871-J871</x:f>
        <x:v>593.06</x:v>
      </x:c>
      <x:c r="M871" s="11" t="n">
        <x:f>IF(B871="Butterfly",MAX(J871,0),IF(C871="call","Unlimited",MAX(2*E871-D871+J871,J871,0)))</x:f>
        <x:v>6806.9400000000005</x:v>
      </x:c>
      <x:c r="N871" s="11" t="n">
        <x:f>IF(B871="Butterfly",IF(AND(J871&gt;0,J871&lt;K871),D871+J871,"n.a."),IF(C871="call",IF(AND(J871&gt;0,J871&lt;K871),D871+J871,"n.a."),IF(AND(K871&gt;J871,2*E871-D871+J871&gt;=0),2*E871-D871+J871,"n.a.")))</x:f>
        <x:v>6806.9400000000005</x:v>
      </x:c>
      <x:c r="O871" s="11" t="str">
        <x:f>IF(B871="Butterfly",IF(AND(J871&gt;0,J871&lt;K871),F871-J871,"n.a."),IF(C871="call",IF(K871&gt;J871,2*E871-D871-J871,"n.a."),IF(AND(J871&gt;0,J871&lt;K871),D871-J871,"n.a.")))</x:f>
        <x:v>n.a.</x:v>
      </x:c>
      <x:c r="P871" s="19" t="str">
        <x:f>IF(AND(B871="Butterfly",J871&gt;0,J871&lt;K871),L871/J871,"n.a.")</x:f>
        <x:v>n.a.</x:v>
      </x:c>
      <x:c r="Q871" s="11" t="n">
        <x:f>J871*'Model inputs'!$B$8</x:f>
        <x:v>-39305.99999999999</x:v>
      </x:c>
      <x:c r="R871" s="1" t="str">
        <x:v>Indicative only</x:v>
      </x:c>
      <x:c r="S871" s="1" t="n">
        <x:v>814</x:v>
      </x:c>
      <x:c r="T871" s="1" t="n">
        <x:v>795</x:v>
      </x:c>
    </x:row>
    <x:row r="872" ht="21" customHeight="1">
      <x:c r="A872" s="12" t="n">
        <x:v>46268</x:v>
      </x:c>
      <x:c r="B872" s="1" t="str">
        <x:v>1x2 ratio</x:v>
      </x:c>
      <x:c r="C872" s="1" t="str">
        <x:v>put</x:v>
      </x:c>
      <x:c r="D872" s="11" t="n">
        <x:v>6800</x:v>
      </x:c>
      <x:c r="E872" s="11" t="n">
        <x:v>6600</x:v>
      </x:c>
      <x:c r="F872" s="11"/>
      <x:c r="G872" s="11" t="n">
        <x:f>'Option source'!B743</x:f>
        <x:v>235.69</x:v>
      </x:c>
      <x:c r="H872" s="11" t="n">
        <x:f>'Option source'!B724</x:f>
        <x:v>167.73</x:v>
      </x:c>
      <x:c r="I872" s="11"/>
      <x:c r="J872" s="11" t="n">
        <x:f>G872-2*H872+IF(B872="Butterfly",I872,0)</x:f>
        <x:v>-99.76999999999998</x:v>
      </x:c>
      <x:c r="K872" s="11" t="n">
        <x:f>ABS(E872-D872)</x:f>
        <x:v>200</x:v>
      </x:c>
      <x:c r="L872" s="11" t="n">
        <x:f>K872-J872</x:f>
        <x:v>299.77</x:v>
      </x:c>
      <x:c r="M872" s="11" t="n">
        <x:f>IF(B872="Butterfly",MAX(J872,0),IF(C872="call","Unlimited",MAX(2*E872-D872+J872,J872,0)))</x:f>
        <x:v>6300.23</x:v>
      </x:c>
      <x:c r="N872" s="11" t="n">
        <x:f>IF(B872="Butterfly",IF(AND(J872&gt;0,J872&lt;K872),D872+J872,"n.a."),IF(C872="call",IF(AND(J872&gt;0,J872&lt;K872),D872+J872,"n.a."),IF(AND(K872&gt;J872,2*E872-D872+J872&gt;=0),2*E872-D872+J872,"n.a.")))</x:f>
        <x:v>6300.23</x:v>
      </x:c>
      <x:c r="O872" s="11" t="str">
        <x:f>IF(B872="Butterfly",IF(AND(J872&gt;0,J872&lt;K872),F872-J872,"n.a."),IF(C872="call",IF(K872&gt;J872,2*E872-D872-J872,"n.a."),IF(AND(J872&gt;0,J872&lt;K872),D872-J872,"n.a.")))</x:f>
        <x:v>n.a.</x:v>
      </x:c>
      <x:c r="P872" s="19" t="str">
        <x:f>IF(AND(B872="Butterfly",J872&gt;0,J872&lt;K872),L872/J872,"n.a.")</x:f>
        <x:v>n.a.</x:v>
      </x:c>
      <x:c r="Q872" s="11" t="n">
        <x:f>J872*'Model inputs'!$B$8</x:f>
        <x:v>-9976.999999999998</x:v>
      </x:c>
      <x:c r="R872" s="1" t="str">
        <x:v>Indicative only</x:v>
      </x:c>
      <x:c r="S872" s="1" t="n">
        <x:v>738</x:v>
      </x:c>
      <x:c r="T872" s="1" t="n">
        <x:v>719</x:v>
      </x:c>
    </x:row>
    <x:row r="873" ht="21" customHeight="1">
      <x:c r="A873" s="12" t="n">
        <x:v>46268</x:v>
      </x:c>
      <x:c r="B873" s="1" t="str">
        <x:v>1x2 ratio</x:v>
      </x:c>
      <x:c r="C873" s="1" t="str">
        <x:v>call</x:v>
      </x:c>
      <x:c r="D873" s="11" t="n">
        <x:v>7400</x:v>
      </x:c>
      <x:c r="E873" s="11" t="n">
        <x:v>7600</x:v>
      </x:c>
      <x:c r="F873" s="11"/>
      <x:c r="G873" s="11" t="n">
        <x:f>'Option source'!B306</x:f>
        <x:v>355.55</x:v>
      </x:c>
      <x:c r="H873" s="11" t="n">
        <x:f>'Option source'!B325</x:f>
        <x:v>280.92</x:v>
      </x:c>
      <x:c r="I873" s="11"/>
      <x:c r="J873" s="11" t="n">
        <x:f>G873-2*H873+IF(B873="Butterfly",I873,0)</x:f>
        <x:v>-206.29000000000002</x:v>
      </x:c>
      <x:c r="K873" s="11" t="n">
        <x:f>ABS(E873-D873)</x:f>
        <x:v>200</x:v>
      </x:c>
      <x:c r="L873" s="11" t="n">
        <x:f>K873-J873</x:f>
        <x:v>406.29</x:v>
      </x:c>
      <x:c r="M873" s="11" t="str">
        <x:f>IF(B873="Butterfly",MAX(J873,0),IF(C873="call","Unlimited",MAX(2*E873-D873+J873,J873,0)))</x:f>
        <x:v>Unlimited</x:v>
      </x:c>
      <x:c r="N873" s="11" t="str">
        <x:f>IF(B873="Butterfly",IF(AND(J873&gt;0,J873&lt;K873),D873+J873,"n.a."),IF(C873="call",IF(AND(J873&gt;0,J873&lt;K873),D873+J873,"n.a."),IF(AND(K873&gt;J873,2*E873-D873+J873&gt;=0),2*E873-D873+J873,"n.a.")))</x:f>
        <x:v>n.a.</x:v>
      </x:c>
      <x:c r="O873" s="11" t="n">
        <x:f>IF(B873="Butterfly",IF(AND(J873&gt;0,J873&lt;K873),F873-J873,"n.a."),IF(C873="call",IF(K873&gt;J873,2*E873-D873-J873,"n.a."),IF(AND(J873&gt;0,J873&lt;K873),D873-J873,"n.a.")))</x:f>
        <x:v>8006.29</x:v>
      </x:c>
      <x:c r="P873" s="19" t="str">
        <x:f>IF(AND(B873="Butterfly",J873&gt;0,J873&lt;K873),L873/J873,"n.a.")</x:f>
        <x:v>n.a.</x:v>
      </x:c>
      <x:c r="Q873" s="11" t="n">
        <x:f>J873*'Model inputs'!$B$8</x:f>
        <x:v>-20629.000000000004</x:v>
      </x:c>
      <x:c r="R873" s="1" t="str">
        <x:v>Indicative only</x:v>
      </x:c>
      <x:c r="S873" s="1" t="n">
        <x:v>301</x:v>
      </x:c>
      <x:c r="T873" s="1" t="n">
        <x:v>320</x:v>
      </x:c>
    </x:row>
    <x:row r="874" ht="21" customHeight="1">
      <x:c r="A874" s="12" t="n">
        <x:v>46268</x:v>
      </x:c>
      <x:c r="B874" s="1" t="str">
        <x:v>1x2 ratio</x:v>
      </x:c>
      <x:c r="C874" s="1" t="str">
        <x:v>put</x:v>
      </x:c>
      <x:c r="D874" s="11" t="n">
        <x:v>6600</x:v>
      </x:c>
      <x:c r="E874" s="11" t="n">
        <x:v>6400</x:v>
      </x:c>
      <x:c r="F874" s="11"/>
      <x:c r="G874" s="11" t="n">
        <x:f>'Option source'!B724</x:f>
        <x:v>167.73</x:v>
      </x:c>
      <x:c r="H874" s="11" t="n">
        <x:f>'Option source'!B705</x:f>
        <x:v>113.71</x:v>
      </x:c>
      <x:c r="I874" s="11"/>
      <x:c r="J874" s="11" t="n">
        <x:f>G874-2*H874+IF(B874="Butterfly",I874,0)</x:f>
        <x:v>-59.69</x:v>
      </x:c>
      <x:c r="K874" s="11" t="n">
        <x:f>ABS(E874-D874)</x:f>
        <x:v>200</x:v>
      </x:c>
      <x:c r="L874" s="11" t="n">
        <x:f>K874-J874</x:f>
        <x:v>259.69</x:v>
      </x:c>
      <x:c r="M874" s="11" t="n">
        <x:f>IF(B874="Butterfly",MAX(J874,0),IF(C874="call","Unlimited",MAX(2*E874-D874+J874,J874,0)))</x:f>
        <x:v>6140.31</x:v>
      </x:c>
      <x:c r="N874" s="11" t="n">
        <x:f>IF(B874="Butterfly",IF(AND(J874&gt;0,J874&lt;K874),D874+J874,"n.a."),IF(C874="call",IF(AND(J874&gt;0,J874&lt;K874),D874+J874,"n.a."),IF(AND(K874&gt;J874,2*E874-D874+J874&gt;=0),2*E874-D874+J874,"n.a.")))</x:f>
        <x:v>6140.31</x:v>
      </x:c>
      <x:c r="O874" s="11" t="str">
        <x:f>IF(B874="Butterfly",IF(AND(J874&gt;0,J874&lt;K874),F874-J874,"n.a."),IF(C874="call",IF(K874&gt;J874,2*E874-D874-J874,"n.a."),IF(AND(J874&gt;0,J874&lt;K874),D874-J874,"n.a.")))</x:f>
        <x:v>n.a.</x:v>
      </x:c>
      <x:c r="P874" s="19" t="str">
        <x:f>IF(AND(B874="Butterfly",J874&gt;0,J874&lt;K874),L874/J874,"n.a.")</x:f>
        <x:v>n.a.</x:v>
      </x:c>
      <x:c r="Q874" s="11" t="n">
        <x:f>J874*'Model inputs'!$B$8</x:f>
        <x:v>-5969</x:v>
      </x:c>
      <x:c r="R874" s="1" t="str">
        <x:v>Indicative only</x:v>
      </x:c>
      <x:c r="S874" s="1" t="n">
        <x:v>719</x:v>
      </x:c>
      <x:c r="T874" s="1" t="n">
        <x:v>700</x:v>
      </x:c>
    </x:row>
    <x:row r="875" ht="21" customHeight="1">
      <x:c r="A875" s="12" t="n">
        <x:v>46268</x:v>
      </x:c>
      <x:c r="B875" s="1" t="str">
        <x:v>1x2 ratio</x:v>
      </x:c>
      <x:c r="C875" s="1" t="str">
        <x:v>call</x:v>
      </x:c>
      <x:c r="D875" s="11" t="n">
        <x:v>7600</x:v>
      </x:c>
      <x:c r="E875" s="11" t="n">
        <x:v>7800</x:v>
      </x:c>
      <x:c r="F875" s="11"/>
      <x:c r="G875" s="11" t="n">
        <x:f>'Option source'!B325</x:f>
        <x:v>280.92</x:v>
      </x:c>
      <x:c r="H875" s="11" t="n">
        <x:f>'Option source'!B344</x:f>
        <x:v>216.52</x:v>
      </x:c>
      <x:c r="I875" s="11"/>
      <x:c r="J875" s="11" t="n">
        <x:f>G875-2*H875+IF(B875="Butterfly",I875,0)</x:f>
        <x:v>-152.12</x:v>
      </x:c>
      <x:c r="K875" s="11" t="n">
        <x:f>ABS(E875-D875)</x:f>
        <x:v>200</x:v>
      </x:c>
      <x:c r="L875" s="11" t="n">
        <x:f>K875-J875</x:f>
        <x:v>352.12</x:v>
      </x:c>
      <x:c r="M875" s="11" t="str">
        <x:f>IF(B875="Butterfly",MAX(J875,0),IF(C875="call","Unlimited",MAX(2*E875-D875+J875,J875,0)))</x:f>
        <x:v>Unlimited</x:v>
      </x:c>
      <x:c r="N875" s="11" t="str">
        <x:f>IF(B875="Butterfly",IF(AND(J875&gt;0,J875&lt;K875),D875+J875,"n.a."),IF(C875="call",IF(AND(J875&gt;0,J875&lt;K875),D875+J875,"n.a."),IF(AND(K875&gt;J875,2*E875-D875+J875&gt;=0),2*E875-D875+J875,"n.a.")))</x:f>
        <x:v>n.a.</x:v>
      </x:c>
      <x:c r="O875" s="11" t="n">
        <x:f>IF(B875="Butterfly",IF(AND(J875&gt;0,J875&lt;K875),F875-J875,"n.a."),IF(C875="call",IF(K875&gt;J875,2*E875-D875-J875,"n.a."),IF(AND(J875&gt;0,J875&lt;K875),D875-J875,"n.a.")))</x:f>
        <x:v>8152.12</x:v>
      </x:c>
      <x:c r="P875" s="19" t="str">
        <x:f>IF(AND(B875="Butterfly",J875&gt;0,J875&lt;K875),L875/J875,"n.a.")</x:f>
        <x:v>n.a.</x:v>
      </x:c>
      <x:c r="Q875" s="11" t="n">
        <x:f>J875*'Model inputs'!$B$8</x:f>
        <x:v>-15212</x:v>
      </x:c>
      <x:c r="R875" s="1" t="str">
        <x:v>Indicative only</x:v>
      </x:c>
      <x:c r="S875" s="1" t="n">
        <x:v>320</x:v>
      </x:c>
      <x:c r="T875" s="1" t="n">
        <x:v>339</x:v>
      </x:c>
    </x:row>
    <x:row r="876" ht="21" customHeight="1">
      <x:c r="A876" s="12" t="n">
        <x:v>46268</x:v>
      </x:c>
      <x:c r="B876" s="1" t="str">
        <x:v>1x2 ratio</x:v>
      </x:c>
      <x:c r="C876" s="1" t="str">
        <x:v>put</x:v>
      </x:c>
      <x:c r="D876" s="11" t="n">
        <x:v>6400</x:v>
      </x:c>
      <x:c r="E876" s="11" t="n">
        <x:v>6200</x:v>
      </x:c>
      <x:c r="F876" s="11"/>
      <x:c r="G876" s="11" t="n">
        <x:f>'Option source'!B705</x:f>
        <x:v>113.71</x:v>
      </x:c>
      <x:c r="H876" s="11" t="n">
        <x:f>'Option source'!B686</x:f>
        <x:v>73.43</x:v>
      </x:c>
      <x:c r="I876" s="11"/>
      <x:c r="J876" s="11" t="n">
        <x:f>G876-2*H876+IF(B876="Butterfly",I876,0)</x:f>
        <x:v>-33.15000000000002</x:v>
      </x:c>
      <x:c r="K876" s="11" t="n">
        <x:f>ABS(E876-D876)</x:f>
        <x:v>200</x:v>
      </x:c>
      <x:c r="L876" s="11" t="n">
        <x:f>K876-J876</x:f>
        <x:v>233.15000000000003</x:v>
      </x:c>
      <x:c r="M876" s="11" t="n">
        <x:f>IF(B876="Butterfly",MAX(J876,0),IF(C876="call","Unlimited",MAX(2*E876-D876+J876,J876,0)))</x:f>
        <x:v>5966.85</x:v>
      </x:c>
      <x:c r="N876" s="11" t="n">
        <x:f>IF(B876="Butterfly",IF(AND(J876&gt;0,J876&lt;K876),D876+J876,"n.a."),IF(C876="call",IF(AND(J876&gt;0,J876&lt;K876),D876+J876,"n.a."),IF(AND(K876&gt;J876,2*E876-D876+J876&gt;=0),2*E876-D876+J876,"n.a.")))</x:f>
        <x:v>5966.85</x:v>
      </x:c>
      <x:c r="O876" s="11" t="str">
        <x:f>IF(B876="Butterfly",IF(AND(J876&gt;0,J876&lt;K876),F876-J876,"n.a."),IF(C876="call",IF(K876&gt;J876,2*E876-D876-J876,"n.a."),IF(AND(J876&gt;0,J876&lt;K876),D876-J876,"n.a.")))</x:f>
        <x:v>n.a.</x:v>
      </x:c>
      <x:c r="P876" s="19" t="str">
        <x:f>IF(AND(B876="Butterfly",J876&gt;0,J876&lt;K876),L876/J876,"n.a.")</x:f>
        <x:v>n.a.</x:v>
      </x:c>
      <x:c r="Q876" s="11" t="n">
        <x:f>J876*'Model inputs'!$B$8</x:f>
        <x:v>-3315.000000000002</x:v>
      </x:c>
      <x:c r="R876" s="1" t="str">
        <x:v>Indicative only</x:v>
      </x:c>
      <x:c r="S876" s="1" t="n">
        <x:v>700</x:v>
      </x:c>
      <x:c r="T876" s="1" t="n">
        <x:v>681</x:v>
      </x:c>
    </x:row>
    <x:row r="877" ht="21" customHeight="1">
      <x:c r="A877" s="12" t="n">
        <x:v>46268</x:v>
      </x:c>
      <x:c r="B877" s="1" t="str">
        <x:v>1x2 ratio</x:v>
      </x:c>
      <x:c r="C877" s="1" t="str">
        <x:v>call</x:v>
      </x:c>
      <x:c r="D877" s="11" t="n">
        <x:v>7800</x:v>
      </x:c>
      <x:c r="E877" s="11" t="n">
        <x:v>8000</x:v>
      </x:c>
      <x:c r="F877" s="11"/>
      <x:c r="G877" s="11" t="n">
        <x:f>'Option source'!B344</x:f>
        <x:v>216.52</x:v>
      </x:c>
      <x:c r="H877" s="11" t="n">
        <x:f>'Option source'!B363</x:f>
        <x:v>167.84</x:v>
      </x:c>
      <x:c r="I877" s="11"/>
      <x:c r="J877" s="11" t="n">
        <x:f>G877-2*H877+IF(B877="Butterfly",I877,0)</x:f>
        <x:v>-119.16</x:v>
      </x:c>
      <x:c r="K877" s="11" t="n">
        <x:f>ABS(E877-D877)</x:f>
        <x:v>200</x:v>
      </x:c>
      <x:c r="L877" s="11" t="n">
        <x:f>K877-J877</x:f>
        <x:v>319.15999999999997</x:v>
      </x:c>
      <x:c r="M877" s="11" t="str">
        <x:f>IF(B877="Butterfly",MAX(J877,0),IF(C877="call","Unlimited",MAX(2*E877-D877+J877,J877,0)))</x:f>
        <x:v>Unlimited</x:v>
      </x:c>
      <x:c r="N877" s="11" t="str">
        <x:f>IF(B877="Butterfly",IF(AND(J877&gt;0,J877&lt;K877),D877+J877,"n.a."),IF(C877="call",IF(AND(J877&gt;0,J877&lt;K877),D877+J877,"n.a."),IF(AND(K877&gt;J877,2*E877-D877+J877&gt;=0),2*E877-D877+J877,"n.a.")))</x:f>
        <x:v>n.a.</x:v>
      </x:c>
      <x:c r="O877" s="11" t="n">
        <x:f>IF(B877="Butterfly",IF(AND(J877&gt;0,J877&lt;K877),F877-J877,"n.a."),IF(C877="call",IF(K877&gt;J877,2*E877-D877-J877,"n.a."),IF(AND(J877&gt;0,J877&lt;K877),D877-J877,"n.a.")))</x:f>
        <x:v>8319.16</x:v>
      </x:c>
      <x:c r="P877" s="19" t="str">
        <x:f>IF(AND(B877="Butterfly",J877&gt;0,J877&lt;K877),L877/J877,"n.a.")</x:f>
        <x:v>n.a.</x:v>
      </x:c>
      <x:c r="Q877" s="11" t="n">
        <x:f>J877*'Model inputs'!$B$8</x:f>
        <x:v>-11916</x:v>
      </x:c>
      <x:c r="R877" s="1" t="str">
        <x:v>Indicative only</x:v>
      </x:c>
      <x:c r="S877" s="1" t="n">
        <x:v>339</x:v>
      </x:c>
      <x:c r="T877" s="1" t="n">
        <x:v>358</x:v>
      </x:c>
    </x:row>
    <x:row r="878" ht="21" customHeight="1">
      <x:c r="A878" s="12" t="n">
        <x:v>46268</x:v>
      </x:c>
      <x:c r="B878" s="1" t="str">
        <x:v>1x2 ratio</x:v>
      </x:c>
      <x:c r="C878" s="1" t="str">
        <x:v>put</x:v>
      </x:c>
      <x:c r="D878" s="11" t="n">
        <x:v>6200</x:v>
      </x:c>
      <x:c r="E878" s="11" t="n">
        <x:v>6000</x:v>
      </x:c>
      <x:c r="F878" s="11"/>
      <x:c r="G878" s="11" t="n">
        <x:f>'Option source'!B686</x:f>
        <x:v>73.43</x:v>
      </x:c>
      <x:c r="H878" s="11" t="n">
        <x:f>'Option source'!B667</x:f>
        <x:v>45.1</x:v>
      </x:c>
      <x:c r="I878" s="11"/>
      <x:c r="J878" s="11" t="n">
        <x:f>G878-2*H878+IF(B878="Butterfly",I878,0)</x:f>
        <x:v>-16.769999999999996</x:v>
      </x:c>
      <x:c r="K878" s="11" t="n">
        <x:f>ABS(E878-D878)</x:f>
        <x:v>200</x:v>
      </x:c>
      <x:c r="L878" s="11" t="n">
        <x:f>K878-J878</x:f>
        <x:v>216.76999999999998</x:v>
      </x:c>
      <x:c r="M878" s="11" t="n">
        <x:f>IF(B878="Butterfly",MAX(J878,0),IF(C878="call","Unlimited",MAX(2*E878-D878+J878,J878,0)))</x:f>
        <x:v>5783.23</x:v>
      </x:c>
      <x:c r="N878" s="11" t="n">
        <x:f>IF(B878="Butterfly",IF(AND(J878&gt;0,J878&lt;K878),D878+J878,"n.a."),IF(C878="call",IF(AND(J878&gt;0,J878&lt;K878),D878+J878,"n.a."),IF(AND(K878&gt;J878,2*E878-D878+J878&gt;=0),2*E878-D878+J878,"n.a.")))</x:f>
        <x:v>5783.23</x:v>
      </x:c>
      <x:c r="O878" s="11" t="str">
        <x:f>IF(B878="Butterfly",IF(AND(J878&gt;0,J878&lt;K878),F878-J878,"n.a."),IF(C878="call",IF(K878&gt;J878,2*E878-D878-J878,"n.a."),IF(AND(J878&gt;0,J878&lt;K878),D878-J878,"n.a.")))</x:f>
        <x:v>n.a.</x:v>
      </x:c>
      <x:c r="P878" s="19" t="str">
        <x:f>IF(AND(B878="Butterfly",J878&gt;0,J878&lt;K878),L878/J878,"n.a.")</x:f>
        <x:v>n.a.</x:v>
      </x:c>
      <x:c r="Q878" s="11" t="n">
        <x:f>J878*'Model inputs'!$B$8</x:f>
        <x:v>-1676.9999999999995</x:v>
      </x:c>
      <x:c r="R878" s="1" t="str">
        <x:v>Indicative only</x:v>
      </x:c>
      <x:c r="S878" s="1" t="n">
        <x:v>681</x:v>
      </x:c>
      <x:c r="T878" s="1" t="n">
        <x:v>662</x:v>
      </x:c>
    </x:row>
    <x:row r="879" ht="21" customHeight="1">
      <x:c r="A879" s="12" t="n">
        <x:v>46268</x:v>
      </x:c>
      <x:c r="B879" s="1" t="str">
        <x:v>1x2 ratio</x:v>
      </x:c>
      <x:c r="C879" s="1" t="str">
        <x:v>call</x:v>
      </x:c>
      <x:c r="D879" s="11" t="n">
        <x:v>8000</x:v>
      </x:c>
      <x:c r="E879" s="11" t="n">
        <x:v>8300</x:v>
      </x:c>
      <x:c r="F879" s="11"/>
      <x:c r="G879" s="11" t="n">
        <x:f>'Option source'!B363</x:f>
        <x:v>167.84</x:v>
      </x:c>
      <x:c r="H879" s="11" t="n">
        <x:f>'Option source'!B382</x:f>
        <x:v>112.69</x:v>
      </x:c>
      <x:c r="I879" s="11"/>
      <x:c r="J879" s="11" t="n">
        <x:f>G879-2*H879+IF(B879="Butterfly",I879,0)</x:f>
        <x:v>-57.53999999999999</x:v>
      </x:c>
      <x:c r="K879" s="11" t="n">
        <x:f>ABS(E879-D879)</x:f>
        <x:v>300</x:v>
      </x:c>
      <x:c r="L879" s="11" t="n">
        <x:f>K879-J879</x:f>
        <x:v>357.53999999999996</x:v>
      </x:c>
      <x:c r="M879" s="11" t="str">
        <x:f>IF(B879="Butterfly",MAX(J879,0),IF(C879="call","Unlimited",MAX(2*E879-D879+J879,J879,0)))</x:f>
        <x:v>Unlimited</x:v>
      </x:c>
      <x:c r="N879" s="11" t="str">
        <x:f>IF(B879="Butterfly",IF(AND(J879&gt;0,J879&lt;K879),D879+J879,"n.a."),IF(C879="call",IF(AND(J879&gt;0,J879&lt;K879),D879+J879,"n.a."),IF(AND(K879&gt;J879,2*E879-D879+J879&gt;=0),2*E879-D879+J879,"n.a.")))</x:f>
        <x:v>n.a.</x:v>
      </x:c>
      <x:c r="O879" s="11" t="n">
        <x:f>IF(B879="Butterfly",IF(AND(J879&gt;0,J879&lt;K879),F879-J879,"n.a."),IF(C879="call",IF(K879&gt;J879,2*E879-D879-J879,"n.a."),IF(AND(J879&gt;0,J879&lt;K879),D879-J879,"n.a.")))</x:f>
        <x:v>8657.54</x:v>
      </x:c>
      <x:c r="P879" s="19" t="str">
        <x:f>IF(AND(B879="Butterfly",J879&gt;0,J879&lt;K879),L879/J879,"n.a.")</x:f>
        <x:v>n.a.</x:v>
      </x:c>
      <x:c r="Q879" s="11" t="n">
        <x:f>J879*'Model inputs'!$B$8</x:f>
        <x:v>-5753.999999999999</x:v>
      </x:c>
      <x:c r="R879" s="1" t="str">
        <x:v>Indicative only</x:v>
      </x:c>
      <x:c r="S879" s="1" t="n">
        <x:v>358</x:v>
      </x:c>
      <x:c r="T879" s="1" t="n">
        <x:v>377</x:v>
      </x:c>
    </x:row>
    <x:row r="880" ht="21" customHeight="1">
      <x:c r="A880" s="12" t="n">
        <x:v>46268</x:v>
      </x:c>
      <x:c r="B880" s="1" t="str">
        <x:v>1x2 ratio</x:v>
      </x:c>
      <x:c r="C880" s="1" t="str">
        <x:v>put</x:v>
      </x:c>
      <x:c r="D880" s="11" t="n">
        <x:v>6000</x:v>
      </x:c>
      <x:c r="E880" s="11" t="n">
        <x:v>5800</x:v>
      </x:c>
      <x:c r="F880" s="11"/>
      <x:c r="G880" s="11" t="n">
        <x:f>'Option source'!B667</x:f>
        <x:v>45.1</x:v>
      </x:c>
      <x:c r="H880" s="11" t="n">
        <x:f>'Option source'!B648</x:f>
        <x:v>26.51</x:v>
      </x:c>
      <x:c r="I880" s="11"/>
      <x:c r="J880" s="11" t="n">
        <x:f>G880-2*H880+IF(B880="Butterfly",I880,0)</x:f>
        <x:v>-7.920000000000002</x:v>
      </x:c>
      <x:c r="K880" s="11" t="n">
        <x:f>ABS(E880-D880)</x:f>
        <x:v>200</x:v>
      </x:c>
      <x:c r="L880" s="11" t="n">
        <x:f>K880-J880</x:f>
        <x:v>207.92000000000002</x:v>
      </x:c>
      <x:c r="M880" s="11" t="n">
        <x:f>IF(B880="Butterfly",MAX(J880,0),IF(C880="call","Unlimited",MAX(2*E880-D880+J880,J880,0)))</x:f>
        <x:v>5592.08</x:v>
      </x:c>
      <x:c r="N880" s="11" t="n">
        <x:f>IF(B880="Butterfly",IF(AND(J880&gt;0,J880&lt;K880),D880+J880,"n.a."),IF(C880="call",IF(AND(J880&gt;0,J880&lt;K880),D880+J880,"n.a."),IF(AND(K880&gt;J880,2*E880-D880+J880&gt;=0),2*E880-D880+J880,"n.a.")))</x:f>
        <x:v>5592.08</x:v>
      </x:c>
      <x:c r="O880" s="11" t="str">
        <x:f>IF(B880="Butterfly",IF(AND(J880&gt;0,J880&lt;K880),F880-J880,"n.a."),IF(C880="call",IF(K880&gt;J880,2*E880-D880-J880,"n.a."),IF(AND(J880&gt;0,J880&lt;K880),D880-J880,"n.a.")))</x:f>
        <x:v>n.a.</x:v>
      </x:c>
      <x:c r="P880" s="19" t="str">
        <x:f>IF(AND(B880="Butterfly",J880&gt;0,J880&lt;K880),L880/J880,"n.a.")</x:f>
        <x:v>n.a.</x:v>
      </x:c>
      <x:c r="Q880" s="11" t="n">
        <x:f>J880*'Model inputs'!$B$8</x:f>
        <x:v>-792.0000000000002</x:v>
      </x:c>
      <x:c r="R880" s="1" t="str">
        <x:v>Indicative only</x:v>
      </x:c>
      <x:c r="S880" s="1" t="n">
        <x:v>662</x:v>
      </x:c>
      <x:c r="T880" s="1" t="n">
        <x:v>643</x:v>
      </x:c>
    </x:row>
    <x:row r="881" ht="21" customHeight="1">
      <x:c r="A881" s="12" t="n">
        <x:v>46268</x:v>
      </x:c>
      <x:c r="B881" s="1" t="str">
        <x:v>1x2 ratio</x:v>
      </x:c>
      <x:c r="C881" s="1" t="str">
        <x:v>put</x:v>
      </x:c>
      <x:c r="D881" s="11" t="n">
        <x:v>5800</x:v>
      </x:c>
      <x:c r="E881" s="11" t="n">
        <x:v>5600</x:v>
      </x:c>
      <x:c r="F881" s="11"/>
      <x:c r="G881" s="11" t="n">
        <x:f>'Option source'!B648</x:f>
        <x:v>26.51</x:v>
      </x:c>
      <x:c r="H881" s="11" t="n">
        <x:f>'Option source'!B629</x:f>
        <x:v>15.36</x:v>
      </x:c>
      <x:c r="I881" s="11"/>
      <x:c r="J881" s="11" t="n">
        <x:f>G881-2*H881+IF(B881="Butterfly",I881,0)</x:f>
        <x:v>-4.209999999999997</x:v>
      </x:c>
      <x:c r="K881" s="11" t="n">
        <x:f>ABS(E881-D881)</x:f>
        <x:v>200</x:v>
      </x:c>
      <x:c r="L881" s="11" t="n">
        <x:f>K881-J881</x:f>
        <x:v>204.21</x:v>
      </x:c>
      <x:c r="M881" s="11" t="n">
        <x:f>IF(B881="Butterfly",MAX(J881,0),IF(C881="call","Unlimited",MAX(2*E881-D881+J881,J881,0)))</x:f>
        <x:v>5395.79</x:v>
      </x:c>
      <x:c r="N881" s="11" t="n">
        <x:f>IF(B881="Butterfly",IF(AND(J881&gt;0,J881&lt;K881),D881+J881,"n.a."),IF(C881="call",IF(AND(J881&gt;0,J881&lt;K881),D881+J881,"n.a."),IF(AND(K881&gt;J881,2*E881-D881+J881&gt;=0),2*E881-D881+J881,"n.a.")))</x:f>
        <x:v>5395.79</x:v>
      </x:c>
      <x:c r="O881" s="11" t="str">
        <x:f>IF(B881="Butterfly",IF(AND(J881&gt;0,J881&lt;K881),F881-J881,"n.a."),IF(C881="call",IF(K881&gt;J881,2*E881-D881-J881,"n.a."),IF(AND(J881&gt;0,J881&lt;K881),D881-J881,"n.a.")))</x:f>
        <x:v>n.a.</x:v>
      </x:c>
      <x:c r="P881" s="19" t="str">
        <x:f>IF(AND(B881="Butterfly",J881&gt;0,J881&lt;K881),L881/J881,"n.a.")</x:f>
        <x:v>n.a.</x:v>
      </x:c>
      <x:c r="Q881" s="11" t="n">
        <x:f>J881*'Model inputs'!$B$8</x:f>
        <x:v>-420.9999999999997</x:v>
      </x:c>
      <x:c r="R881" s="1" t="str">
        <x:v>Indicative only</x:v>
      </x:c>
      <x:c r="S881" s="1" t="n">
        <x:v>643</x:v>
      </x:c>
      <x:c r="T881" s="1" t="n">
        <x:v>624</x:v>
      </x:c>
    </x:row>
    <x:row r="882" ht="21" customHeight="1">
      <x:c r="A882" s="12" t="n">
        <x:v>46268</x:v>
      </x:c>
      <x:c r="B882" s="1" t="str">
        <x:v>1x2 ratio</x:v>
      </x:c>
      <x:c r="C882" s="1" t="str">
        <x:v>call</x:v>
      </x:c>
      <x:c r="D882" s="11" t="n">
        <x:v>8300</x:v>
      </x:c>
      <x:c r="E882" s="11" t="n">
        <x:v>8600</x:v>
      </x:c>
      <x:c r="F882" s="11"/>
      <x:c r="G882" s="11" t="n">
        <x:f>'Option source'!B382</x:f>
        <x:v>112.69</x:v>
      </x:c>
      <x:c r="H882" s="11" t="n">
        <x:f>'Option source'!B401</x:f>
        <x:v>70.6</x:v>
      </x:c>
      <x:c r="I882" s="11"/>
      <x:c r="J882" s="11" t="n">
        <x:f>G882-2*H882+IF(B882="Butterfly",I882,0)</x:f>
        <x:v>-28.50999999999999</x:v>
      </x:c>
      <x:c r="K882" s="11" t="n">
        <x:f>ABS(E882-D882)</x:f>
        <x:v>300</x:v>
      </x:c>
      <x:c r="L882" s="11" t="n">
        <x:f>K882-J882</x:f>
        <x:v>328.51</x:v>
      </x:c>
      <x:c r="M882" s="11" t="str">
        <x:f>IF(B882="Butterfly",MAX(J882,0),IF(C882="call","Unlimited",MAX(2*E882-D882+J882,J882,0)))</x:f>
        <x:v>Unlimited</x:v>
      </x:c>
      <x:c r="N882" s="11" t="str">
        <x:f>IF(B882="Butterfly",IF(AND(J882&gt;0,J882&lt;K882),D882+J882,"n.a."),IF(C882="call",IF(AND(J882&gt;0,J882&lt;K882),D882+J882,"n.a."),IF(AND(K882&gt;J882,2*E882-D882+J882&gt;=0),2*E882-D882+J882,"n.a.")))</x:f>
        <x:v>n.a.</x:v>
      </x:c>
      <x:c r="O882" s="11" t="n">
        <x:f>IF(B882="Butterfly",IF(AND(J882&gt;0,J882&lt;K882),F882-J882,"n.a."),IF(C882="call",IF(K882&gt;J882,2*E882-D882-J882,"n.a."),IF(AND(J882&gt;0,J882&lt;K882),D882-J882,"n.a.")))</x:f>
        <x:v>8928.51</x:v>
      </x:c>
      <x:c r="P882" s="19" t="str">
        <x:f>IF(AND(B882="Butterfly",J882&gt;0,J882&lt;K882),L882/J882,"n.a.")</x:f>
        <x:v>n.a.</x:v>
      </x:c>
      <x:c r="Q882" s="11" t="n">
        <x:f>J882*'Model inputs'!$B$8</x:f>
        <x:v>-2850.999999999999</x:v>
      </x:c>
      <x:c r="R882" s="1" t="str">
        <x:v>Indicative only</x:v>
      </x:c>
      <x:c r="S882" s="1" t="n">
        <x:v>377</x:v>
      </x:c>
      <x:c r="T882" s="1" t="n">
        <x:v>396</x:v>
      </x:c>
    </x:row>
    <x:row r="883" ht="21" customHeight="1">
      <x:c r="A883" s="12" t="n">
        <x:v>46268</x:v>
      </x:c>
      <x:c r="B883" s="1" t="str">
        <x:v>1x2 ratio</x:v>
      </x:c>
      <x:c r="C883" s="1" t="str">
        <x:v>put</x:v>
      </x:c>
      <x:c r="D883" s="11" t="n">
        <x:v>5600</x:v>
      </x:c>
      <x:c r="E883" s="11" t="n">
        <x:v>5400</x:v>
      </x:c>
      <x:c r="F883" s="11"/>
      <x:c r="G883" s="11" t="n">
        <x:f>'Option source'!B629</x:f>
        <x:v>15.36</x:v>
      </x:c>
      <x:c r="H883" s="11" t="n">
        <x:f>'Option source'!B610</x:f>
        <x:v>8.78</x:v>
      </x:c>
      <x:c r="I883" s="11"/>
      <x:c r="J883" s="11" t="n">
        <x:f>G883-2*H883+IF(B883="Butterfly",I883,0)</x:f>
        <x:v>-2.1999999999999993</x:v>
      </x:c>
      <x:c r="K883" s="11" t="n">
        <x:f>ABS(E883-D883)</x:f>
        <x:v>200</x:v>
      </x:c>
      <x:c r="L883" s="11" t="n">
        <x:f>K883-J883</x:f>
        <x:v>202.2</x:v>
      </x:c>
      <x:c r="M883" s="11" t="n">
        <x:f>IF(B883="Butterfly",MAX(J883,0),IF(C883="call","Unlimited",MAX(2*E883-D883+J883,J883,0)))</x:f>
        <x:v>5197.8</x:v>
      </x:c>
      <x:c r="N883" s="11" t="n">
        <x:f>IF(B883="Butterfly",IF(AND(J883&gt;0,J883&lt;K883),D883+J883,"n.a."),IF(C883="call",IF(AND(J883&gt;0,J883&lt;K883),D883+J883,"n.a."),IF(AND(K883&gt;J883,2*E883-D883+J883&gt;=0),2*E883-D883+J883,"n.a.")))</x:f>
        <x:v>5197.8</x:v>
      </x:c>
      <x:c r="O883" s="11" t="str">
        <x:f>IF(B883="Butterfly",IF(AND(J883&gt;0,J883&lt;K883),F883-J883,"n.a."),IF(C883="call",IF(K883&gt;J883,2*E883-D883-J883,"n.a."),IF(AND(J883&gt;0,J883&lt;K883),D883-J883,"n.a.")))</x:f>
        <x:v>n.a.</x:v>
      </x:c>
      <x:c r="P883" s="19" t="str">
        <x:f>IF(AND(B883="Butterfly",J883&gt;0,J883&lt;K883),L883/J883,"n.a.")</x:f>
        <x:v>n.a.</x:v>
      </x:c>
      <x:c r="Q883" s="11" t="n">
        <x:f>J883*'Model inputs'!$B$8</x:f>
        <x:v>-219.99999999999994</x:v>
      </x:c>
      <x:c r="R883" s="1" t="str">
        <x:v>Indicative only</x:v>
      </x:c>
      <x:c r="S883" s="1" t="n">
        <x:v>624</x:v>
      </x:c>
      <x:c r="T883" s="1" t="n">
        <x:v>605</x:v>
      </x:c>
    </x:row>
    <x:row r="884" ht="21" customHeight="1">
      <x:c r="A884" s="12" t="n">
        <x:v>46268</x:v>
      </x:c>
      <x:c r="B884" s="1" t="str">
        <x:v>1x2 ratio</x:v>
      </x:c>
      <x:c r="C884" s="1" t="str">
        <x:v>call</x:v>
      </x:c>
      <x:c r="D884" s="11" t="n">
        <x:v>8600</x:v>
      </x:c>
      <x:c r="E884" s="11" t="n">
        <x:v>8900</x:v>
      </x:c>
      <x:c r="F884" s="11"/>
      <x:c r="G884" s="11" t="n">
        <x:f>'Option source'!B401</x:f>
        <x:v>70.6</x:v>
      </x:c>
      <x:c r="H884" s="11" t="n">
        <x:f>'Option source'!B420</x:f>
        <x:v>41.9</x:v>
      </x:c>
      <x:c r="I884" s="11"/>
      <x:c r="J884" s="11" t="n">
        <x:f>G884-2*H884+IF(B884="Butterfly",I884,0)</x:f>
        <x:v>-13.200000000000003</x:v>
      </x:c>
      <x:c r="K884" s="11" t="n">
        <x:f>ABS(E884-D884)</x:f>
        <x:v>300</x:v>
      </x:c>
      <x:c r="L884" s="11" t="n">
        <x:f>K884-J884</x:f>
        <x:v>313.2</x:v>
      </x:c>
      <x:c r="M884" s="11" t="str">
        <x:f>IF(B884="Butterfly",MAX(J884,0),IF(C884="call","Unlimited",MAX(2*E884-D884+J884,J884,0)))</x:f>
        <x:v>Unlimited</x:v>
      </x:c>
      <x:c r="N884" s="11" t="str">
        <x:f>IF(B884="Butterfly",IF(AND(J884&gt;0,J884&lt;K884),D884+J884,"n.a."),IF(C884="call",IF(AND(J884&gt;0,J884&lt;K884),D884+J884,"n.a."),IF(AND(K884&gt;J884,2*E884-D884+J884&gt;=0),2*E884-D884+J884,"n.a.")))</x:f>
        <x:v>n.a.</x:v>
      </x:c>
      <x:c r="O884" s="11" t="n">
        <x:f>IF(B884="Butterfly",IF(AND(J884&gt;0,J884&lt;K884),F884-J884,"n.a."),IF(C884="call",IF(K884&gt;J884,2*E884-D884-J884,"n.a."),IF(AND(J884&gt;0,J884&lt;K884),D884-J884,"n.a.")))</x:f>
        <x:v>9213.2</x:v>
      </x:c>
      <x:c r="P884" s="19" t="str">
        <x:f>IF(AND(B884="Butterfly",J884&gt;0,J884&lt;K884),L884/J884,"n.a.")</x:f>
        <x:v>n.a.</x:v>
      </x:c>
      <x:c r="Q884" s="11" t="n">
        <x:f>J884*'Model inputs'!$B$8</x:f>
        <x:v>-1320.0000000000002</x:v>
      </x:c>
      <x:c r="R884" s="1" t="str">
        <x:v>Indicative only</x:v>
      </x:c>
      <x:c r="S884" s="1" t="n">
        <x:v>396</x:v>
      </x:c>
      <x:c r="T884" s="1" t="n">
        <x:v>415</x:v>
      </x:c>
    </x:row>
    <x:row r="885" ht="21" customHeight="1">
      <x:c r="A885" s="12" t="n">
        <x:v>46268</x:v>
      </x:c>
      <x:c r="B885" s="1" t="str">
        <x:v>1x2 ratio</x:v>
      </x:c>
      <x:c r="C885" s="1" t="str">
        <x:v>put</x:v>
      </x:c>
      <x:c r="D885" s="11" t="n">
        <x:v>5400</x:v>
      </x:c>
      <x:c r="E885" s="11" t="n">
        <x:v>5200</x:v>
      </x:c>
      <x:c r="F885" s="11"/>
      <x:c r="G885" s="11" t="n">
        <x:f>'Option source'!B610</x:f>
        <x:v>8.78</x:v>
      </x:c>
      <x:c r="H885" s="11" t="n">
        <x:f>'Option source'!B591</x:f>
        <x:v>4.98</x:v>
      </x:c>
      <x:c r="I885" s="11"/>
      <x:c r="J885" s="11" t="n">
        <x:f>G885-2*H885+IF(B885="Butterfly",I885,0)</x:f>
        <x:v>-1.1800000000000015</x:v>
      </x:c>
      <x:c r="K885" s="11" t="n">
        <x:f>ABS(E885-D885)</x:f>
        <x:v>200</x:v>
      </x:c>
      <x:c r="L885" s="11" t="n">
        <x:f>K885-J885</x:f>
        <x:v>201.18</x:v>
      </x:c>
      <x:c r="M885" s="11" t="n">
        <x:f>IF(B885="Butterfly",MAX(J885,0),IF(C885="call","Unlimited",MAX(2*E885-D885+J885,J885,0)))</x:f>
        <x:v>4998.82</x:v>
      </x:c>
      <x:c r="N885" s="11" t="n">
        <x:f>IF(B885="Butterfly",IF(AND(J885&gt;0,J885&lt;K885),D885+J885,"n.a."),IF(C885="call",IF(AND(J885&gt;0,J885&lt;K885),D885+J885,"n.a."),IF(AND(K885&gt;J885,2*E885-D885+J885&gt;=0),2*E885-D885+J885,"n.a.")))</x:f>
        <x:v>4998.82</x:v>
      </x:c>
      <x:c r="O885" s="11" t="str">
        <x:f>IF(B885="Butterfly",IF(AND(J885&gt;0,J885&lt;K885),F885-J885,"n.a."),IF(C885="call",IF(K885&gt;J885,2*E885-D885-J885,"n.a."),IF(AND(J885&gt;0,J885&lt;K885),D885-J885,"n.a.")))</x:f>
        <x:v>n.a.</x:v>
      </x:c>
      <x:c r="P885" s="19" t="str">
        <x:f>IF(AND(B885="Butterfly",J885&gt;0,J885&lt;K885),L885/J885,"n.a.")</x:f>
        <x:v>n.a.</x:v>
      </x:c>
      <x:c r="Q885" s="11" t="n">
        <x:f>J885*'Model inputs'!$B$8</x:f>
        <x:v>-118.00000000000014</x:v>
      </x:c>
      <x:c r="R885" s="1" t="str">
        <x:v>Indicative only</x:v>
      </x:c>
      <x:c r="S885" s="1" t="n">
        <x:v>605</x:v>
      </x:c>
      <x:c r="T885" s="1" t="n">
        <x:v>586</x:v>
      </x:c>
    </x:row>
    <x:row r="886" ht="21" customHeight="1">
      <x:c r="A886" s="12" t="n">
        <x:v>46268</x:v>
      </x:c>
      <x:c r="B886" s="1" t="str">
        <x:v>1x2 ratio</x:v>
      </x:c>
      <x:c r="C886" s="1" t="str">
        <x:v>put</x:v>
      </x:c>
      <x:c r="D886" s="11" t="n">
        <x:v>5200</x:v>
      </x:c>
      <x:c r="E886" s="11" t="n">
        <x:v>5000</x:v>
      </x:c>
      <x:c r="F886" s="11"/>
      <x:c r="G886" s="11" t="n">
        <x:f>'Option source'!B591</x:f>
        <x:v>4.98</x:v>
      </x:c>
      <x:c r="H886" s="11" t="n">
        <x:f>'Option source'!B572</x:f>
        <x:v>2.37</x:v>
      </x:c>
      <x:c r="I886" s="11"/>
      <x:c r="J886" s="11" t="n">
        <x:f>G886-2*H886+IF(B886="Butterfly",I886,0)</x:f>
        <x:v>0.2400000000000002</x:v>
      </x:c>
      <x:c r="K886" s="11" t="n">
        <x:f>ABS(E886-D886)</x:f>
        <x:v>200</x:v>
      </x:c>
      <x:c r="L886" s="11" t="n">
        <x:f>K886-J886</x:f>
        <x:v>199.76</x:v>
      </x:c>
      <x:c r="M886" s="11" t="n">
        <x:f>IF(B886="Butterfly",MAX(J886,0),IF(C886="call","Unlimited",MAX(2*E886-D886+J886,J886,0)))</x:f>
        <x:v>4800.24</x:v>
      </x:c>
      <x:c r="N886" s="11" t="n">
        <x:f>IF(B886="Butterfly",IF(AND(J886&gt;0,J886&lt;K886),D886+J886,"n.a."),IF(C886="call",IF(AND(J886&gt;0,J886&lt;K886),D886+J886,"n.a."),IF(AND(K886&gt;J886,2*E886-D886+J886&gt;=0),2*E886-D886+J886,"n.a.")))</x:f>
        <x:v>4800.24</x:v>
      </x:c>
      <x:c r="O886" s="11" t="n">
        <x:f>IF(B886="Butterfly",IF(AND(J886&gt;0,J886&lt;K886),F886-J886,"n.a."),IF(C886="call",IF(K886&gt;J886,2*E886-D886-J886,"n.a."),IF(AND(J886&gt;0,J886&lt;K886),D886-J886,"n.a.")))</x:f>
        <x:v>5199.76</x:v>
      </x:c>
      <x:c r="P886" s="19" t="str">
        <x:f>IF(AND(B886="Butterfly",J886&gt;0,J886&lt;K886),L886/J886,"n.a.")</x:f>
        <x:v>n.a.</x:v>
      </x:c>
      <x:c r="Q886" s="11" t="n">
        <x:f>J886*'Model inputs'!$B$8</x:f>
        <x:v>24.00000000000002</x:v>
      </x:c>
      <x:c r="R886" s="1" t="str">
        <x:v>Indicative only</x:v>
      </x:c>
      <x:c r="S886" s="1" t="n">
        <x:v>586</x:v>
      </x:c>
      <x:c r="T886" s="1" t="n">
        <x:v>567</x:v>
      </x:c>
    </x:row>
    <x:row r="887" ht="21" customHeight="1">
      <x:c r="A887" s="12" t="n">
        <x:v>46268</x:v>
      </x:c>
      <x:c r="B887" s="1" t="str">
        <x:v>1x2 ratio</x:v>
      </x:c>
      <x:c r="C887" s="1" t="str">
        <x:v>call</x:v>
      </x:c>
      <x:c r="D887" s="11" t="n">
        <x:v>8900</x:v>
      </x:c>
      <x:c r="E887" s="11" t="n">
        <x:v>9200</x:v>
      </x:c>
      <x:c r="F887" s="11"/>
      <x:c r="G887" s="11" t="n">
        <x:f>'Option source'!B420</x:f>
        <x:v>41.9</x:v>
      </x:c>
      <x:c r="H887" s="11" t="n">
        <x:f>'Option source'!B439</x:f>
        <x:v>26.71</x:v>
      </x:c>
      <x:c r="I887" s="11"/>
      <x:c r="J887" s="11" t="n">
        <x:f>G887-2*H887+IF(B887="Butterfly",I887,0)</x:f>
        <x:v>-11.520000000000003</x:v>
      </x:c>
      <x:c r="K887" s="11" t="n">
        <x:f>ABS(E887-D887)</x:f>
        <x:v>300</x:v>
      </x:c>
      <x:c r="L887" s="11" t="n">
        <x:f>K887-J887</x:f>
        <x:v>311.52</x:v>
      </x:c>
      <x:c r="M887" s="11" t="str">
        <x:f>IF(B887="Butterfly",MAX(J887,0),IF(C887="call","Unlimited",MAX(2*E887-D887+J887,J887,0)))</x:f>
        <x:v>Unlimited</x:v>
      </x:c>
      <x:c r="N887" s="11" t="str">
        <x:f>IF(B887="Butterfly",IF(AND(J887&gt;0,J887&lt;K887),D887+J887,"n.a."),IF(C887="call",IF(AND(J887&gt;0,J887&lt;K887),D887+J887,"n.a."),IF(AND(K887&gt;J887,2*E887-D887+J887&gt;=0),2*E887-D887+J887,"n.a.")))</x:f>
        <x:v>n.a.</x:v>
      </x:c>
      <x:c r="O887" s="11" t="n">
        <x:f>IF(B887="Butterfly",IF(AND(J887&gt;0,J887&lt;K887),F887-J887,"n.a."),IF(C887="call",IF(K887&gt;J887,2*E887-D887-J887,"n.a."),IF(AND(J887&gt;0,J887&lt;K887),D887-J887,"n.a.")))</x:f>
        <x:v>9511.52</x:v>
      </x:c>
      <x:c r="P887" s="19" t="str">
        <x:f>IF(AND(B887="Butterfly",J887&gt;0,J887&lt;K887),L887/J887,"n.a.")</x:f>
        <x:v>n.a.</x:v>
      </x:c>
      <x:c r="Q887" s="11" t="n">
        <x:f>J887*'Model inputs'!$B$8</x:f>
        <x:v>-1152.0000000000002</x:v>
      </x:c>
      <x:c r="R887" s="1" t="str">
        <x:v>Indicative only</x:v>
      </x:c>
      <x:c r="S887" s="1" t="n">
        <x:v>415</x:v>
      </x:c>
      <x:c r="T887" s="1" t="n">
        <x:v>434</x:v>
      </x:c>
    </x:row>
    <x:row r="888" ht="21" customHeight="1">
      <x:c r="A888" s="12" t="n">
        <x:v>46268</x:v>
      </x:c>
      <x:c r="B888" s="1" t="str">
        <x:v>1x2 ratio</x:v>
      </x:c>
      <x:c r="C888" s="1" t="str">
        <x:v>put</x:v>
      </x:c>
      <x:c r="D888" s="11" t="n">
        <x:v>5000</x:v>
      </x:c>
      <x:c r="E888" s="11" t="n">
        <x:v>4800</x:v>
      </x:c>
      <x:c r="F888" s="11"/>
      <x:c r="G888" s="11" t="n">
        <x:f>'Option source'!B572</x:f>
        <x:v>2.37</x:v>
      </x:c>
      <x:c r="H888" s="11" t="n">
        <x:f>'Option source'!B553</x:f>
        <x:v>2.2</x:v>
      </x:c>
      <x:c r="I888" s="11"/>
      <x:c r="J888" s="11" t="n">
        <x:f>G888-2*H888+IF(B888="Butterfly",I888,0)</x:f>
        <x:v>-2.0300000000000002</x:v>
      </x:c>
      <x:c r="K888" s="11" t="n">
        <x:f>ABS(E888-D888)</x:f>
        <x:v>200</x:v>
      </x:c>
      <x:c r="L888" s="11" t="n">
        <x:f>K888-J888</x:f>
        <x:v>202.03</x:v>
      </x:c>
      <x:c r="M888" s="11" t="n">
        <x:f>IF(B888="Butterfly",MAX(J888,0),IF(C888="call","Unlimited",MAX(2*E888-D888+J888,J888,0)))</x:f>
        <x:v>4597.97</x:v>
      </x:c>
      <x:c r="N888" s="11" t="n">
        <x:f>IF(B888="Butterfly",IF(AND(J888&gt;0,J888&lt;K888),D888+J888,"n.a."),IF(C888="call",IF(AND(J888&gt;0,J888&lt;K888),D888+J888,"n.a."),IF(AND(K888&gt;J888,2*E888-D888+J888&gt;=0),2*E888-D888+J888,"n.a.")))</x:f>
        <x:v>4597.97</x:v>
      </x:c>
      <x:c r="O888" s="11" t="str">
        <x:f>IF(B888="Butterfly",IF(AND(J888&gt;0,J888&lt;K888),F888-J888,"n.a."),IF(C888="call",IF(K888&gt;J888,2*E888-D888-J888,"n.a."),IF(AND(J888&gt;0,J888&lt;K888),D888-J888,"n.a.")))</x:f>
        <x:v>n.a.</x:v>
      </x:c>
      <x:c r="P888" s="19" t="str">
        <x:f>IF(AND(B888="Butterfly",J888&gt;0,J888&lt;K888),L888/J888,"n.a.")</x:f>
        <x:v>n.a.</x:v>
      </x:c>
      <x:c r="Q888" s="11" t="n">
        <x:f>J888*'Model inputs'!$B$8</x:f>
        <x:v>-203.00000000000003</x:v>
      </x:c>
      <x:c r="R888" s="1" t="str">
        <x:v>Indicative only</x:v>
      </x:c>
      <x:c r="S888" s="1" t="n">
        <x:v>567</x:v>
      </x:c>
      <x:c r="T888" s="1" t="n">
        <x:v>548</x:v>
      </x:c>
    </x:row>
    <x:row r="889" ht="21" customHeight="1">
      <x:c r="A889" s="12" t="n">
        <x:v>46268</x:v>
      </x:c>
      <x:c r="B889" s="1" t="str">
        <x:v>1x2 ratio</x:v>
      </x:c>
      <x:c r="C889" s="1" t="str">
        <x:v>call</x:v>
      </x:c>
      <x:c r="D889" s="11" t="n">
        <x:v>9200</x:v>
      </x:c>
      <x:c r="E889" s="11" t="n">
        <x:v>9500</x:v>
      </x:c>
      <x:c r="F889" s="11"/>
      <x:c r="G889" s="11" t="n">
        <x:f>'Option source'!B439</x:f>
        <x:v>26.71</x:v>
      </x:c>
      <x:c r="H889" s="11" t="n">
        <x:f>'Option source'!B458</x:f>
        <x:v>16.43</x:v>
      </x:c>
      <x:c r="I889" s="11"/>
      <x:c r="J889" s="11" t="n">
        <x:f>G889-2*H889+IF(B889="Butterfly",I889,0)</x:f>
        <x:v>-6.149999999999999</x:v>
      </x:c>
      <x:c r="K889" s="11" t="n">
        <x:f>ABS(E889-D889)</x:f>
        <x:v>300</x:v>
      </x:c>
      <x:c r="L889" s="11" t="n">
        <x:f>K889-J889</x:f>
        <x:v>306.15</x:v>
      </x:c>
      <x:c r="M889" s="11" t="str">
        <x:f>IF(B889="Butterfly",MAX(J889,0),IF(C889="call","Unlimited",MAX(2*E889-D889+J889,J889,0)))</x:f>
        <x:v>Unlimited</x:v>
      </x:c>
      <x:c r="N889" s="11" t="str">
        <x:f>IF(B889="Butterfly",IF(AND(J889&gt;0,J889&lt;K889),D889+J889,"n.a."),IF(C889="call",IF(AND(J889&gt;0,J889&lt;K889),D889+J889,"n.a."),IF(AND(K889&gt;J889,2*E889-D889+J889&gt;=0),2*E889-D889+J889,"n.a.")))</x:f>
        <x:v>n.a.</x:v>
      </x:c>
      <x:c r="O889" s="11" t="n">
        <x:f>IF(B889="Butterfly",IF(AND(J889&gt;0,J889&lt;K889),F889-J889,"n.a."),IF(C889="call",IF(K889&gt;J889,2*E889-D889-J889,"n.a."),IF(AND(J889&gt;0,J889&lt;K889),D889-J889,"n.a.")))</x:f>
        <x:v>9806.15</x:v>
      </x:c>
      <x:c r="P889" s="19" t="str">
        <x:f>IF(AND(B889="Butterfly",J889&gt;0,J889&lt;K889),L889/J889,"n.a.")</x:f>
        <x:v>n.a.</x:v>
      </x:c>
      <x:c r="Q889" s="11" t="n">
        <x:f>J889*'Model inputs'!$B$8</x:f>
        <x:v>-614.9999999999999</x:v>
      </x:c>
      <x:c r="R889" s="1" t="str">
        <x:v>Indicative only</x:v>
      </x:c>
      <x:c r="S889" s="1" t="n">
        <x:v>434</x:v>
      </x:c>
      <x:c r="T889" s="1" t="n">
        <x:v>453</x:v>
      </x:c>
    </x:row>
    <x:row r="890" ht="21" customHeight="1">
      <x:c r="A890" s="12" t="n">
        <x:v>46268</x:v>
      </x:c>
      <x:c r="B890" s="1" t="str">
        <x:v>1x2 ratio</x:v>
      </x:c>
      <x:c r="C890" s="1" t="str">
        <x:v>put</x:v>
      </x:c>
      <x:c r="D890" s="11" t="n">
        <x:v>4800</x:v>
      </x:c>
      <x:c r="E890" s="11" t="n">
        <x:v>4600</x:v>
      </x:c>
      <x:c r="F890" s="11"/>
      <x:c r="G890" s="11" t="n">
        <x:f>'Option source'!B553</x:f>
        <x:v>2.2</x:v>
      </x:c>
      <x:c r="H890" s="11" t="n">
        <x:f>'Option source'!B534</x:f>
        <x:v>1.48</x:v>
      </x:c>
      <x:c r="I890" s="11"/>
      <x:c r="J890" s="11" t="n">
        <x:f>G890-2*H890+IF(B890="Butterfly",I890,0)</x:f>
        <x:v>-0.7599999999999998</x:v>
      </x:c>
      <x:c r="K890" s="11" t="n">
        <x:f>ABS(E890-D890)</x:f>
        <x:v>200</x:v>
      </x:c>
      <x:c r="L890" s="11" t="n">
        <x:f>K890-J890</x:f>
        <x:v>200.76</x:v>
      </x:c>
      <x:c r="M890" s="11" t="n">
        <x:f>IF(B890="Butterfly",MAX(J890,0),IF(C890="call","Unlimited",MAX(2*E890-D890+J890,J890,0)))</x:f>
        <x:v>4399.24</x:v>
      </x:c>
      <x:c r="N890" s="11" t="n">
        <x:f>IF(B890="Butterfly",IF(AND(J890&gt;0,J890&lt;K890),D890+J890,"n.a."),IF(C890="call",IF(AND(J890&gt;0,J890&lt;K890),D890+J890,"n.a."),IF(AND(K890&gt;J890,2*E890-D890+J890&gt;=0),2*E890-D890+J890,"n.a.")))</x:f>
        <x:v>4399.24</x:v>
      </x:c>
      <x:c r="O890" s="11" t="str">
        <x:f>IF(B890="Butterfly",IF(AND(J890&gt;0,J890&lt;K890),F890-J890,"n.a."),IF(C890="call",IF(K890&gt;J890,2*E890-D890-J890,"n.a."),IF(AND(J890&gt;0,J890&lt;K890),D890-J890,"n.a.")))</x:f>
        <x:v>n.a.</x:v>
      </x:c>
      <x:c r="P890" s="19" t="str">
        <x:f>IF(AND(B890="Butterfly",J890&gt;0,J890&lt;K890),L890/J890,"n.a.")</x:f>
        <x:v>n.a.</x:v>
      </x:c>
      <x:c r="Q890" s="11" t="n">
        <x:f>J890*'Model inputs'!$B$8</x:f>
        <x:v>-75.99999999999997</x:v>
      </x:c>
      <x:c r="R890" s="1" t="str">
        <x:v>Indicative only</x:v>
      </x:c>
      <x:c r="S890" s="1" t="n">
        <x:v>548</x:v>
      </x:c>
      <x:c r="T890" s="1" t="n">
        <x:v>529</x:v>
      </x:c>
    </x:row>
    <x:row r="891" ht="21" customHeight="1">
      <x:c r="A891" s="12" t="n">
        <x:v>46268</x:v>
      </x:c>
      <x:c r="B891" s="1" t="str">
        <x:v>1x2 ratio</x:v>
      </x:c>
      <x:c r="C891" s="1" t="str">
        <x:v>put</x:v>
      </x:c>
      <x:c r="D891" s="11" t="n">
        <x:v>4600</x:v>
      </x:c>
      <x:c r="E891" s="11" t="n">
        <x:v>4400</x:v>
      </x:c>
      <x:c r="F891" s="11"/>
      <x:c r="G891" s="11" t="n">
        <x:f>'Option source'!B534</x:f>
        <x:v>1.48</x:v>
      </x:c>
      <x:c r="H891" s="11" t="n">
        <x:f>'Option source'!B515</x:f>
        <x:v>1.55</x:v>
      </x:c>
      <x:c r="I891" s="11"/>
      <x:c r="J891" s="11" t="n">
        <x:f>G891-2*H891+IF(B891="Butterfly",I891,0)</x:f>
        <x:v>-1.62</x:v>
      </x:c>
      <x:c r="K891" s="11" t="n">
        <x:f>ABS(E891-D891)</x:f>
        <x:v>200</x:v>
      </x:c>
      <x:c r="L891" s="11" t="n">
        <x:f>K891-J891</x:f>
        <x:v>201.62</x:v>
      </x:c>
      <x:c r="M891" s="11" t="n">
        <x:f>IF(B891="Butterfly",MAX(J891,0),IF(C891="call","Unlimited",MAX(2*E891-D891+J891,J891,0)))</x:f>
        <x:v>4198.38</x:v>
      </x:c>
      <x:c r="N891" s="11" t="n">
        <x:f>IF(B891="Butterfly",IF(AND(J891&gt;0,J891&lt;K891),D891+J891,"n.a."),IF(C891="call",IF(AND(J891&gt;0,J891&lt;K891),D891+J891,"n.a."),IF(AND(K891&gt;J891,2*E891-D891+J891&gt;=0),2*E891-D891+J891,"n.a.")))</x:f>
        <x:v>4198.38</x:v>
      </x:c>
      <x:c r="O891" s="11" t="str">
        <x:f>IF(B891="Butterfly",IF(AND(J891&gt;0,J891&lt;K891),F891-J891,"n.a."),IF(C891="call",IF(K891&gt;J891,2*E891-D891-J891,"n.a."),IF(AND(J891&gt;0,J891&lt;K891),D891-J891,"n.a.")))</x:f>
        <x:v>n.a.</x:v>
      </x:c>
      <x:c r="P891" s="19" t="str">
        <x:f>IF(AND(B891="Butterfly",J891&gt;0,J891&lt;K891),L891/J891,"n.a.")</x:f>
        <x:v>n.a.</x:v>
      </x:c>
      <x:c r="Q891" s="11" t="n">
        <x:f>J891*'Model inputs'!$B$8</x:f>
        <x:v>-162</x:v>
      </x:c>
      <x:c r="R891" s="1" t="str">
        <x:v>Indicative only</x:v>
      </x:c>
      <x:c r="S891" s="1" t="n">
        <x:v>529</x:v>
      </x:c>
      <x:c r="T891" s="1" t="n">
        <x:v>510</x:v>
      </x:c>
    </x:row>
    <x:row r="892" ht="21" customHeight="1">
      <x:c r="A892" s="12" t="n">
        <x:v>46268</x:v>
      </x:c>
      <x:c r="B892" s="1" t="str">
        <x:v>1x2 ratio</x:v>
      </x:c>
      <x:c r="C892" s="1" t="str">
        <x:v>call</x:v>
      </x:c>
      <x:c r="D892" s="11" t="n">
        <x:v>9500</x:v>
      </x:c>
      <x:c r="E892" s="11" t="n">
        <x:v>9900</x:v>
      </x:c>
      <x:c r="F892" s="11"/>
      <x:c r="G892" s="11" t="n">
        <x:f>'Option source'!B458</x:f>
        <x:v>16.43</x:v>
      </x:c>
      <x:c r="H892" s="11" t="n">
        <x:f>'Option source'!B477</x:f>
        <x:v>10.11</x:v>
      </x:c>
      <x:c r="I892" s="11"/>
      <x:c r="J892" s="11" t="n">
        <x:f>G892-2*H892+IF(B892="Butterfly",I892,0)</x:f>
        <x:v>-3.789999999999999</x:v>
      </x:c>
      <x:c r="K892" s="11" t="n">
        <x:f>ABS(E892-D892)</x:f>
        <x:v>400</x:v>
      </x:c>
      <x:c r="L892" s="11" t="n">
        <x:f>K892-J892</x:f>
        <x:v>403.79</x:v>
      </x:c>
      <x:c r="M892" s="11" t="str">
        <x:f>IF(B892="Butterfly",MAX(J892,0),IF(C892="call","Unlimited",MAX(2*E892-D892+J892,J892,0)))</x:f>
        <x:v>Unlimited</x:v>
      </x:c>
      <x:c r="N892" s="11" t="str">
        <x:f>IF(B892="Butterfly",IF(AND(J892&gt;0,J892&lt;K892),D892+J892,"n.a."),IF(C892="call",IF(AND(J892&gt;0,J892&lt;K892),D892+J892,"n.a."),IF(AND(K892&gt;J892,2*E892-D892+J892&gt;=0),2*E892-D892+J892,"n.a.")))</x:f>
        <x:v>n.a.</x:v>
      </x:c>
      <x:c r="O892" s="11" t="n">
        <x:f>IF(B892="Butterfly",IF(AND(J892&gt;0,J892&lt;K892),F892-J892,"n.a."),IF(C892="call",IF(K892&gt;J892,2*E892-D892-J892,"n.a."),IF(AND(J892&gt;0,J892&lt;K892),D892-J892,"n.a.")))</x:f>
        <x:v>10303.79</x:v>
      </x:c>
      <x:c r="P892" s="19" t="str">
        <x:f>IF(AND(B892="Butterfly",J892&gt;0,J892&lt;K892),L892/J892,"n.a.")</x:f>
        <x:v>n.a.</x:v>
      </x:c>
      <x:c r="Q892" s="11" t="n">
        <x:f>J892*'Model inputs'!$B$8</x:f>
        <x:v>-378.9999999999999</x:v>
      </x:c>
      <x:c r="R892" s="1" t="str">
        <x:v>Indicative only</x:v>
      </x:c>
      <x:c r="S892" s="1" t="n">
        <x:v>453</x:v>
      </x:c>
      <x:c r="T892" s="1" t="n">
        <x:v>472</x:v>
      </x:c>
    </x:row>
    <x:row r="893" ht="21" customHeight="1">
      <x:c r="A893" s="12" t="n">
        <x:v>46268</x:v>
      </x:c>
      <x:c r="B893" s="1" t="str">
        <x:v>1x2 ratio</x:v>
      </x:c>
      <x:c r="C893" s="1" t="str">
        <x:v>put</x:v>
      </x:c>
      <x:c r="D893" s="11" t="n">
        <x:v>4400</x:v>
      </x:c>
      <x:c r="E893" s="11" t="n">
        <x:v>4200</x:v>
      </x:c>
      <x:c r="F893" s="11"/>
      <x:c r="G893" s="11" t="n">
        <x:f>'Option source'!B515</x:f>
        <x:v>1.55</x:v>
      </x:c>
      <x:c r="H893" s="11" t="n">
        <x:f>'Option source'!B496</x:f>
        <x:v>1.05</x:v>
      </x:c>
      <x:c r="I893" s="11"/>
      <x:c r="J893" s="11" t="n">
        <x:f>G893-2*H893+IF(B893="Butterfly",I893,0)</x:f>
        <x:v>-0.55</x:v>
      </x:c>
      <x:c r="K893" s="11" t="n">
        <x:f>ABS(E893-D893)</x:f>
        <x:v>200</x:v>
      </x:c>
      <x:c r="L893" s="11" t="n">
        <x:f>K893-J893</x:f>
        <x:v>200.55</x:v>
      </x:c>
      <x:c r="M893" s="11" t="n">
        <x:f>IF(B893="Butterfly",MAX(J893,0),IF(C893="call","Unlimited",MAX(2*E893-D893+J893,J893,0)))</x:f>
        <x:v>3999.45</x:v>
      </x:c>
      <x:c r="N893" s="11" t="n">
        <x:f>IF(B893="Butterfly",IF(AND(J893&gt;0,J893&lt;K893),D893+J893,"n.a."),IF(C893="call",IF(AND(J893&gt;0,J893&lt;K893),D893+J893,"n.a."),IF(AND(K893&gt;J893,2*E893-D893+J893&gt;=0),2*E893-D893+J893,"n.a.")))</x:f>
        <x:v>3999.45</x:v>
      </x:c>
      <x:c r="O893" s="11" t="str">
        <x:f>IF(B893="Butterfly",IF(AND(J893&gt;0,J893&lt;K893),F893-J893,"n.a."),IF(C893="call",IF(K893&gt;J893,2*E893-D893-J893,"n.a."),IF(AND(J893&gt;0,J893&lt;K893),D893-J893,"n.a.")))</x:f>
        <x:v>n.a.</x:v>
      </x:c>
      <x:c r="P893" s="19" t="str">
        <x:f>IF(AND(B893="Butterfly",J893&gt;0,J893&lt;K893),L893/J893,"n.a.")</x:f>
        <x:v>n.a.</x:v>
      </x:c>
      <x:c r="Q893" s="11" t="n">
        <x:f>J893*'Model inputs'!$B$8</x:f>
        <x:v>-55.00000000000001</x:v>
      </x:c>
      <x:c r="R893" s="1" t="str">
        <x:v>Indicative only</x:v>
      </x:c>
      <x:c r="S893" s="1" t="n">
        <x:v>510</x:v>
      </x:c>
      <x:c r="T893" s="1" t="n">
        <x:v>491</x:v>
      </x:c>
    </x:row>
    <x:row r="894" ht="21" customHeight="1">
      <x:c r="A894" s="12" t="n">
        <x:v>46268</x:v>
      </x:c>
      <x:c r="B894" s="1" t="str">
        <x:v>1x2 ratio</x:v>
      </x:c>
      <x:c r="C894" s="1" t="str">
        <x:v>call</x:v>
      </x:c>
      <x:c r="D894" s="11" t="n">
        <x:v>6400</x:v>
      </x:c>
      <x:c r="E894" s="11" t="n">
        <x:v>6600</x:v>
      </x:c>
      <x:c r="F894" s="11"/>
      <x:c r="G894" s="11" t="n">
        <x:f>'Option source'!B211</x:f>
        <x:v>935</x:v>
      </x:c>
      <x:c r="H894" s="11" t="n">
        <x:f>'Option source'!B230</x:f>
        <x:v>800.04</x:v>
      </x:c>
      <x:c r="I894" s="11"/>
      <x:c r="J894" s="11" t="n">
        <x:f>G894-2*H894+IF(B894="Butterfly",I894,0)</x:f>
        <x:v>-665.0799999999999</x:v>
      </x:c>
      <x:c r="K894" s="11" t="n">
        <x:f>ABS(E894-D894)</x:f>
        <x:v>200</x:v>
      </x:c>
      <x:c r="L894" s="11" t="n">
        <x:f>K894-J894</x:f>
        <x:v>865.0799999999999</x:v>
      </x:c>
      <x:c r="M894" s="11" t="str">
        <x:f>IF(B894="Butterfly",MAX(J894,0),IF(C894="call","Unlimited",MAX(2*E894-D894+J894,J894,0)))</x:f>
        <x:v>Unlimited</x:v>
      </x:c>
      <x:c r="N894" s="11" t="str">
        <x:f>IF(B894="Butterfly",IF(AND(J894&gt;0,J894&lt;K894),D894+J894,"n.a."),IF(C894="call",IF(AND(J894&gt;0,J894&lt;K894),D894+J894,"n.a."),IF(AND(K894&gt;J894,2*E894-D894+J894&gt;=0),2*E894-D894+J894,"n.a.")))</x:f>
        <x:v>n.a.</x:v>
      </x:c>
      <x:c r="O894" s="11" t="n">
        <x:f>IF(B894="Butterfly",IF(AND(J894&gt;0,J894&lt;K894),F894-J894,"n.a."),IF(C894="call",IF(K894&gt;J894,2*E894-D894-J894,"n.a."),IF(AND(J894&gt;0,J894&lt;K894),D894-J894,"n.a.")))</x:f>
        <x:v>7465.08</x:v>
      </x:c>
      <x:c r="P894" s="19" t="str">
        <x:f>IF(AND(B894="Butterfly",J894&gt;0,J894&lt;K894),L894/J894,"n.a.")</x:f>
        <x:v>n.a.</x:v>
      </x:c>
      <x:c r="Q894" s="11" t="n">
        <x:f>J894*'Model inputs'!$B$8</x:f>
        <x:v>-66508</x:v>
      </x:c>
      <x:c r="R894" s="1" t="str">
        <x:v>Flagged leg data</x:v>
      </x:c>
      <x:c r="S894" s="1" t="n">
        <x:v>206</x:v>
      </x:c>
      <x:c r="T894" s="1" t="n">
        <x:v>225</x:v>
      </x:c>
    </x:row>
    <x:row r="895" ht="21" customHeight="1">
      <x:c r="A895" s="12" t="n">
        <x:v>46268</x:v>
      </x:c>
      <x:c r="B895" s="1" t="str">
        <x:v>1x2 ratio</x:v>
      </x:c>
      <x:c r="C895" s="1" t="str">
        <x:v>put</x:v>
      </x:c>
      <x:c r="D895" s="11" t="n">
        <x:v>7800</x:v>
      </x:c>
      <x:c r="E895" s="11" t="n">
        <x:v>7600</x:v>
      </x:c>
      <x:c r="F895" s="11"/>
      <x:c r="G895" s="11" t="n">
        <x:f>'Option source'!B838</x:f>
        <x:v>898.99</x:v>
      </x:c>
      <x:c r="H895" s="11" t="n">
        <x:f>'Option source'!B819</x:f>
        <x:v>650</x:v>
      </x:c>
      <x:c r="I895" s="11"/>
      <x:c r="J895" s="11" t="n">
        <x:f>G895-2*H895+IF(B895="Butterfly",I895,0)</x:f>
        <x:v>-401.01</x:v>
      </x:c>
      <x:c r="K895" s="11" t="n">
        <x:f>ABS(E895-D895)</x:f>
        <x:v>200</x:v>
      </x:c>
      <x:c r="L895" s="11" t="n">
        <x:f>K895-J895</x:f>
        <x:v>601.01</x:v>
      </x:c>
      <x:c r="M895" s="11" t="n">
        <x:f>IF(B895="Butterfly",MAX(J895,0),IF(C895="call","Unlimited",MAX(2*E895-D895+J895,J895,0)))</x:f>
        <x:v>6998.99</x:v>
      </x:c>
      <x:c r="N895" s="11" t="n">
        <x:f>IF(B895="Butterfly",IF(AND(J895&gt;0,J895&lt;K895),D895+J895,"n.a."),IF(C895="call",IF(AND(J895&gt;0,J895&lt;K895),D895+J895,"n.a."),IF(AND(K895&gt;J895,2*E895-D895+J895&gt;=0),2*E895-D895+J895,"n.a.")))</x:f>
        <x:v>6998.99</x:v>
      </x:c>
      <x:c r="O895" s="11" t="str">
        <x:f>IF(B895="Butterfly",IF(AND(J895&gt;0,J895&lt;K895),F895-J895,"n.a."),IF(C895="call",IF(K895&gt;J895,2*E895-D895-J895,"n.a."),IF(AND(J895&gt;0,J895&lt;K895),D895-J895,"n.a.")))</x:f>
        <x:v>n.a.</x:v>
      </x:c>
      <x:c r="P895" s="19" t="str">
        <x:f>IF(AND(B895="Butterfly",J895&gt;0,J895&lt;K895),L895/J895,"n.a.")</x:f>
        <x:v>n.a.</x:v>
      </x:c>
      <x:c r="Q895" s="11" t="n">
        <x:f>J895*'Model inputs'!$B$8</x:f>
        <x:v>-40101</x:v>
      </x:c>
      <x:c r="R895" s="1" t="str">
        <x:v>Flagged leg data</x:v>
      </x:c>
      <x:c r="S895" s="1" t="n">
        <x:v>833</x:v>
      </x:c>
      <x:c r="T895" s="1" t="n">
        <x:v>814</x:v>
      </x:c>
    </x:row>
    <x:row r="896" ht="21" customHeight="1">
      <x:c r="A896" s="12" t="n">
        <x:v>46268</x:v>
      </x:c>
      <x:c r="B896" s="1" t="str">
        <x:v>1x2 ratio</x:v>
      </x:c>
      <x:c r="C896" s="1" t="str">
        <x:v>call</x:v>
      </x:c>
      <x:c r="D896" s="11" t="n">
        <x:v>6200</x:v>
      </x:c>
      <x:c r="E896" s="11" t="n">
        <x:v>6400</x:v>
      </x:c>
      <x:c r="F896" s="11"/>
      <x:c r="G896" s="11" t="n">
        <x:f>'Option source'!B192</x:f>
        <x:v>1100</x:v>
      </x:c>
      <x:c r="H896" s="11" t="n">
        <x:f>'Option source'!B211</x:f>
        <x:v>935</x:v>
      </x:c>
      <x:c r="I896" s="11"/>
      <x:c r="J896" s="11" t="n">
        <x:f>G896-2*H896+IF(B896="Butterfly",I896,0)</x:f>
        <x:v>-770</x:v>
      </x:c>
      <x:c r="K896" s="11" t="n">
        <x:f>ABS(E896-D896)</x:f>
        <x:v>200</x:v>
      </x:c>
      <x:c r="L896" s="11" t="n">
        <x:f>K896-J896</x:f>
        <x:v>970</x:v>
      </x:c>
      <x:c r="M896" s="11" t="str">
        <x:f>IF(B896="Butterfly",MAX(J896,0),IF(C896="call","Unlimited",MAX(2*E896-D896+J896,J896,0)))</x:f>
        <x:v>Unlimited</x:v>
      </x:c>
      <x:c r="N896" s="11" t="str">
        <x:f>IF(B896="Butterfly",IF(AND(J896&gt;0,J896&lt;K896),D896+J896,"n.a."),IF(C896="call",IF(AND(J896&gt;0,J896&lt;K896),D896+J896,"n.a."),IF(AND(K896&gt;J896,2*E896-D896+J896&gt;=0),2*E896-D896+J896,"n.a.")))</x:f>
        <x:v>n.a.</x:v>
      </x:c>
      <x:c r="O896" s="11" t="n">
        <x:f>IF(B896="Butterfly",IF(AND(J896&gt;0,J896&lt;K896),F896-J896,"n.a."),IF(C896="call",IF(K896&gt;J896,2*E896-D896-J896,"n.a."),IF(AND(J896&gt;0,J896&lt;K896),D896-J896,"n.a.")))</x:f>
        <x:v>7370</x:v>
      </x:c>
      <x:c r="P896" s="19" t="str">
        <x:f>IF(AND(B896="Butterfly",J896&gt;0,J896&lt;K896),L896/J896,"n.a.")</x:f>
        <x:v>n.a.</x:v>
      </x:c>
      <x:c r="Q896" s="11" t="n">
        <x:f>J896*'Model inputs'!$B$8</x:f>
        <x:v>-77000</x:v>
      </x:c>
      <x:c r="R896" s="1" t="str">
        <x:v>Flagged leg data</x:v>
      </x:c>
      <x:c r="S896" s="1" t="n">
        <x:v>187</x:v>
      </x:c>
      <x:c r="T896" s="1" t="n">
        <x:v>206</x:v>
      </x:c>
    </x:row>
    <x:row r="897" ht="21" customHeight="1">
      <x:c r="A897" s="12" t="n">
        <x:v>46268</x:v>
      </x:c>
      <x:c r="B897" s="1" t="str">
        <x:v>1x2 ratio</x:v>
      </x:c>
      <x:c r="C897" s="1" t="str">
        <x:v>put</x:v>
      </x:c>
      <x:c r="D897" s="11" t="n">
        <x:v>8000</x:v>
      </x:c>
      <x:c r="E897" s="11" t="n">
        <x:v>7800</x:v>
      </x:c>
      <x:c r="F897" s="11"/>
      <x:c r="G897" s="11" t="n">
        <x:f>'Option source'!B857</x:f>
        <x:v>1000</x:v>
      </x:c>
      <x:c r="H897" s="11" t="n">
        <x:f>'Option source'!B838</x:f>
        <x:v>898.99</x:v>
      </x:c>
      <x:c r="I897" s="11"/>
      <x:c r="J897" s="11" t="n">
        <x:f>G897-2*H897+IF(B897="Butterfly",I897,0)</x:f>
        <x:v>-797.98</x:v>
      </x:c>
      <x:c r="K897" s="11" t="n">
        <x:f>ABS(E897-D897)</x:f>
        <x:v>200</x:v>
      </x:c>
      <x:c r="L897" s="11" t="n">
        <x:f>K897-J897</x:f>
        <x:v>997.98</x:v>
      </x:c>
      <x:c r="M897" s="11" t="n">
        <x:f>IF(B897="Butterfly",MAX(J897,0),IF(C897="call","Unlimited",MAX(2*E897-D897+J897,J897,0)))</x:f>
        <x:v>6802.02</x:v>
      </x:c>
      <x:c r="N897" s="11" t="n">
        <x:f>IF(B897="Butterfly",IF(AND(J897&gt;0,J897&lt;K897),D897+J897,"n.a."),IF(C897="call",IF(AND(J897&gt;0,J897&lt;K897),D897+J897,"n.a."),IF(AND(K897&gt;J897,2*E897-D897+J897&gt;=0),2*E897-D897+J897,"n.a.")))</x:f>
        <x:v>6802.02</x:v>
      </x:c>
      <x:c r="O897" s="11" t="str">
        <x:f>IF(B897="Butterfly",IF(AND(J897&gt;0,J897&lt;K897),F897-J897,"n.a."),IF(C897="call",IF(K897&gt;J897,2*E897-D897-J897,"n.a."),IF(AND(J897&gt;0,J897&lt;K897),D897-J897,"n.a.")))</x:f>
        <x:v>n.a.</x:v>
      </x:c>
      <x:c r="P897" s="19" t="str">
        <x:f>IF(AND(B897="Butterfly",J897&gt;0,J897&lt;K897),L897/J897,"n.a.")</x:f>
        <x:v>n.a.</x:v>
      </x:c>
      <x:c r="Q897" s="11" t="n">
        <x:f>J897*'Model inputs'!$B$8</x:f>
        <x:v>-79798</x:v>
      </x:c>
      <x:c r="R897" s="1" t="str">
        <x:v>Flagged leg data</x:v>
      </x:c>
      <x:c r="S897" s="1" t="n">
        <x:v>852</x:v>
      </x:c>
      <x:c r="T897" s="1" t="n">
        <x:v>833</x:v>
      </x:c>
    </x:row>
    <x:row r="898" ht="21" customHeight="1">
      <x:c r="A898" s="12" t="n">
        <x:v>46268</x:v>
      </x:c>
      <x:c r="B898" s="1" t="str">
        <x:v>1x2 ratio</x:v>
      </x:c>
      <x:c r="C898" s="1" t="str">
        <x:v>call</x:v>
      </x:c>
      <x:c r="D898" s="11" t="n">
        <x:v>6000</x:v>
      </x:c>
      <x:c r="E898" s="11" t="n">
        <x:v>6200</x:v>
      </x:c>
      <x:c r="F898" s="11"/>
      <x:c r="G898" s="11" t="n">
        <x:f>'Option source'!B173</x:f>
        <x:v>1215.59</x:v>
      </x:c>
      <x:c r="H898" s="11" t="n">
        <x:f>'Option source'!B192</x:f>
        <x:v>1100</x:v>
      </x:c>
      <x:c r="I898" s="11"/>
      <x:c r="J898" s="11" t="n">
        <x:f>G898-2*H898+IF(B898="Butterfly",I898,0)</x:f>
        <x:v>-984.4100000000001</x:v>
      </x:c>
      <x:c r="K898" s="11" t="n">
        <x:f>ABS(E898-D898)</x:f>
        <x:v>200</x:v>
      </x:c>
      <x:c r="L898" s="11" t="n">
        <x:f>K898-J898</x:f>
        <x:v>1184.41</x:v>
      </x:c>
      <x:c r="M898" s="11" t="str">
        <x:f>IF(B898="Butterfly",MAX(J898,0),IF(C898="call","Unlimited",MAX(2*E898-D898+J898,J898,0)))</x:f>
        <x:v>Unlimited</x:v>
      </x:c>
      <x:c r="N898" s="11" t="str">
        <x:f>IF(B898="Butterfly",IF(AND(J898&gt;0,J898&lt;K898),D898+J898,"n.a."),IF(C898="call",IF(AND(J898&gt;0,J898&lt;K898),D898+J898,"n.a."),IF(AND(K898&gt;J898,2*E898-D898+J898&gt;=0),2*E898-D898+J898,"n.a.")))</x:f>
        <x:v>n.a.</x:v>
      </x:c>
      <x:c r="O898" s="11" t="n">
        <x:f>IF(B898="Butterfly",IF(AND(J898&gt;0,J898&lt;K898),F898-J898,"n.a."),IF(C898="call",IF(K898&gt;J898,2*E898-D898-J898,"n.a."),IF(AND(J898&gt;0,J898&lt;K898),D898-J898,"n.a.")))</x:f>
        <x:v>7384.41</x:v>
      </x:c>
      <x:c r="P898" s="19" t="str">
        <x:f>IF(AND(B898="Butterfly",J898&gt;0,J898&lt;K898),L898/J898,"n.a.")</x:f>
        <x:v>n.a.</x:v>
      </x:c>
      <x:c r="Q898" s="11" t="n">
        <x:f>J898*'Model inputs'!$B$8</x:f>
        <x:v>-98441.00000000001</x:v>
      </x:c>
      <x:c r="R898" s="1" t="str">
        <x:v>Flagged leg data</x:v>
      </x:c>
      <x:c r="S898" s="1" t="n">
        <x:v>168</x:v>
      </x:c>
      <x:c r="T898" s="1" t="n">
        <x:v>187</x:v>
      </x:c>
    </x:row>
    <x:row r="899" ht="21" customHeight="1">
      <x:c r="A899" s="12" t="n">
        <x:v>46268</x:v>
      </x:c>
      <x:c r="B899" s="1" t="str">
        <x:v>1x2 ratio</x:v>
      </x:c>
      <x:c r="C899" s="1" t="str">
        <x:v>put</x:v>
      </x:c>
      <x:c r="D899" s="11" t="n">
        <x:v>8300</x:v>
      </x:c>
      <x:c r="E899" s="11" t="n">
        <x:v>8000</x:v>
      </x:c>
      <x:c r="F899" s="11"/>
      <x:c r="G899" s="11" t="n">
        <x:f>'Option source'!B876</x:f>
        <x:v>1270</x:v>
      </x:c>
      <x:c r="H899" s="11" t="n">
        <x:f>'Option source'!B857</x:f>
        <x:v>1000</x:v>
      </x:c>
      <x:c r="I899" s="11"/>
      <x:c r="J899" s="11" t="n">
        <x:f>G899-2*H899+IF(B899="Butterfly",I899,0)</x:f>
        <x:v>-730</x:v>
      </x:c>
      <x:c r="K899" s="11" t="n">
        <x:f>ABS(E899-D899)</x:f>
        <x:v>300</x:v>
      </x:c>
      <x:c r="L899" s="11" t="n">
        <x:f>K899-J899</x:f>
        <x:v>1030</x:v>
      </x:c>
      <x:c r="M899" s="11" t="n">
        <x:f>IF(B899="Butterfly",MAX(J899,0),IF(C899="call","Unlimited",MAX(2*E899-D899+J899,J899,0)))</x:f>
        <x:v>6970</x:v>
      </x:c>
      <x:c r="N899" s="11" t="n">
        <x:f>IF(B899="Butterfly",IF(AND(J899&gt;0,J899&lt;K899),D899+J899,"n.a."),IF(C899="call",IF(AND(J899&gt;0,J899&lt;K899),D899+J899,"n.a."),IF(AND(K899&gt;J899,2*E899-D899+J899&gt;=0),2*E899-D899+J899,"n.a.")))</x:f>
        <x:v>6970</x:v>
      </x:c>
      <x:c r="O899" s="11" t="str">
        <x:f>IF(B899="Butterfly",IF(AND(J899&gt;0,J899&lt;K899),F899-J899,"n.a."),IF(C899="call",IF(K899&gt;J899,2*E899-D899-J899,"n.a."),IF(AND(J899&gt;0,J899&lt;K899),D899-J899,"n.a.")))</x:f>
        <x:v>n.a.</x:v>
      </x:c>
      <x:c r="P899" s="19" t="str">
        <x:f>IF(AND(B899="Butterfly",J899&gt;0,J899&lt;K899),L899/J899,"n.a.")</x:f>
        <x:v>n.a.</x:v>
      </x:c>
      <x:c r="Q899" s="11" t="n">
        <x:f>J899*'Model inputs'!$B$8</x:f>
        <x:v>-73000</x:v>
      </x:c>
      <x:c r="R899" s="1" t="str">
        <x:v>Flagged leg data</x:v>
      </x:c>
      <x:c r="S899" s="1" t="n">
        <x:v>871</x:v>
      </x:c>
      <x:c r="T899" s="1" t="n">
        <x:v>852</x:v>
      </x:c>
    </x:row>
    <x:row r="900" ht="21" customHeight="1">
      <x:c r="A900" s="12" t="n">
        <x:v>46268</x:v>
      </x:c>
      <x:c r="B900" s="1" t="str">
        <x:v>1x2 ratio</x:v>
      </x:c>
      <x:c r="C900" s="1" t="str">
        <x:v>call</x:v>
      </x:c>
      <x:c r="D900" s="11" t="n">
        <x:v>5800</x:v>
      </x:c>
      <x:c r="E900" s="11" t="n">
        <x:v>6000</x:v>
      </x:c>
      <x:c r="F900" s="11"/>
      <x:c r="G900" s="11" t="n">
        <x:f>'Option source'!B154</x:f>
        <x:v>1490</x:v>
      </x:c>
      <x:c r="H900" s="11" t="n">
        <x:f>'Option source'!B173</x:f>
        <x:v>1215.59</x:v>
      </x:c>
      <x:c r="I900" s="11"/>
      <x:c r="J900" s="11" t="n">
        <x:f>G900-2*H900+IF(B900="Butterfly",I900,0)</x:f>
        <x:v>-941.1799999999998</x:v>
      </x:c>
      <x:c r="K900" s="11" t="n">
        <x:f>ABS(E900-D900)</x:f>
        <x:v>200</x:v>
      </x:c>
      <x:c r="L900" s="11" t="n">
        <x:f>K900-J900</x:f>
        <x:v>1141.1799999999998</x:v>
      </x:c>
      <x:c r="M900" s="11" t="str">
        <x:f>IF(B900="Butterfly",MAX(J900,0),IF(C900="call","Unlimited",MAX(2*E900-D900+J900,J900,0)))</x:f>
        <x:v>Unlimited</x:v>
      </x:c>
      <x:c r="N900" s="11" t="str">
        <x:f>IF(B900="Butterfly",IF(AND(J900&gt;0,J900&lt;K900),D900+J900,"n.a."),IF(C900="call",IF(AND(J900&gt;0,J900&lt;K900),D900+J900,"n.a."),IF(AND(K900&gt;J900,2*E900-D900+J900&gt;=0),2*E900-D900+J900,"n.a.")))</x:f>
        <x:v>n.a.</x:v>
      </x:c>
      <x:c r="O900" s="11" t="n">
        <x:f>IF(B900="Butterfly",IF(AND(J900&gt;0,J900&lt;K900),F900-J900,"n.a."),IF(C900="call",IF(K900&gt;J900,2*E900-D900-J900,"n.a."),IF(AND(J900&gt;0,J900&lt;K900),D900-J900,"n.a.")))</x:f>
        <x:v>7141.18</x:v>
      </x:c>
      <x:c r="P900" s="19" t="str">
        <x:f>IF(AND(B900="Butterfly",J900&gt;0,J900&lt;K900),L900/J900,"n.a.")</x:f>
        <x:v>n.a.</x:v>
      </x:c>
      <x:c r="Q900" s="11" t="n">
        <x:f>J900*'Model inputs'!$B$8</x:f>
        <x:v>-94117.99999999999</x:v>
      </x:c>
      <x:c r="R900" s="1" t="str">
        <x:v>Flagged leg data</x:v>
      </x:c>
      <x:c r="S900" s="1" t="n">
        <x:v>149</x:v>
      </x:c>
      <x:c r="T900" s="1" t="n">
        <x:v>168</x:v>
      </x:c>
    </x:row>
    <x:row r="901" ht="21" customHeight="1">
      <x:c r="A901" s="12" t="n">
        <x:v>46268</x:v>
      </x:c>
      <x:c r="B901" s="1" t="str">
        <x:v>1x2 ratio</x:v>
      </x:c>
      <x:c r="C901" s="1" t="str">
        <x:v>put</x:v>
      </x:c>
      <x:c r="D901" s="11" t="n">
        <x:v>8600</x:v>
      </x:c>
      <x:c r="E901" s="11" t="n">
        <x:v>8300</x:v>
      </x:c>
      <x:c r="F901" s="11"/>
      <x:c r="G901" s="11" t="n">
        <x:f>'Option source'!B895</x:f>
        <x:v>1555.11</x:v>
      </x:c>
      <x:c r="H901" s="11" t="n">
        <x:f>'Option source'!B876</x:f>
        <x:v>1270</x:v>
      </x:c>
      <x:c r="I901" s="11"/>
      <x:c r="J901" s="11" t="n">
        <x:f>G901-2*H901+IF(B901="Butterfly",I901,0)</x:f>
        <x:v>-984.8900000000001</x:v>
      </x:c>
      <x:c r="K901" s="11" t="n">
        <x:f>ABS(E901-D901)</x:f>
        <x:v>300</x:v>
      </x:c>
      <x:c r="L901" s="11" t="n">
        <x:f>K901-J901</x:f>
        <x:v>1284.89</x:v>
      </x:c>
      <x:c r="M901" s="11" t="n">
        <x:f>IF(B901="Butterfly",MAX(J901,0),IF(C901="call","Unlimited",MAX(2*E901-D901+J901,J901,0)))</x:f>
        <x:v>7015.11</x:v>
      </x:c>
      <x:c r="N901" s="11" t="n">
        <x:f>IF(B901="Butterfly",IF(AND(J901&gt;0,J901&lt;K901),D901+J901,"n.a."),IF(C901="call",IF(AND(J901&gt;0,J901&lt;K901),D901+J901,"n.a."),IF(AND(K901&gt;J901,2*E901-D901+J901&gt;=0),2*E901-D901+J901,"n.a.")))</x:f>
        <x:v>7015.11</x:v>
      </x:c>
      <x:c r="O901" s="11" t="str">
        <x:f>IF(B901="Butterfly",IF(AND(J901&gt;0,J901&lt;K901),F901-J901,"n.a."),IF(C901="call",IF(K901&gt;J901,2*E901-D901-J901,"n.a."),IF(AND(J901&gt;0,J901&lt;K901),D901-J901,"n.a.")))</x:f>
        <x:v>n.a.</x:v>
      </x:c>
      <x:c r="P901" s="19" t="str">
        <x:f>IF(AND(B901="Butterfly",J901&gt;0,J901&lt;K901),L901/J901,"n.a.")</x:f>
        <x:v>n.a.</x:v>
      </x:c>
      <x:c r="Q901" s="11" t="n">
        <x:f>J901*'Model inputs'!$B$8</x:f>
        <x:v>-98489.00000000001</x:v>
      </x:c>
      <x:c r="R901" s="1" t="str">
        <x:v>Flagged leg data</x:v>
      </x:c>
      <x:c r="S901" s="1" t="n">
        <x:v>890</x:v>
      </x:c>
      <x:c r="T901" s="1" t="n">
        <x:v>871</x:v>
      </x:c>
    </x:row>
    <x:row r="902" ht="21" customHeight="1">
      <x:c r="A902" s="12" t="n">
        <x:v>46268</x:v>
      </x:c>
      <x:c r="B902" s="1" t="str">
        <x:v>1x2 ratio</x:v>
      </x:c>
      <x:c r="C902" s="1" t="str">
        <x:v>call</x:v>
      </x:c>
      <x:c r="D902" s="11" t="n">
        <x:v>5600</x:v>
      </x:c>
      <x:c r="E902" s="11" t="n">
        <x:v>5800</x:v>
      </x:c>
      <x:c r="F902" s="11"/>
      <x:c r="G902" s="11" t="n">
        <x:f>'Option source'!B144</x:f>
        <x:v>1600</x:v>
      </x:c>
      <x:c r="H902" s="11" t="n">
        <x:f>'Option source'!B154</x:f>
        <x:v>1490</x:v>
      </x:c>
      <x:c r="I902" s="11"/>
      <x:c r="J902" s="11" t="n">
        <x:f>G902-2*H902+IF(B902="Butterfly",I902,0)</x:f>
        <x:v>-1380</x:v>
      </x:c>
      <x:c r="K902" s="11" t="n">
        <x:f>ABS(E902-D902)</x:f>
        <x:v>200</x:v>
      </x:c>
      <x:c r="L902" s="11" t="n">
        <x:f>K902-J902</x:f>
        <x:v>1580</x:v>
      </x:c>
      <x:c r="M902" s="11" t="str">
        <x:f>IF(B902="Butterfly",MAX(J902,0),IF(C902="call","Unlimited",MAX(2*E902-D902+J902,J902,0)))</x:f>
        <x:v>Unlimited</x:v>
      </x:c>
      <x:c r="N902" s="11" t="str">
        <x:f>IF(B902="Butterfly",IF(AND(J902&gt;0,J902&lt;K902),D902+J902,"n.a."),IF(C902="call",IF(AND(J902&gt;0,J902&lt;K902),D902+J902,"n.a."),IF(AND(K902&gt;J902,2*E902-D902+J902&gt;=0),2*E902-D902+J902,"n.a.")))</x:f>
        <x:v>n.a.</x:v>
      </x:c>
      <x:c r="O902" s="11" t="n">
        <x:f>IF(B902="Butterfly",IF(AND(J902&gt;0,J902&lt;K902),F902-J902,"n.a."),IF(C902="call",IF(K902&gt;J902,2*E902-D902-J902,"n.a."),IF(AND(J902&gt;0,J902&lt;K902),D902-J902,"n.a.")))</x:f>
        <x:v>7380</x:v>
      </x:c>
      <x:c r="P902" s="19" t="str">
        <x:f>IF(AND(B902="Butterfly",J902&gt;0,J902&lt;K902),L902/J902,"n.a.")</x:f>
        <x:v>n.a.</x:v>
      </x:c>
      <x:c r="Q902" s="11" t="n">
        <x:f>J902*'Model inputs'!$B$8</x:f>
        <x:v>-138000</x:v>
      </x:c>
      <x:c r="R902" s="1" t="str">
        <x:v>Flagged leg data</x:v>
      </x:c>
      <x:c r="S902" s="1" t="n">
        <x:v>139</x:v>
      </x:c>
      <x:c r="T902" s="1" t="n">
        <x:v>149</x:v>
      </x:c>
    </x:row>
    <x:row r="903" ht="21" customHeight="1">
      <x:c r="A903" s="12" t="n">
        <x:v>46268</x:v>
      </x:c>
      <x:c r="B903" s="1" t="str">
        <x:v>1x2 ratio</x:v>
      </x:c>
      <x:c r="C903" s="1" t="str">
        <x:v>call</x:v>
      </x:c>
      <x:c r="D903" s="11" t="n">
        <x:v>5400</x:v>
      </x:c>
      <x:c r="E903" s="11" t="n">
        <x:v>5600</x:v>
      </x:c>
      <x:c r="F903" s="11"/>
      <x:c r="G903" s="11" t="n">
        <x:f>'Option source'!B126</x:f>
        <x:v>1829.26</x:v>
      </x:c>
      <x:c r="H903" s="11" t="n">
        <x:f>'Option source'!B144</x:f>
        <x:v>1600</x:v>
      </x:c>
      <x:c r="I903" s="11"/>
      <x:c r="J903" s="11" t="n">
        <x:f>G903-2*H903+IF(B903="Butterfly",I903,0)</x:f>
        <x:v>-1370.74</x:v>
      </x:c>
      <x:c r="K903" s="11" t="n">
        <x:f>ABS(E903-D903)</x:f>
        <x:v>200</x:v>
      </x:c>
      <x:c r="L903" s="11" t="n">
        <x:f>K903-J903</x:f>
        <x:v>1570.74</x:v>
      </x:c>
      <x:c r="M903" s="11" t="str">
        <x:f>IF(B903="Butterfly",MAX(J903,0),IF(C903="call","Unlimited",MAX(2*E903-D903+J903,J903,0)))</x:f>
        <x:v>Unlimited</x:v>
      </x:c>
      <x:c r="N903" s="11" t="str">
        <x:f>IF(B903="Butterfly",IF(AND(J903&gt;0,J903&lt;K903),D903+J903,"n.a."),IF(C903="call",IF(AND(J903&gt;0,J903&lt;K903),D903+J903,"n.a."),IF(AND(K903&gt;J903,2*E903-D903+J903&gt;=0),2*E903-D903+J903,"n.a.")))</x:f>
        <x:v>n.a.</x:v>
      </x:c>
      <x:c r="O903" s="11" t="n">
        <x:f>IF(B903="Butterfly",IF(AND(J903&gt;0,J903&lt;K903),F903-J903,"n.a."),IF(C903="call",IF(K903&gt;J903,2*E903-D903-J903,"n.a."),IF(AND(J903&gt;0,J903&lt;K903),D903-J903,"n.a.")))</x:f>
        <x:v>7170.74</x:v>
      </x:c>
      <x:c r="P903" s="19" t="str">
        <x:f>IF(AND(B903="Butterfly",J903&gt;0,J903&lt;K903),L903/J903,"n.a.")</x:f>
        <x:v>n.a.</x:v>
      </x:c>
      <x:c r="Q903" s="11" t="n">
        <x:f>J903*'Model inputs'!$B$8</x:f>
        <x:v>-137074</x:v>
      </x:c>
      <x:c r="R903" s="1" t="str">
        <x:v>Flagged leg data</x:v>
      </x:c>
      <x:c r="S903" s="1" t="n">
        <x:v>121</x:v>
      </x:c>
      <x:c r="T903" s="1" t="n">
        <x:v>139</x:v>
      </x:c>
    </x:row>
    <x:row r="904" ht="21" customHeight="1">
      <x:c r="A904" s="12" t="n">
        <x:v>46268</x:v>
      </x:c>
      <x:c r="B904" s="1" t="str">
        <x:v>1x2 ratio</x:v>
      </x:c>
      <x:c r="C904" s="1" t="str">
        <x:v>put</x:v>
      </x:c>
      <x:c r="D904" s="11" t="n">
        <x:v>8900</x:v>
      </x:c>
      <x:c r="E904" s="11" t="n">
        <x:v>8600</x:v>
      </x:c>
      <x:c r="F904" s="11"/>
      <x:c r="G904" s="11" t="n">
        <x:f>'Option source'!B910</x:f>
        <x:v>2022.5</x:v>
      </x:c>
      <x:c r="H904" s="11" t="n">
        <x:f>'Option source'!B895</x:f>
        <x:v>1555.11</x:v>
      </x:c>
      <x:c r="I904" s="11"/>
      <x:c r="J904" s="11" t="n">
        <x:f>G904-2*H904+IF(B904="Butterfly",I904,0)</x:f>
        <x:v>-1087.7199999999998</x:v>
      </x:c>
      <x:c r="K904" s="11" t="n">
        <x:f>ABS(E904-D904)</x:f>
        <x:v>300</x:v>
      </x:c>
      <x:c r="L904" s="11" t="n">
        <x:f>K904-J904</x:f>
        <x:v>1387.7199999999998</x:v>
      </x:c>
      <x:c r="M904" s="11" t="n">
        <x:f>IF(B904="Butterfly",MAX(J904,0),IF(C904="call","Unlimited",MAX(2*E904-D904+J904,J904,0)))</x:f>
        <x:v>7212.280000000001</x:v>
      </x:c>
      <x:c r="N904" s="11" t="n">
        <x:f>IF(B904="Butterfly",IF(AND(J904&gt;0,J904&lt;K904),D904+J904,"n.a."),IF(C904="call",IF(AND(J904&gt;0,J904&lt;K904),D904+J904,"n.a."),IF(AND(K904&gt;J904,2*E904-D904+J904&gt;=0),2*E904-D904+J904,"n.a.")))</x:f>
        <x:v>7212.280000000001</x:v>
      </x:c>
      <x:c r="O904" s="11" t="str">
        <x:f>IF(B904="Butterfly",IF(AND(J904&gt;0,J904&lt;K904),F904-J904,"n.a."),IF(C904="call",IF(K904&gt;J904,2*E904-D904-J904,"n.a."),IF(AND(J904&gt;0,J904&lt;K904),D904-J904,"n.a.")))</x:f>
        <x:v>n.a.</x:v>
      </x:c>
      <x:c r="P904" s="19" t="str">
        <x:f>IF(AND(B904="Butterfly",J904&gt;0,J904&lt;K904),L904/J904,"n.a.")</x:f>
        <x:v>n.a.</x:v>
      </x:c>
      <x:c r="Q904" s="11" t="n">
        <x:f>J904*'Model inputs'!$B$8</x:f>
        <x:v>-108771.99999999999</x:v>
      </x:c>
      <x:c r="R904" s="1" t="str">
        <x:v>Flagged leg data</x:v>
      </x:c>
      <x:c r="S904" s="1" t="n">
        <x:v>905</x:v>
      </x:c>
      <x:c r="T904" s="1" t="n">
        <x:v>890</x:v>
      </x:c>
    </x:row>
    <x:row r="905" ht="21" customHeight="1">
      <x:c r="A905" s="12" t="n">
        <x:v>46268</x:v>
      </x:c>
      <x:c r="B905" s="1" t="str">
        <x:v>1x2 ratio</x:v>
      </x:c>
      <x:c r="C905" s="1" t="str">
        <x:v>call</x:v>
      </x:c>
      <x:c r="D905" s="11" t="n">
        <x:v>5200</x:v>
      </x:c>
      <x:c r="E905" s="11" t="n">
        <x:v>5400</x:v>
      </x:c>
      <x:c r="F905" s="11"/>
      <x:c r="G905" s="11" t="n">
        <x:f>'Option source'!B107</x:f>
        <x:v>2076.93</x:v>
      </x:c>
      <x:c r="H905" s="11" t="n">
        <x:f>'Option source'!B126</x:f>
        <x:v>1829.26</x:v>
      </x:c>
      <x:c r="I905" s="11"/>
      <x:c r="J905" s="11" t="n">
        <x:f>G905-2*H905+IF(B905="Butterfly",I905,0)</x:f>
        <x:v>-1581.5900000000001</x:v>
      </x:c>
      <x:c r="K905" s="11" t="n">
        <x:f>ABS(E905-D905)</x:f>
        <x:v>200</x:v>
      </x:c>
      <x:c r="L905" s="11" t="n">
        <x:f>K905-J905</x:f>
        <x:v>1781.5900000000001</x:v>
      </x:c>
      <x:c r="M905" s="11" t="str">
        <x:f>IF(B905="Butterfly",MAX(J905,0),IF(C905="call","Unlimited",MAX(2*E905-D905+J905,J905,0)))</x:f>
        <x:v>Unlimited</x:v>
      </x:c>
      <x:c r="N905" s="11" t="str">
        <x:f>IF(B905="Butterfly",IF(AND(J905&gt;0,J905&lt;K905),D905+J905,"n.a."),IF(C905="call",IF(AND(J905&gt;0,J905&lt;K905),D905+J905,"n.a."),IF(AND(K905&gt;J905,2*E905-D905+J905&gt;=0),2*E905-D905+J905,"n.a.")))</x:f>
        <x:v>n.a.</x:v>
      </x:c>
      <x:c r="O905" s="11" t="n">
        <x:f>IF(B905="Butterfly",IF(AND(J905&gt;0,J905&lt;K905),F905-J905,"n.a."),IF(C905="call",IF(K905&gt;J905,2*E905-D905-J905,"n.a."),IF(AND(J905&gt;0,J905&lt;K905),D905-J905,"n.a.")))</x:f>
        <x:v>7181.59</x:v>
      </x:c>
      <x:c r="P905" s="19" t="str">
        <x:f>IF(AND(B905="Butterfly",J905&gt;0,J905&lt;K905),L905/J905,"n.a.")</x:f>
        <x:v>n.a.</x:v>
      </x:c>
      <x:c r="Q905" s="11" t="n">
        <x:f>J905*'Model inputs'!$B$8</x:f>
        <x:v>-158159</x:v>
      </x:c>
      <x:c r="R905" s="1" t="str">
        <x:v>Flagged leg data</x:v>
      </x:c>
      <x:c r="S905" s="1" t="n">
        <x:v>102</x:v>
      </x:c>
      <x:c r="T905" s="1" t="n">
        <x:v>121</x:v>
      </x:c>
    </x:row>
    <x:row r="906" ht="21" customHeight="1">
      <x:c r="A906" s="12" t="n">
        <x:v>46268</x:v>
      </x:c>
      <x:c r="B906" s="1" t="str">
        <x:v>1x2 ratio</x:v>
      </x:c>
      <x:c r="C906" s="1" t="str">
        <x:v>call</x:v>
      </x:c>
      <x:c r="D906" s="11" t="n">
        <x:v>5000</x:v>
      </x:c>
      <x:c r="E906" s="11" t="n">
        <x:v>5200</x:v>
      </x:c>
      <x:c r="F906" s="11"/>
      <x:c r="G906" s="11" t="n">
        <x:f>'Option source'!B88</x:f>
        <x:v>2221.63</x:v>
      </x:c>
      <x:c r="H906" s="11" t="n">
        <x:f>'Option source'!B107</x:f>
        <x:v>2076.93</x:v>
      </x:c>
      <x:c r="I906" s="11"/>
      <x:c r="J906" s="11" t="n">
        <x:f>G906-2*H906+IF(B906="Butterfly",I906,0)</x:f>
        <x:v>-1932.2299999999996</x:v>
      </x:c>
      <x:c r="K906" s="11" t="n">
        <x:f>ABS(E906-D906)</x:f>
        <x:v>200</x:v>
      </x:c>
      <x:c r="L906" s="11" t="n">
        <x:f>K906-J906</x:f>
        <x:v>2132.2299999999996</x:v>
      </x:c>
      <x:c r="M906" s="11" t="str">
        <x:f>IF(B906="Butterfly",MAX(J906,0),IF(C906="call","Unlimited",MAX(2*E906-D906+J906,J906,0)))</x:f>
        <x:v>Unlimited</x:v>
      </x:c>
      <x:c r="N906" s="11" t="str">
        <x:f>IF(B906="Butterfly",IF(AND(J906&gt;0,J906&lt;K906),D906+J906,"n.a."),IF(C906="call",IF(AND(J906&gt;0,J906&lt;K906),D906+J906,"n.a."),IF(AND(K906&gt;J906,2*E906-D906+J906&gt;=0),2*E906-D906+J906,"n.a.")))</x:f>
        <x:v>n.a.</x:v>
      </x:c>
      <x:c r="O906" s="11" t="n">
        <x:f>IF(B906="Butterfly",IF(AND(J906&gt;0,J906&lt;K906),F906-J906,"n.a."),IF(C906="call",IF(K906&gt;J906,2*E906-D906-J906,"n.a."),IF(AND(J906&gt;0,J906&lt;K906),D906-J906,"n.a.")))</x:f>
        <x:v>7332.23</x:v>
      </x:c>
      <x:c r="P906" s="19" t="str">
        <x:f>IF(AND(B906="Butterfly",J906&gt;0,J906&lt;K906),L906/J906,"n.a.")</x:f>
        <x:v>n.a.</x:v>
      </x:c>
      <x:c r="Q906" s="11" t="n">
        <x:f>J906*'Model inputs'!$B$8</x:f>
        <x:v>-193222.99999999994</x:v>
      </x:c>
      <x:c r="R906" s="1" t="str">
        <x:v>Flagged leg data</x:v>
      </x:c>
      <x:c r="S906" s="1" t="n">
        <x:v>83</x:v>
      </x:c>
      <x:c r="T906" s="1" t="n">
        <x:v>102</x:v>
      </x:c>
    </x:row>
    <x:row r="907" ht="21" customHeight="1">
      <x:c r="A907" s="12" t="n">
        <x:v>46268</x:v>
      </x:c>
      <x:c r="B907" s="1" t="str">
        <x:v>1x2 ratio</x:v>
      </x:c>
      <x:c r="C907" s="1" t="str">
        <x:v>call</x:v>
      </x:c>
      <x:c r="D907" s="11" t="n">
        <x:v>4800</x:v>
      </x:c>
      <x:c r="E907" s="11" t="n">
        <x:v>5000</x:v>
      </x:c>
      <x:c r="F907" s="11"/>
      <x:c r="G907" s="11" t="n">
        <x:f>'Option source'!B71</x:f>
        <x:v>2375</x:v>
      </x:c>
      <x:c r="H907" s="11" t="n">
        <x:f>'Option source'!B88</x:f>
        <x:v>2221.63</x:v>
      </x:c>
      <x:c r="I907" s="11"/>
      <x:c r="J907" s="11" t="n">
        <x:f>G907-2*H907+IF(B907="Butterfly",I907,0)</x:f>
        <x:v>-2068.26</x:v>
      </x:c>
      <x:c r="K907" s="11" t="n">
        <x:f>ABS(E907-D907)</x:f>
        <x:v>200</x:v>
      </x:c>
      <x:c r="L907" s="11" t="n">
        <x:f>K907-J907</x:f>
        <x:v>2268.26</x:v>
      </x:c>
      <x:c r="M907" s="11" t="str">
        <x:f>IF(B907="Butterfly",MAX(J907,0),IF(C907="call","Unlimited",MAX(2*E907-D907+J907,J907,0)))</x:f>
        <x:v>Unlimited</x:v>
      </x:c>
      <x:c r="N907" s="11" t="str">
        <x:f>IF(B907="Butterfly",IF(AND(J907&gt;0,J907&lt;K907),D907+J907,"n.a."),IF(C907="call",IF(AND(J907&gt;0,J907&lt;K907),D907+J907,"n.a."),IF(AND(K907&gt;J907,2*E907-D907+J907&gt;=0),2*E907-D907+J907,"n.a.")))</x:f>
        <x:v>n.a.</x:v>
      </x:c>
      <x:c r="O907" s="11" t="n">
        <x:f>IF(B907="Butterfly",IF(AND(J907&gt;0,J907&lt;K907),F907-J907,"n.a."),IF(C907="call",IF(K907&gt;J907,2*E907-D907-J907,"n.a."),IF(AND(J907&gt;0,J907&lt;K907),D907-J907,"n.a.")))</x:f>
        <x:v>7268.26</x:v>
      </x:c>
      <x:c r="P907" s="19" t="str">
        <x:f>IF(AND(B907="Butterfly",J907&gt;0,J907&lt;K907),L907/J907,"n.a.")</x:f>
        <x:v>n.a.</x:v>
      </x:c>
      <x:c r="Q907" s="11" t="n">
        <x:f>J907*'Model inputs'!$B$8</x:f>
        <x:v>-206826.00000000003</x:v>
      </x:c>
      <x:c r="R907" s="1" t="str">
        <x:v>Flagged leg data</x:v>
      </x:c>
      <x:c r="S907" s="1" t="n">
        <x:v>66</x:v>
      </x:c>
      <x:c r="T907" s="1" t="n">
        <x:v>83</x:v>
      </x:c>
    </x:row>
    <x:row r="908" ht="21" customHeight="1">
      <x:c r="A908" s="12" t="n">
        <x:v>46268</x:v>
      </x:c>
      <x:c r="B908" s="1" t="str">
        <x:v>1x2 ratio</x:v>
      </x:c>
      <x:c r="C908" s="1" t="str">
        <x:v>call</x:v>
      </x:c>
      <x:c r="D908" s="11" t="n">
        <x:v>4600</x:v>
      </x:c>
      <x:c r="E908" s="11" t="n">
        <x:v>4800</x:v>
      </x:c>
      <x:c r="F908" s="11"/>
      <x:c r="G908" s="11" t="n">
        <x:f>'Option source'!B54</x:f>
        <x:v>2581.05</x:v>
      </x:c>
      <x:c r="H908" s="11" t="n">
        <x:f>'Option source'!B71</x:f>
        <x:v>2375</x:v>
      </x:c>
      <x:c r="I908" s="11"/>
      <x:c r="J908" s="11" t="n">
        <x:f>G908-2*H908+IF(B908="Butterfly",I908,0)</x:f>
        <x:v>-2168.95</x:v>
      </x:c>
      <x:c r="K908" s="11" t="n">
        <x:f>ABS(E908-D908)</x:f>
        <x:v>200</x:v>
      </x:c>
      <x:c r="L908" s="11" t="n">
        <x:f>K908-J908</x:f>
        <x:v>2368.95</x:v>
      </x:c>
      <x:c r="M908" s="11" t="str">
        <x:f>IF(B908="Butterfly",MAX(J908,0),IF(C908="call","Unlimited",MAX(2*E908-D908+J908,J908,0)))</x:f>
        <x:v>Unlimited</x:v>
      </x:c>
      <x:c r="N908" s="11" t="str">
        <x:f>IF(B908="Butterfly",IF(AND(J908&gt;0,J908&lt;K908),D908+J908,"n.a."),IF(C908="call",IF(AND(J908&gt;0,J908&lt;K908),D908+J908,"n.a."),IF(AND(K908&gt;J908,2*E908-D908+J908&gt;=0),2*E908-D908+J908,"n.a.")))</x:f>
        <x:v>n.a.</x:v>
      </x:c>
      <x:c r="O908" s="11" t="n">
        <x:f>IF(B908="Butterfly",IF(AND(J908&gt;0,J908&lt;K908),F908-J908,"n.a."),IF(C908="call",IF(K908&gt;J908,2*E908-D908-J908,"n.a."),IF(AND(J908&gt;0,J908&lt;K908),D908-J908,"n.a.")))</x:f>
        <x:v>7168.95</x:v>
      </x:c>
      <x:c r="P908" s="19" t="str">
        <x:f>IF(AND(B908="Butterfly",J908&gt;0,J908&lt;K908),L908/J908,"n.a.")</x:f>
        <x:v>n.a.</x:v>
      </x:c>
      <x:c r="Q908" s="11" t="n">
        <x:f>J908*'Model inputs'!$B$8</x:f>
        <x:v>-216894.99999999997</x:v>
      </x:c>
      <x:c r="R908" s="1" t="str">
        <x:v>Flagged leg data</x:v>
      </x:c>
      <x:c r="S908" s="1" t="n">
        <x:v>49</x:v>
      </x:c>
      <x:c r="T908" s="1" t="n">
        <x:v>66</x:v>
      </x:c>
    </x:row>
    <x:row r="909" ht="21" customHeight="1">
      <x:c r="A909" s="12" t="n">
        <x:v>46268</x:v>
      </x:c>
      <x:c r="B909" s="1" t="str">
        <x:v>1x2 ratio</x:v>
      </x:c>
      <x:c r="C909" s="1" t="str">
        <x:v>call</x:v>
      </x:c>
      <x:c r="D909" s="11" t="n">
        <x:v>4400</x:v>
      </x:c>
      <x:c r="E909" s="11" t="n">
        <x:v>4600</x:v>
      </x:c>
      <x:c r="F909" s="11"/>
      <x:c r="G909" s="11" t="n">
        <x:f>'Option source'!B35</x:f>
        <x:v>2772.89</x:v>
      </x:c>
      <x:c r="H909" s="11" t="n">
        <x:f>'Option source'!B54</x:f>
        <x:v>2581.05</x:v>
      </x:c>
      <x:c r="I909" s="11"/>
      <x:c r="J909" s="11" t="n">
        <x:f>G909-2*H909+IF(B909="Butterfly",I909,0)</x:f>
        <x:v>-2389.2100000000005</x:v>
      </x:c>
      <x:c r="K909" s="11" t="n">
        <x:f>ABS(E909-D909)</x:f>
        <x:v>200</x:v>
      </x:c>
      <x:c r="L909" s="11" t="n">
        <x:f>K909-J909</x:f>
        <x:v>2589.2100000000005</x:v>
      </x:c>
      <x:c r="M909" s="11" t="str">
        <x:f>IF(B909="Butterfly",MAX(J909,0),IF(C909="call","Unlimited",MAX(2*E909-D909+J909,J909,0)))</x:f>
        <x:v>Unlimited</x:v>
      </x:c>
      <x:c r="N909" s="11" t="str">
        <x:f>IF(B909="Butterfly",IF(AND(J909&gt;0,J909&lt;K909),D909+J909,"n.a."),IF(C909="call",IF(AND(J909&gt;0,J909&lt;K909),D909+J909,"n.a."),IF(AND(K909&gt;J909,2*E909-D909+J909&gt;=0),2*E909-D909+J909,"n.a.")))</x:f>
        <x:v>n.a.</x:v>
      </x:c>
      <x:c r="O909" s="11" t="n">
        <x:f>IF(B909="Butterfly",IF(AND(J909&gt;0,J909&lt;K909),F909-J909,"n.a."),IF(C909="call",IF(K909&gt;J909,2*E909-D909-J909,"n.a."),IF(AND(J909&gt;0,J909&lt;K909),D909-J909,"n.a.")))</x:f>
        <x:v>7189.210000000001</x:v>
      </x:c>
      <x:c r="P909" s="19" t="str">
        <x:f>IF(AND(B909="Butterfly",J909&gt;0,J909&lt;K909),L909/J909,"n.a.")</x:f>
        <x:v>n.a.</x:v>
      </x:c>
      <x:c r="Q909" s="11" t="n">
        <x:f>J909*'Model inputs'!$B$8</x:f>
        <x:v>-238921.00000000006</x:v>
      </x:c>
      <x:c r="R909" s="1" t="str">
        <x:v>Flagged leg data</x:v>
      </x:c>
      <x:c r="S909" s="1" t="n">
        <x:v>30</x:v>
      </x:c>
      <x:c r="T909" s="1" t="n">
        <x:v>49</x:v>
      </x:c>
    </x:row>
    <x:row r="910" ht="21" customHeight="1">
      <x:c r="A910" s="12" t="n">
        <x:v>46268</x:v>
      </x:c>
      <x:c r="B910" s="1" t="str">
        <x:v>1x2 ratio</x:v>
      </x:c>
      <x:c r="C910" s="1" t="str">
        <x:v>call</x:v>
      </x:c>
      <x:c r="D910" s="11" t="n">
        <x:v>4200</x:v>
      </x:c>
      <x:c r="E910" s="11" t="n">
        <x:v>4400</x:v>
      </x:c>
      <x:c r="F910" s="11"/>
      <x:c r="G910" s="11" t="n">
        <x:f>'Option source'!B16</x:f>
        <x:v>2964.84</x:v>
      </x:c>
      <x:c r="H910" s="11" t="n">
        <x:f>'Option source'!B35</x:f>
        <x:v>2772.89</x:v>
      </x:c>
      <x:c r="I910" s="11"/>
      <x:c r="J910" s="11" t="n">
        <x:f>G910-2*H910+IF(B910="Butterfly",I910,0)</x:f>
        <x:v>-2580.9399999999996</x:v>
      </x:c>
      <x:c r="K910" s="11" t="n">
        <x:f>ABS(E910-D910)</x:f>
        <x:v>200</x:v>
      </x:c>
      <x:c r="L910" s="11" t="n">
        <x:f>K910-J910</x:f>
        <x:v>2780.9399999999996</x:v>
      </x:c>
      <x:c r="M910" s="11" t="str">
        <x:f>IF(B910="Butterfly",MAX(J910,0),IF(C910="call","Unlimited",MAX(2*E910-D910+J910,J910,0)))</x:f>
        <x:v>Unlimited</x:v>
      </x:c>
      <x:c r="N910" s="11" t="str">
        <x:f>IF(B910="Butterfly",IF(AND(J910&gt;0,J910&lt;K910),D910+J910,"n.a."),IF(C910="call",IF(AND(J910&gt;0,J910&lt;K910),D910+J910,"n.a."),IF(AND(K910&gt;J910,2*E910-D910+J910&gt;=0),2*E910-D910+J910,"n.a.")))</x:f>
        <x:v>n.a.</x:v>
      </x:c>
      <x:c r="O910" s="11" t="n">
        <x:f>IF(B910="Butterfly",IF(AND(J910&gt;0,J910&lt;K910),F910-J910,"n.a."),IF(C910="call",IF(K910&gt;J910,2*E910-D910-J910,"n.a."),IF(AND(J910&gt;0,J910&lt;K910),D910-J910,"n.a.")))</x:f>
        <x:v>7180.94</x:v>
      </x:c>
      <x:c r="P910" s="19" t="str">
        <x:f>IF(AND(B910="Butterfly",J910&gt;0,J910&lt;K910),L910/J910,"n.a.")</x:f>
        <x:v>n.a.</x:v>
      </x:c>
      <x:c r="Q910" s="11" t="n">
        <x:f>J910*'Model inputs'!$B$8</x:f>
        <x:v>-258093.99999999997</x:v>
      </x:c>
      <x:c r="R910" s="1" t="str">
        <x:v>Flagged leg data</x:v>
      </x:c>
      <x:c r="S910" s="1" t="n">
        <x:v>11</x:v>
      </x:c>
      <x:c r="T910" s="1" t="n">
        <x:v>30</x:v>
      </x:c>
    </x:row>
    <x:row r="911" ht="21" customHeight="1">
      <x:c r="A911" s="12" t="n">
        <x:v>46267</x:v>
      </x:c>
      <x:c r="B911" s="1" t="str">
        <x:v>Butterfly</x:v>
      </x:c>
      <x:c r="C911" s="1" t="str">
        <x:v>call</x:v>
      </x:c>
      <x:c r="D911" s="11" t="n">
        <x:v>7000</x:v>
      </x:c>
      <x:c r="E911" s="11" t="n">
        <x:v>7200</x:v>
      </x:c>
      <x:c r="F911" s="11" t="n">
        <x:v>7400</x:v>
      </x:c>
      <x:c r="G911" s="11" t="n">
        <x:f>'Option source'!B267</x:f>
        <x:v>617.88</x:v>
      </x:c>
      <x:c r="H911" s="11" t="n">
        <x:f>'Option source'!B286</x:f>
        <x:v>507.78</x:v>
      </x:c>
      <x:c r="I911" s="11" t="n">
        <x:f>'Option source'!B305</x:f>
        <x:v>410.55</x:v>
      </x:c>
      <x:c r="J911" s="11" t="n">
        <x:f>G911-2*H911+IF(B911="Butterfly",I911,0)</x:f>
        <x:v>12.870000000000061</x:v>
      </x:c>
      <x:c r="K911" s="11" t="n">
        <x:f>ABS(E911-D911)</x:f>
        <x:v>200</x:v>
      </x:c>
      <x:c r="L911" s="11" t="n">
        <x:f>K911-J911</x:f>
        <x:v>187.12999999999994</x:v>
      </x:c>
      <x:c r="M911" s="11" t="n">
        <x:f>IF(B911="Butterfly",MAX(J911,0),IF(C911="call","Unlimited",MAX(2*E911-D911+J911,J911,0)))</x:f>
        <x:v>12.870000000000061</x:v>
      </x:c>
      <x:c r="N911" s="11" t="n">
        <x:f>IF(B911="Butterfly",IF(AND(J911&gt;0,J911&lt;K911),D911+J911,"n.a."),IF(C911="call",IF(AND(J911&gt;0,J911&lt;K911),D911+J911,"n.a."),IF(AND(K911&gt;J911,2*E911-D911+J911&gt;=0),2*E911-D911+J911,"n.a.")))</x:f>
        <x:v>7012.87</x:v>
      </x:c>
      <x:c r="O911" s="11" t="n">
        <x:f>IF(B911="Butterfly",IF(AND(J911&gt;0,J911&lt;K911),F911-J911,"n.a."),IF(C911="call",IF(K911&gt;J911,2*E911-D911-J911,"n.a."),IF(AND(J911&gt;0,J911&lt;K911),D911-J911,"n.a.")))</x:f>
        <x:v>7387.13</x:v>
      </x:c>
      <x:c r="P911" s="19" t="n">
        <x:f>IF(AND(B911="Butterfly",J911&gt;0,J911&lt;K911),L911/J911,"n.a.")</x:f>
        <x:v>14.540015540015466</x:v>
      </x:c>
      <x:c r="Q911" s="11" t="n">
        <x:f>J911*'Model inputs'!$B$8</x:f>
        <x:v>1287.0000000000061</x:v>
      </x:c>
      <x:c r="R911" s="1" t="str">
        <x:v>Indicative only</x:v>
      </x:c>
      <x:c r="S911" s="1" t="n">
        <x:v>262</x:v>
      </x:c>
      <x:c r="T911" s="1" t="n">
        <x:v>281</x:v>
      </x:c>
    </x:row>
    <x:row r="912" ht="21" customHeight="1">
      <x:c r="A912" s="12" t="n">
        <x:v>46267</x:v>
      </x:c>
      <x:c r="B912" s="1" t="str">
        <x:v>Butterfly</x:v>
      </x:c>
      <x:c r="C912" s="1" t="str">
        <x:v>put</x:v>
      </x:c>
      <x:c r="D912" s="11" t="n">
        <x:v>7000</x:v>
      </x:c>
      <x:c r="E912" s="11" t="n">
        <x:v>7200</x:v>
      </x:c>
      <x:c r="F912" s="11" t="n">
        <x:v>7400</x:v>
      </x:c>
      <x:c r="G912" s="11" t="n">
        <x:f>'Option source'!B761</x:f>
        <x:v>286.63</x:v>
      </x:c>
      <x:c r="H912" s="11" t="n">
        <x:f>'Option source'!B780</x:f>
        <x:v>369.49</x:v>
      </x:c>
      <x:c r="I912" s="11" t="n">
        <x:f>'Option source'!B799</x:f>
        <x:v>480</x:v>
      </x:c>
      <x:c r="J912" s="11" t="n">
        <x:f>G912-2*H912+IF(B912="Butterfly",I912,0)</x:f>
        <x:v>27.649999999999977</x:v>
      </x:c>
      <x:c r="K912" s="11" t="n">
        <x:f>ABS(E912-D912)</x:f>
        <x:v>200</x:v>
      </x:c>
      <x:c r="L912" s="11" t="n">
        <x:f>K912-J912</x:f>
        <x:v>172.35000000000002</x:v>
      </x:c>
      <x:c r="M912" s="11" t="n">
        <x:f>IF(B912="Butterfly",MAX(J912,0),IF(C912="call","Unlimited",MAX(2*E912-D912+J912,J912,0)))</x:f>
        <x:v>27.649999999999977</x:v>
      </x:c>
      <x:c r="N912" s="11" t="n">
        <x:f>IF(B912="Butterfly",IF(AND(J912&gt;0,J912&lt;K912),D912+J912,"n.a."),IF(C912="call",IF(AND(J912&gt;0,J912&lt;K912),D912+J912,"n.a."),IF(AND(K912&gt;J912,2*E912-D912+J912&gt;=0),2*E912-D912+J912,"n.a.")))</x:f>
        <x:v>7027.65</x:v>
      </x:c>
      <x:c r="O912" s="11" t="n">
        <x:f>IF(B912="Butterfly",IF(AND(J912&gt;0,J912&lt;K912),F912-J912,"n.a."),IF(C912="call",IF(K912&gt;J912,2*E912-D912-J912,"n.a."),IF(AND(J912&gt;0,J912&lt;K912),D912-J912,"n.a.")))</x:f>
        <x:v>7372.35</x:v>
      </x:c>
      <x:c r="P912" s="19" t="n">
        <x:f>IF(AND(B912="Butterfly",J912&gt;0,J912&lt;K912),L912/J912,"n.a.")</x:f>
        <x:v>6.233273056057872</x:v>
      </x:c>
      <x:c r="Q912" s="11" t="n">
        <x:f>J912*'Model inputs'!$B$8</x:f>
        <x:v>2764.9999999999977</x:v>
      </x:c>
      <x:c r="R912" s="1" t="str">
        <x:v>Indicative only</x:v>
      </x:c>
      <x:c r="S912" s="1" t="n">
        <x:v>756</x:v>
      </x:c>
      <x:c r="T912" s="1" t="n">
        <x:v>775</x:v>
      </x:c>
    </x:row>
    <x:row r="913" ht="21" customHeight="1">
      <x:c r="A913" s="12" t="n">
        <x:v>46267</x:v>
      </x:c>
      <x:c r="B913" s="1" t="str">
        <x:v>Butterfly</x:v>
      </x:c>
      <x:c r="C913" s="1" t="str">
        <x:v>call</x:v>
      </x:c>
      <x:c r="D913" s="11" t="n">
        <x:v>6800</x:v>
      </x:c>
      <x:c r="E913" s="11" t="n">
        <x:v>7000</x:v>
      </x:c>
      <x:c r="F913" s="11" t="n">
        <x:v>7200</x:v>
      </x:c>
      <x:c r="G913" s="11" t="n">
        <x:f>'Option source'!B248</x:f>
        <x:v>745.47</x:v>
      </x:c>
      <x:c r="H913" s="11" t="n">
        <x:f>'Option source'!B267</x:f>
        <x:v>617.88</x:v>
      </x:c>
      <x:c r="I913" s="11" t="n">
        <x:f>'Option source'!B286</x:f>
        <x:v>507.78</x:v>
      </x:c>
      <x:c r="J913" s="11" t="n">
        <x:f>G913-2*H913+IF(B913="Butterfly",I913,0)</x:f>
        <x:v>17.49000000000001</x:v>
      </x:c>
      <x:c r="K913" s="11" t="n">
        <x:f>ABS(E913-D913)</x:f>
        <x:v>200</x:v>
      </x:c>
      <x:c r="L913" s="11" t="n">
        <x:f>K913-J913</x:f>
        <x:v>182.51</x:v>
      </x:c>
      <x:c r="M913" s="11" t="n">
        <x:f>IF(B913="Butterfly",MAX(J913,0),IF(C913="call","Unlimited",MAX(2*E913-D913+J913,J913,0)))</x:f>
        <x:v>17.49000000000001</x:v>
      </x:c>
      <x:c r="N913" s="11" t="n">
        <x:f>IF(B913="Butterfly",IF(AND(J913&gt;0,J913&lt;K913),D913+J913,"n.a."),IF(C913="call",IF(AND(J913&gt;0,J913&lt;K913),D913+J913,"n.a."),IF(AND(K913&gt;J913,2*E913-D913+J913&gt;=0),2*E913-D913+J913,"n.a.")))</x:f>
        <x:v>6817.49</x:v>
      </x:c>
      <x:c r="O913" s="11" t="n">
        <x:f>IF(B913="Butterfly",IF(AND(J913&gt;0,J913&lt;K913),F913-J913,"n.a."),IF(C913="call",IF(K913&gt;J913,2*E913-D913-J913,"n.a."),IF(AND(J913&gt;0,J913&lt;K913),D913-J913,"n.a.")))</x:f>
        <x:v>7182.51</x:v>
      </x:c>
      <x:c r="P913" s="19" t="n">
        <x:f>IF(AND(B913="Butterfly",J913&gt;0,J913&lt;K913),L913/J913,"n.a.")</x:f>
        <x:v>10.43510577472841</x:v>
      </x:c>
      <x:c r="Q913" s="11" t="n">
        <x:f>J913*'Model inputs'!$B$8</x:f>
        <x:v>1749.000000000001</x:v>
      </x:c>
      <x:c r="R913" s="1" t="str">
        <x:v>Indicative only</x:v>
      </x:c>
      <x:c r="S913" s="1" t="n">
        <x:v>243</x:v>
      </x:c>
      <x:c r="T913" s="1" t="n">
        <x:v>262</x:v>
      </x:c>
    </x:row>
    <x:row r="914" ht="21" customHeight="1">
      <x:c r="A914" s="12" t="n">
        <x:v>46267</x:v>
      </x:c>
      <x:c r="B914" s="1" t="str">
        <x:v>Butterfly</x:v>
      </x:c>
      <x:c r="C914" s="1" t="str">
        <x:v>put</x:v>
      </x:c>
      <x:c r="D914" s="11" t="n">
        <x:v>6800</x:v>
      </x:c>
      <x:c r="E914" s="11" t="n">
        <x:v>7000</x:v>
      </x:c>
      <x:c r="F914" s="11" t="n">
        <x:v>7200</x:v>
      </x:c>
      <x:c r="G914" s="11" t="n">
        <x:f>'Option source'!B742</x:f>
        <x:v>210.34</x:v>
      </x:c>
      <x:c r="H914" s="11" t="n">
        <x:f>'Option source'!B761</x:f>
        <x:v>286.63</x:v>
      </x:c>
      <x:c r="I914" s="11" t="n">
        <x:f>'Option source'!B780</x:f>
        <x:v>369.49</x:v>
      </x:c>
      <x:c r="J914" s="11" t="n">
        <x:f>G914-2*H914+IF(B914="Butterfly",I914,0)</x:f>
        <x:v>6.57000000000005</x:v>
      </x:c>
      <x:c r="K914" s="11" t="n">
        <x:f>ABS(E914-D914)</x:f>
        <x:v>200</x:v>
      </x:c>
      <x:c r="L914" s="11" t="n">
        <x:f>K914-J914</x:f>
        <x:v>193.42999999999995</x:v>
      </x:c>
      <x:c r="M914" s="11" t="n">
        <x:f>IF(B914="Butterfly",MAX(J914,0),IF(C914="call","Unlimited",MAX(2*E914-D914+J914,J914,0)))</x:f>
        <x:v>6.57000000000005</x:v>
      </x:c>
      <x:c r="N914" s="11" t="n">
        <x:f>IF(B914="Butterfly",IF(AND(J914&gt;0,J914&lt;K914),D914+J914,"n.a."),IF(C914="call",IF(AND(J914&gt;0,J914&lt;K914),D914+J914,"n.a."),IF(AND(K914&gt;J914,2*E914-D914+J914&gt;=0),2*E914-D914+J914,"n.a.")))</x:f>
        <x:v>6806.57</x:v>
      </x:c>
      <x:c r="O914" s="11" t="n">
        <x:f>IF(B914="Butterfly",IF(AND(J914&gt;0,J914&lt;K914),F914-J914,"n.a."),IF(C914="call",IF(K914&gt;J914,2*E914-D914-J914,"n.a."),IF(AND(J914&gt;0,J914&lt;K914),D914-J914,"n.a.")))</x:f>
        <x:v>7193.43</x:v>
      </x:c>
      <x:c r="P914" s="19" t="n">
        <x:f>IF(AND(B914="Butterfly",J914&gt;0,J914&lt;K914),L914/J914,"n.a.")</x:f>
        <x:v>29.441400304413772</x:v>
      </x:c>
      <x:c r="Q914" s="11" t="n">
        <x:f>J914*'Model inputs'!$B$8</x:f>
        <x:v>657.000000000005</x:v>
      </x:c>
      <x:c r="R914" s="1" t="str">
        <x:v>Indicative only</x:v>
      </x:c>
      <x:c r="S914" s="1" t="n">
        <x:v>737</x:v>
      </x:c>
      <x:c r="T914" s="1" t="n">
        <x:v>756</x:v>
      </x:c>
    </x:row>
    <x:row r="915" ht="21" customHeight="1">
      <x:c r="A915" s="12" t="n">
        <x:v>46267</x:v>
      </x:c>
      <x:c r="B915" s="1" t="str">
        <x:v>Butterfly</x:v>
      </x:c>
      <x:c r="C915" s="1" t="str">
        <x:v>call</x:v>
      </x:c>
      <x:c r="D915" s="11" t="n">
        <x:v>7200</x:v>
      </x:c>
      <x:c r="E915" s="11" t="n">
        <x:v>7400</x:v>
      </x:c>
      <x:c r="F915" s="11" t="n">
        <x:v>7600</x:v>
      </x:c>
      <x:c r="G915" s="11" t="n">
        <x:f>'Option source'!B286</x:f>
        <x:v>507.78</x:v>
      </x:c>
      <x:c r="H915" s="11" t="n">
        <x:f>'Option source'!B305</x:f>
        <x:v>410.55</x:v>
      </x:c>
      <x:c r="I915" s="11" t="n">
        <x:f>'Option source'!B324</x:f>
        <x:v>324.11</x:v>
      </x:c>
      <x:c r="J915" s="11" t="n">
        <x:f>G915-2*H915+IF(B915="Butterfly",I915,0)</x:f>
        <x:v>10.789999999999964</x:v>
      </x:c>
      <x:c r="K915" s="11" t="n">
        <x:f>ABS(E915-D915)</x:f>
        <x:v>200</x:v>
      </x:c>
      <x:c r="L915" s="11" t="n">
        <x:f>K915-J915</x:f>
        <x:v>189.21000000000004</x:v>
      </x:c>
      <x:c r="M915" s="11" t="n">
        <x:f>IF(B915="Butterfly",MAX(J915,0),IF(C915="call","Unlimited",MAX(2*E915-D915+J915,J915,0)))</x:f>
        <x:v>10.789999999999964</x:v>
      </x:c>
      <x:c r="N915" s="11" t="n">
        <x:f>IF(B915="Butterfly",IF(AND(J915&gt;0,J915&lt;K915),D915+J915,"n.a."),IF(C915="call",IF(AND(J915&gt;0,J915&lt;K915),D915+J915,"n.a."),IF(AND(K915&gt;J915,2*E915-D915+J915&gt;=0),2*E915-D915+J915,"n.a.")))</x:f>
        <x:v>7210.79</x:v>
      </x:c>
      <x:c r="O915" s="11" t="n">
        <x:f>IF(B915="Butterfly",IF(AND(J915&gt;0,J915&lt;K915),F915-J915,"n.a."),IF(C915="call",IF(K915&gt;J915,2*E915-D915-J915,"n.a."),IF(AND(J915&gt;0,J915&lt;K915),D915-J915,"n.a.")))</x:f>
        <x:v>7589.21</x:v>
      </x:c>
      <x:c r="P915" s="19" t="n">
        <x:f>IF(AND(B915="Butterfly",J915&gt;0,J915&lt;K915),L915/J915,"n.a.")</x:f>
        <x:v>17.535681186283657</x:v>
      </x:c>
      <x:c r="Q915" s="11" t="n">
        <x:f>J915*'Model inputs'!$B$8</x:f>
        <x:v>1078.9999999999964</x:v>
      </x:c>
      <x:c r="R915" s="1" t="str">
        <x:v>Indicative only</x:v>
      </x:c>
      <x:c r="S915" s="1" t="n">
        <x:v>281</x:v>
      </x:c>
      <x:c r="T915" s="1" t="n">
        <x:v>300</x:v>
      </x:c>
    </x:row>
    <x:row r="916" ht="21" customHeight="1">
      <x:c r="A916" s="12" t="n">
        <x:v>46267</x:v>
      </x:c>
      <x:c r="B916" s="1" t="str">
        <x:v>Butterfly</x:v>
      </x:c>
      <x:c r="C916" s="1" t="str">
        <x:v>put</x:v>
      </x:c>
      <x:c r="D916" s="11" t="n">
        <x:v>7200</x:v>
      </x:c>
      <x:c r="E916" s="11" t="n">
        <x:v>7400</x:v>
      </x:c>
      <x:c r="F916" s="11" t="n">
        <x:v>7600</x:v>
      </x:c>
      <x:c r="G916" s="11" t="n">
        <x:f>'Option source'!B780</x:f>
        <x:v>369.49</x:v>
      </x:c>
      <x:c r="H916" s="11" t="n">
        <x:f>'Option source'!B799</x:f>
        <x:v>480</x:v>
      </x:c>
      <x:c r="I916" s="11" t="n">
        <x:f>'Option source'!B818</x:f>
        <x:v>600</x:v>
      </x:c>
      <x:c r="J916" s="11" t="n">
        <x:f>G916-2*H916+IF(B916="Butterfly",I916,0)</x:f>
        <x:v>9.490000000000009</x:v>
      </x:c>
      <x:c r="K916" s="11" t="n">
        <x:f>ABS(E916-D916)</x:f>
        <x:v>200</x:v>
      </x:c>
      <x:c r="L916" s="11" t="n">
        <x:f>K916-J916</x:f>
        <x:v>190.51</x:v>
      </x:c>
      <x:c r="M916" s="11" t="n">
        <x:f>IF(B916="Butterfly",MAX(J916,0),IF(C916="call","Unlimited",MAX(2*E916-D916+J916,J916,0)))</x:f>
        <x:v>9.490000000000009</x:v>
      </x:c>
      <x:c r="N916" s="11" t="n">
        <x:f>IF(B916="Butterfly",IF(AND(J916&gt;0,J916&lt;K916),D916+J916,"n.a."),IF(C916="call",IF(AND(J916&gt;0,J916&lt;K916),D916+J916,"n.a."),IF(AND(K916&gt;J916,2*E916-D916+J916&gt;=0),2*E916-D916+J916,"n.a.")))</x:f>
        <x:v>7209.49</x:v>
      </x:c>
      <x:c r="O916" s="11" t="n">
        <x:f>IF(B916="Butterfly",IF(AND(J916&gt;0,J916&lt;K916),F916-J916,"n.a."),IF(C916="call",IF(K916&gt;J916,2*E916-D916-J916,"n.a."),IF(AND(J916&gt;0,J916&lt;K916),D916-J916,"n.a.")))</x:f>
        <x:v>7590.51</x:v>
      </x:c>
      <x:c r="P916" s="19" t="n">
        <x:f>IF(AND(B916="Butterfly",J916&gt;0,J916&lt;K916),L916/J916,"n.a.")</x:f>
        <x:v>20.07481559536352</x:v>
      </x:c>
      <x:c r="Q916" s="11" t="n">
        <x:f>J916*'Model inputs'!$B$8</x:f>
        <x:v>949.0000000000009</x:v>
      </x:c>
      <x:c r="R916" s="1" t="str">
        <x:v>Indicative only</x:v>
      </x:c>
      <x:c r="S916" s="1" t="n">
        <x:v>775</x:v>
      </x:c>
      <x:c r="T916" s="1" t="n">
        <x:v>794</x:v>
      </x:c>
    </x:row>
    <x:row r="917" ht="21" customHeight="1">
      <x:c r="A917" s="12" t="n">
        <x:v>46267</x:v>
      </x:c>
      <x:c r="B917" s="1" t="str">
        <x:v>Butterfly</x:v>
      </x:c>
      <x:c r="C917" s="1" t="str">
        <x:v>call</x:v>
      </x:c>
      <x:c r="D917" s="11" t="n">
        <x:v>6600</x:v>
      </x:c>
      <x:c r="E917" s="11" t="n">
        <x:v>6800</x:v>
      </x:c>
      <x:c r="F917" s="11" t="n">
        <x:v>7000</x:v>
      </x:c>
      <x:c r="G917" s="11" t="n">
        <x:f>'Option source'!B229</x:f>
        <x:v>884.58</x:v>
      </x:c>
      <x:c r="H917" s="11" t="n">
        <x:f>'Option source'!B248</x:f>
        <x:v>745.47</x:v>
      </x:c>
      <x:c r="I917" s="11" t="n">
        <x:f>'Option source'!B267</x:f>
        <x:v>617.88</x:v>
      </x:c>
      <x:c r="J917" s="11" t="n">
        <x:f>G917-2*H917+IF(B917="Butterfly",I917,0)</x:f>
        <x:v>11.519999999999982</x:v>
      </x:c>
      <x:c r="K917" s="11" t="n">
        <x:f>ABS(E917-D917)</x:f>
        <x:v>200</x:v>
      </x:c>
      <x:c r="L917" s="11" t="n">
        <x:f>K917-J917</x:f>
        <x:v>188.48000000000002</x:v>
      </x:c>
      <x:c r="M917" s="11" t="n">
        <x:f>IF(B917="Butterfly",MAX(J917,0),IF(C917="call","Unlimited",MAX(2*E917-D917+J917,J917,0)))</x:f>
        <x:v>11.519999999999982</x:v>
      </x:c>
      <x:c r="N917" s="11" t="n">
        <x:f>IF(B917="Butterfly",IF(AND(J917&gt;0,J917&lt;K917),D917+J917,"n.a."),IF(C917="call",IF(AND(J917&gt;0,J917&lt;K917),D917+J917,"n.a."),IF(AND(K917&gt;J917,2*E917-D917+J917&gt;=0),2*E917-D917+J917,"n.a.")))</x:f>
        <x:v>6611.52</x:v>
      </x:c>
      <x:c r="O917" s="11" t="n">
        <x:f>IF(B917="Butterfly",IF(AND(J917&gt;0,J917&lt;K917),F917-J917,"n.a."),IF(C917="call",IF(K917&gt;J917,2*E917-D917-J917,"n.a."),IF(AND(J917&gt;0,J917&lt;K917),D917-J917,"n.a.")))</x:f>
        <x:v>6988.48</x:v>
      </x:c>
      <x:c r="P917" s="19" t="n">
        <x:f>IF(AND(B917="Butterfly",J917&gt;0,J917&lt;K917),L917/J917,"n.a.")</x:f>
        <x:v>16.36111111111114</x:v>
      </x:c>
      <x:c r="Q917" s="11" t="n">
        <x:f>J917*'Model inputs'!$B$8</x:f>
        <x:v>1151.9999999999982</x:v>
      </x:c>
      <x:c r="R917" s="1" t="str">
        <x:v>Indicative only</x:v>
      </x:c>
      <x:c r="S917" s="1" t="n">
        <x:v>224</x:v>
      </x:c>
      <x:c r="T917" s="1" t="n">
        <x:v>243</x:v>
      </x:c>
    </x:row>
    <x:row r="918" ht="21" customHeight="1">
      <x:c r="A918" s="12" t="n">
        <x:v>46267</x:v>
      </x:c>
      <x:c r="B918" s="1" t="str">
        <x:v>Butterfly</x:v>
      </x:c>
      <x:c r="C918" s="1" t="str">
        <x:v>put</x:v>
      </x:c>
      <x:c r="D918" s="11" t="n">
        <x:v>6600</x:v>
      </x:c>
      <x:c r="E918" s="11" t="n">
        <x:v>6800</x:v>
      </x:c>
      <x:c r="F918" s="11" t="n">
        <x:v>7000</x:v>
      </x:c>
      <x:c r="G918" s="11" t="n">
        <x:f>'Option source'!B723</x:f>
        <x:v>146.29</x:v>
      </x:c>
      <x:c r="H918" s="11" t="n">
        <x:f>'Option source'!B742</x:f>
        <x:v>210.34</x:v>
      </x:c>
      <x:c r="I918" s="11" t="n">
        <x:f>'Option source'!B761</x:f>
        <x:v>286.63</x:v>
      </x:c>
      <x:c r="J918" s="11" t="n">
        <x:f>G918-2*H918+IF(B918="Butterfly",I918,0)</x:f>
        <x:v>12.240000000000009</x:v>
      </x:c>
      <x:c r="K918" s="11" t="n">
        <x:f>ABS(E918-D918)</x:f>
        <x:v>200</x:v>
      </x:c>
      <x:c r="L918" s="11" t="n">
        <x:f>K918-J918</x:f>
        <x:v>187.76</x:v>
      </x:c>
      <x:c r="M918" s="11" t="n">
        <x:f>IF(B918="Butterfly",MAX(J918,0),IF(C918="call","Unlimited",MAX(2*E918-D918+J918,J918,0)))</x:f>
        <x:v>12.240000000000009</x:v>
      </x:c>
      <x:c r="N918" s="11" t="n">
        <x:f>IF(B918="Butterfly",IF(AND(J918&gt;0,J918&lt;K918),D918+J918,"n.a."),IF(C918="call",IF(AND(J918&gt;0,J918&lt;K918),D918+J918,"n.a."),IF(AND(K918&gt;J918,2*E918-D918+J918&gt;=0),2*E918-D918+J918,"n.a.")))</x:f>
        <x:v>6612.24</x:v>
      </x:c>
      <x:c r="O918" s="11" t="n">
        <x:f>IF(B918="Butterfly",IF(AND(J918&gt;0,J918&lt;K918),F918-J918,"n.a."),IF(C918="call",IF(K918&gt;J918,2*E918-D918-J918,"n.a."),IF(AND(J918&gt;0,J918&lt;K918),D918-J918,"n.a.")))</x:f>
        <x:v>6987.76</x:v>
      </x:c>
      <x:c r="P918" s="19" t="n">
        <x:f>IF(AND(B918="Butterfly",J918&gt;0,J918&lt;K918),L918/J918,"n.a.")</x:f>
        <x:v>15.33986928104574</x:v>
      </x:c>
      <x:c r="Q918" s="11" t="n">
        <x:f>J918*'Model inputs'!$B$8</x:f>
        <x:v>1224.000000000001</x:v>
      </x:c>
      <x:c r="R918" s="1" t="str">
        <x:v>Indicative only</x:v>
      </x:c>
      <x:c r="S918" s="1" t="n">
        <x:v>718</x:v>
      </x:c>
      <x:c r="T918" s="1" t="n">
        <x:v>737</x:v>
      </x:c>
    </x:row>
    <x:row r="919" ht="21" customHeight="1">
      <x:c r="A919" s="12" t="n">
        <x:v>46267</x:v>
      </x:c>
      <x:c r="B919" s="1" t="str">
        <x:v>Butterfly</x:v>
      </x:c>
      <x:c r="C919" s="1" t="str">
        <x:v>call</x:v>
      </x:c>
      <x:c r="D919" s="11" t="n">
        <x:v>7400</x:v>
      </x:c>
      <x:c r="E919" s="11" t="n">
        <x:v>7600</x:v>
      </x:c>
      <x:c r="F919" s="11" t="n">
        <x:v>7800</x:v>
      </x:c>
      <x:c r="G919" s="11" t="n">
        <x:f>'Option source'!B305</x:f>
        <x:v>410.55</x:v>
      </x:c>
      <x:c r="H919" s="11" t="n">
        <x:f>'Option source'!B324</x:f>
        <x:v>324.11</x:v>
      </x:c>
      <x:c r="I919" s="11" t="n">
        <x:f>'Option source'!B343</x:f>
        <x:v>253.96</x:v>
      </x:c>
      <x:c r="J919" s="11" t="n">
        <x:f>G919-2*H919+IF(B919="Butterfly",I919,0)</x:f>
        <x:v>16.289999999999992</x:v>
      </x:c>
      <x:c r="K919" s="11" t="n">
        <x:f>ABS(E919-D919)</x:f>
        <x:v>200</x:v>
      </x:c>
      <x:c r="L919" s="11" t="n">
        <x:f>K919-J919</x:f>
        <x:v>183.71</x:v>
      </x:c>
      <x:c r="M919" s="11" t="n">
        <x:f>IF(B919="Butterfly",MAX(J919,0),IF(C919="call","Unlimited",MAX(2*E919-D919+J919,J919,0)))</x:f>
        <x:v>16.289999999999992</x:v>
      </x:c>
      <x:c r="N919" s="11" t="n">
        <x:f>IF(B919="Butterfly",IF(AND(J919&gt;0,J919&lt;K919),D919+J919,"n.a."),IF(C919="call",IF(AND(J919&gt;0,J919&lt;K919),D919+J919,"n.a."),IF(AND(K919&gt;J919,2*E919-D919+J919&gt;=0),2*E919-D919+J919,"n.a.")))</x:f>
        <x:v>7416.29</x:v>
      </x:c>
      <x:c r="O919" s="11" t="n">
        <x:f>IF(B919="Butterfly",IF(AND(J919&gt;0,J919&lt;K919),F919-J919,"n.a."),IF(C919="call",IF(K919&gt;J919,2*E919-D919-J919,"n.a."),IF(AND(J919&gt;0,J919&lt;K919),D919-J919,"n.a.")))</x:f>
        <x:v>7783.71</x:v>
      </x:c>
      <x:c r="P919" s="19" t="n">
        <x:f>IF(AND(B919="Butterfly",J919&gt;0,J919&lt;K919),L919/J919,"n.a.")</x:f>
        <x:v>11.277470841006759</x:v>
      </x:c>
      <x:c r="Q919" s="11" t="n">
        <x:f>J919*'Model inputs'!$B$8</x:f>
        <x:v>1628.999999999999</x:v>
      </x:c>
      <x:c r="R919" s="1" t="str">
        <x:v>Indicative only</x:v>
      </x:c>
      <x:c r="S919" s="1" t="n">
        <x:v>300</x:v>
      </x:c>
      <x:c r="T919" s="1" t="n">
        <x:v>319</x:v>
      </x:c>
    </x:row>
    <x:row r="920" ht="21" customHeight="1">
      <x:c r="A920" s="12" t="n">
        <x:v>46267</x:v>
      </x:c>
      <x:c r="B920" s="1" t="str">
        <x:v>Butterfly</x:v>
      </x:c>
      <x:c r="C920" s="1" t="str">
        <x:v>call</x:v>
      </x:c>
      <x:c r="D920" s="11" t="n">
        <x:v>6400</x:v>
      </x:c>
      <x:c r="E920" s="11" t="n">
        <x:v>6600</x:v>
      </x:c>
      <x:c r="F920" s="11" t="n">
        <x:v>6800</x:v>
      </x:c>
      <x:c r="G920" s="11" t="n">
        <x:f>'Option source'!B210</x:f>
        <x:v>1025</x:v>
      </x:c>
      <x:c r="H920" s="11" t="n">
        <x:f>'Option source'!B229</x:f>
        <x:v>884.58</x:v>
      </x:c>
      <x:c r="I920" s="11" t="n">
        <x:f>'Option source'!B248</x:f>
        <x:v>745.47</x:v>
      </x:c>
      <x:c r="J920" s="11" t="n">
        <x:f>G920-2*H920+IF(B920="Butterfly",I920,0)</x:f>
        <x:v>1.3099999999999454</x:v>
      </x:c>
      <x:c r="K920" s="11" t="n">
        <x:f>ABS(E920-D920)</x:f>
        <x:v>200</x:v>
      </x:c>
      <x:c r="L920" s="11" t="n">
        <x:f>K920-J920</x:f>
        <x:v>198.69000000000005</x:v>
      </x:c>
      <x:c r="M920" s="11" t="n">
        <x:f>IF(B920="Butterfly",MAX(J920,0),IF(C920="call","Unlimited",MAX(2*E920-D920+J920,J920,0)))</x:f>
        <x:v>1.3099999999999454</x:v>
      </x:c>
      <x:c r="N920" s="11" t="n">
        <x:f>IF(B920="Butterfly",IF(AND(J920&gt;0,J920&lt;K920),D920+J920,"n.a."),IF(C920="call",IF(AND(J920&gt;0,J920&lt;K920),D920+J920,"n.a."),IF(AND(K920&gt;J920,2*E920-D920+J920&gt;=0),2*E920-D920+J920,"n.a.")))</x:f>
        <x:v>6401.3099999999995</x:v>
      </x:c>
      <x:c r="O920" s="11" t="n">
        <x:f>IF(B920="Butterfly",IF(AND(J920&gt;0,J920&lt;K920),F920-J920,"n.a."),IF(C920="call",IF(K920&gt;J920,2*E920-D920-J920,"n.a."),IF(AND(J920&gt;0,J920&lt;K920),D920-J920,"n.a.")))</x:f>
        <x:v>6798.6900000000005</x:v>
      </x:c>
      <x:c r="P920" s="19" t="n">
        <x:f>IF(AND(B920="Butterfly",J920&gt;0,J920&lt;K920),L920/J920,"n.a.")</x:f>
        <x:v>151.6717557251972</x:v>
      </x:c>
      <x:c r="Q920" s="11" t="n">
        <x:f>J920*'Model inputs'!$B$8</x:f>
        <x:v>130.99999999999454</x:v>
      </x:c>
      <x:c r="R920" s="1" t="str">
        <x:v>Indicative only</x:v>
      </x:c>
      <x:c r="S920" s="1" t="n">
        <x:v>205</x:v>
      </x:c>
      <x:c r="T920" s="1" t="n">
        <x:v>224</x:v>
      </x:c>
    </x:row>
    <x:row r="921" ht="21" customHeight="1">
      <x:c r="A921" s="12" t="n">
        <x:v>46267</x:v>
      </x:c>
      <x:c r="B921" s="1" t="str">
        <x:v>Butterfly</x:v>
      </x:c>
      <x:c r="C921" s="1" t="str">
        <x:v>put</x:v>
      </x:c>
      <x:c r="D921" s="11" t="n">
        <x:v>6400</x:v>
      </x:c>
      <x:c r="E921" s="11" t="n">
        <x:v>6600</x:v>
      </x:c>
      <x:c r="F921" s="11" t="n">
        <x:v>6800</x:v>
      </x:c>
      <x:c r="G921" s="11" t="n">
        <x:f>'Option source'!B704</x:f>
        <x:v>103.46</x:v>
      </x:c>
      <x:c r="H921" s="11" t="n">
        <x:f>'Option source'!B723</x:f>
        <x:v>146.29</x:v>
      </x:c>
      <x:c r="I921" s="11" t="n">
        <x:f>'Option source'!B742</x:f>
        <x:v>210.34</x:v>
      </x:c>
      <x:c r="J921" s="11" t="n">
        <x:f>G921-2*H921+IF(B921="Butterfly",I921,0)</x:f>
        <x:v>21.22</x:v>
      </x:c>
      <x:c r="K921" s="11" t="n">
        <x:f>ABS(E921-D921)</x:f>
        <x:v>200</x:v>
      </x:c>
      <x:c r="L921" s="11" t="n">
        <x:f>K921-J921</x:f>
        <x:v>178.78</x:v>
      </x:c>
      <x:c r="M921" s="11" t="n">
        <x:f>IF(B921="Butterfly",MAX(J921,0),IF(C921="call","Unlimited",MAX(2*E921-D921+J921,J921,0)))</x:f>
        <x:v>21.22</x:v>
      </x:c>
      <x:c r="N921" s="11" t="n">
        <x:f>IF(B921="Butterfly",IF(AND(J921&gt;0,J921&lt;K921),D921+J921,"n.a."),IF(C921="call",IF(AND(J921&gt;0,J921&lt;K921),D921+J921,"n.a."),IF(AND(K921&gt;J921,2*E921-D921+J921&gt;=0),2*E921-D921+J921,"n.a.")))</x:f>
        <x:v>6421.22</x:v>
      </x:c>
      <x:c r="O921" s="11" t="n">
        <x:f>IF(B921="Butterfly",IF(AND(J921&gt;0,J921&lt;K921),F921-J921,"n.a."),IF(C921="call",IF(K921&gt;J921,2*E921-D921-J921,"n.a."),IF(AND(J921&gt;0,J921&lt;K921),D921-J921,"n.a.")))</x:f>
        <x:v>6778.78</x:v>
      </x:c>
      <x:c r="P921" s="19" t="n">
        <x:f>IF(AND(B921="Butterfly",J921&gt;0,J921&lt;K921),L921/J921,"n.a.")</x:f>
        <x:v>8.42507068803016</x:v>
      </x:c>
      <x:c r="Q921" s="11" t="n">
        <x:f>J921*'Model inputs'!$B$8</x:f>
        <x:v>2122</x:v>
      </x:c>
      <x:c r="R921" s="1" t="str">
        <x:v>Indicative only</x:v>
      </x:c>
      <x:c r="S921" s="1" t="n">
        <x:v>699</x:v>
      </x:c>
      <x:c r="T921" s="1" t="n">
        <x:v>718</x:v>
      </x:c>
    </x:row>
    <x:row r="922" ht="21" customHeight="1">
      <x:c r="A922" s="12" t="n">
        <x:v>46267</x:v>
      </x:c>
      <x:c r="B922" s="1" t="str">
        <x:v>Butterfly</x:v>
      </x:c>
      <x:c r="C922" s="1" t="str">
        <x:v>call</x:v>
      </x:c>
      <x:c r="D922" s="11" t="n">
        <x:v>7600</x:v>
      </x:c>
      <x:c r="E922" s="11" t="n">
        <x:v>7800</x:v>
      </x:c>
      <x:c r="F922" s="11" t="n">
        <x:v>8000</x:v>
      </x:c>
      <x:c r="G922" s="11" t="n">
        <x:f>'Option source'!B324</x:f>
        <x:v>324.11</x:v>
      </x:c>
      <x:c r="H922" s="11" t="n">
        <x:f>'Option source'!B343</x:f>
        <x:v>253.96</x:v>
      </x:c>
      <x:c r="I922" s="11" t="n">
        <x:f>'Option source'!B362</x:f>
        <x:v>195.8</x:v>
      </x:c>
      <x:c r="J922" s="11" t="n">
        <x:f>G922-2*H922+IF(B922="Butterfly",I922,0)</x:f>
        <x:v>11.990000000000009</x:v>
      </x:c>
      <x:c r="K922" s="11" t="n">
        <x:f>ABS(E922-D922)</x:f>
        <x:v>200</x:v>
      </x:c>
      <x:c r="L922" s="11" t="n">
        <x:f>K922-J922</x:f>
        <x:v>188.01</x:v>
      </x:c>
      <x:c r="M922" s="11" t="n">
        <x:f>IF(B922="Butterfly",MAX(J922,0),IF(C922="call","Unlimited",MAX(2*E922-D922+J922,J922,0)))</x:f>
        <x:v>11.990000000000009</x:v>
      </x:c>
      <x:c r="N922" s="11" t="n">
        <x:f>IF(B922="Butterfly",IF(AND(J922&gt;0,J922&lt;K922),D922+J922,"n.a."),IF(C922="call",IF(AND(J922&gt;0,J922&lt;K922),D922+J922,"n.a."),IF(AND(K922&gt;J922,2*E922-D922+J922&gt;=0),2*E922-D922+J922,"n.a.")))</x:f>
        <x:v>7611.99</x:v>
      </x:c>
      <x:c r="O922" s="11" t="n">
        <x:f>IF(B922="Butterfly",IF(AND(J922&gt;0,J922&lt;K922),F922-J922,"n.a."),IF(C922="call",IF(K922&gt;J922,2*E922-D922-J922,"n.a."),IF(AND(J922&gt;0,J922&lt;K922),D922-J922,"n.a.")))</x:f>
        <x:v>7988.01</x:v>
      </x:c>
      <x:c r="P922" s="19" t="n">
        <x:f>IF(AND(B922="Butterfly",J922&gt;0,J922&lt;K922),L922/J922,"n.a.")</x:f>
        <x:v>15.680567139282722</x:v>
      </x:c>
      <x:c r="Q922" s="11" t="n">
        <x:f>J922*'Model inputs'!$B$8</x:f>
        <x:v>1199.000000000001</x:v>
      </x:c>
      <x:c r="R922" s="1" t="str">
        <x:v>Indicative only</x:v>
      </x:c>
      <x:c r="S922" s="1" t="n">
        <x:v>319</x:v>
      </x:c>
      <x:c r="T922" s="1" t="n">
        <x:v>338</x:v>
      </x:c>
    </x:row>
    <x:row r="923" ht="21" customHeight="1">
      <x:c r="A923" s="12" t="n">
        <x:v>46267</x:v>
      </x:c>
      <x:c r="B923" s="1" t="str">
        <x:v>Butterfly</x:v>
      </x:c>
      <x:c r="C923" s="1" t="str">
        <x:v>put</x:v>
      </x:c>
      <x:c r="D923" s="11" t="n">
        <x:v>6200</x:v>
      </x:c>
      <x:c r="E923" s="11" t="n">
        <x:v>6400</x:v>
      </x:c>
      <x:c r="F923" s="11" t="n">
        <x:v>6600</x:v>
      </x:c>
      <x:c r="G923" s="11" t="n">
        <x:f>'Option source'!B685</x:f>
        <x:v>66.11</x:v>
      </x:c>
      <x:c r="H923" s="11" t="n">
        <x:f>'Option source'!B704</x:f>
        <x:v>103.46</x:v>
      </x:c>
      <x:c r="I923" s="11" t="n">
        <x:f>'Option source'!B723</x:f>
        <x:v>146.29</x:v>
      </x:c>
      <x:c r="J923" s="11" t="n">
        <x:f>G923-2*H923+IF(B923="Butterfly",I923,0)</x:f>
        <x:v>5.47999999999999</x:v>
      </x:c>
      <x:c r="K923" s="11" t="n">
        <x:f>ABS(E923-D923)</x:f>
        <x:v>200</x:v>
      </x:c>
      <x:c r="L923" s="11" t="n">
        <x:f>K923-J923</x:f>
        <x:v>194.52</x:v>
      </x:c>
      <x:c r="M923" s="11" t="n">
        <x:f>IF(B923="Butterfly",MAX(J923,0),IF(C923="call","Unlimited",MAX(2*E923-D923+J923,J923,0)))</x:f>
        <x:v>5.47999999999999</x:v>
      </x:c>
      <x:c r="N923" s="11" t="n">
        <x:f>IF(B923="Butterfly",IF(AND(J923&gt;0,J923&lt;K923),D923+J923,"n.a."),IF(C923="call",IF(AND(J923&gt;0,J923&lt;K923),D923+J923,"n.a."),IF(AND(K923&gt;J923,2*E923-D923+J923&gt;=0),2*E923-D923+J923,"n.a.")))</x:f>
        <x:v>6205.48</x:v>
      </x:c>
      <x:c r="O923" s="11" t="n">
        <x:f>IF(B923="Butterfly",IF(AND(J923&gt;0,J923&lt;K923),F923-J923,"n.a."),IF(C923="call",IF(K923&gt;J923,2*E923-D923-J923,"n.a."),IF(AND(J923&gt;0,J923&lt;K923),D923-J923,"n.a.")))</x:f>
        <x:v>6594.52</x:v>
      </x:c>
      <x:c r="P923" s="19" t="n">
        <x:f>IF(AND(B923="Butterfly",J923&gt;0,J923&lt;K923),L923/J923,"n.a.")</x:f>
        <x:v>35.49635036496357</x:v>
      </x:c>
      <x:c r="Q923" s="11" t="n">
        <x:f>J923*'Model inputs'!$B$8</x:f>
        <x:v>547.999999999999</x:v>
      </x:c>
      <x:c r="R923" s="1" t="str">
        <x:v>Indicative only</x:v>
      </x:c>
      <x:c r="S923" s="1" t="n">
        <x:v>680</x:v>
      </x:c>
      <x:c r="T923" s="1" t="n">
        <x:v>699</x:v>
      </x:c>
    </x:row>
    <x:row r="924" ht="21" customHeight="1">
      <x:c r="A924" s="12" t="n">
        <x:v>46267</x:v>
      </x:c>
      <x:c r="B924" s="1" t="str">
        <x:v>Butterfly</x:v>
      </x:c>
      <x:c r="C924" s="1" t="str">
        <x:v>put</x:v>
      </x:c>
      <x:c r="D924" s="11" t="n">
        <x:v>6000</x:v>
      </x:c>
      <x:c r="E924" s="11" t="n">
        <x:v>6200</x:v>
      </x:c>
      <x:c r="F924" s="11" t="n">
        <x:v>6400</x:v>
      </x:c>
      <x:c r="G924" s="11" t="n">
        <x:f>'Option source'!B666</x:f>
        <x:v>41.36</x:v>
      </x:c>
      <x:c r="H924" s="11" t="n">
        <x:f>'Option source'!B685</x:f>
        <x:v>66.11</x:v>
      </x:c>
      <x:c r="I924" s="11" t="n">
        <x:f>'Option source'!B704</x:f>
        <x:v>103.46</x:v>
      </x:c>
      <x:c r="J924" s="11" t="n">
        <x:f>G924-2*H924+IF(B924="Butterfly",I924,0)</x:f>
        <x:v>12.599999999999994</x:v>
      </x:c>
      <x:c r="K924" s="11" t="n">
        <x:f>ABS(E924-D924)</x:f>
        <x:v>200</x:v>
      </x:c>
      <x:c r="L924" s="11" t="n">
        <x:f>K924-J924</x:f>
        <x:v>187.4</x:v>
      </x:c>
      <x:c r="M924" s="11" t="n">
        <x:f>IF(B924="Butterfly",MAX(J924,0),IF(C924="call","Unlimited",MAX(2*E924-D924+J924,J924,0)))</x:f>
        <x:v>12.599999999999994</x:v>
      </x:c>
      <x:c r="N924" s="11" t="n">
        <x:f>IF(B924="Butterfly",IF(AND(J924&gt;0,J924&lt;K924),D924+J924,"n.a."),IF(C924="call",IF(AND(J924&gt;0,J924&lt;K924),D924+J924,"n.a."),IF(AND(K924&gt;J924,2*E924-D924+J924&gt;=0),2*E924-D924+J924,"n.a.")))</x:f>
        <x:v>6012.6</x:v>
      </x:c>
      <x:c r="O924" s="11" t="n">
        <x:f>IF(B924="Butterfly",IF(AND(J924&gt;0,J924&lt;K924),F924-J924,"n.a."),IF(C924="call",IF(K924&gt;J924,2*E924-D924-J924,"n.a."),IF(AND(J924&gt;0,J924&lt;K924),D924-J924,"n.a.")))</x:f>
        <x:v>6387.4</x:v>
      </x:c>
      <x:c r="P924" s="19" t="n">
        <x:f>IF(AND(B924="Butterfly",J924&gt;0,J924&lt;K924),L924/J924,"n.a.")</x:f>
        <x:v>14.87301587301588</x:v>
      </x:c>
      <x:c r="Q924" s="11" t="n">
        <x:f>J924*'Model inputs'!$B$8</x:f>
        <x:v>1259.9999999999995</x:v>
      </x:c>
      <x:c r="R924" s="1" t="str">
        <x:v>Indicative only</x:v>
      </x:c>
      <x:c r="S924" s="1" t="n">
        <x:v>661</x:v>
      </x:c>
      <x:c r="T924" s="1" t="n">
        <x:v>680</x:v>
      </x:c>
    </x:row>
    <x:row r="925" ht="21" customHeight="1">
      <x:c r="A925" s="12" t="n">
        <x:v>46267</x:v>
      </x:c>
      <x:c r="B925" s="1" t="str">
        <x:v>Butterfly</x:v>
      </x:c>
      <x:c r="C925" s="1" t="str">
        <x:v>call</x:v>
      </x:c>
      <x:c r="D925" s="11" t="n">
        <x:v>8000</x:v>
      </x:c>
      <x:c r="E925" s="11" t="n">
        <x:v>8300</x:v>
      </x:c>
      <x:c r="F925" s="11" t="n">
        <x:v>8600</x:v>
      </x:c>
      <x:c r="G925" s="11" t="n">
        <x:f>'Option source'!B362</x:f>
        <x:v>195.8</x:v>
      </x:c>
      <x:c r="H925" s="11" t="n">
        <x:f>'Option source'!B381</x:f>
        <x:v>131.48</x:v>
      </x:c>
      <x:c r="I925" s="11" t="n">
        <x:f>'Option source'!B400</x:f>
        <x:v>84.77</x:v>
      </x:c>
      <x:c r="J925" s="11" t="n">
        <x:f>G925-2*H925+IF(B925="Butterfly",I925,0)</x:f>
        <x:v>17.610000000000028</x:v>
      </x:c>
      <x:c r="K925" s="11" t="n">
        <x:f>ABS(E925-D925)</x:f>
        <x:v>300</x:v>
      </x:c>
      <x:c r="L925" s="11" t="n">
        <x:f>K925-J925</x:f>
        <x:v>282.39</x:v>
      </x:c>
      <x:c r="M925" s="11" t="n">
        <x:f>IF(B925="Butterfly",MAX(J925,0),IF(C925="call","Unlimited",MAX(2*E925-D925+J925,J925,0)))</x:f>
        <x:v>17.610000000000028</x:v>
      </x:c>
      <x:c r="N925" s="11" t="n">
        <x:f>IF(B925="Butterfly",IF(AND(J925&gt;0,J925&lt;K925),D925+J925,"n.a."),IF(C925="call",IF(AND(J925&gt;0,J925&lt;K925),D925+J925,"n.a."),IF(AND(K925&gt;J925,2*E925-D925+J925&gt;=0),2*E925-D925+J925,"n.a.")))</x:f>
        <x:v>8017.61</x:v>
      </x:c>
      <x:c r="O925" s="11" t="n">
        <x:f>IF(B925="Butterfly",IF(AND(J925&gt;0,J925&lt;K925),F925-J925,"n.a."),IF(C925="call",IF(K925&gt;J925,2*E925-D925-J925,"n.a."),IF(AND(J925&gt;0,J925&lt;K925),D925-J925,"n.a.")))</x:f>
        <x:v>8582.39</x:v>
      </x:c>
      <x:c r="P925" s="19" t="n">
        <x:f>IF(AND(B925="Butterfly",J925&gt;0,J925&lt;K925),L925/J925,"n.a.")</x:f>
        <x:v>16.035775127768286</x:v>
      </x:c>
      <x:c r="Q925" s="11" t="n">
        <x:f>J925*'Model inputs'!$B$8</x:f>
        <x:v>1761.0000000000027</x:v>
      </x:c>
      <x:c r="R925" s="1" t="str">
        <x:v>Indicative only</x:v>
      </x:c>
      <x:c r="S925" s="1" t="n">
        <x:v>357</x:v>
      </x:c>
      <x:c r="T925" s="1" t="n">
        <x:v>376</x:v>
      </x:c>
    </x:row>
    <x:row r="926" ht="21" customHeight="1">
      <x:c r="A926" s="12" t="n">
        <x:v>46267</x:v>
      </x:c>
      <x:c r="B926" s="1" t="str">
        <x:v>Butterfly</x:v>
      </x:c>
      <x:c r="C926" s="1" t="str">
        <x:v>put</x:v>
      </x:c>
      <x:c r="D926" s="11" t="n">
        <x:v>5800</x:v>
      </x:c>
      <x:c r="E926" s="11" t="n">
        <x:v>6000</x:v>
      </x:c>
      <x:c r="F926" s="11" t="n">
        <x:v>6200</x:v>
      </x:c>
      <x:c r="G926" s="11" t="n">
        <x:f>'Option source'!B647</x:f>
        <x:v>24.27</x:v>
      </x:c>
      <x:c r="H926" s="11" t="n">
        <x:f>'Option source'!B666</x:f>
        <x:v>41.36</x:v>
      </x:c>
      <x:c r="I926" s="11" t="n">
        <x:f>'Option source'!B685</x:f>
        <x:v>66.11</x:v>
      </x:c>
      <x:c r="J926" s="11" t="n">
        <x:f>G926-2*H926+IF(B926="Butterfly",I926,0)</x:f>
        <x:v>7.659999999999997</x:v>
      </x:c>
      <x:c r="K926" s="11" t="n">
        <x:f>ABS(E926-D926)</x:f>
        <x:v>200</x:v>
      </x:c>
      <x:c r="L926" s="11" t="n">
        <x:f>K926-J926</x:f>
        <x:v>192.34</x:v>
      </x:c>
      <x:c r="M926" s="11" t="n">
        <x:f>IF(B926="Butterfly",MAX(J926,0),IF(C926="call","Unlimited",MAX(2*E926-D926+J926,J926,0)))</x:f>
        <x:v>7.659999999999997</x:v>
      </x:c>
      <x:c r="N926" s="11" t="n">
        <x:f>IF(B926="Butterfly",IF(AND(J926&gt;0,J926&lt;K926),D926+J926,"n.a."),IF(C926="call",IF(AND(J926&gt;0,J926&lt;K926),D926+J926,"n.a."),IF(AND(K926&gt;J926,2*E926-D926+J926&gt;=0),2*E926-D926+J926,"n.a.")))</x:f>
        <x:v>5807.66</x:v>
      </x:c>
      <x:c r="O926" s="11" t="n">
        <x:f>IF(B926="Butterfly",IF(AND(J926&gt;0,J926&lt;K926),F926-J926,"n.a."),IF(C926="call",IF(K926&gt;J926,2*E926-D926-J926,"n.a."),IF(AND(J926&gt;0,J926&lt;K926),D926-J926,"n.a.")))</x:f>
        <x:v>6192.34</x:v>
      </x:c>
      <x:c r="P926" s="19" t="n">
        <x:f>IF(AND(B926="Butterfly",J926&gt;0,J926&lt;K926),L926/J926,"n.a.")</x:f>
        <x:v>25.109660574412544</x:v>
      </x:c>
      <x:c r="Q926" s="11" t="n">
        <x:f>J926*'Model inputs'!$B$8</x:f>
        <x:v>765.9999999999997</x:v>
      </x:c>
      <x:c r="R926" s="1" t="str">
        <x:v>Indicative only</x:v>
      </x:c>
      <x:c r="S926" s="1" t="n">
        <x:v>642</x:v>
      </x:c>
      <x:c r="T926" s="1" t="n">
        <x:v>661</x:v>
      </x:c>
    </x:row>
    <x:row r="927" ht="21" customHeight="1">
      <x:c r="A927" s="12" t="n">
        <x:v>46267</x:v>
      </x:c>
      <x:c r="B927" s="1" t="str">
        <x:v>Butterfly</x:v>
      </x:c>
      <x:c r="C927" s="1" t="str">
        <x:v>put</x:v>
      </x:c>
      <x:c r="D927" s="11" t="n">
        <x:v>5600</x:v>
      </x:c>
      <x:c r="E927" s="11" t="n">
        <x:v>5800</x:v>
      </x:c>
      <x:c r="F927" s="11" t="n">
        <x:v>6000</x:v>
      </x:c>
      <x:c r="G927" s="11" t="n">
        <x:f>'Option source'!B628</x:f>
        <x:v>14.11</x:v>
      </x:c>
      <x:c r="H927" s="11" t="n">
        <x:f>'Option source'!B647</x:f>
        <x:v>24.27</x:v>
      </x:c>
      <x:c r="I927" s="11" t="n">
        <x:f>'Option source'!B666</x:f>
        <x:v>41.36</x:v>
      </x:c>
      <x:c r="J927" s="11" t="n">
        <x:f>G927-2*H927+IF(B927="Butterfly",I927,0)</x:f>
        <x:v>6.93</x:v>
      </x:c>
      <x:c r="K927" s="11" t="n">
        <x:f>ABS(E927-D927)</x:f>
        <x:v>200</x:v>
      </x:c>
      <x:c r="L927" s="11" t="n">
        <x:f>K927-J927</x:f>
        <x:v>193.07</x:v>
      </x:c>
      <x:c r="M927" s="11" t="n">
        <x:f>IF(B927="Butterfly",MAX(J927,0),IF(C927="call","Unlimited",MAX(2*E927-D927+J927,J927,0)))</x:f>
        <x:v>6.93</x:v>
      </x:c>
      <x:c r="N927" s="11" t="n">
        <x:f>IF(B927="Butterfly",IF(AND(J927&gt;0,J927&lt;K927),D927+J927,"n.a."),IF(C927="call",IF(AND(J927&gt;0,J927&lt;K927),D927+J927,"n.a."),IF(AND(K927&gt;J927,2*E927-D927+J927&gt;=0),2*E927-D927+J927,"n.a.")))</x:f>
        <x:v>5606.93</x:v>
      </x:c>
      <x:c r="O927" s="11" t="n">
        <x:f>IF(B927="Butterfly",IF(AND(J927&gt;0,J927&lt;K927),F927-J927,"n.a."),IF(C927="call",IF(K927&gt;J927,2*E927-D927-J927,"n.a."),IF(AND(J927&gt;0,J927&lt;K927),D927-J927,"n.a.")))</x:f>
        <x:v>5993.07</x:v>
      </x:c>
      <x:c r="P927" s="19" t="n">
        <x:f>IF(AND(B927="Butterfly",J927&gt;0,J927&lt;K927),L927/J927,"n.a.")</x:f>
        <x:v>27.86002886002886</x:v>
      </x:c>
      <x:c r="Q927" s="11" t="n">
        <x:f>J927*'Model inputs'!$B$8</x:f>
        <x:v>693</x:v>
      </x:c>
      <x:c r="R927" s="1" t="str">
        <x:v>Indicative only</x:v>
      </x:c>
      <x:c r="S927" s="1" t="n">
        <x:v>623</x:v>
      </x:c>
      <x:c r="T927" s="1" t="n">
        <x:v>642</x:v>
      </x:c>
    </x:row>
    <x:row r="928" ht="21" customHeight="1">
      <x:c r="A928" s="12" t="n">
        <x:v>46267</x:v>
      </x:c>
      <x:c r="B928" s="1" t="str">
        <x:v>Butterfly</x:v>
      </x:c>
      <x:c r="C928" s="1" t="str">
        <x:v>call</x:v>
      </x:c>
      <x:c r="D928" s="11" t="n">
        <x:v>8300</x:v>
      </x:c>
      <x:c r="E928" s="11" t="n">
        <x:v>8600</x:v>
      </x:c>
      <x:c r="F928" s="11" t="n">
        <x:v>8900</x:v>
      </x:c>
      <x:c r="G928" s="11" t="n">
        <x:f>'Option source'!B381</x:f>
        <x:v>131.48</x:v>
      </x:c>
      <x:c r="H928" s="11" t="n">
        <x:f>'Option source'!B400</x:f>
        <x:v>84.77</x:v>
      </x:c>
      <x:c r="I928" s="11" t="n">
        <x:f>'Option source'!B419</x:f>
        <x:v>53.17</x:v>
      </x:c>
      <x:c r="J928" s="11" t="n">
        <x:f>G928-2*H928+IF(B928="Butterfly",I928,0)</x:f>
        <x:v>15.11</x:v>
      </x:c>
      <x:c r="K928" s="11" t="n">
        <x:f>ABS(E928-D928)</x:f>
        <x:v>300</x:v>
      </x:c>
      <x:c r="L928" s="11" t="n">
        <x:f>K928-J928</x:f>
        <x:v>284.89</x:v>
      </x:c>
      <x:c r="M928" s="11" t="n">
        <x:f>IF(B928="Butterfly",MAX(J928,0),IF(C928="call","Unlimited",MAX(2*E928-D928+J928,J928,0)))</x:f>
        <x:v>15.11</x:v>
      </x:c>
      <x:c r="N928" s="11" t="n">
        <x:f>IF(B928="Butterfly",IF(AND(J928&gt;0,J928&lt;K928),D928+J928,"n.a."),IF(C928="call",IF(AND(J928&gt;0,J928&lt;K928),D928+J928,"n.a."),IF(AND(K928&gt;J928,2*E928-D928+J928&gt;=0),2*E928-D928+J928,"n.a.")))</x:f>
        <x:v>8315.11</x:v>
      </x:c>
      <x:c r="O928" s="11" t="n">
        <x:f>IF(B928="Butterfly",IF(AND(J928&gt;0,J928&lt;K928),F928-J928,"n.a."),IF(C928="call",IF(K928&gt;J928,2*E928-D928-J928,"n.a."),IF(AND(J928&gt;0,J928&lt;K928),D928-J928,"n.a.")))</x:f>
        <x:v>8884.89</x:v>
      </x:c>
      <x:c r="P928" s="19" t="n">
        <x:f>IF(AND(B928="Butterfly",J928&gt;0,J928&lt;K928),L928/J928,"n.a.")</x:f>
        <x:v>18.854401058901388</x:v>
      </x:c>
      <x:c r="Q928" s="11" t="n">
        <x:f>J928*'Model inputs'!$B$8</x:f>
        <x:v>1511</x:v>
      </x:c>
      <x:c r="R928" s="1" t="str">
        <x:v>Indicative only</x:v>
      </x:c>
      <x:c r="S928" s="1" t="n">
        <x:v>376</x:v>
      </x:c>
      <x:c r="T928" s="1" t="n">
        <x:v>395</x:v>
      </x:c>
    </x:row>
    <x:row r="929" ht="21" customHeight="1">
      <x:c r="A929" s="12" t="n">
        <x:v>46267</x:v>
      </x:c>
      <x:c r="B929" s="1" t="str">
        <x:v>Butterfly</x:v>
      </x:c>
      <x:c r="C929" s="1" t="str">
        <x:v>put</x:v>
      </x:c>
      <x:c r="D929" s="11" t="n">
        <x:v>5400</x:v>
      </x:c>
      <x:c r="E929" s="11" t="n">
        <x:v>5600</x:v>
      </x:c>
      <x:c r="F929" s="11" t="n">
        <x:v>5800</x:v>
      </x:c>
      <x:c r="G929" s="11" t="n">
        <x:f>'Option source'!B609</x:f>
        <x:v>8.04</x:v>
      </x:c>
      <x:c r="H929" s="11" t="n">
        <x:f>'Option source'!B628</x:f>
        <x:v>14.11</x:v>
      </x:c>
      <x:c r="I929" s="11" t="n">
        <x:f>'Option source'!B647</x:f>
        <x:v>24.27</x:v>
      </x:c>
      <x:c r="J929" s="11" t="n">
        <x:f>G929-2*H929+IF(B929="Butterfly",I929,0)</x:f>
        <x:v>4.09</x:v>
      </x:c>
      <x:c r="K929" s="11" t="n">
        <x:f>ABS(E929-D929)</x:f>
        <x:v>200</x:v>
      </x:c>
      <x:c r="L929" s="11" t="n">
        <x:f>K929-J929</x:f>
        <x:v>195.91</x:v>
      </x:c>
      <x:c r="M929" s="11" t="n">
        <x:f>IF(B929="Butterfly",MAX(J929,0),IF(C929="call","Unlimited",MAX(2*E929-D929+J929,J929,0)))</x:f>
        <x:v>4.09</x:v>
      </x:c>
      <x:c r="N929" s="11" t="n">
        <x:f>IF(B929="Butterfly",IF(AND(J929&gt;0,J929&lt;K929),D929+J929,"n.a."),IF(C929="call",IF(AND(J929&gt;0,J929&lt;K929),D929+J929,"n.a."),IF(AND(K929&gt;J929,2*E929-D929+J929&gt;=0),2*E929-D929+J929,"n.a.")))</x:f>
        <x:v>5404.09</x:v>
      </x:c>
      <x:c r="O929" s="11" t="n">
        <x:f>IF(B929="Butterfly",IF(AND(J929&gt;0,J929&lt;K929),F929-J929,"n.a."),IF(C929="call",IF(K929&gt;J929,2*E929-D929-J929,"n.a."),IF(AND(J929&gt;0,J929&lt;K929),D929-J929,"n.a.")))</x:f>
        <x:v>5795.91</x:v>
      </x:c>
      <x:c r="P929" s="19" t="n">
        <x:f>IF(AND(B929="Butterfly",J929&gt;0,J929&lt;K929),L929/J929,"n.a.")</x:f>
        <x:v>47.899755501222494</x:v>
      </x:c>
      <x:c r="Q929" s="11" t="n">
        <x:f>J929*'Model inputs'!$B$8</x:f>
        <x:v>409</x:v>
      </x:c>
      <x:c r="R929" s="1" t="str">
        <x:v>Indicative only</x:v>
      </x:c>
      <x:c r="S929" s="1" t="n">
        <x:v>604</x:v>
      </x:c>
      <x:c r="T929" s="1" t="n">
        <x:v>623</x:v>
      </x:c>
    </x:row>
    <x:row r="930" ht="21" customHeight="1">
      <x:c r="A930" s="12" t="n">
        <x:v>46267</x:v>
      </x:c>
      <x:c r="B930" s="1" t="str">
        <x:v>Butterfly</x:v>
      </x:c>
      <x:c r="C930" s="1" t="str">
        <x:v>call</x:v>
      </x:c>
      <x:c r="D930" s="11" t="n">
        <x:v>8600</x:v>
      </x:c>
      <x:c r="E930" s="11" t="n">
        <x:v>8900</x:v>
      </x:c>
      <x:c r="F930" s="11" t="n">
        <x:v>9200</x:v>
      </x:c>
      <x:c r="G930" s="11" t="n">
        <x:f>'Option source'!B400</x:f>
        <x:v>84.77</x:v>
      </x:c>
      <x:c r="H930" s="11" t="n">
        <x:f>'Option source'!B419</x:f>
        <x:v>53.17</x:v>
      </x:c>
      <x:c r="I930" s="11" t="n">
        <x:f>'Option source'!B438</x:f>
        <x:v>32.75</x:v>
      </x:c>
      <x:c r="J930" s="11" t="n">
        <x:f>G930-2*H930+IF(B930="Butterfly",I930,0)</x:f>
        <x:v>11.179999999999993</x:v>
      </x:c>
      <x:c r="K930" s="11" t="n">
        <x:f>ABS(E930-D930)</x:f>
        <x:v>300</x:v>
      </x:c>
      <x:c r="L930" s="11" t="n">
        <x:f>K930-J930</x:f>
        <x:v>288.82</x:v>
      </x:c>
      <x:c r="M930" s="11" t="n">
        <x:f>IF(B930="Butterfly",MAX(J930,0),IF(C930="call","Unlimited",MAX(2*E930-D930+J930,J930,0)))</x:f>
        <x:v>11.179999999999993</x:v>
      </x:c>
      <x:c r="N930" s="11" t="n">
        <x:f>IF(B930="Butterfly",IF(AND(J930&gt;0,J930&lt;K930),D930+J930,"n.a."),IF(C930="call",IF(AND(J930&gt;0,J930&lt;K930),D930+J930,"n.a."),IF(AND(K930&gt;J930,2*E930-D930+J930&gt;=0),2*E930-D930+J930,"n.a.")))</x:f>
        <x:v>8611.18</x:v>
      </x:c>
      <x:c r="O930" s="11" t="n">
        <x:f>IF(B930="Butterfly",IF(AND(J930&gt;0,J930&lt;K930),F930-J930,"n.a."),IF(C930="call",IF(K930&gt;J930,2*E930-D930-J930,"n.a."),IF(AND(J930&gt;0,J930&lt;K930),D930-J930,"n.a.")))</x:f>
        <x:v>9188.82</x:v>
      </x:c>
      <x:c r="P930" s="19" t="n">
        <x:f>IF(AND(B930="Butterfly",J930&gt;0,J930&lt;K930),L930/J930,"n.a.")</x:f>
        <x:v>25.833631484794292</x:v>
      </x:c>
      <x:c r="Q930" s="11" t="n">
        <x:f>J930*'Model inputs'!$B$8</x:f>
        <x:v>1117.9999999999993</x:v>
      </x:c>
      <x:c r="R930" s="1" t="str">
        <x:v>Indicative only</x:v>
      </x:c>
      <x:c r="S930" s="1" t="n">
        <x:v>395</x:v>
      </x:c>
      <x:c r="T930" s="1" t="n">
        <x:v>414</x:v>
      </x:c>
    </x:row>
    <x:row r="931" ht="21" customHeight="1">
      <x:c r="A931" s="12" t="n">
        <x:v>46267</x:v>
      </x:c>
      <x:c r="B931" s="1" t="str">
        <x:v>Butterfly</x:v>
      </x:c>
      <x:c r="C931" s="1" t="str">
        <x:v>put</x:v>
      </x:c>
      <x:c r="D931" s="11" t="n">
        <x:v>5200</x:v>
      </x:c>
      <x:c r="E931" s="11" t="n">
        <x:v>5400</x:v>
      </x:c>
      <x:c r="F931" s="11" t="n">
        <x:v>5600</x:v>
      </x:c>
      <x:c r="G931" s="11" t="n">
        <x:f>'Option source'!B590</x:f>
        <x:v>4.57</x:v>
      </x:c>
      <x:c r="H931" s="11" t="n">
        <x:f>'Option source'!B609</x:f>
        <x:v>8.04</x:v>
      </x:c>
      <x:c r="I931" s="11" t="n">
        <x:f>'Option source'!B628</x:f>
        <x:v>14.11</x:v>
      </x:c>
      <x:c r="J931" s="11" t="n">
        <x:f>G931-2*H931+IF(B931="Butterfly",I931,0)</x:f>
        <x:v>2.6000000000000014</x:v>
      </x:c>
      <x:c r="K931" s="11" t="n">
        <x:f>ABS(E931-D931)</x:f>
        <x:v>200</x:v>
      </x:c>
      <x:c r="L931" s="11" t="n">
        <x:f>K931-J931</x:f>
        <x:v>197.4</x:v>
      </x:c>
      <x:c r="M931" s="11" t="n">
        <x:f>IF(B931="Butterfly",MAX(J931,0),IF(C931="call","Unlimited",MAX(2*E931-D931+J931,J931,0)))</x:f>
        <x:v>2.6000000000000014</x:v>
      </x:c>
      <x:c r="N931" s="11" t="n">
        <x:f>IF(B931="Butterfly",IF(AND(J931&gt;0,J931&lt;K931),D931+J931,"n.a."),IF(C931="call",IF(AND(J931&gt;0,J931&lt;K931),D931+J931,"n.a."),IF(AND(K931&gt;J931,2*E931-D931+J931&gt;=0),2*E931-D931+J931,"n.a.")))</x:f>
        <x:v>5202.6</x:v>
      </x:c>
      <x:c r="O931" s="11" t="n">
        <x:f>IF(B931="Butterfly",IF(AND(J931&gt;0,J931&lt;K931),F931-J931,"n.a."),IF(C931="call",IF(K931&gt;J931,2*E931-D931-J931,"n.a."),IF(AND(J931&gt;0,J931&lt;K931),D931-J931,"n.a.")))</x:f>
        <x:v>5597.4</x:v>
      </x:c>
      <x:c r="P931" s="19" t="n">
        <x:f>IF(AND(B931="Butterfly",J931&gt;0,J931&lt;K931),L931/J931,"n.a.")</x:f>
        <x:v>75.92307692307688</x:v>
      </x:c>
      <x:c r="Q931" s="11" t="n">
        <x:f>J931*'Model inputs'!$B$8</x:f>
        <x:v>260.0000000000001</x:v>
      </x:c>
      <x:c r="R931" s="1" t="str">
        <x:v>Indicative only</x:v>
      </x:c>
      <x:c r="S931" s="1" t="n">
        <x:v>585</x:v>
      </x:c>
      <x:c r="T931" s="1" t="n">
        <x:v>604</x:v>
      </x:c>
    </x:row>
    <x:row r="932" ht="21" customHeight="1">
      <x:c r="A932" s="12" t="n">
        <x:v>46267</x:v>
      </x:c>
      <x:c r="B932" s="1" t="str">
        <x:v>Butterfly</x:v>
      </x:c>
      <x:c r="C932" s="1" t="str">
        <x:v>put</x:v>
      </x:c>
      <x:c r="D932" s="11" t="n">
        <x:v>5000</x:v>
      </x:c>
      <x:c r="E932" s="11" t="n">
        <x:v>5200</x:v>
      </x:c>
      <x:c r="F932" s="11" t="n">
        <x:v>5400</x:v>
      </x:c>
      <x:c r="G932" s="11" t="n">
        <x:f>'Option source'!B571</x:f>
        <x:v>2.6</x:v>
      </x:c>
      <x:c r="H932" s="11" t="n">
        <x:f>'Option source'!B590</x:f>
        <x:v>4.57</x:v>
      </x:c>
      <x:c r="I932" s="11" t="n">
        <x:f>'Option source'!B609</x:f>
        <x:v>8.04</x:v>
      </x:c>
      <x:c r="J932" s="11" t="n">
        <x:f>G932-2*H932+IF(B932="Butterfly",I932,0)</x:f>
        <x:v>1.4999999999999982</x:v>
      </x:c>
      <x:c r="K932" s="11" t="n">
        <x:f>ABS(E932-D932)</x:f>
        <x:v>200</x:v>
      </x:c>
      <x:c r="L932" s="11" t="n">
        <x:f>K932-J932</x:f>
        <x:v>198.5</x:v>
      </x:c>
      <x:c r="M932" s="11" t="n">
        <x:f>IF(B932="Butterfly",MAX(J932,0),IF(C932="call","Unlimited",MAX(2*E932-D932+J932,J932,0)))</x:f>
        <x:v>1.4999999999999982</x:v>
      </x:c>
      <x:c r="N932" s="11" t="n">
        <x:f>IF(B932="Butterfly",IF(AND(J932&gt;0,J932&lt;K932),D932+J932,"n.a."),IF(C932="call",IF(AND(J932&gt;0,J932&lt;K932),D932+J932,"n.a."),IF(AND(K932&gt;J932,2*E932-D932+J932&gt;=0),2*E932-D932+J932,"n.a.")))</x:f>
        <x:v>5001.5</x:v>
      </x:c>
      <x:c r="O932" s="11" t="n">
        <x:f>IF(B932="Butterfly",IF(AND(J932&gt;0,J932&lt;K932),F932-J932,"n.a."),IF(C932="call",IF(K932&gt;J932,2*E932-D932-J932,"n.a."),IF(AND(J932&gt;0,J932&lt;K932),D932-J932,"n.a.")))</x:f>
        <x:v>5398.5</x:v>
      </x:c>
      <x:c r="P932" s="19" t="n">
        <x:f>IF(AND(B932="Butterfly",J932&gt;0,J932&lt;K932),L932/J932,"n.a.")</x:f>
        <x:v>132.33333333333348</x:v>
      </x:c>
      <x:c r="Q932" s="11" t="n">
        <x:f>J932*'Model inputs'!$B$8</x:f>
        <x:v>149.99999999999983</x:v>
      </x:c>
      <x:c r="R932" s="1" t="str">
        <x:v>Indicative only</x:v>
      </x:c>
      <x:c r="S932" s="1" t="n">
        <x:v>566</x:v>
      </x:c>
      <x:c r="T932" s="1" t="n">
        <x:v>585</x:v>
      </x:c>
    </x:row>
    <x:row r="933" ht="21" customHeight="1">
      <x:c r="A933" s="12" t="n">
        <x:v>46267</x:v>
      </x:c>
      <x:c r="B933" s="1" t="str">
        <x:v>Butterfly</x:v>
      </x:c>
      <x:c r="C933" s="1" t="str">
        <x:v>call</x:v>
      </x:c>
      <x:c r="D933" s="11" t="n">
        <x:v>8900</x:v>
      </x:c>
      <x:c r="E933" s="11" t="n">
        <x:v>9200</x:v>
      </x:c>
      <x:c r="F933" s="11" t="n">
        <x:v>9500</x:v>
      </x:c>
      <x:c r="G933" s="11" t="n">
        <x:f>'Option source'!B419</x:f>
        <x:v>53.17</x:v>
      </x:c>
      <x:c r="H933" s="11" t="n">
        <x:f>'Option source'!B438</x:f>
        <x:v>32.75</x:v>
      </x:c>
      <x:c r="I933" s="11" t="n">
        <x:f>'Option source'!B457</x:f>
        <x:v>20.75</x:v>
      </x:c>
      <x:c r="J933" s="11" t="n">
        <x:f>G933-2*H933+IF(B933="Butterfly",I933,0)</x:f>
        <x:v>8.420000000000002</x:v>
      </x:c>
      <x:c r="K933" s="11" t="n">
        <x:f>ABS(E933-D933)</x:f>
        <x:v>300</x:v>
      </x:c>
      <x:c r="L933" s="11" t="n">
        <x:f>K933-J933</x:f>
        <x:v>291.58</x:v>
      </x:c>
      <x:c r="M933" s="11" t="n">
        <x:f>IF(B933="Butterfly",MAX(J933,0),IF(C933="call","Unlimited",MAX(2*E933-D933+J933,J933,0)))</x:f>
        <x:v>8.420000000000002</x:v>
      </x:c>
      <x:c r="N933" s="11" t="n">
        <x:f>IF(B933="Butterfly",IF(AND(J933&gt;0,J933&lt;K933),D933+J933,"n.a."),IF(C933="call",IF(AND(J933&gt;0,J933&lt;K933),D933+J933,"n.a."),IF(AND(K933&gt;J933,2*E933-D933+J933&gt;=0),2*E933-D933+J933,"n.a.")))</x:f>
        <x:v>8908.42</x:v>
      </x:c>
      <x:c r="O933" s="11" t="n">
        <x:f>IF(B933="Butterfly",IF(AND(J933&gt;0,J933&lt;K933),F933-J933,"n.a."),IF(C933="call",IF(K933&gt;J933,2*E933-D933-J933,"n.a."),IF(AND(J933&gt;0,J933&lt;K933),D933-J933,"n.a.")))</x:f>
        <x:v>9491.58</x:v>
      </x:c>
      <x:c r="P933" s="19" t="n">
        <x:f>IF(AND(B933="Butterfly",J933&gt;0,J933&lt;K933),L933/J933,"n.a.")</x:f>
        <x:v>34.6294536817102</x:v>
      </x:c>
      <x:c r="Q933" s="11" t="n">
        <x:f>J933*'Model inputs'!$B$8</x:f>
        <x:v>842.0000000000002</x:v>
      </x:c>
      <x:c r="R933" s="1" t="str">
        <x:v>Indicative only</x:v>
      </x:c>
      <x:c r="S933" s="1" t="n">
        <x:v>414</x:v>
      </x:c>
      <x:c r="T933" s="1" t="n">
        <x:v>433</x:v>
      </x:c>
    </x:row>
    <x:row r="934" ht="21" customHeight="1">
      <x:c r="A934" s="12" t="n">
        <x:v>46267</x:v>
      </x:c>
      <x:c r="B934" s="1" t="str">
        <x:v>Butterfly</x:v>
      </x:c>
      <x:c r="C934" s="1" t="str">
        <x:v>put</x:v>
      </x:c>
      <x:c r="D934" s="11" t="n">
        <x:v>4800</x:v>
      </x:c>
      <x:c r="E934" s="11" t="n">
        <x:v>5000</x:v>
      </x:c>
      <x:c r="F934" s="11" t="n">
        <x:v>5200</x:v>
      </x:c>
      <x:c r="G934" s="11" t="n">
        <x:f>'Option source'!B552</x:f>
        <x:v>1.74</x:v>
      </x:c>
      <x:c r="H934" s="11" t="n">
        <x:f>'Option source'!B571</x:f>
        <x:v>2.6</x:v>
      </x:c>
      <x:c r="I934" s="11" t="n">
        <x:f>'Option source'!B590</x:f>
        <x:v>4.57</x:v>
      </x:c>
      <x:c r="J934" s="11" t="n">
        <x:f>G934-2*H934+IF(B934="Butterfly",I934,0)</x:f>
        <x:v>1.1100000000000003</x:v>
      </x:c>
      <x:c r="K934" s="11" t="n">
        <x:f>ABS(E934-D934)</x:f>
        <x:v>200</x:v>
      </x:c>
      <x:c r="L934" s="11" t="n">
        <x:f>K934-J934</x:f>
        <x:v>198.89</x:v>
      </x:c>
      <x:c r="M934" s="11" t="n">
        <x:f>IF(B934="Butterfly",MAX(J934,0),IF(C934="call","Unlimited",MAX(2*E934-D934+J934,J934,0)))</x:f>
        <x:v>1.1100000000000003</x:v>
      </x:c>
      <x:c r="N934" s="11" t="n">
        <x:f>IF(B934="Butterfly",IF(AND(J934&gt;0,J934&lt;K934),D934+J934,"n.a."),IF(C934="call",IF(AND(J934&gt;0,J934&lt;K934),D934+J934,"n.a."),IF(AND(K934&gt;J934,2*E934-D934+J934&gt;=0),2*E934-D934+J934,"n.a.")))</x:f>
        <x:v>4801.11</x:v>
      </x:c>
      <x:c r="O934" s="11" t="n">
        <x:f>IF(B934="Butterfly",IF(AND(J934&gt;0,J934&lt;K934),F934-J934,"n.a."),IF(C934="call",IF(K934&gt;J934,2*E934-D934-J934,"n.a."),IF(AND(J934&gt;0,J934&lt;K934),D934-J934,"n.a.")))</x:f>
        <x:v>5198.89</x:v>
      </x:c>
      <x:c r="P934" s="19" t="n">
        <x:f>IF(AND(B934="Butterfly",J934&gt;0,J934&lt;K934),L934/J934,"n.a.")</x:f>
        <x:v>179.18018018018012</x:v>
      </x:c>
      <x:c r="Q934" s="11" t="n">
        <x:f>J934*'Model inputs'!$B$8</x:f>
        <x:v>111.00000000000003</x:v>
      </x:c>
      <x:c r="R934" s="1" t="str">
        <x:v>Indicative only</x:v>
      </x:c>
      <x:c r="S934" s="1" t="n">
        <x:v>547</x:v>
      </x:c>
      <x:c r="T934" s="1" t="n">
        <x:v>566</x:v>
      </x:c>
    </x:row>
    <x:row r="935" ht="21" customHeight="1">
      <x:c r="A935" s="12" t="n">
        <x:v>46267</x:v>
      </x:c>
      <x:c r="B935" s="1" t="str">
        <x:v>Butterfly</x:v>
      </x:c>
      <x:c r="C935" s="1" t="str">
        <x:v>put</x:v>
      </x:c>
      <x:c r="D935" s="11" t="n">
        <x:v>4600</x:v>
      </x:c>
      <x:c r="E935" s="11" t="n">
        <x:v>4800</x:v>
      </x:c>
      <x:c r="F935" s="11" t="n">
        <x:v>5000</x:v>
      </x:c>
      <x:c r="G935" s="11" t="n">
        <x:f>'Option source'!B533</x:f>
        <x:v>1.38</x:v>
      </x:c>
      <x:c r="H935" s="11" t="n">
        <x:f>'Option source'!B552</x:f>
        <x:v>1.74</x:v>
      </x:c>
      <x:c r="I935" s="11" t="n">
        <x:f>'Option source'!B571</x:f>
        <x:v>2.6</x:v>
      </x:c>
      <x:c r="J935" s="11" t="n">
        <x:f>G935-2*H935+IF(B935="Butterfly",I935,0)</x:f>
        <x:v>0.5</x:v>
      </x:c>
      <x:c r="K935" s="11" t="n">
        <x:f>ABS(E935-D935)</x:f>
        <x:v>200</x:v>
      </x:c>
      <x:c r="L935" s="11" t="n">
        <x:f>K935-J935</x:f>
        <x:v>199.5</x:v>
      </x:c>
      <x:c r="M935" s="11" t="n">
        <x:f>IF(B935="Butterfly",MAX(J935,0),IF(C935="call","Unlimited",MAX(2*E935-D935+J935,J935,0)))</x:f>
        <x:v>0.5</x:v>
      </x:c>
      <x:c r="N935" s="11" t="n">
        <x:f>IF(B935="Butterfly",IF(AND(J935&gt;0,J935&lt;K935),D935+J935,"n.a."),IF(C935="call",IF(AND(J935&gt;0,J935&lt;K935),D935+J935,"n.a."),IF(AND(K935&gt;J935,2*E935-D935+J935&gt;=0),2*E935-D935+J935,"n.a.")))</x:f>
        <x:v>4600.5</x:v>
      </x:c>
      <x:c r="O935" s="11" t="n">
        <x:f>IF(B935="Butterfly",IF(AND(J935&gt;0,J935&lt;K935),F935-J935,"n.a."),IF(C935="call",IF(K935&gt;J935,2*E935-D935-J935,"n.a."),IF(AND(J935&gt;0,J935&lt;K935),D935-J935,"n.a.")))</x:f>
        <x:v>4999.5</x:v>
      </x:c>
      <x:c r="P935" s="19" t="n">
        <x:f>IF(AND(B935="Butterfly",J935&gt;0,J935&lt;K935),L935/J935,"n.a.")</x:f>
        <x:v>399</x:v>
      </x:c>
      <x:c r="Q935" s="11" t="n">
        <x:f>J935*'Model inputs'!$B$8</x:f>
        <x:v>50</x:v>
      </x:c>
      <x:c r="R935" s="1" t="str">
        <x:v>Indicative only</x:v>
      </x:c>
      <x:c r="S935" s="1" t="n">
        <x:v>528</x:v>
      </x:c>
      <x:c r="T935" s="1" t="n">
        <x:v>547</x:v>
      </x:c>
    </x:row>
    <x:row r="936" ht="21" customHeight="1">
      <x:c r="A936" s="12" t="n">
        <x:v>46267</x:v>
      </x:c>
      <x:c r="B936" s="1" t="str">
        <x:v>Butterfly</x:v>
      </x:c>
      <x:c r="C936" s="1" t="str">
        <x:v>put</x:v>
      </x:c>
      <x:c r="D936" s="11" t="n">
        <x:v>4400</x:v>
      </x:c>
      <x:c r="E936" s="11" t="n">
        <x:v>4600</x:v>
      </x:c>
      <x:c r="F936" s="11" t="n">
        <x:v>4800</x:v>
      </x:c>
      <x:c r="G936" s="11" t="n">
        <x:f>'Option source'!B514</x:f>
        <x:v>1.28</x:v>
      </x:c>
      <x:c r="H936" s="11" t="n">
        <x:f>'Option source'!B533</x:f>
        <x:v>1.38</x:v>
      </x:c>
      <x:c r="I936" s="11" t="n">
        <x:f>'Option source'!B552</x:f>
        <x:v>1.74</x:v>
      </x:c>
      <x:c r="J936" s="11" t="n">
        <x:f>G936-2*H936+IF(B936="Butterfly",I936,0)</x:f>
        <x:v>0.26000000000000023</x:v>
      </x:c>
      <x:c r="K936" s="11" t="n">
        <x:f>ABS(E936-D936)</x:f>
        <x:v>200</x:v>
      </x:c>
      <x:c r="L936" s="11" t="n">
        <x:f>K936-J936</x:f>
        <x:v>199.74</x:v>
      </x:c>
      <x:c r="M936" s="11" t="n">
        <x:f>IF(B936="Butterfly",MAX(J936,0),IF(C936="call","Unlimited",MAX(2*E936-D936+J936,J936,0)))</x:f>
        <x:v>0.26000000000000023</x:v>
      </x:c>
      <x:c r="N936" s="11" t="n">
        <x:f>IF(B936="Butterfly",IF(AND(J936&gt;0,J936&lt;K936),D936+J936,"n.a."),IF(C936="call",IF(AND(J936&gt;0,J936&lt;K936),D936+J936,"n.a."),IF(AND(K936&gt;J936,2*E936-D936+J936&gt;=0),2*E936-D936+J936,"n.a.")))</x:f>
        <x:v>4400.26</x:v>
      </x:c>
      <x:c r="O936" s="11" t="n">
        <x:f>IF(B936="Butterfly",IF(AND(J936&gt;0,J936&lt;K936),F936-J936,"n.a."),IF(C936="call",IF(K936&gt;J936,2*E936-D936-J936,"n.a."),IF(AND(J936&gt;0,J936&lt;K936),D936-J936,"n.a.")))</x:f>
        <x:v>4799.74</x:v>
      </x:c>
      <x:c r="P936" s="19" t="n">
        <x:f>IF(AND(B936="Butterfly",J936&gt;0,J936&lt;K936),L936/J936,"n.a.")</x:f>
        <x:v>768.2307692307686</x:v>
      </x:c>
      <x:c r="Q936" s="11" t="n">
        <x:f>J936*'Model inputs'!$B$8</x:f>
        <x:v>26.00000000000002</x:v>
      </x:c>
      <x:c r="R936" s="1" t="str">
        <x:v>Indicative only</x:v>
      </x:c>
      <x:c r="S936" s="1" t="n">
        <x:v>509</x:v>
      </x:c>
      <x:c r="T936" s="1" t="n">
        <x:v>528</x:v>
      </x:c>
    </x:row>
    <x:row r="937" ht="21" customHeight="1">
      <x:c r="A937" s="12" t="n">
        <x:v>46267</x:v>
      </x:c>
      <x:c r="B937" s="1" t="str">
        <x:v>Butterfly</x:v>
      </x:c>
      <x:c r="C937" s="1" t="str">
        <x:v>put</x:v>
      </x:c>
      <x:c r="D937" s="11" t="n">
        <x:v>7400</x:v>
      </x:c>
      <x:c r="E937" s="11" t="n">
        <x:v>7600</x:v>
      </x:c>
      <x:c r="F937" s="11" t="n">
        <x:v>7800</x:v>
      </x:c>
      <x:c r="G937" s="11" t="n">
        <x:f>'Option source'!B799</x:f>
        <x:v>480</x:v>
      </x:c>
      <x:c r="H937" s="11" t="n">
        <x:f>'Option source'!B818</x:f>
        <x:v>600</x:v>
      </x:c>
      <x:c r="I937" s="11" t="n">
        <x:f>'Option source'!B837</x:f>
        <x:v>726</x:v>
      </x:c>
      <x:c r="J937" s="11" t="n">
        <x:f>G937-2*H937+IF(B937="Butterfly",I937,0)</x:f>
        <x:v>6</x:v>
      </x:c>
      <x:c r="K937" s="11" t="n">
        <x:f>ABS(E937-D937)</x:f>
        <x:v>200</x:v>
      </x:c>
      <x:c r="L937" s="11" t="n">
        <x:f>K937-J937</x:f>
        <x:v>194</x:v>
      </x:c>
      <x:c r="M937" s="11" t="n">
        <x:f>IF(B937="Butterfly",MAX(J937,0),IF(C937="call","Unlimited",MAX(2*E937-D937+J937,J937,0)))</x:f>
        <x:v>6</x:v>
      </x:c>
      <x:c r="N937" s="11" t="n">
        <x:f>IF(B937="Butterfly",IF(AND(J937&gt;0,J937&lt;K937),D937+J937,"n.a."),IF(C937="call",IF(AND(J937&gt;0,J937&lt;K937),D937+J937,"n.a."),IF(AND(K937&gt;J937,2*E937-D937+J937&gt;=0),2*E937-D937+J937,"n.a.")))</x:f>
        <x:v>7406</x:v>
      </x:c>
      <x:c r="O937" s="11" t="n">
        <x:f>IF(B937="Butterfly",IF(AND(J937&gt;0,J937&lt;K937),F937-J937,"n.a."),IF(C937="call",IF(K937&gt;J937,2*E937-D937-J937,"n.a."),IF(AND(J937&gt;0,J937&lt;K937),D937-J937,"n.a.")))</x:f>
        <x:v>7794</x:v>
      </x:c>
      <x:c r="P937" s="19" t="n">
        <x:f>IF(AND(B937="Butterfly",J937&gt;0,J937&lt;K937),L937/J937,"n.a.")</x:f>
        <x:v>32.333333333333336</x:v>
      </x:c>
      <x:c r="Q937" s="11" t="n">
        <x:f>J937*'Model inputs'!$B$8</x:f>
        <x:v>600</x:v>
      </x:c>
      <x:c r="R937" s="1" t="str">
        <x:v>Flagged leg data</x:v>
      </x:c>
      <x:c r="S937" s="1" t="n">
        <x:v>794</x:v>
      </x:c>
      <x:c r="T937" s="1" t="n">
        <x:v>813</x:v>
      </x:c>
    </x:row>
    <x:row r="938" ht="21" customHeight="1">
      <x:c r="A938" s="12" t="n">
        <x:v>46267</x:v>
      </x:c>
      <x:c r="B938" s="1" t="str">
        <x:v>Butterfly</x:v>
      </x:c>
      <x:c r="C938" s="1" t="str">
        <x:v>put</x:v>
      </x:c>
      <x:c r="D938" s="11" t="n">
        <x:v>7600</x:v>
      </x:c>
      <x:c r="E938" s="11" t="n">
        <x:v>7800</x:v>
      </x:c>
      <x:c r="F938" s="11" t="n">
        <x:v>8000</x:v>
      </x:c>
      <x:c r="G938" s="11" t="n">
        <x:f>'Option source'!B818</x:f>
        <x:v>600</x:v>
      </x:c>
      <x:c r="H938" s="11" t="n">
        <x:f>'Option source'!B837</x:f>
        <x:v>726</x:v>
      </x:c>
      <x:c r="I938" s="11" t="n">
        <x:f>'Option source'!B856</x:f>
        <x:v>910</x:v>
      </x:c>
      <x:c r="J938" s="11" t="n">
        <x:f>G938-2*H938+IF(B938="Butterfly",I938,0)</x:f>
        <x:v>58</x:v>
      </x:c>
      <x:c r="K938" s="11" t="n">
        <x:f>ABS(E938-D938)</x:f>
        <x:v>200</x:v>
      </x:c>
      <x:c r="L938" s="11" t="n">
        <x:f>K938-J938</x:f>
        <x:v>142</x:v>
      </x:c>
      <x:c r="M938" s="11" t="n">
        <x:f>IF(B938="Butterfly",MAX(J938,0),IF(C938="call","Unlimited",MAX(2*E938-D938+J938,J938,0)))</x:f>
        <x:v>58</x:v>
      </x:c>
      <x:c r="N938" s="11" t="n">
        <x:f>IF(B938="Butterfly",IF(AND(J938&gt;0,J938&lt;K938),D938+J938,"n.a."),IF(C938="call",IF(AND(J938&gt;0,J938&lt;K938),D938+J938,"n.a."),IF(AND(K938&gt;J938,2*E938-D938+J938&gt;=0),2*E938-D938+J938,"n.a.")))</x:f>
        <x:v>7658</x:v>
      </x:c>
      <x:c r="O938" s="11" t="n">
        <x:f>IF(B938="Butterfly",IF(AND(J938&gt;0,J938&lt;K938),F938-J938,"n.a."),IF(C938="call",IF(K938&gt;J938,2*E938-D938-J938,"n.a."),IF(AND(J938&gt;0,J938&lt;K938),D938-J938,"n.a.")))</x:f>
        <x:v>7942</x:v>
      </x:c>
      <x:c r="P938" s="19" t="n">
        <x:f>IF(AND(B938="Butterfly",J938&gt;0,J938&lt;K938),L938/J938,"n.a.")</x:f>
        <x:v>2.4482758620689653</x:v>
      </x:c>
      <x:c r="Q938" s="11" t="n">
        <x:f>J938*'Model inputs'!$B$8</x:f>
        <x:v>5800</x:v>
      </x:c>
      <x:c r="R938" s="1" t="str">
        <x:v>Flagged leg data</x:v>
      </x:c>
      <x:c r="S938" s="1" t="n">
        <x:v>813</x:v>
      </x:c>
      <x:c r="T938" s="1" t="n">
        <x:v>832</x:v>
      </x:c>
    </x:row>
    <x:row r="939" ht="21" customHeight="1">
      <x:c r="A939" s="12" t="n">
        <x:v>46267</x:v>
      </x:c>
      <x:c r="B939" s="1" t="str">
        <x:v>Butterfly</x:v>
      </x:c>
      <x:c r="C939" s="1" t="str">
        <x:v>call</x:v>
      </x:c>
      <x:c r="D939" s="11" t="n">
        <x:v>6200</x:v>
      </x:c>
      <x:c r="E939" s="11" t="n">
        <x:v>6400</x:v>
      </x:c>
      <x:c r="F939" s="11" t="n">
        <x:v>6600</x:v>
      </x:c>
      <x:c r="G939" s="11" t="n">
        <x:f>'Option source'!B191</x:f>
        <x:v>1088.47</x:v>
      </x:c>
      <x:c r="H939" s="11" t="n">
        <x:f>'Option source'!B210</x:f>
        <x:v>1025</x:v>
      </x:c>
      <x:c r="I939" s="11" t="n">
        <x:f>'Option source'!B229</x:f>
        <x:v>884.58</x:v>
      </x:c>
      <x:c r="J939" s="11" t="n">
        <x:f>G939-2*H939+IF(B939="Butterfly",I939,0)</x:f>
        <x:v>-76.94999999999993</x:v>
      </x:c>
      <x:c r="K939" s="11" t="n">
        <x:f>ABS(E939-D939)</x:f>
        <x:v>200</x:v>
      </x:c>
      <x:c r="L939" s="11" t="n">
        <x:f>K939-J939</x:f>
        <x:v>276.94999999999993</x:v>
      </x:c>
      <x:c r="M939" s="11" t="n">
        <x:f>IF(B939="Butterfly",MAX(J939,0),IF(C939="call","Unlimited",MAX(2*E939-D939+J939,J939,0)))</x:f>
        <x:v>0</x:v>
      </x:c>
      <x:c r="N939" s="11" t="str">
        <x:f>IF(B939="Butterfly",IF(AND(J939&gt;0,J939&lt;K939),D939+J939,"n.a."),IF(C939="call",IF(AND(J939&gt;0,J939&lt;K939),D939+J939,"n.a."),IF(AND(K939&gt;J939,2*E939-D939+J939&gt;=0),2*E939-D939+J939,"n.a.")))</x:f>
        <x:v>n.a.</x:v>
      </x:c>
      <x:c r="O939" s="11" t="str">
        <x:f>IF(B939="Butterfly",IF(AND(J939&gt;0,J939&lt;K939),F939-J939,"n.a."),IF(C939="call",IF(K939&gt;J939,2*E939-D939-J939,"n.a."),IF(AND(J939&gt;0,J939&lt;K939),D939-J939,"n.a.")))</x:f>
        <x:v>n.a.</x:v>
      </x:c>
      <x:c r="P939" s="19" t="str">
        <x:f>IF(AND(B939="Butterfly",J939&gt;0,J939&lt;K939),L939/J939,"n.a.")</x:f>
        <x:v>n.a.</x:v>
      </x:c>
      <x:c r="Q939" s="11" t="n">
        <x:f>J939*'Model inputs'!$B$8</x:f>
        <x:v>-7694.999999999993</x:v>
      </x:c>
      <x:c r="R939" s="1" t="str">
        <x:v>Outside standard debit bounds</x:v>
      </x:c>
      <x:c r="S939" s="1" t="n">
        <x:v>186</x:v>
      </x:c>
      <x:c r="T939" s="1" t="n">
        <x:v>205</x:v>
      </x:c>
    </x:row>
    <x:row r="940" ht="21" customHeight="1">
      <x:c r="A940" s="12" t="n">
        <x:v>46267</x:v>
      </x:c>
      <x:c r="B940" s="1" t="str">
        <x:v>Butterfly</x:v>
      </x:c>
      <x:c r="C940" s="1" t="str">
        <x:v>call</x:v>
      </x:c>
      <x:c r="D940" s="11" t="n">
        <x:v>6000</x:v>
      </x:c>
      <x:c r="E940" s="11" t="n">
        <x:v>6200</x:v>
      </x:c>
      <x:c r="F940" s="11" t="n">
        <x:v>6400</x:v>
      </x:c>
      <x:c r="G940" s="11" t="n">
        <x:f>'Option source'!B172</x:f>
        <x:v>1350</x:v>
      </x:c>
      <x:c r="H940" s="11" t="n">
        <x:f>'Option source'!B191</x:f>
        <x:v>1088.47</x:v>
      </x:c>
      <x:c r="I940" s="11" t="n">
        <x:f>'Option source'!B210</x:f>
        <x:v>1025</x:v>
      </x:c>
      <x:c r="J940" s="11" t="n">
        <x:f>G940-2*H940+IF(B940="Butterfly",I940,0)</x:f>
        <x:v>198.05999999999995</x:v>
      </x:c>
      <x:c r="K940" s="11" t="n">
        <x:f>ABS(E940-D940)</x:f>
        <x:v>200</x:v>
      </x:c>
      <x:c r="L940" s="11" t="n">
        <x:f>K940-J940</x:f>
        <x:v>1.9400000000000546</x:v>
      </x:c>
      <x:c r="M940" s="11" t="n">
        <x:f>IF(B940="Butterfly",MAX(J940,0),IF(C940="call","Unlimited",MAX(2*E940-D940+J940,J940,0)))</x:f>
        <x:v>198.05999999999995</x:v>
      </x:c>
      <x:c r="N940" s="11" t="n">
        <x:f>IF(B940="Butterfly",IF(AND(J940&gt;0,J940&lt;K940),D940+J940,"n.a."),IF(C940="call",IF(AND(J940&gt;0,J940&lt;K940),D940+J940,"n.a."),IF(AND(K940&gt;J940,2*E940-D940+J940&gt;=0),2*E940-D940+J940,"n.a.")))</x:f>
        <x:v>6198.0599999999995</x:v>
      </x:c>
      <x:c r="O940" s="11" t="n">
        <x:f>IF(B940="Butterfly",IF(AND(J940&gt;0,J940&lt;K940),F940-J940,"n.a."),IF(C940="call",IF(K940&gt;J940,2*E940-D940-J940,"n.a."),IF(AND(J940&gt;0,J940&lt;K940),D940-J940,"n.a.")))</x:f>
        <x:v>6201.9400000000005</x:v>
      </x:c>
      <x:c r="P940" s="19" t="n">
        <x:f>IF(AND(B940="Butterfly",J940&gt;0,J940&lt;K940),L940/J940,"n.a.")</x:f>
        <x:v>0.009795011612642911</x:v>
      </x:c>
      <x:c r="Q940" s="11" t="n">
        <x:f>J940*'Model inputs'!$B$8</x:f>
        <x:v>19805.999999999993</x:v>
      </x:c>
      <x:c r="R940" s="1" t="str">
        <x:v>Flagged leg data</x:v>
      </x:c>
      <x:c r="S940" s="1" t="n">
        <x:v>167</x:v>
      </x:c>
      <x:c r="T940" s="1" t="n">
        <x:v>186</x:v>
      </x:c>
    </x:row>
    <x:row r="941" ht="21" customHeight="1">
      <x:c r="A941" s="12" t="n">
        <x:v>46267</x:v>
      </x:c>
      <x:c r="B941" s="1" t="str">
        <x:v>Butterfly</x:v>
      </x:c>
      <x:c r="C941" s="1" t="str">
        <x:v>put</x:v>
      </x:c>
      <x:c r="D941" s="11" t="n">
        <x:v>8000</x:v>
      </x:c>
      <x:c r="E941" s="11" t="n">
        <x:v>8300</x:v>
      </x:c>
      <x:c r="F941" s="11" t="n">
        <x:v>8600</x:v>
      </x:c>
      <x:c r="G941" s="11" t="n">
        <x:f>'Option source'!B856</x:f>
        <x:v>910</x:v>
      </x:c>
      <x:c r="H941" s="11" t="n">
        <x:f>'Option source'!B875</x:f>
        <x:v>1250</x:v>
      </x:c>
      <x:c r="I941" s="11" t="n">
        <x:f>'Option source'!B894</x:f>
        <x:v>1555.11</x:v>
      </x:c>
      <x:c r="J941" s="11" t="n">
        <x:f>G941-2*H941+IF(B941="Butterfly",I941,0)</x:f>
        <x:v>-34.8900000000001</x:v>
      </x:c>
      <x:c r="K941" s="11" t="n">
        <x:f>ABS(E941-D941)</x:f>
        <x:v>300</x:v>
      </x:c>
      <x:c r="L941" s="11" t="n">
        <x:f>K941-J941</x:f>
        <x:v>334.8900000000001</x:v>
      </x:c>
      <x:c r="M941" s="11" t="n">
        <x:f>IF(B941="Butterfly",MAX(J941,0),IF(C941="call","Unlimited",MAX(2*E941-D941+J941,J941,0)))</x:f>
        <x:v>0</x:v>
      </x:c>
      <x:c r="N941" s="11" t="str">
        <x:f>IF(B941="Butterfly",IF(AND(J941&gt;0,J941&lt;K941),D941+J941,"n.a."),IF(C941="call",IF(AND(J941&gt;0,J941&lt;K941),D941+J941,"n.a."),IF(AND(K941&gt;J941,2*E941-D941+J941&gt;=0),2*E941-D941+J941,"n.a.")))</x:f>
        <x:v>n.a.</x:v>
      </x:c>
      <x:c r="O941" s="11" t="str">
        <x:f>IF(B941="Butterfly",IF(AND(J941&gt;0,J941&lt;K941),F941-J941,"n.a."),IF(C941="call",IF(K941&gt;J941,2*E941-D941-J941,"n.a."),IF(AND(J941&gt;0,J941&lt;K941),D941-J941,"n.a.")))</x:f>
        <x:v>n.a.</x:v>
      </x:c>
      <x:c r="P941" s="19" t="str">
        <x:f>IF(AND(B941="Butterfly",J941&gt;0,J941&lt;K941),L941/J941,"n.a.")</x:f>
        <x:v>n.a.</x:v>
      </x:c>
      <x:c r="Q941" s="11" t="n">
        <x:f>J941*'Model inputs'!$B$8</x:f>
        <x:v>-3489.00000000001</x:v>
      </x:c>
      <x:c r="R941" s="1" t="str">
        <x:v>Outside standard debit bounds</x:v>
      </x:c>
      <x:c r="S941" s="1" t="n">
        <x:v>851</x:v>
      </x:c>
      <x:c r="T941" s="1" t="n">
        <x:v>870</x:v>
      </x:c>
    </x:row>
    <x:row r="942" ht="21" customHeight="1">
      <x:c r="A942" s="12" t="n">
        <x:v>46267</x:v>
      </x:c>
      <x:c r="B942" s="1" t="str">
        <x:v>Butterfly</x:v>
      </x:c>
      <x:c r="C942" s="1" t="str">
        <x:v>put</x:v>
      </x:c>
      <x:c r="D942" s="11" t="n">
        <x:v>8300</x:v>
      </x:c>
      <x:c r="E942" s="11" t="n">
        <x:v>8600</x:v>
      </x:c>
      <x:c r="F942" s="11" t="n">
        <x:v>8900</x:v>
      </x:c>
      <x:c r="G942" s="11" t="n">
        <x:f>'Option source'!B875</x:f>
        <x:v>1250</x:v>
      </x:c>
      <x:c r="H942" s="11" t="n">
        <x:f>'Option source'!B894</x:f>
        <x:v>1555.11</x:v>
      </x:c>
      <x:c r="I942" s="11" t="n">
        <x:f>'Option source'!B909</x:f>
        <x:v>2022.5</x:v>
      </x:c>
      <x:c r="J942" s="11" t="n">
        <x:f>G942-2*H942+IF(B942="Butterfly",I942,0)</x:f>
        <x:v>162.2800000000002</x:v>
      </x:c>
      <x:c r="K942" s="11" t="n">
        <x:f>ABS(E942-D942)</x:f>
        <x:v>300</x:v>
      </x:c>
      <x:c r="L942" s="11" t="n">
        <x:f>K942-J942</x:f>
        <x:v>137.7199999999998</x:v>
      </x:c>
      <x:c r="M942" s="11" t="n">
        <x:f>IF(B942="Butterfly",MAX(J942,0),IF(C942="call","Unlimited",MAX(2*E942-D942+J942,J942,0)))</x:f>
        <x:v>162.2800000000002</x:v>
      </x:c>
      <x:c r="N942" s="11" t="n">
        <x:f>IF(B942="Butterfly",IF(AND(J942&gt;0,J942&lt;K942),D942+J942,"n.a."),IF(C942="call",IF(AND(J942&gt;0,J942&lt;K942),D942+J942,"n.a."),IF(AND(K942&gt;J942,2*E942-D942+J942&gt;=0),2*E942-D942+J942,"n.a.")))</x:f>
        <x:v>8462.28</x:v>
      </x:c>
      <x:c r="O942" s="11" t="n">
        <x:f>IF(B942="Butterfly",IF(AND(J942&gt;0,J942&lt;K942),F942-J942,"n.a."),IF(C942="call",IF(K942&gt;J942,2*E942-D942-J942,"n.a."),IF(AND(J942&gt;0,J942&lt;K942),D942-J942,"n.a.")))</x:f>
        <x:v>8737.72</x:v>
      </x:c>
      <x:c r="P942" s="19" t="n">
        <x:f>IF(AND(B942="Butterfly",J942&gt;0,J942&lt;K942),L942/J942,"n.a.")</x:f>
        <x:v>0.8486566428395343</x:v>
      </x:c>
      <x:c r="Q942" s="11" t="n">
        <x:f>J942*'Model inputs'!$B$8</x:f>
        <x:v>16228.00000000002</x:v>
      </x:c>
      <x:c r="R942" s="1" t="str">
        <x:v>Flagged leg data</x:v>
      </x:c>
      <x:c r="S942" s="1" t="n">
        <x:v>870</x:v>
      </x:c>
      <x:c r="T942" s="1" t="n">
        <x:v>889</x:v>
      </x:c>
    </x:row>
    <x:row r="943" ht="21" customHeight="1">
      <x:c r="A943" s="12" t="n">
        <x:v>46267</x:v>
      </x:c>
      <x:c r="B943" s="1" t="str">
        <x:v>Butterfly</x:v>
      </x:c>
      <x:c r="C943" s="1" t="str">
        <x:v>call</x:v>
      </x:c>
      <x:c r="D943" s="11" t="n">
        <x:v>5200</x:v>
      </x:c>
      <x:c r="E943" s="11" t="n">
        <x:v>5400</x:v>
      </x:c>
      <x:c r="F943" s="11" t="n">
        <x:v>5600</x:v>
      </x:c>
      <x:c r="G943" s="11" t="n">
        <x:f>'Option source'!B106</x:f>
        <x:v>1991.75</x:v>
      </x:c>
      <x:c r="H943" s="11" t="n">
        <x:f>'Option source'!B125</x:f>
        <x:v>1790</x:v>
      </x:c>
      <x:c r="I943" s="11" t="n">
        <x:f>'Option source'!B143</x:f>
        <x:v>1600</x:v>
      </x:c>
      <x:c r="J943" s="11" t="n">
        <x:f>G943-2*H943+IF(B943="Butterfly",I943,0)</x:f>
        <x:v>11.75</x:v>
      </x:c>
      <x:c r="K943" s="11" t="n">
        <x:f>ABS(E943-D943)</x:f>
        <x:v>200</x:v>
      </x:c>
      <x:c r="L943" s="11" t="n">
        <x:f>K943-J943</x:f>
        <x:v>188.25</x:v>
      </x:c>
      <x:c r="M943" s="11" t="n">
        <x:f>IF(B943="Butterfly",MAX(J943,0),IF(C943="call","Unlimited",MAX(2*E943-D943+J943,J943,0)))</x:f>
        <x:v>11.75</x:v>
      </x:c>
      <x:c r="N943" s="11" t="n">
        <x:f>IF(B943="Butterfly",IF(AND(J943&gt;0,J943&lt;K943),D943+J943,"n.a."),IF(C943="call",IF(AND(J943&gt;0,J943&lt;K943),D943+J943,"n.a."),IF(AND(K943&gt;J943,2*E943-D943+J943&gt;=0),2*E943-D943+J943,"n.a.")))</x:f>
        <x:v>5211.75</x:v>
      </x:c>
      <x:c r="O943" s="11" t="n">
        <x:f>IF(B943="Butterfly",IF(AND(J943&gt;0,J943&lt;K943),F943-J943,"n.a."),IF(C943="call",IF(K943&gt;J943,2*E943-D943-J943,"n.a."),IF(AND(J943&gt;0,J943&lt;K943),D943-J943,"n.a.")))</x:f>
        <x:v>5588.25</x:v>
      </x:c>
      <x:c r="P943" s="19" t="n">
        <x:f>IF(AND(B943="Butterfly",J943&gt;0,J943&lt;K943),L943/J943,"n.a.")</x:f>
        <x:v>16.02127659574468</x:v>
      </x:c>
      <x:c r="Q943" s="11" t="n">
        <x:f>J943*'Model inputs'!$B$8</x:f>
        <x:v>1175</x:v>
      </x:c>
      <x:c r="R943" s="1" t="str">
        <x:v>Flagged leg data</x:v>
      </x:c>
      <x:c r="S943" s="1" t="n">
        <x:v>101</x:v>
      </x:c>
      <x:c r="T943" s="1" t="n">
        <x:v>120</x:v>
      </x:c>
    </x:row>
    <x:row r="944" ht="21" customHeight="1">
      <x:c r="A944" s="12" t="n">
        <x:v>46267</x:v>
      </x:c>
      <x:c r="B944" s="1" t="str">
        <x:v>Butterfly</x:v>
      </x:c>
      <x:c r="C944" s="1" t="str">
        <x:v>call</x:v>
      </x:c>
      <x:c r="D944" s="11" t="n">
        <x:v>5000</x:v>
      </x:c>
      <x:c r="E944" s="11" t="n">
        <x:v>5200</x:v>
      </x:c>
      <x:c r="F944" s="11" t="n">
        <x:v>5400</x:v>
      </x:c>
      <x:c r="G944" s="11" t="n">
        <x:f>'Option source'!B87</x:f>
        <x:v>2170</x:v>
      </x:c>
      <x:c r="H944" s="11" t="n">
        <x:f>'Option source'!B106</x:f>
        <x:v>1991.75</x:v>
      </x:c>
      <x:c r="I944" s="11" t="n">
        <x:f>'Option source'!B125</x:f>
        <x:v>1790</x:v>
      </x:c>
      <x:c r="J944" s="11" t="n">
        <x:f>G944-2*H944+IF(B944="Butterfly",I944,0)</x:f>
        <x:v>-23.5</x:v>
      </x:c>
      <x:c r="K944" s="11" t="n">
        <x:f>ABS(E944-D944)</x:f>
        <x:v>200</x:v>
      </x:c>
      <x:c r="L944" s="11" t="n">
        <x:f>K944-J944</x:f>
        <x:v>223.5</x:v>
      </x:c>
      <x:c r="M944" s="11" t="n">
        <x:f>IF(B944="Butterfly",MAX(J944,0),IF(C944="call","Unlimited",MAX(2*E944-D944+J944,J944,0)))</x:f>
        <x:v>0</x:v>
      </x:c>
      <x:c r="N944" s="11" t="str">
        <x:f>IF(B944="Butterfly",IF(AND(J944&gt;0,J944&lt;K944),D944+J944,"n.a."),IF(C944="call",IF(AND(J944&gt;0,J944&lt;K944),D944+J944,"n.a."),IF(AND(K944&gt;J944,2*E944-D944+J944&gt;=0),2*E944-D944+J944,"n.a.")))</x:f>
        <x:v>n.a.</x:v>
      </x:c>
      <x:c r="O944" s="11" t="str">
        <x:f>IF(B944="Butterfly",IF(AND(J944&gt;0,J944&lt;K944),F944-J944,"n.a."),IF(C944="call",IF(K944&gt;J944,2*E944-D944-J944,"n.a."),IF(AND(J944&gt;0,J944&lt;K944),D944-J944,"n.a.")))</x:f>
        <x:v>n.a.</x:v>
      </x:c>
      <x:c r="P944" s="19" t="str">
        <x:f>IF(AND(B944="Butterfly",J944&gt;0,J944&lt;K944),L944/J944,"n.a.")</x:f>
        <x:v>n.a.</x:v>
      </x:c>
      <x:c r="Q944" s="11" t="n">
        <x:f>J944*'Model inputs'!$B$8</x:f>
        <x:v>-2350</x:v>
      </x:c>
      <x:c r="R944" s="1" t="str">
        <x:v>Outside standard debit bounds</x:v>
      </x:c>
      <x:c r="S944" s="1" t="n">
        <x:v>82</x:v>
      </x:c>
      <x:c r="T944" s="1" t="n">
        <x:v>101</x:v>
      </x:c>
    </x:row>
    <x:row r="945" ht="21" customHeight="1">
      <x:c r="A945" s="12" t="n">
        <x:v>46267</x:v>
      </x:c>
      <x:c r="B945" s="1" t="str">
        <x:v>Butterfly</x:v>
      </x:c>
      <x:c r="C945" s="1" t="str">
        <x:v>call</x:v>
      </x:c>
      <x:c r="D945" s="11" t="n">
        <x:v>4800</x:v>
      </x:c>
      <x:c r="E945" s="11" t="n">
        <x:v>5000</x:v>
      </x:c>
      <x:c r="F945" s="11" t="n">
        <x:v>5200</x:v>
      </x:c>
      <x:c r="G945" s="11" t="n">
        <x:f>'Option source'!B70</x:f>
        <x:v>2375</x:v>
      </x:c>
      <x:c r="H945" s="11" t="n">
        <x:f>'Option source'!B87</x:f>
        <x:v>2170</x:v>
      </x:c>
      <x:c r="I945" s="11" t="n">
        <x:f>'Option source'!B106</x:f>
        <x:v>1991.75</x:v>
      </x:c>
      <x:c r="J945" s="11" t="n">
        <x:f>G945-2*H945+IF(B945="Butterfly",I945,0)</x:f>
        <x:v>26.75</x:v>
      </x:c>
      <x:c r="K945" s="11" t="n">
        <x:f>ABS(E945-D945)</x:f>
        <x:v>200</x:v>
      </x:c>
      <x:c r="L945" s="11" t="n">
        <x:f>K945-J945</x:f>
        <x:v>173.25</x:v>
      </x:c>
      <x:c r="M945" s="11" t="n">
        <x:f>IF(B945="Butterfly",MAX(J945,0),IF(C945="call","Unlimited",MAX(2*E945-D945+J945,J945,0)))</x:f>
        <x:v>26.75</x:v>
      </x:c>
      <x:c r="N945" s="11" t="n">
        <x:f>IF(B945="Butterfly",IF(AND(J945&gt;0,J945&lt;K945),D945+J945,"n.a."),IF(C945="call",IF(AND(J945&gt;0,J945&lt;K945),D945+J945,"n.a."),IF(AND(K945&gt;J945,2*E945-D945+J945&gt;=0),2*E945-D945+J945,"n.a.")))</x:f>
        <x:v>4826.75</x:v>
      </x:c>
      <x:c r="O945" s="11" t="n">
        <x:f>IF(B945="Butterfly",IF(AND(J945&gt;0,J945&lt;K945),F945-J945,"n.a."),IF(C945="call",IF(K945&gt;J945,2*E945-D945-J945,"n.a."),IF(AND(J945&gt;0,J945&lt;K945),D945-J945,"n.a.")))</x:f>
        <x:v>5173.25</x:v>
      </x:c>
      <x:c r="P945" s="19" t="n">
        <x:f>IF(AND(B945="Butterfly",J945&gt;0,J945&lt;K945),L945/J945,"n.a.")</x:f>
        <x:v>6.4766355140186915</x:v>
      </x:c>
      <x:c r="Q945" s="11" t="n">
        <x:f>J945*'Model inputs'!$B$8</x:f>
        <x:v>2675</x:v>
      </x:c>
      <x:c r="R945" s="1" t="str">
        <x:v>Flagged leg data</x:v>
      </x:c>
      <x:c r="S945" s="1" t="n">
        <x:v>65</x:v>
      </x:c>
      <x:c r="T945" s="1" t="n">
        <x:v>82</x:v>
      </x:c>
    </x:row>
    <x:row r="946" ht="21" customHeight="1">
      <x:c r="A946" s="12" t="n">
        <x:v>46267</x:v>
      </x:c>
      <x:c r="B946" s="1" t="str">
        <x:v>Butterfly</x:v>
      </x:c>
      <x:c r="C946" s="1" t="str">
        <x:v>call</x:v>
      </x:c>
      <x:c r="D946" s="11" t="n">
        <x:v>4600</x:v>
      </x:c>
      <x:c r="E946" s="11" t="n">
        <x:v>4800</x:v>
      </x:c>
      <x:c r="F946" s="11" t="n">
        <x:v>5000</x:v>
      </x:c>
      <x:c r="G946" s="11" t="n">
        <x:f>'Option source'!B53</x:f>
        <x:v>2384.72</x:v>
      </x:c>
      <x:c r="H946" s="11" t="n">
        <x:f>'Option source'!B70</x:f>
        <x:v>2375</x:v>
      </x:c>
      <x:c r="I946" s="11" t="n">
        <x:f>'Option source'!B87</x:f>
        <x:v>2170</x:v>
      </x:c>
      <x:c r="J946" s="11" t="n">
        <x:f>G946-2*H946+IF(B946="Butterfly",I946,0)</x:f>
        <x:v>-195.2800000000002</x:v>
      </x:c>
      <x:c r="K946" s="11" t="n">
        <x:f>ABS(E946-D946)</x:f>
        <x:v>200</x:v>
      </x:c>
      <x:c r="L946" s="11" t="n">
        <x:f>K946-J946</x:f>
        <x:v>395.2800000000002</x:v>
      </x:c>
      <x:c r="M946" s="11" t="n">
        <x:f>IF(B946="Butterfly",MAX(J946,0),IF(C946="call","Unlimited",MAX(2*E946-D946+J946,J946,0)))</x:f>
        <x:v>0</x:v>
      </x:c>
      <x:c r="N946" s="11" t="str">
        <x:f>IF(B946="Butterfly",IF(AND(J946&gt;0,J946&lt;K946),D946+J946,"n.a."),IF(C946="call",IF(AND(J946&gt;0,J946&lt;K946),D946+J946,"n.a."),IF(AND(K946&gt;J946,2*E946-D946+J946&gt;=0),2*E946-D946+J946,"n.a.")))</x:f>
        <x:v>n.a.</x:v>
      </x:c>
      <x:c r="O946" s="11" t="str">
        <x:f>IF(B946="Butterfly",IF(AND(J946&gt;0,J946&lt;K946),F946-J946,"n.a."),IF(C946="call",IF(K946&gt;J946,2*E946-D946-J946,"n.a."),IF(AND(J946&gt;0,J946&lt;K946),D946-J946,"n.a.")))</x:f>
        <x:v>n.a.</x:v>
      </x:c>
      <x:c r="P946" s="19" t="str">
        <x:f>IF(AND(B946="Butterfly",J946&gt;0,J946&lt;K946),L946/J946,"n.a.")</x:f>
        <x:v>n.a.</x:v>
      </x:c>
      <x:c r="Q946" s="11" t="n">
        <x:f>J946*'Model inputs'!$B$8</x:f>
        <x:v>-19528.000000000022</x:v>
      </x:c>
      <x:c r="R946" s="1" t="str">
        <x:v>Outside standard debit bounds</x:v>
      </x:c>
      <x:c r="S946" s="1" t="n">
        <x:v>48</x:v>
      </x:c>
      <x:c r="T946" s="1" t="n">
        <x:v>65</x:v>
      </x:c>
    </x:row>
    <x:row r="947" ht="21" customHeight="1">
      <x:c r="A947" s="12" t="n">
        <x:v>46267</x:v>
      </x:c>
      <x:c r="B947" s="1" t="str">
        <x:v>Butterfly</x:v>
      </x:c>
      <x:c r="C947" s="1" t="str">
        <x:v>call</x:v>
      </x:c>
      <x:c r="D947" s="11" t="n">
        <x:v>4400</x:v>
      </x:c>
      <x:c r="E947" s="11" t="n">
        <x:v>4600</x:v>
      </x:c>
      <x:c r="F947" s="11" t="n">
        <x:v>4800</x:v>
      </x:c>
      <x:c r="G947" s="11" t="n">
        <x:f>'Option source'!B34</x:f>
        <x:v>2849.09</x:v>
      </x:c>
      <x:c r="H947" s="11" t="n">
        <x:f>'Option source'!B53</x:f>
        <x:v>2384.72</x:v>
      </x:c>
      <x:c r="I947" s="11" t="n">
        <x:f>'Option source'!B70</x:f>
        <x:v>2375</x:v>
      </x:c>
      <x:c r="J947" s="11" t="n">
        <x:f>G947-2*H947+IF(B947="Butterfly",I947,0)</x:f>
        <x:v>454.65000000000055</x:v>
      </x:c>
      <x:c r="K947" s="11" t="n">
        <x:f>ABS(E947-D947)</x:f>
        <x:v>200</x:v>
      </x:c>
      <x:c r="L947" s="11" t="n">
        <x:f>K947-J947</x:f>
        <x:v>-254.65000000000055</x:v>
      </x:c>
      <x:c r="M947" s="11" t="n">
        <x:f>IF(B947="Butterfly",MAX(J947,0),IF(C947="call","Unlimited",MAX(2*E947-D947+J947,J947,0)))</x:f>
        <x:v>454.65000000000055</x:v>
      </x:c>
      <x:c r="N947" s="11" t="str">
        <x:f>IF(B947="Butterfly",IF(AND(J947&gt;0,J947&lt;K947),D947+J947,"n.a."),IF(C947="call",IF(AND(J947&gt;0,J947&lt;K947),D947+J947,"n.a."),IF(AND(K947&gt;J947,2*E947-D947+J947&gt;=0),2*E947-D947+J947,"n.a.")))</x:f>
        <x:v>n.a.</x:v>
      </x:c>
      <x:c r="O947" s="11" t="str">
        <x:f>IF(B947="Butterfly",IF(AND(J947&gt;0,J947&lt;K947),F947-J947,"n.a."),IF(C947="call",IF(K947&gt;J947,2*E947-D947-J947,"n.a."),IF(AND(J947&gt;0,J947&lt;K947),D947-J947,"n.a.")))</x:f>
        <x:v>n.a.</x:v>
      </x:c>
      <x:c r="P947" s="19" t="str">
        <x:f>IF(AND(B947="Butterfly",J947&gt;0,J947&lt;K947),L947/J947,"n.a.")</x:f>
        <x:v>n.a.</x:v>
      </x:c>
      <x:c r="Q947" s="11" t="n">
        <x:f>J947*'Model inputs'!$B$8</x:f>
        <x:v>45465.00000000006</x:v>
      </x:c>
      <x:c r="R947" s="1" t="str">
        <x:v>Outside standard debit bounds</x:v>
      </x:c>
      <x:c r="S947" s="1" t="n">
        <x:v>29</x:v>
      </x:c>
      <x:c r="T947" s="1" t="n">
        <x:v>48</x:v>
      </x:c>
    </x:row>
    <x:row r="948" ht="21" customHeight="1">
      <x:c r="A948" s="12" t="n">
        <x:v>46267</x:v>
      </x:c>
      <x:c r="B948" s="1" t="str">
        <x:v>Butterfly</x:v>
      </x:c>
      <x:c r="C948" s="1" t="str">
        <x:v>call</x:v>
      </x:c>
      <x:c r="D948" s="11" t="n">
        <x:v>4200</x:v>
      </x:c>
      <x:c r="E948" s="11" t="n">
        <x:v>4400</x:v>
      </x:c>
      <x:c r="F948" s="11" t="n">
        <x:v>4600</x:v>
      </x:c>
      <x:c r="G948" s="11" t="n">
        <x:f>'Option source'!B15</x:f>
        <x:v>3017.35</x:v>
      </x:c>
      <x:c r="H948" s="11" t="n">
        <x:f>'Option source'!B34</x:f>
        <x:v>2849.09</x:v>
      </x:c>
      <x:c r="I948" s="11" t="n">
        <x:f>'Option source'!B53</x:f>
        <x:v>2384.72</x:v>
      </x:c>
      <x:c r="J948" s="11" t="n">
        <x:f>G948-2*H948+IF(B948="Butterfly",I948,0)</x:f>
        <x:v>-296.1100000000006</x:v>
      </x:c>
      <x:c r="K948" s="11" t="n">
        <x:f>ABS(E948-D948)</x:f>
        <x:v>200</x:v>
      </x:c>
      <x:c r="L948" s="11" t="n">
        <x:f>K948-J948</x:f>
        <x:v>496.1100000000006</x:v>
      </x:c>
      <x:c r="M948" s="11" t="n">
        <x:f>IF(B948="Butterfly",MAX(J948,0),IF(C948="call","Unlimited",MAX(2*E948-D948+J948,J948,0)))</x:f>
        <x:v>0</x:v>
      </x:c>
      <x:c r="N948" s="11" t="str">
        <x:f>IF(B948="Butterfly",IF(AND(J948&gt;0,J948&lt;K948),D948+J948,"n.a."),IF(C948="call",IF(AND(J948&gt;0,J948&lt;K948),D948+J948,"n.a."),IF(AND(K948&gt;J948,2*E948-D948+J948&gt;=0),2*E948-D948+J948,"n.a.")))</x:f>
        <x:v>n.a.</x:v>
      </x:c>
      <x:c r="O948" s="11" t="str">
        <x:f>IF(B948="Butterfly",IF(AND(J948&gt;0,J948&lt;K948),F948-J948,"n.a."),IF(C948="call",IF(K948&gt;J948,2*E948-D948-J948,"n.a."),IF(AND(J948&gt;0,J948&lt;K948),D948-J948,"n.a.")))</x:f>
        <x:v>n.a.</x:v>
      </x:c>
      <x:c r="P948" s="19" t="str">
        <x:f>IF(AND(B948="Butterfly",J948&gt;0,J948&lt;K948),L948/J948,"n.a.")</x:f>
        <x:v>n.a.</x:v>
      </x:c>
      <x:c r="Q948" s="11" t="n">
        <x:f>J948*'Model inputs'!$B$8</x:f>
        <x:v>-29611.00000000006</x:v>
      </x:c>
      <x:c r="R948" s="1" t="str">
        <x:v>Outside standard debit bounds</x:v>
      </x:c>
      <x:c r="S948" s="1" t="n">
        <x:v>10</x:v>
      </x:c>
      <x:c r="T948" s="1" t="n">
        <x:v>29</x:v>
      </x:c>
    </x:row>
    <x:row r="949" ht="21" customHeight="1">
      <x:c r="A949" s="12" t="n">
        <x:v>46267</x:v>
      </x:c>
      <x:c r="B949" s="1" t="str">
        <x:v>Butterfly</x:v>
      </x:c>
      <x:c r="C949" s="1" t="str">
        <x:v>put</x:v>
      </x:c>
      <x:c r="D949" s="11" t="n">
        <x:v>4200</x:v>
      </x:c>
      <x:c r="E949" s="11" t="n">
        <x:v>4400</x:v>
      </x:c>
      <x:c r="F949" s="11" t="n">
        <x:v>4600</x:v>
      </x:c>
      <x:c r="G949" s="11" t="n">
        <x:f>'Option source'!B495</x:f>
        <x:v>0.9</x:v>
      </x:c>
      <x:c r="H949" s="11" t="n">
        <x:f>'Option source'!B514</x:f>
        <x:v>1.28</x:v>
      </x:c>
      <x:c r="I949" s="11" t="n">
        <x:f>'Option source'!B533</x:f>
        <x:v>1.38</x:v>
      </x:c>
      <x:c r="J949" s="11" t="n">
        <x:f>G949-2*H949+IF(B949="Butterfly",I949,0)</x:f>
        <x:v>-0.28000000000000025</x:v>
      </x:c>
      <x:c r="K949" s="11" t="n">
        <x:f>ABS(E949-D949)</x:f>
        <x:v>200</x:v>
      </x:c>
      <x:c r="L949" s="11" t="n">
        <x:f>K949-J949</x:f>
        <x:v>200.28</x:v>
      </x:c>
      <x:c r="M949" s="11" t="n">
        <x:f>IF(B949="Butterfly",MAX(J949,0),IF(C949="call","Unlimited",MAX(2*E949-D949+J949,J949,0)))</x:f>
        <x:v>0</x:v>
      </x:c>
      <x:c r="N949" s="11" t="str">
        <x:f>IF(B949="Butterfly",IF(AND(J949&gt;0,J949&lt;K949),D949+J949,"n.a."),IF(C949="call",IF(AND(J949&gt;0,J949&lt;K949),D949+J949,"n.a."),IF(AND(K949&gt;J949,2*E949-D949+J949&gt;=0),2*E949-D949+J949,"n.a.")))</x:f>
        <x:v>n.a.</x:v>
      </x:c>
      <x:c r="O949" s="11" t="str">
        <x:f>IF(B949="Butterfly",IF(AND(J949&gt;0,J949&lt;K949),F949-J949,"n.a."),IF(C949="call",IF(K949&gt;J949,2*E949-D949-J949,"n.a."),IF(AND(J949&gt;0,J949&lt;K949),D949-J949,"n.a.")))</x:f>
        <x:v>n.a.</x:v>
      </x:c>
      <x:c r="P949" s="19" t="str">
        <x:f>IF(AND(B949="Butterfly",J949&gt;0,J949&lt;K949),L949/J949,"n.a.")</x:f>
        <x:v>n.a.</x:v>
      </x:c>
      <x:c r="Q949" s="11" t="n">
        <x:f>J949*'Model inputs'!$B$8</x:f>
        <x:v>-28.000000000000025</x:v>
      </x:c>
      <x:c r="R949" s="1" t="str">
        <x:v>Outside standard debit bounds</x:v>
      </x:c>
      <x:c r="S949" s="1" t="n">
        <x:v>490</x:v>
      </x:c>
      <x:c r="T949" s="1" t="n">
        <x:v>509</x:v>
      </x:c>
    </x:row>
    <x:row r="950" ht="21" customHeight="1">
      <x:c r="A950" s="12" t="n">
        <x:v>46267</x:v>
      </x:c>
      <x:c r="B950" s="1" t="str">
        <x:v>1x2 ratio</x:v>
      </x:c>
      <x:c r="C950" s="1" t="str">
        <x:v>call</x:v>
      </x:c>
      <x:c r="D950" s="11" t="n">
        <x:v>7000</x:v>
      </x:c>
      <x:c r="E950" s="11" t="n">
        <x:v>7200</x:v>
      </x:c>
      <x:c r="F950" s="11"/>
      <x:c r="G950" s="11" t="n">
        <x:f>'Option source'!B267</x:f>
        <x:v>617.88</x:v>
      </x:c>
      <x:c r="H950" s="11" t="n">
        <x:f>'Option source'!B286</x:f>
        <x:v>507.78</x:v>
      </x:c>
      <x:c r="I950" s="11"/>
      <x:c r="J950" s="11" t="n">
        <x:f>G950-2*H950+IF(B950="Butterfly",I950,0)</x:f>
        <x:v>-397.67999999999995</x:v>
      </x:c>
      <x:c r="K950" s="11" t="n">
        <x:f>ABS(E950-D950)</x:f>
        <x:v>200</x:v>
      </x:c>
      <x:c r="L950" s="11" t="n">
        <x:f>K950-J950</x:f>
        <x:v>597.68</x:v>
      </x:c>
      <x:c r="M950" s="11" t="str">
        <x:f>IF(B950="Butterfly",MAX(J950,0),IF(C950="call","Unlimited",MAX(2*E950-D950+J950,J950,0)))</x:f>
        <x:v>Unlimited</x:v>
      </x:c>
      <x:c r="N950" s="11" t="str">
        <x:f>IF(B950="Butterfly",IF(AND(J950&gt;0,J950&lt;K950),D950+J950,"n.a."),IF(C950="call",IF(AND(J950&gt;0,J950&lt;K950),D950+J950,"n.a."),IF(AND(K950&gt;J950,2*E950-D950+J950&gt;=0),2*E950-D950+J950,"n.a.")))</x:f>
        <x:v>n.a.</x:v>
      </x:c>
      <x:c r="O950" s="11" t="n">
        <x:f>IF(B950="Butterfly",IF(AND(J950&gt;0,J950&lt;K950),F950-J950,"n.a."),IF(C950="call",IF(K950&gt;J950,2*E950-D950-J950,"n.a."),IF(AND(J950&gt;0,J950&lt;K950),D950-J950,"n.a.")))</x:f>
        <x:v>7797.68</x:v>
      </x:c>
      <x:c r="P950" s="19" t="str">
        <x:f>IF(AND(B950="Butterfly",J950&gt;0,J950&lt;K950),L950/J950,"n.a.")</x:f>
        <x:v>n.a.</x:v>
      </x:c>
      <x:c r="Q950" s="11" t="n">
        <x:f>J950*'Model inputs'!$B$8</x:f>
        <x:v>-39767.99999999999</x:v>
      </x:c>
      <x:c r="R950" s="1" t="str">
        <x:v>Indicative only</x:v>
      </x:c>
      <x:c r="S950" s="1" t="n">
        <x:v>262</x:v>
      </x:c>
      <x:c r="T950" s="1" t="n">
        <x:v>281</x:v>
      </x:c>
    </x:row>
    <x:row r="951" ht="21" customHeight="1">
      <x:c r="A951" s="12" t="n">
        <x:v>46267</x:v>
      </x:c>
      <x:c r="B951" s="1" t="str">
        <x:v>1x2 ratio</x:v>
      </x:c>
      <x:c r="C951" s="1" t="str">
        <x:v>put</x:v>
      </x:c>
      <x:c r="D951" s="11" t="n">
        <x:v>7400</x:v>
      </x:c>
      <x:c r="E951" s="11" t="n">
        <x:v>7200</x:v>
      </x:c>
      <x:c r="F951" s="11"/>
      <x:c r="G951" s="11" t="n">
        <x:f>'Option source'!B799</x:f>
        <x:v>480</x:v>
      </x:c>
      <x:c r="H951" s="11" t="n">
        <x:f>'Option source'!B780</x:f>
        <x:v>369.49</x:v>
      </x:c>
      <x:c r="I951" s="11"/>
      <x:c r="J951" s="11" t="n">
        <x:f>G951-2*H951+IF(B951="Butterfly",I951,0)</x:f>
        <x:v>-258.98</x:v>
      </x:c>
      <x:c r="K951" s="11" t="n">
        <x:f>ABS(E951-D951)</x:f>
        <x:v>200</x:v>
      </x:c>
      <x:c r="L951" s="11" t="n">
        <x:f>K951-J951</x:f>
        <x:v>458.98</x:v>
      </x:c>
      <x:c r="M951" s="11" t="n">
        <x:f>IF(B951="Butterfly",MAX(J951,0),IF(C951="call","Unlimited",MAX(2*E951-D951+J951,J951,0)))</x:f>
        <x:v>6741.02</x:v>
      </x:c>
      <x:c r="N951" s="11" t="n">
        <x:f>IF(B951="Butterfly",IF(AND(J951&gt;0,J951&lt;K951),D951+J951,"n.a."),IF(C951="call",IF(AND(J951&gt;0,J951&lt;K951),D951+J951,"n.a."),IF(AND(K951&gt;J951,2*E951-D951+J951&gt;=0),2*E951-D951+J951,"n.a.")))</x:f>
        <x:v>6741.02</x:v>
      </x:c>
      <x:c r="O951" s="11" t="str">
        <x:f>IF(B951="Butterfly",IF(AND(J951&gt;0,J951&lt;K951),F951-J951,"n.a."),IF(C951="call",IF(K951&gt;J951,2*E951-D951-J951,"n.a."),IF(AND(J951&gt;0,J951&lt;K951),D951-J951,"n.a.")))</x:f>
        <x:v>n.a.</x:v>
      </x:c>
      <x:c r="P951" s="19" t="str">
        <x:f>IF(AND(B951="Butterfly",J951&gt;0,J951&lt;K951),L951/J951,"n.a.")</x:f>
        <x:v>n.a.</x:v>
      </x:c>
      <x:c r="Q951" s="11" t="n">
        <x:f>J951*'Model inputs'!$B$8</x:f>
        <x:v>-25898</x:v>
      </x:c>
      <x:c r="R951" s="1" t="str">
        <x:v>Indicative only</x:v>
      </x:c>
      <x:c r="S951" s="1" t="n">
        <x:v>794</x:v>
      </x:c>
      <x:c r="T951" s="1" t="n">
        <x:v>775</x:v>
      </x:c>
    </x:row>
    <x:row r="952" ht="21" customHeight="1">
      <x:c r="A952" s="12" t="n">
        <x:v>46267</x:v>
      </x:c>
      <x:c r="B952" s="1" t="str">
        <x:v>1x2 ratio</x:v>
      </x:c>
      <x:c r="C952" s="1" t="str">
        <x:v>call</x:v>
      </x:c>
      <x:c r="D952" s="11" t="n">
        <x:v>6800</x:v>
      </x:c>
      <x:c r="E952" s="11" t="n">
        <x:v>7000</x:v>
      </x:c>
      <x:c r="F952" s="11"/>
      <x:c r="G952" s="11" t="n">
        <x:f>'Option source'!B248</x:f>
        <x:v>745.47</x:v>
      </x:c>
      <x:c r="H952" s="11" t="n">
        <x:f>'Option source'!B267</x:f>
        <x:v>617.88</x:v>
      </x:c>
      <x:c r="I952" s="11"/>
      <x:c r="J952" s="11" t="n">
        <x:f>G952-2*H952+IF(B952="Butterfly",I952,0)</x:f>
        <x:v>-490.28999999999996</x:v>
      </x:c>
      <x:c r="K952" s="11" t="n">
        <x:f>ABS(E952-D952)</x:f>
        <x:v>200</x:v>
      </x:c>
      <x:c r="L952" s="11" t="n">
        <x:f>K952-J952</x:f>
        <x:v>690.29</x:v>
      </x:c>
      <x:c r="M952" s="11" t="str">
        <x:f>IF(B952="Butterfly",MAX(J952,0),IF(C952="call","Unlimited",MAX(2*E952-D952+J952,J952,0)))</x:f>
        <x:v>Unlimited</x:v>
      </x:c>
      <x:c r="N952" s="11" t="str">
        <x:f>IF(B952="Butterfly",IF(AND(J952&gt;0,J952&lt;K952),D952+J952,"n.a."),IF(C952="call",IF(AND(J952&gt;0,J952&lt;K952),D952+J952,"n.a."),IF(AND(K952&gt;J952,2*E952-D952+J952&gt;=0),2*E952-D952+J952,"n.a.")))</x:f>
        <x:v>n.a.</x:v>
      </x:c>
      <x:c r="O952" s="11" t="n">
        <x:f>IF(B952="Butterfly",IF(AND(J952&gt;0,J952&lt;K952),F952-J952,"n.a."),IF(C952="call",IF(K952&gt;J952,2*E952-D952-J952,"n.a."),IF(AND(J952&gt;0,J952&lt;K952),D952-J952,"n.a.")))</x:f>
        <x:v>7690.29</x:v>
      </x:c>
      <x:c r="P952" s="19" t="str">
        <x:f>IF(AND(B952="Butterfly",J952&gt;0,J952&lt;K952),L952/J952,"n.a.")</x:f>
        <x:v>n.a.</x:v>
      </x:c>
      <x:c r="Q952" s="11" t="n">
        <x:f>J952*'Model inputs'!$B$8</x:f>
        <x:v>-49029</x:v>
      </x:c>
      <x:c r="R952" s="1" t="str">
        <x:v>Indicative only</x:v>
      </x:c>
      <x:c r="S952" s="1" t="n">
        <x:v>243</x:v>
      </x:c>
      <x:c r="T952" s="1" t="n">
        <x:v>262</x:v>
      </x:c>
    </x:row>
    <x:row r="953" ht="21" customHeight="1">
      <x:c r="A953" s="12" t="n">
        <x:v>46267</x:v>
      </x:c>
      <x:c r="B953" s="1" t="str">
        <x:v>1x2 ratio</x:v>
      </x:c>
      <x:c r="C953" s="1" t="str">
        <x:v>put</x:v>
      </x:c>
      <x:c r="D953" s="11" t="n">
        <x:v>7200</x:v>
      </x:c>
      <x:c r="E953" s="11" t="n">
        <x:v>7000</x:v>
      </x:c>
      <x:c r="F953" s="11"/>
      <x:c r="G953" s="11" t="n">
        <x:f>'Option source'!B780</x:f>
        <x:v>369.49</x:v>
      </x:c>
      <x:c r="H953" s="11" t="n">
        <x:f>'Option source'!B761</x:f>
        <x:v>286.63</x:v>
      </x:c>
      <x:c r="I953" s="11"/>
      <x:c r="J953" s="11" t="n">
        <x:f>G953-2*H953+IF(B953="Butterfly",I953,0)</x:f>
        <x:v>-203.76999999999998</x:v>
      </x:c>
      <x:c r="K953" s="11" t="n">
        <x:f>ABS(E953-D953)</x:f>
        <x:v>200</x:v>
      </x:c>
      <x:c r="L953" s="11" t="n">
        <x:f>K953-J953</x:f>
        <x:v>403.77</x:v>
      </x:c>
      <x:c r="M953" s="11" t="n">
        <x:f>IF(B953="Butterfly",MAX(J953,0),IF(C953="call","Unlimited",MAX(2*E953-D953+J953,J953,0)))</x:f>
        <x:v>6596.23</x:v>
      </x:c>
      <x:c r="N953" s="11" t="n">
        <x:f>IF(B953="Butterfly",IF(AND(J953&gt;0,J953&lt;K953),D953+J953,"n.a."),IF(C953="call",IF(AND(J953&gt;0,J953&lt;K953),D953+J953,"n.a."),IF(AND(K953&gt;J953,2*E953-D953+J953&gt;=0),2*E953-D953+J953,"n.a.")))</x:f>
        <x:v>6596.23</x:v>
      </x:c>
      <x:c r="O953" s="11" t="str">
        <x:f>IF(B953="Butterfly",IF(AND(J953&gt;0,J953&lt;K953),F953-J953,"n.a."),IF(C953="call",IF(K953&gt;J953,2*E953-D953-J953,"n.a."),IF(AND(J953&gt;0,J953&lt;K953),D953-J953,"n.a.")))</x:f>
        <x:v>n.a.</x:v>
      </x:c>
      <x:c r="P953" s="19" t="str">
        <x:f>IF(AND(B953="Butterfly",J953&gt;0,J953&lt;K953),L953/J953,"n.a.")</x:f>
        <x:v>n.a.</x:v>
      </x:c>
      <x:c r="Q953" s="11" t="n">
        <x:f>J953*'Model inputs'!$B$8</x:f>
        <x:v>-20377</x:v>
      </x:c>
      <x:c r="R953" s="1" t="str">
        <x:v>Indicative only</x:v>
      </x:c>
      <x:c r="S953" s="1" t="n">
        <x:v>775</x:v>
      </x:c>
      <x:c r="T953" s="1" t="n">
        <x:v>756</x:v>
      </x:c>
    </x:row>
    <x:row r="954" ht="21" customHeight="1">
      <x:c r="A954" s="12" t="n">
        <x:v>46267</x:v>
      </x:c>
      <x:c r="B954" s="1" t="str">
        <x:v>1x2 ratio</x:v>
      </x:c>
      <x:c r="C954" s="1" t="str">
        <x:v>call</x:v>
      </x:c>
      <x:c r="D954" s="11" t="n">
        <x:v>7200</x:v>
      </x:c>
      <x:c r="E954" s="11" t="n">
        <x:v>7400</x:v>
      </x:c>
      <x:c r="F954" s="11"/>
      <x:c r="G954" s="11" t="n">
        <x:f>'Option source'!B286</x:f>
        <x:v>507.78</x:v>
      </x:c>
      <x:c r="H954" s="11" t="n">
        <x:f>'Option source'!B305</x:f>
        <x:v>410.55</x:v>
      </x:c>
      <x:c r="I954" s="11"/>
      <x:c r="J954" s="11" t="n">
        <x:f>G954-2*H954+IF(B954="Butterfly",I954,0)</x:f>
        <x:v>-313.32000000000005</x:v>
      </x:c>
      <x:c r="K954" s="11" t="n">
        <x:f>ABS(E954-D954)</x:f>
        <x:v>200</x:v>
      </x:c>
      <x:c r="L954" s="11" t="n">
        <x:f>K954-J954</x:f>
        <x:v>513.32</x:v>
      </x:c>
      <x:c r="M954" s="11" t="str">
        <x:f>IF(B954="Butterfly",MAX(J954,0),IF(C954="call","Unlimited",MAX(2*E954-D954+J954,J954,0)))</x:f>
        <x:v>Unlimited</x:v>
      </x:c>
      <x:c r="N954" s="11" t="str">
        <x:f>IF(B954="Butterfly",IF(AND(J954&gt;0,J954&lt;K954),D954+J954,"n.a."),IF(C954="call",IF(AND(J954&gt;0,J954&lt;K954),D954+J954,"n.a."),IF(AND(K954&gt;J954,2*E954-D954+J954&gt;=0),2*E954-D954+J954,"n.a.")))</x:f>
        <x:v>n.a.</x:v>
      </x:c>
      <x:c r="O954" s="11" t="n">
        <x:f>IF(B954="Butterfly",IF(AND(J954&gt;0,J954&lt;K954),F954-J954,"n.a."),IF(C954="call",IF(K954&gt;J954,2*E954-D954-J954,"n.a."),IF(AND(J954&gt;0,J954&lt;K954),D954-J954,"n.a.")))</x:f>
        <x:v>7913.32</x:v>
      </x:c>
      <x:c r="P954" s="19" t="str">
        <x:f>IF(AND(B954="Butterfly",J954&gt;0,J954&lt;K954),L954/J954,"n.a.")</x:f>
        <x:v>n.a.</x:v>
      </x:c>
      <x:c r="Q954" s="11" t="n">
        <x:f>J954*'Model inputs'!$B$8</x:f>
        <x:v>-31332.000000000004</x:v>
      </x:c>
      <x:c r="R954" s="1" t="str">
        <x:v>Indicative only</x:v>
      </x:c>
      <x:c r="S954" s="1" t="n">
        <x:v>281</x:v>
      </x:c>
      <x:c r="T954" s="1" t="n">
        <x:v>300</x:v>
      </x:c>
    </x:row>
    <x:row r="955" ht="21" customHeight="1">
      <x:c r="A955" s="12" t="n">
        <x:v>46267</x:v>
      </x:c>
      <x:c r="B955" s="1" t="str">
        <x:v>1x2 ratio</x:v>
      </x:c>
      <x:c r="C955" s="1" t="str">
        <x:v>put</x:v>
      </x:c>
      <x:c r="D955" s="11" t="n">
        <x:v>7600</x:v>
      </x:c>
      <x:c r="E955" s="11" t="n">
        <x:v>7400</x:v>
      </x:c>
      <x:c r="F955" s="11"/>
      <x:c r="G955" s="11" t="n">
        <x:f>'Option source'!B818</x:f>
        <x:v>600</x:v>
      </x:c>
      <x:c r="H955" s="11" t="n">
        <x:f>'Option source'!B799</x:f>
        <x:v>480</x:v>
      </x:c>
      <x:c r="I955" s="11"/>
      <x:c r="J955" s="11" t="n">
        <x:f>G955-2*H955+IF(B955="Butterfly",I955,0)</x:f>
        <x:v>-360</x:v>
      </x:c>
      <x:c r="K955" s="11" t="n">
        <x:f>ABS(E955-D955)</x:f>
        <x:v>200</x:v>
      </x:c>
      <x:c r="L955" s="11" t="n">
        <x:f>K955-J955</x:f>
        <x:v>560</x:v>
      </x:c>
      <x:c r="M955" s="11" t="n">
        <x:f>IF(B955="Butterfly",MAX(J955,0),IF(C955="call","Unlimited",MAX(2*E955-D955+J955,J955,0)))</x:f>
        <x:v>6840</x:v>
      </x:c>
      <x:c r="N955" s="11" t="n">
        <x:f>IF(B955="Butterfly",IF(AND(J955&gt;0,J955&lt;K955),D955+J955,"n.a."),IF(C955="call",IF(AND(J955&gt;0,J955&lt;K955),D955+J955,"n.a."),IF(AND(K955&gt;J955,2*E955-D955+J955&gt;=0),2*E955-D955+J955,"n.a.")))</x:f>
        <x:v>6840</x:v>
      </x:c>
      <x:c r="O955" s="11" t="str">
        <x:f>IF(B955="Butterfly",IF(AND(J955&gt;0,J955&lt;K955),F955-J955,"n.a."),IF(C955="call",IF(K955&gt;J955,2*E955-D955-J955,"n.a."),IF(AND(J955&gt;0,J955&lt;K955),D955-J955,"n.a.")))</x:f>
        <x:v>n.a.</x:v>
      </x:c>
      <x:c r="P955" s="19" t="str">
        <x:f>IF(AND(B955="Butterfly",J955&gt;0,J955&lt;K955),L955/J955,"n.a.")</x:f>
        <x:v>n.a.</x:v>
      </x:c>
      <x:c r="Q955" s="11" t="n">
        <x:f>J955*'Model inputs'!$B$8</x:f>
        <x:v>-36000</x:v>
      </x:c>
      <x:c r="R955" s="1" t="str">
        <x:v>Indicative only</x:v>
      </x:c>
      <x:c r="S955" s="1" t="n">
        <x:v>813</x:v>
      </x:c>
      <x:c r="T955" s="1" t="n">
        <x:v>794</x:v>
      </x:c>
    </x:row>
    <x:row r="956" ht="21" customHeight="1">
      <x:c r="A956" s="12" t="n">
        <x:v>46267</x:v>
      </x:c>
      <x:c r="B956" s="1" t="str">
        <x:v>1x2 ratio</x:v>
      </x:c>
      <x:c r="C956" s="1" t="str">
        <x:v>call</x:v>
      </x:c>
      <x:c r="D956" s="11" t="n">
        <x:v>6600</x:v>
      </x:c>
      <x:c r="E956" s="11" t="n">
        <x:v>6800</x:v>
      </x:c>
      <x:c r="F956" s="11"/>
      <x:c r="G956" s="11" t="n">
        <x:f>'Option source'!B229</x:f>
        <x:v>884.58</x:v>
      </x:c>
      <x:c r="H956" s="11" t="n">
        <x:f>'Option source'!B248</x:f>
        <x:v>745.47</x:v>
      </x:c>
      <x:c r="I956" s="11"/>
      <x:c r="J956" s="11" t="n">
        <x:f>G956-2*H956+IF(B956="Butterfly",I956,0)</x:f>
        <x:v>-606.36</x:v>
      </x:c>
      <x:c r="K956" s="11" t="n">
        <x:f>ABS(E956-D956)</x:f>
        <x:v>200</x:v>
      </x:c>
      <x:c r="L956" s="11" t="n">
        <x:f>K956-J956</x:f>
        <x:v>806.36</x:v>
      </x:c>
      <x:c r="M956" s="11" t="str">
        <x:f>IF(B956="Butterfly",MAX(J956,0),IF(C956="call","Unlimited",MAX(2*E956-D956+J956,J956,0)))</x:f>
        <x:v>Unlimited</x:v>
      </x:c>
      <x:c r="N956" s="11" t="str">
        <x:f>IF(B956="Butterfly",IF(AND(J956&gt;0,J956&lt;K956),D956+J956,"n.a."),IF(C956="call",IF(AND(J956&gt;0,J956&lt;K956),D956+J956,"n.a."),IF(AND(K956&gt;J956,2*E956-D956+J956&gt;=0),2*E956-D956+J956,"n.a.")))</x:f>
        <x:v>n.a.</x:v>
      </x:c>
      <x:c r="O956" s="11" t="n">
        <x:f>IF(B956="Butterfly",IF(AND(J956&gt;0,J956&lt;K956),F956-J956,"n.a."),IF(C956="call",IF(K956&gt;J956,2*E956-D956-J956,"n.a."),IF(AND(J956&gt;0,J956&lt;K956),D956-J956,"n.a.")))</x:f>
        <x:v>7606.36</x:v>
      </x:c>
      <x:c r="P956" s="19" t="str">
        <x:f>IF(AND(B956="Butterfly",J956&gt;0,J956&lt;K956),L956/J956,"n.a.")</x:f>
        <x:v>n.a.</x:v>
      </x:c>
      <x:c r="Q956" s="11" t="n">
        <x:f>J956*'Model inputs'!$B$8</x:f>
        <x:v>-60636</x:v>
      </x:c>
      <x:c r="R956" s="1" t="str">
        <x:v>Indicative only</x:v>
      </x:c>
      <x:c r="S956" s="1" t="n">
        <x:v>224</x:v>
      </x:c>
      <x:c r="T956" s="1" t="n">
        <x:v>243</x:v>
      </x:c>
    </x:row>
    <x:row r="957" ht="21" customHeight="1">
      <x:c r="A957" s="12" t="n">
        <x:v>46267</x:v>
      </x:c>
      <x:c r="B957" s="1" t="str">
        <x:v>1x2 ratio</x:v>
      </x:c>
      <x:c r="C957" s="1" t="str">
        <x:v>put</x:v>
      </x:c>
      <x:c r="D957" s="11" t="n">
        <x:v>7000</x:v>
      </x:c>
      <x:c r="E957" s="11" t="n">
        <x:v>6800</x:v>
      </x:c>
      <x:c r="F957" s="11"/>
      <x:c r="G957" s="11" t="n">
        <x:f>'Option source'!B761</x:f>
        <x:v>286.63</x:v>
      </x:c>
      <x:c r="H957" s="11" t="n">
        <x:f>'Option source'!B742</x:f>
        <x:v>210.34</x:v>
      </x:c>
      <x:c r="I957" s="11"/>
      <x:c r="J957" s="11" t="n">
        <x:f>G957-2*H957+IF(B957="Butterfly",I957,0)</x:f>
        <x:v>-134.05</x:v>
      </x:c>
      <x:c r="K957" s="11" t="n">
        <x:f>ABS(E957-D957)</x:f>
        <x:v>200</x:v>
      </x:c>
      <x:c r="L957" s="11" t="n">
        <x:f>K957-J957</x:f>
        <x:v>334.05</x:v>
      </x:c>
      <x:c r="M957" s="11" t="n">
        <x:f>IF(B957="Butterfly",MAX(J957,0),IF(C957="call","Unlimited",MAX(2*E957-D957+J957,J957,0)))</x:f>
        <x:v>6465.95</x:v>
      </x:c>
      <x:c r="N957" s="11" t="n">
        <x:f>IF(B957="Butterfly",IF(AND(J957&gt;0,J957&lt;K957),D957+J957,"n.a."),IF(C957="call",IF(AND(J957&gt;0,J957&lt;K957),D957+J957,"n.a."),IF(AND(K957&gt;J957,2*E957-D957+J957&gt;=0),2*E957-D957+J957,"n.a.")))</x:f>
        <x:v>6465.95</x:v>
      </x:c>
      <x:c r="O957" s="11" t="str">
        <x:f>IF(B957="Butterfly",IF(AND(J957&gt;0,J957&lt;K957),F957-J957,"n.a."),IF(C957="call",IF(K957&gt;J957,2*E957-D957-J957,"n.a."),IF(AND(J957&gt;0,J957&lt;K957),D957-J957,"n.a.")))</x:f>
        <x:v>n.a.</x:v>
      </x:c>
      <x:c r="P957" s="19" t="str">
        <x:f>IF(AND(B957="Butterfly",J957&gt;0,J957&lt;K957),L957/J957,"n.a.")</x:f>
        <x:v>n.a.</x:v>
      </x:c>
      <x:c r="Q957" s="11" t="n">
        <x:f>J957*'Model inputs'!$B$8</x:f>
        <x:v>-13405.000000000002</x:v>
      </x:c>
      <x:c r="R957" s="1" t="str">
        <x:v>Indicative only</x:v>
      </x:c>
      <x:c r="S957" s="1" t="n">
        <x:v>756</x:v>
      </x:c>
      <x:c r="T957" s="1" t="n">
        <x:v>737</x:v>
      </x:c>
    </x:row>
    <x:row r="958" ht="21" customHeight="1">
      <x:c r="A958" s="12" t="n">
        <x:v>46267</x:v>
      </x:c>
      <x:c r="B958" s="1" t="str">
        <x:v>1x2 ratio</x:v>
      </x:c>
      <x:c r="C958" s="1" t="str">
        <x:v>call</x:v>
      </x:c>
      <x:c r="D958" s="11" t="n">
        <x:v>7400</x:v>
      </x:c>
      <x:c r="E958" s="11" t="n">
        <x:v>7600</x:v>
      </x:c>
      <x:c r="F958" s="11"/>
      <x:c r="G958" s="11" t="n">
        <x:f>'Option source'!B305</x:f>
        <x:v>410.55</x:v>
      </x:c>
      <x:c r="H958" s="11" t="n">
        <x:f>'Option source'!B324</x:f>
        <x:v>324.11</x:v>
      </x:c>
      <x:c r="I958" s="11"/>
      <x:c r="J958" s="11" t="n">
        <x:f>G958-2*H958+IF(B958="Butterfly",I958,0)</x:f>
        <x:v>-237.67000000000002</x:v>
      </x:c>
      <x:c r="K958" s="11" t="n">
        <x:f>ABS(E958-D958)</x:f>
        <x:v>200</x:v>
      </x:c>
      <x:c r="L958" s="11" t="n">
        <x:f>K958-J958</x:f>
        <x:v>437.67</x:v>
      </x:c>
      <x:c r="M958" s="11" t="str">
        <x:f>IF(B958="Butterfly",MAX(J958,0),IF(C958="call","Unlimited",MAX(2*E958-D958+J958,J958,0)))</x:f>
        <x:v>Unlimited</x:v>
      </x:c>
      <x:c r="N958" s="11" t="str">
        <x:f>IF(B958="Butterfly",IF(AND(J958&gt;0,J958&lt;K958),D958+J958,"n.a."),IF(C958="call",IF(AND(J958&gt;0,J958&lt;K958),D958+J958,"n.a."),IF(AND(K958&gt;J958,2*E958-D958+J958&gt;=0),2*E958-D958+J958,"n.a.")))</x:f>
        <x:v>n.a.</x:v>
      </x:c>
      <x:c r="O958" s="11" t="n">
        <x:f>IF(B958="Butterfly",IF(AND(J958&gt;0,J958&lt;K958),F958-J958,"n.a."),IF(C958="call",IF(K958&gt;J958,2*E958-D958-J958,"n.a."),IF(AND(J958&gt;0,J958&lt;K958),D958-J958,"n.a.")))</x:f>
        <x:v>8037.67</x:v>
      </x:c>
      <x:c r="P958" s="19" t="str">
        <x:f>IF(AND(B958="Butterfly",J958&gt;0,J958&lt;K958),L958/J958,"n.a.")</x:f>
        <x:v>n.a.</x:v>
      </x:c>
      <x:c r="Q958" s="11" t="n">
        <x:f>J958*'Model inputs'!$B$8</x:f>
        <x:v>-23767</x:v>
      </x:c>
      <x:c r="R958" s="1" t="str">
        <x:v>Indicative only</x:v>
      </x:c>
      <x:c r="S958" s="1" t="n">
        <x:v>300</x:v>
      </x:c>
      <x:c r="T958" s="1" t="n">
        <x:v>319</x:v>
      </x:c>
    </x:row>
    <x:row r="959" ht="21" customHeight="1">
      <x:c r="A959" s="12" t="n">
        <x:v>46267</x:v>
      </x:c>
      <x:c r="B959" s="1" t="str">
        <x:v>1x2 ratio</x:v>
      </x:c>
      <x:c r="C959" s="1" t="str">
        <x:v>call</x:v>
      </x:c>
      <x:c r="D959" s="11" t="n">
        <x:v>6400</x:v>
      </x:c>
      <x:c r="E959" s="11" t="n">
        <x:v>6600</x:v>
      </x:c>
      <x:c r="F959" s="11"/>
      <x:c r="G959" s="11" t="n">
        <x:f>'Option source'!B210</x:f>
        <x:v>1025</x:v>
      </x:c>
      <x:c r="H959" s="11" t="n">
        <x:f>'Option source'!B229</x:f>
        <x:v>884.58</x:v>
      </x:c>
      <x:c r="I959" s="11"/>
      <x:c r="J959" s="11" t="n">
        <x:f>G959-2*H959+IF(B959="Butterfly",I959,0)</x:f>
        <x:v>-744.1600000000001</x:v>
      </x:c>
      <x:c r="K959" s="11" t="n">
        <x:f>ABS(E959-D959)</x:f>
        <x:v>200</x:v>
      </x:c>
      <x:c r="L959" s="11" t="n">
        <x:f>K959-J959</x:f>
        <x:v>944.1600000000001</x:v>
      </x:c>
      <x:c r="M959" s="11" t="str">
        <x:f>IF(B959="Butterfly",MAX(J959,0),IF(C959="call","Unlimited",MAX(2*E959-D959+J959,J959,0)))</x:f>
        <x:v>Unlimited</x:v>
      </x:c>
      <x:c r="N959" s="11" t="str">
        <x:f>IF(B959="Butterfly",IF(AND(J959&gt;0,J959&lt;K959),D959+J959,"n.a."),IF(C959="call",IF(AND(J959&gt;0,J959&lt;K959),D959+J959,"n.a."),IF(AND(K959&gt;J959,2*E959-D959+J959&gt;=0),2*E959-D959+J959,"n.a.")))</x:f>
        <x:v>n.a.</x:v>
      </x:c>
      <x:c r="O959" s="11" t="n">
        <x:f>IF(B959="Butterfly",IF(AND(J959&gt;0,J959&lt;K959),F959-J959,"n.a."),IF(C959="call",IF(K959&gt;J959,2*E959-D959-J959,"n.a."),IF(AND(J959&gt;0,J959&lt;K959),D959-J959,"n.a.")))</x:f>
        <x:v>7544.16</x:v>
      </x:c>
      <x:c r="P959" s="19" t="str">
        <x:f>IF(AND(B959="Butterfly",J959&gt;0,J959&lt;K959),L959/J959,"n.a.")</x:f>
        <x:v>n.a.</x:v>
      </x:c>
      <x:c r="Q959" s="11" t="n">
        <x:f>J959*'Model inputs'!$B$8</x:f>
        <x:v>-74416.00000000001</x:v>
      </x:c>
      <x:c r="R959" s="1" t="str">
        <x:v>Indicative only</x:v>
      </x:c>
      <x:c r="S959" s="1" t="n">
        <x:v>205</x:v>
      </x:c>
      <x:c r="T959" s="1" t="n">
        <x:v>224</x:v>
      </x:c>
    </x:row>
    <x:row r="960" ht="21" customHeight="1">
      <x:c r="A960" s="12" t="n">
        <x:v>46267</x:v>
      </x:c>
      <x:c r="B960" s="1" t="str">
        <x:v>1x2 ratio</x:v>
      </x:c>
      <x:c r="C960" s="1" t="str">
        <x:v>put</x:v>
      </x:c>
      <x:c r="D960" s="11" t="n">
        <x:v>6800</x:v>
      </x:c>
      <x:c r="E960" s="11" t="n">
        <x:v>6600</x:v>
      </x:c>
      <x:c r="F960" s="11"/>
      <x:c r="G960" s="11" t="n">
        <x:f>'Option source'!B742</x:f>
        <x:v>210.34</x:v>
      </x:c>
      <x:c r="H960" s="11" t="n">
        <x:f>'Option source'!B723</x:f>
        <x:v>146.29</x:v>
      </x:c>
      <x:c r="I960" s="11"/>
      <x:c r="J960" s="11" t="n">
        <x:f>G960-2*H960+IF(B960="Butterfly",I960,0)</x:f>
        <x:v>-82.23999999999998</x:v>
      </x:c>
      <x:c r="K960" s="11" t="n">
        <x:f>ABS(E960-D960)</x:f>
        <x:v>200</x:v>
      </x:c>
      <x:c r="L960" s="11" t="n">
        <x:f>K960-J960</x:f>
        <x:v>282.24</x:v>
      </x:c>
      <x:c r="M960" s="11" t="n">
        <x:f>IF(B960="Butterfly",MAX(J960,0),IF(C960="call","Unlimited",MAX(2*E960-D960+J960,J960,0)))</x:f>
        <x:v>6317.76</x:v>
      </x:c>
      <x:c r="N960" s="11" t="n">
        <x:f>IF(B960="Butterfly",IF(AND(J960&gt;0,J960&lt;K960),D960+J960,"n.a."),IF(C960="call",IF(AND(J960&gt;0,J960&lt;K960),D960+J960,"n.a."),IF(AND(K960&gt;J960,2*E960-D960+J960&gt;=0),2*E960-D960+J960,"n.a.")))</x:f>
        <x:v>6317.76</x:v>
      </x:c>
      <x:c r="O960" s="11" t="str">
        <x:f>IF(B960="Butterfly",IF(AND(J960&gt;0,J960&lt;K960),F960-J960,"n.a."),IF(C960="call",IF(K960&gt;J960,2*E960-D960-J960,"n.a."),IF(AND(J960&gt;0,J960&lt;K960),D960-J960,"n.a.")))</x:f>
        <x:v>n.a.</x:v>
      </x:c>
      <x:c r="P960" s="19" t="str">
        <x:f>IF(AND(B960="Butterfly",J960&gt;0,J960&lt;K960),L960/J960,"n.a.")</x:f>
        <x:v>n.a.</x:v>
      </x:c>
      <x:c r="Q960" s="11" t="n">
        <x:f>J960*'Model inputs'!$B$8</x:f>
        <x:v>-8223.999999999998</x:v>
      </x:c>
      <x:c r="R960" s="1" t="str">
        <x:v>Indicative only</x:v>
      </x:c>
      <x:c r="S960" s="1" t="n">
        <x:v>737</x:v>
      </x:c>
      <x:c r="T960" s="1" t="n">
        <x:v>718</x:v>
      </x:c>
    </x:row>
    <x:row r="961" ht="21" customHeight="1">
      <x:c r="A961" s="12" t="n">
        <x:v>46267</x:v>
      </x:c>
      <x:c r="B961" s="1" t="str">
        <x:v>1x2 ratio</x:v>
      </x:c>
      <x:c r="C961" s="1" t="str">
        <x:v>call</x:v>
      </x:c>
      <x:c r="D961" s="11" t="n">
        <x:v>7600</x:v>
      </x:c>
      <x:c r="E961" s="11" t="n">
        <x:v>7800</x:v>
      </x:c>
      <x:c r="F961" s="11"/>
      <x:c r="G961" s="11" t="n">
        <x:f>'Option source'!B324</x:f>
        <x:v>324.11</x:v>
      </x:c>
      <x:c r="H961" s="11" t="n">
        <x:f>'Option source'!B343</x:f>
        <x:v>253.96</x:v>
      </x:c>
      <x:c r="I961" s="11"/>
      <x:c r="J961" s="11" t="n">
        <x:f>G961-2*H961+IF(B961="Butterfly",I961,0)</x:f>
        <x:v>-183.81</x:v>
      </x:c>
      <x:c r="K961" s="11" t="n">
        <x:f>ABS(E961-D961)</x:f>
        <x:v>200</x:v>
      </x:c>
      <x:c r="L961" s="11" t="n">
        <x:f>K961-J961</x:f>
        <x:v>383.81</x:v>
      </x:c>
      <x:c r="M961" s="11" t="str">
        <x:f>IF(B961="Butterfly",MAX(J961,0),IF(C961="call","Unlimited",MAX(2*E961-D961+J961,J961,0)))</x:f>
        <x:v>Unlimited</x:v>
      </x:c>
      <x:c r="N961" s="11" t="str">
        <x:f>IF(B961="Butterfly",IF(AND(J961&gt;0,J961&lt;K961),D961+J961,"n.a."),IF(C961="call",IF(AND(J961&gt;0,J961&lt;K961),D961+J961,"n.a."),IF(AND(K961&gt;J961,2*E961-D961+J961&gt;=0),2*E961-D961+J961,"n.a.")))</x:f>
        <x:v>n.a.</x:v>
      </x:c>
      <x:c r="O961" s="11" t="n">
        <x:f>IF(B961="Butterfly",IF(AND(J961&gt;0,J961&lt;K961),F961-J961,"n.a."),IF(C961="call",IF(K961&gt;J961,2*E961-D961-J961,"n.a."),IF(AND(J961&gt;0,J961&lt;K961),D961-J961,"n.a.")))</x:f>
        <x:v>8183.81</x:v>
      </x:c>
      <x:c r="P961" s="19" t="str">
        <x:f>IF(AND(B961="Butterfly",J961&gt;0,J961&lt;K961),L961/J961,"n.a.")</x:f>
        <x:v>n.a.</x:v>
      </x:c>
      <x:c r="Q961" s="11" t="n">
        <x:f>J961*'Model inputs'!$B$8</x:f>
        <x:v>-18381</x:v>
      </x:c>
      <x:c r="R961" s="1" t="str">
        <x:v>Indicative only</x:v>
      </x:c>
      <x:c r="S961" s="1" t="n">
        <x:v>319</x:v>
      </x:c>
      <x:c r="T961" s="1" t="n">
        <x:v>338</x:v>
      </x:c>
    </x:row>
    <x:row r="962" ht="21" customHeight="1">
      <x:c r="A962" s="12" t="n">
        <x:v>46267</x:v>
      </x:c>
      <x:c r="B962" s="1" t="str">
        <x:v>1x2 ratio</x:v>
      </x:c>
      <x:c r="C962" s="1" t="str">
        <x:v>put</x:v>
      </x:c>
      <x:c r="D962" s="11" t="n">
        <x:v>6600</x:v>
      </x:c>
      <x:c r="E962" s="11" t="n">
        <x:v>6400</x:v>
      </x:c>
      <x:c r="F962" s="11"/>
      <x:c r="G962" s="11" t="n">
        <x:f>'Option source'!B723</x:f>
        <x:v>146.29</x:v>
      </x:c>
      <x:c r="H962" s="11" t="n">
        <x:f>'Option source'!B704</x:f>
        <x:v>103.46</x:v>
      </x:c>
      <x:c r="I962" s="11"/>
      <x:c r="J962" s="11" t="n">
        <x:f>G962-2*H962+IF(B962="Butterfly",I962,0)</x:f>
        <x:v>-60.629999999999995</x:v>
      </x:c>
      <x:c r="K962" s="11" t="n">
        <x:f>ABS(E962-D962)</x:f>
        <x:v>200</x:v>
      </x:c>
      <x:c r="L962" s="11" t="n">
        <x:f>K962-J962</x:f>
        <x:v>260.63</x:v>
      </x:c>
      <x:c r="M962" s="11" t="n">
        <x:f>IF(B962="Butterfly",MAX(J962,0),IF(C962="call","Unlimited",MAX(2*E962-D962+J962,J962,0)))</x:f>
        <x:v>6139.37</x:v>
      </x:c>
      <x:c r="N962" s="11" t="n">
        <x:f>IF(B962="Butterfly",IF(AND(J962&gt;0,J962&lt;K962),D962+J962,"n.a."),IF(C962="call",IF(AND(J962&gt;0,J962&lt;K962),D962+J962,"n.a."),IF(AND(K962&gt;J962,2*E962-D962+J962&gt;=0),2*E962-D962+J962,"n.a.")))</x:f>
        <x:v>6139.37</x:v>
      </x:c>
      <x:c r="O962" s="11" t="str">
        <x:f>IF(B962="Butterfly",IF(AND(J962&gt;0,J962&lt;K962),F962-J962,"n.a."),IF(C962="call",IF(K962&gt;J962,2*E962-D962-J962,"n.a."),IF(AND(J962&gt;0,J962&lt;K962),D962-J962,"n.a.")))</x:f>
        <x:v>n.a.</x:v>
      </x:c>
      <x:c r="P962" s="19" t="str">
        <x:f>IF(AND(B962="Butterfly",J962&gt;0,J962&lt;K962),L962/J962,"n.a.")</x:f>
        <x:v>n.a.</x:v>
      </x:c>
      <x:c r="Q962" s="11" t="n">
        <x:f>J962*'Model inputs'!$B$8</x:f>
        <x:v>-6063</x:v>
      </x:c>
      <x:c r="R962" s="1" t="str">
        <x:v>Indicative only</x:v>
      </x:c>
      <x:c r="S962" s="1" t="n">
        <x:v>718</x:v>
      </x:c>
      <x:c r="T962" s="1" t="n">
        <x:v>699</x:v>
      </x:c>
    </x:row>
    <x:row r="963" ht="21" customHeight="1">
      <x:c r="A963" s="12" t="n">
        <x:v>46267</x:v>
      </x:c>
      <x:c r="B963" s="1" t="str">
        <x:v>1x2 ratio</x:v>
      </x:c>
      <x:c r="C963" s="1" t="str">
        <x:v>call</x:v>
      </x:c>
      <x:c r="D963" s="11" t="n">
        <x:v>7800</x:v>
      </x:c>
      <x:c r="E963" s="11" t="n">
        <x:v>8000</x:v>
      </x:c>
      <x:c r="F963" s="11"/>
      <x:c r="G963" s="11" t="n">
        <x:f>'Option source'!B343</x:f>
        <x:v>253.96</x:v>
      </x:c>
      <x:c r="H963" s="11" t="n">
        <x:f>'Option source'!B362</x:f>
        <x:v>195.8</x:v>
      </x:c>
      <x:c r="I963" s="11"/>
      <x:c r="J963" s="11" t="n">
        <x:f>G963-2*H963+IF(B963="Butterfly",I963,0)</x:f>
        <x:v>-137.64000000000001</x:v>
      </x:c>
      <x:c r="K963" s="11" t="n">
        <x:f>ABS(E963-D963)</x:f>
        <x:v>200</x:v>
      </x:c>
      <x:c r="L963" s="11" t="n">
        <x:f>K963-J963</x:f>
        <x:v>337.64</x:v>
      </x:c>
      <x:c r="M963" s="11" t="str">
        <x:f>IF(B963="Butterfly",MAX(J963,0),IF(C963="call","Unlimited",MAX(2*E963-D963+J963,J963,0)))</x:f>
        <x:v>Unlimited</x:v>
      </x:c>
      <x:c r="N963" s="11" t="str">
        <x:f>IF(B963="Butterfly",IF(AND(J963&gt;0,J963&lt;K963),D963+J963,"n.a."),IF(C963="call",IF(AND(J963&gt;0,J963&lt;K963),D963+J963,"n.a."),IF(AND(K963&gt;J963,2*E963-D963+J963&gt;=0),2*E963-D963+J963,"n.a.")))</x:f>
        <x:v>n.a.</x:v>
      </x:c>
      <x:c r="O963" s="11" t="n">
        <x:f>IF(B963="Butterfly",IF(AND(J963&gt;0,J963&lt;K963),F963-J963,"n.a."),IF(C963="call",IF(K963&gt;J963,2*E963-D963-J963,"n.a."),IF(AND(J963&gt;0,J963&lt;K963),D963-J963,"n.a.")))</x:f>
        <x:v>8337.64</x:v>
      </x:c>
      <x:c r="P963" s="19" t="str">
        <x:f>IF(AND(B963="Butterfly",J963&gt;0,J963&lt;K963),L963/J963,"n.a.")</x:f>
        <x:v>n.a.</x:v>
      </x:c>
      <x:c r="Q963" s="11" t="n">
        <x:f>J963*'Model inputs'!$B$8</x:f>
        <x:v>-13764.000000000002</x:v>
      </x:c>
      <x:c r="R963" s="1" t="str">
        <x:v>Indicative only</x:v>
      </x:c>
      <x:c r="S963" s="1" t="n">
        <x:v>338</x:v>
      </x:c>
      <x:c r="T963" s="1" t="n">
        <x:v>357</x:v>
      </x:c>
    </x:row>
    <x:row r="964" ht="21" customHeight="1">
      <x:c r="A964" s="12" t="n">
        <x:v>46267</x:v>
      </x:c>
      <x:c r="B964" s="1" t="str">
        <x:v>1x2 ratio</x:v>
      </x:c>
      <x:c r="C964" s="1" t="str">
        <x:v>put</x:v>
      </x:c>
      <x:c r="D964" s="11" t="n">
        <x:v>6400</x:v>
      </x:c>
      <x:c r="E964" s="11" t="n">
        <x:v>6200</x:v>
      </x:c>
      <x:c r="F964" s="11"/>
      <x:c r="G964" s="11" t="n">
        <x:f>'Option source'!B704</x:f>
        <x:v>103.46</x:v>
      </x:c>
      <x:c r="H964" s="11" t="n">
        <x:f>'Option source'!B685</x:f>
        <x:v>66.11</x:v>
      </x:c>
      <x:c r="I964" s="11"/>
      <x:c r="J964" s="11" t="n">
        <x:f>G964-2*H964+IF(B964="Butterfly",I964,0)</x:f>
        <x:v>-28.760000000000005</x:v>
      </x:c>
      <x:c r="K964" s="11" t="n">
        <x:f>ABS(E964-D964)</x:f>
        <x:v>200</x:v>
      </x:c>
      <x:c r="L964" s="11" t="n">
        <x:f>K964-J964</x:f>
        <x:v>228.76</x:v>
      </x:c>
      <x:c r="M964" s="11" t="n">
        <x:f>IF(B964="Butterfly",MAX(J964,0),IF(C964="call","Unlimited",MAX(2*E964-D964+J964,J964,0)))</x:f>
        <x:v>5971.24</x:v>
      </x:c>
      <x:c r="N964" s="11" t="n">
        <x:f>IF(B964="Butterfly",IF(AND(J964&gt;0,J964&lt;K964),D964+J964,"n.a."),IF(C964="call",IF(AND(J964&gt;0,J964&lt;K964),D964+J964,"n.a."),IF(AND(K964&gt;J964,2*E964-D964+J964&gt;=0),2*E964-D964+J964,"n.a.")))</x:f>
        <x:v>5971.24</x:v>
      </x:c>
      <x:c r="O964" s="11" t="str">
        <x:f>IF(B964="Butterfly",IF(AND(J964&gt;0,J964&lt;K964),F964-J964,"n.a."),IF(C964="call",IF(K964&gt;J964,2*E964-D964-J964,"n.a."),IF(AND(J964&gt;0,J964&lt;K964),D964-J964,"n.a.")))</x:f>
        <x:v>n.a.</x:v>
      </x:c>
      <x:c r="P964" s="19" t="str">
        <x:f>IF(AND(B964="Butterfly",J964&gt;0,J964&lt;K964),L964/J964,"n.a.")</x:f>
        <x:v>n.a.</x:v>
      </x:c>
      <x:c r="Q964" s="11" t="n">
        <x:f>J964*'Model inputs'!$B$8</x:f>
        <x:v>-2876.0000000000005</x:v>
      </x:c>
      <x:c r="R964" s="1" t="str">
        <x:v>Indicative only</x:v>
      </x:c>
      <x:c r="S964" s="1" t="n">
        <x:v>699</x:v>
      </x:c>
      <x:c r="T964" s="1" t="n">
        <x:v>680</x:v>
      </x:c>
    </x:row>
    <x:row r="965" ht="21" customHeight="1">
      <x:c r="A965" s="12" t="n">
        <x:v>46267</x:v>
      </x:c>
      <x:c r="B965" s="1" t="str">
        <x:v>1x2 ratio</x:v>
      </x:c>
      <x:c r="C965" s="1" t="str">
        <x:v>call</x:v>
      </x:c>
      <x:c r="D965" s="11" t="n">
        <x:v>8000</x:v>
      </x:c>
      <x:c r="E965" s="11" t="n">
        <x:v>8300</x:v>
      </x:c>
      <x:c r="F965" s="11"/>
      <x:c r="G965" s="11" t="n">
        <x:f>'Option source'!B362</x:f>
        <x:v>195.8</x:v>
      </x:c>
      <x:c r="H965" s="11" t="n">
        <x:f>'Option source'!B381</x:f>
        <x:v>131.48</x:v>
      </x:c>
      <x:c r="I965" s="11"/>
      <x:c r="J965" s="11" t="n">
        <x:f>G965-2*H965+IF(B965="Butterfly",I965,0)</x:f>
        <x:v>-67.15999999999997</x:v>
      </x:c>
      <x:c r="K965" s="11" t="n">
        <x:f>ABS(E965-D965)</x:f>
        <x:v>300</x:v>
      </x:c>
      <x:c r="L965" s="11" t="n">
        <x:f>K965-J965</x:f>
        <x:v>367.15999999999997</x:v>
      </x:c>
      <x:c r="M965" s="11" t="str">
        <x:f>IF(B965="Butterfly",MAX(J965,0),IF(C965="call","Unlimited",MAX(2*E965-D965+J965,J965,0)))</x:f>
        <x:v>Unlimited</x:v>
      </x:c>
      <x:c r="N965" s="11" t="str">
        <x:f>IF(B965="Butterfly",IF(AND(J965&gt;0,J965&lt;K965),D965+J965,"n.a."),IF(C965="call",IF(AND(J965&gt;0,J965&lt;K965),D965+J965,"n.a."),IF(AND(K965&gt;J965,2*E965-D965+J965&gt;=0),2*E965-D965+J965,"n.a.")))</x:f>
        <x:v>n.a.</x:v>
      </x:c>
      <x:c r="O965" s="11" t="n">
        <x:f>IF(B965="Butterfly",IF(AND(J965&gt;0,J965&lt;K965),F965-J965,"n.a."),IF(C965="call",IF(K965&gt;J965,2*E965-D965-J965,"n.a."),IF(AND(J965&gt;0,J965&lt;K965),D965-J965,"n.a.")))</x:f>
        <x:v>8667.16</x:v>
      </x:c>
      <x:c r="P965" s="19" t="str">
        <x:f>IF(AND(B965="Butterfly",J965&gt;0,J965&lt;K965),L965/J965,"n.a.")</x:f>
        <x:v>n.a.</x:v>
      </x:c>
      <x:c r="Q965" s="11" t="n">
        <x:f>J965*'Model inputs'!$B$8</x:f>
        <x:v>-6715.999999999996</x:v>
      </x:c>
      <x:c r="R965" s="1" t="str">
        <x:v>Indicative only</x:v>
      </x:c>
      <x:c r="S965" s="1" t="n">
        <x:v>357</x:v>
      </x:c>
      <x:c r="T965" s="1" t="n">
        <x:v>376</x:v>
      </x:c>
    </x:row>
    <x:row r="966" ht="21" customHeight="1">
      <x:c r="A966" s="12" t="n">
        <x:v>46267</x:v>
      </x:c>
      <x:c r="B966" s="1" t="str">
        <x:v>1x2 ratio</x:v>
      </x:c>
      <x:c r="C966" s="1" t="str">
        <x:v>put</x:v>
      </x:c>
      <x:c r="D966" s="11" t="n">
        <x:v>6200</x:v>
      </x:c>
      <x:c r="E966" s="11" t="n">
        <x:v>6000</x:v>
      </x:c>
      <x:c r="F966" s="11"/>
      <x:c r="G966" s="11" t="n">
        <x:f>'Option source'!B685</x:f>
        <x:v>66.11</x:v>
      </x:c>
      <x:c r="H966" s="11" t="n">
        <x:f>'Option source'!B666</x:f>
        <x:v>41.36</x:v>
      </x:c>
      <x:c r="I966" s="11"/>
      <x:c r="J966" s="11" t="n">
        <x:f>G966-2*H966+IF(B966="Butterfly",I966,0)</x:f>
        <x:v>-16.61</x:v>
      </x:c>
      <x:c r="K966" s="11" t="n">
        <x:f>ABS(E966-D966)</x:f>
        <x:v>200</x:v>
      </x:c>
      <x:c r="L966" s="11" t="n">
        <x:f>K966-J966</x:f>
        <x:v>216.61</x:v>
      </x:c>
      <x:c r="M966" s="11" t="n">
        <x:f>IF(B966="Butterfly",MAX(J966,0),IF(C966="call","Unlimited",MAX(2*E966-D966+J966,J966,0)))</x:f>
        <x:v>5783.39</x:v>
      </x:c>
      <x:c r="N966" s="11" t="n">
        <x:f>IF(B966="Butterfly",IF(AND(J966&gt;0,J966&lt;K966),D966+J966,"n.a."),IF(C966="call",IF(AND(J966&gt;0,J966&lt;K966),D966+J966,"n.a."),IF(AND(K966&gt;J966,2*E966-D966+J966&gt;=0),2*E966-D966+J966,"n.a.")))</x:f>
        <x:v>5783.39</x:v>
      </x:c>
      <x:c r="O966" s="11" t="str">
        <x:f>IF(B966="Butterfly",IF(AND(J966&gt;0,J966&lt;K966),F966-J966,"n.a."),IF(C966="call",IF(K966&gt;J966,2*E966-D966-J966,"n.a."),IF(AND(J966&gt;0,J966&lt;K966),D966-J966,"n.a.")))</x:f>
        <x:v>n.a.</x:v>
      </x:c>
      <x:c r="P966" s="19" t="str">
        <x:f>IF(AND(B966="Butterfly",J966&gt;0,J966&lt;K966),L966/J966,"n.a.")</x:f>
        <x:v>n.a.</x:v>
      </x:c>
      <x:c r="Q966" s="11" t="n">
        <x:f>J966*'Model inputs'!$B$8</x:f>
        <x:v>-1661</x:v>
      </x:c>
      <x:c r="R966" s="1" t="str">
        <x:v>Indicative only</x:v>
      </x:c>
      <x:c r="S966" s="1" t="n">
        <x:v>680</x:v>
      </x:c>
      <x:c r="T966" s="1" t="n">
        <x:v>661</x:v>
      </x:c>
    </x:row>
    <x:row r="967" ht="21" customHeight="1">
      <x:c r="A967" s="12" t="n">
        <x:v>46267</x:v>
      </x:c>
      <x:c r="B967" s="1" t="str">
        <x:v>1x2 ratio</x:v>
      </x:c>
      <x:c r="C967" s="1" t="str">
        <x:v>put</x:v>
      </x:c>
      <x:c r="D967" s="11" t="n">
        <x:v>6000</x:v>
      </x:c>
      <x:c r="E967" s="11" t="n">
        <x:v>5800</x:v>
      </x:c>
      <x:c r="F967" s="11"/>
      <x:c r="G967" s="11" t="n">
        <x:f>'Option source'!B666</x:f>
        <x:v>41.36</x:v>
      </x:c>
      <x:c r="H967" s="11" t="n">
        <x:f>'Option source'!B647</x:f>
        <x:v>24.27</x:v>
      </x:c>
      <x:c r="I967" s="11"/>
      <x:c r="J967" s="11" t="n">
        <x:f>G967-2*H967+IF(B967="Butterfly",I967,0)</x:f>
        <x:v>-7.18</x:v>
      </x:c>
      <x:c r="K967" s="11" t="n">
        <x:f>ABS(E967-D967)</x:f>
        <x:v>200</x:v>
      </x:c>
      <x:c r="L967" s="11" t="n">
        <x:f>K967-J967</x:f>
        <x:v>207.18</x:v>
      </x:c>
      <x:c r="M967" s="11" t="n">
        <x:f>IF(B967="Butterfly",MAX(J967,0),IF(C967="call","Unlimited",MAX(2*E967-D967+J967,J967,0)))</x:f>
        <x:v>5592.82</x:v>
      </x:c>
      <x:c r="N967" s="11" t="n">
        <x:f>IF(B967="Butterfly",IF(AND(J967&gt;0,J967&lt;K967),D967+J967,"n.a."),IF(C967="call",IF(AND(J967&gt;0,J967&lt;K967),D967+J967,"n.a."),IF(AND(K967&gt;J967,2*E967-D967+J967&gt;=0),2*E967-D967+J967,"n.a.")))</x:f>
        <x:v>5592.82</x:v>
      </x:c>
      <x:c r="O967" s="11" t="str">
        <x:f>IF(B967="Butterfly",IF(AND(J967&gt;0,J967&lt;K967),F967-J967,"n.a."),IF(C967="call",IF(K967&gt;J967,2*E967-D967-J967,"n.a."),IF(AND(J967&gt;0,J967&lt;K967),D967-J967,"n.a.")))</x:f>
        <x:v>n.a.</x:v>
      </x:c>
      <x:c r="P967" s="19" t="str">
        <x:f>IF(AND(B967="Butterfly",J967&gt;0,J967&lt;K967),L967/J967,"n.a.")</x:f>
        <x:v>n.a.</x:v>
      </x:c>
      <x:c r="Q967" s="11" t="n">
        <x:f>J967*'Model inputs'!$B$8</x:f>
        <x:v>-718</x:v>
      </x:c>
      <x:c r="R967" s="1" t="str">
        <x:v>Indicative only</x:v>
      </x:c>
      <x:c r="S967" s="1" t="n">
        <x:v>661</x:v>
      </x:c>
      <x:c r="T967" s="1" t="n">
        <x:v>642</x:v>
      </x:c>
    </x:row>
    <x:row r="968" ht="21" customHeight="1">
      <x:c r="A968" s="12" t="n">
        <x:v>46267</x:v>
      </x:c>
      <x:c r="B968" s="1" t="str">
        <x:v>1x2 ratio</x:v>
      </x:c>
      <x:c r="C968" s="1" t="str">
        <x:v>call</x:v>
      </x:c>
      <x:c r="D968" s="11" t="n">
        <x:v>8300</x:v>
      </x:c>
      <x:c r="E968" s="11" t="n">
        <x:v>8600</x:v>
      </x:c>
      <x:c r="F968" s="11"/>
      <x:c r="G968" s="11" t="n">
        <x:f>'Option source'!B381</x:f>
        <x:v>131.48</x:v>
      </x:c>
      <x:c r="H968" s="11" t="n">
        <x:f>'Option source'!B400</x:f>
        <x:v>84.77</x:v>
      </x:c>
      <x:c r="I968" s="11"/>
      <x:c r="J968" s="11" t="n">
        <x:f>G968-2*H968+IF(B968="Butterfly",I968,0)</x:f>
        <x:v>-38.06</x:v>
      </x:c>
      <x:c r="K968" s="11" t="n">
        <x:f>ABS(E968-D968)</x:f>
        <x:v>300</x:v>
      </x:c>
      <x:c r="L968" s="11" t="n">
        <x:f>K968-J968</x:f>
        <x:v>338.06</x:v>
      </x:c>
      <x:c r="M968" s="11" t="str">
        <x:f>IF(B968="Butterfly",MAX(J968,0),IF(C968="call","Unlimited",MAX(2*E968-D968+J968,J968,0)))</x:f>
        <x:v>Unlimited</x:v>
      </x:c>
      <x:c r="N968" s="11" t="str">
        <x:f>IF(B968="Butterfly",IF(AND(J968&gt;0,J968&lt;K968),D968+J968,"n.a."),IF(C968="call",IF(AND(J968&gt;0,J968&lt;K968),D968+J968,"n.a."),IF(AND(K968&gt;J968,2*E968-D968+J968&gt;=0),2*E968-D968+J968,"n.a.")))</x:f>
        <x:v>n.a.</x:v>
      </x:c>
      <x:c r="O968" s="11" t="n">
        <x:f>IF(B968="Butterfly",IF(AND(J968&gt;0,J968&lt;K968),F968-J968,"n.a."),IF(C968="call",IF(K968&gt;J968,2*E968-D968-J968,"n.a."),IF(AND(J968&gt;0,J968&lt;K968),D968-J968,"n.a.")))</x:f>
        <x:v>8938.06</x:v>
      </x:c>
      <x:c r="P968" s="19" t="str">
        <x:f>IF(AND(B968="Butterfly",J968&gt;0,J968&lt;K968),L968/J968,"n.a.")</x:f>
        <x:v>n.a.</x:v>
      </x:c>
      <x:c r="Q968" s="11" t="n">
        <x:f>J968*'Model inputs'!$B$8</x:f>
        <x:v>-3806</x:v>
      </x:c>
      <x:c r="R968" s="1" t="str">
        <x:v>Indicative only</x:v>
      </x:c>
      <x:c r="S968" s="1" t="n">
        <x:v>376</x:v>
      </x:c>
      <x:c r="T968" s="1" t="n">
        <x:v>395</x:v>
      </x:c>
    </x:row>
    <x:row r="969" ht="21" customHeight="1">
      <x:c r="A969" s="12" t="n">
        <x:v>46267</x:v>
      </x:c>
      <x:c r="B969" s="1" t="str">
        <x:v>1x2 ratio</x:v>
      </x:c>
      <x:c r="C969" s="1" t="str">
        <x:v>put</x:v>
      </x:c>
      <x:c r="D969" s="11" t="n">
        <x:v>5800</x:v>
      </x:c>
      <x:c r="E969" s="11" t="n">
        <x:v>5600</x:v>
      </x:c>
      <x:c r="F969" s="11"/>
      <x:c r="G969" s="11" t="n">
        <x:f>'Option source'!B647</x:f>
        <x:v>24.27</x:v>
      </x:c>
      <x:c r="H969" s="11" t="n">
        <x:f>'Option source'!B628</x:f>
        <x:v>14.11</x:v>
      </x:c>
      <x:c r="I969" s="11"/>
      <x:c r="J969" s="11" t="n">
        <x:f>G969-2*H969+IF(B969="Butterfly",I969,0)</x:f>
        <x:v>-3.9499999999999993</x:v>
      </x:c>
      <x:c r="K969" s="11" t="n">
        <x:f>ABS(E969-D969)</x:f>
        <x:v>200</x:v>
      </x:c>
      <x:c r="L969" s="11" t="n">
        <x:f>K969-J969</x:f>
        <x:v>203.95</x:v>
      </x:c>
      <x:c r="M969" s="11" t="n">
        <x:f>IF(B969="Butterfly",MAX(J969,0),IF(C969="call","Unlimited",MAX(2*E969-D969+J969,J969,0)))</x:f>
        <x:v>5396.05</x:v>
      </x:c>
      <x:c r="N969" s="11" t="n">
        <x:f>IF(B969="Butterfly",IF(AND(J969&gt;0,J969&lt;K969),D969+J969,"n.a."),IF(C969="call",IF(AND(J969&gt;0,J969&lt;K969),D969+J969,"n.a."),IF(AND(K969&gt;J969,2*E969-D969+J969&gt;=0),2*E969-D969+J969,"n.a.")))</x:f>
        <x:v>5396.05</x:v>
      </x:c>
      <x:c r="O969" s="11" t="str">
        <x:f>IF(B969="Butterfly",IF(AND(J969&gt;0,J969&lt;K969),F969-J969,"n.a."),IF(C969="call",IF(K969&gt;J969,2*E969-D969-J969,"n.a."),IF(AND(J969&gt;0,J969&lt;K969),D969-J969,"n.a.")))</x:f>
        <x:v>n.a.</x:v>
      </x:c>
      <x:c r="P969" s="19" t="str">
        <x:f>IF(AND(B969="Butterfly",J969&gt;0,J969&lt;K969),L969/J969,"n.a.")</x:f>
        <x:v>n.a.</x:v>
      </x:c>
      <x:c r="Q969" s="11" t="n">
        <x:f>J969*'Model inputs'!$B$8</x:f>
        <x:v>-394.99999999999994</x:v>
      </x:c>
      <x:c r="R969" s="1" t="str">
        <x:v>Indicative only</x:v>
      </x:c>
      <x:c r="S969" s="1" t="n">
        <x:v>642</x:v>
      </x:c>
      <x:c r="T969" s="1" t="n">
        <x:v>623</x:v>
      </x:c>
    </x:row>
    <x:row r="970" ht="21" customHeight="1">
      <x:c r="A970" s="12" t="n">
        <x:v>46267</x:v>
      </x:c>
      <x:c r="B970" s="1" t="str">
        <x:v>1x2 ratio</x:v>
      </x:c>
      <x:c r="C970" s="1" t="str">
        <x:v>call</x:v>
      </x:c>
      <x:c r="D970" s="11" t="n">
        <x:v>8600</x:v>
      </x:c>
      <x:c r="E970" s="11" t="n">
        <x:v>8900</x:v>
      </x:c>
      <x:c r="F970" s="11"/>
      <x:c r="G970" s="11" t="n">
        <x:f>'Option source'!B400</x:f>
        <x:v>84.77</x:v>
      </x:c>
      <x:c r="H970" s="11" t="n">
        <x:f>'Option source'!B419</x:f>
        <x:v>53.17</x:v>
      </x:c>
      <x:c r="I970" s="11"/>
      <x:c r="J970" s="11" t="n">
        <x:f>G970-2*H970+IF(B970="Butterfly",I970,0)</x:f>
        <x:v>-21.570000000000007</x:v>
      </x:c>
      <x:c r="K970" s="11" t="n">
        <x:f>ABS(E970-D970)</x:f>
        <x:v>300</x:v>
      </x:c>
      <x:c r="L970" s="11" t="n">
        <x:f>K970-J970</x:f>
        <x:v>321.57</x:v>
      </x:c>
      <x:c r="M970" s="11" t="str">
        <x:f>IF(B970="Butterfly",MAX(J970,0),IF(C970="call","Unlimited",MAX(2*E970-D970+J970,J970,0)))</x:f>
        <x:v>Unlimited</x:v>
      </x:c>
      <x:c r="N970" s="11" t="str">
        <x:f>IF(B970="Butterfly",IF(AND(J970&gt;0,J970&lt;K970),D970+J970,"n.a."),IF(C970="call",IF(AND(J970&gt;0,J970&lt;K970),D970+J970,"n.a."),IF(AND(K970&gt;J970,2*E970-D970+J970&gt;=0),2*E970-D970+J970,"n.a.")))</x:f>
        <x:v>n.a.</x:v>
      </x:c>
      <x:c r="O970" s="11" t="n">
        <x:f>IF(B970="Butterfly",IF(AND(J970&gt;0,J970&lt;K970),F970-J970,"n.a."),IF(C970="call",IF(K970&gt;J970,2*E970-D970-J970,"n.a."),IF(AND(J970&gt;0,J970&lt;K970),D970-J970,"n.a.")))</x:f>
        <x:v>9221.57</x:v>
      </x:c>
      <x:c r="P970" s="19" t="str">
        <x:f>IF(AND(B970="Butterfly",J970&gt;0,J970&lt;K970),L970/J970,"n.a.")</x:f>
        <x:v>n.a.</x:v>
      </x:c>
      <x:c r="Q970" s="11" t="n">
        <x:f>J970*'Model inputs'!$B$8</x:f>
        <x:v>-2157.000000000001</x:v>
      </x:c>
      <x:c r="R970" s="1" t="str">
        <x:v>Indicative only</x:v>
      </x:c>
      <x:c r="S970" s="1" t="n">
        <x:v>395</x:v>
      </x:c>
      <x:c r="T970" s="1" t="n">
        <x:v>414</x:v>
      </x:c>
    </x:row>
    <x:row r="971" ht="21" customHeight="1">
      <x:c r="A971" s="12" t="n">
        <x:v>46267</x:v>
      </x:c>
      <x:c r="B971" s="1" t="str">
        <x:v>1x2 ratio</x:v>
      </x:c>
      <x:c r="C971" s="1" t="str">
        <x:v>put</x:v>
      </x:c>
      <x:c r="D971" s="11" t="n">
        <x:v>5600</x:v>
      </x:c>
      <x:c r="E971" s="11" t="n">
        <x:v>5400</x:v>
      </x:c>
      <x:c r="F971" s="11"/>
      <x:c r="G971" s="11" t="n">
        <x:f>'Option source'!B628</x:f>
        <x:v>14.11</x:v>
      </x:c>
      <x:c r="H971" s="11" t="n">
        <x:f>'Option source'!B609</x:f>
        <x:v>8.04</x:v>
      </x:c>
      <x:c r="I971" s="11"/>
      <x:c r="J971" s="11" t="n">
        <x:f>G971-2*H971+IF(B971="Butterfly",I971,0)</x:f>
        <x:v>-1.9699999999999989</x:v>
      </x:c>
      <x:c r="K971" s="11" t="n">
        <x:f>ABS(E971-D971)</x:f>
        <x:v>200</x:v>
      </x:c>
      <x:c r="L971" s="11" t="n">
        <x:f>K971-J971</x:f>
        <x:v>201.97</x:v>
      </x:c>
      <x:c r="M971" s="11" t="n">
        <x:f>IF(B971="Butterfly",MAX(J971,0),IF(C971="call","Unlimited",MAX(2*E971-D971+J971,J971,0)))</x:f>
        <x:v>5198.03</x:v>
      </x:c>
      <x:c r="N971" s="11" t="n">
        <x:f>IF(B971="Butterfly",IF(AND(J971&gt;0,J971&lt;K971),D971+J971,"n.a."),IF(C971="call",IF(AND(J971&gt;0,J971&lt;K971),D971+J971,"n.a."),IF(AND(K971&gt;J971,2*E971-D971+J971&gt;=0),2*E971-D971+J971,"n.a.")))</x:f>
        <x:v>5198.03</x:v>
      </x:c>
      <x:c r="O971" s="11" t="str">
        <x:f>IF(B971="Butterfly",IF(AND(J971&gt;0,J971&lt;K971),F971-J971,"n.a."),IF(C971="call",IF(K971&gt;J971,2*E971-D971-J971,"n.a."),IF(AND(J971&gt;0,J971&lt;K971),D971-J971,"n.a.")))</x:f>
        <x:v>n.a.</x:v>
      </x:c>
      <x:c r="P971" s="19" t="str">
        <x:f>IF(AND(B971="Butterfly",J971&gt;0,J971&lt;K971),L971/J971,"n.a.")</x:f>
        <x:v>n.a.</x:v>
      </x:c>
      <x:c r="Q971" s="11" t="n">
        <x:f>J971*'Model inputs'!$B$8</x:f>
        <x:v>-196.9999999999999</x:v>
      </x:c>
      <x:c r="R971" s="1" t="str">
        <x:v>Indicative only</x:v>
      </x:c>
      <x:c r="S971" s="1" t="n">
        <x:v>623</x:v>
      </x:c>
      <x:c r="T971" s="1" t="n">
        <x:v>604</x:v>
      </x:c>
    </x:row>
    <x:row r="972" ht="21" customHeight="1">
      <x:c r="A972" s="12" t="n">
        <x:v>46267</x:v>
      </x:c>
      <x:c r="B972" s="1" t="str">
        <x:v>1x2 ratio</x:v>
      </x:c>
      <x:c r="C972" s="1" t="str">
        <x:v>put</x:v>
      </x:c>
      <x:c r="D972" s="11" t="n">
        <x:v>5400</x:v>
      </x:c>
      <x:c r="E972" s="11" t="n">
        <x:v>5200</x:v>
      </x:c>
      <x:c r="F972" s="11"/>
      <x:c r="G972" s="11" t="n">
        <x:f>'Option source'!B609</x:f>
        <x:v>8.04</x:v>
      </x:c>
      <x:c r="H972" s="11" t="n">
        <x:f>'Option source'!B590</x:f>
        <x:v>4.57</x:v>
      </x:c>
      <x:c r="I972" s="11"/>
      <x:c r="J972" s="11" t="n">
        <x:f>G972-2*H972+IF(B972="Butterfly",I972,0)</x:f>
        <x:v>-1.1000000000000014</x:v>
      </x:c>
      <x:c r="K972" s="11" t="n">
        <x:f>ABS(E972-D972)</x:f>
        <x:v>200</x:v>
      </x:c>
      <x:c r="L972" s="11" t="n">
        <x:f>K972-J972</x:f>
        <x:v>201.1</x:v>
      </x:c>
      <x:c r="M972" s="11" t="n">
        <x:f>IF(B972="Butterfly",MAX(J972,0),IF(C972="call","Unlimited",MAX(2*E972-D972+J972,J972,0)))</x:f>
        <x:v>4998.9</x:v>
      </x:c>
      <x:c r="N972" s="11" t="n">
        <x:f>IF(B972="Butterfly",IF(AND(J972&gt;0,J972&lt;K972),D972+J972,"n.a."),IF(C972="call",IF(AND(J972&gt;0,J972&lt;K972),D972+J972,"n.a."),IF(AND(K972&gt;J972,2*E972-D972+J972&gt;=0),2*E972-D972+J972,"n.a.")))</x:f>
        <x:v>4998.9</x:v>
      </x:c>
      <x:c r="O972" s="11" t="str">
        <x:f>IF(B972="Butterfly",IF(AND(J972&gt;0,J972&lt;K972),F972-J972,"n.a."),IF(C972="call",IF(K972&gt;J972,2*E972-D972-J972,"n.a."),IF(AND(J972&gt;0,J972&lt;K972),D972-J972,"n.a.")))</x:f>
        <x:v>n.a.</x:v>
      </x:c>
      <x:c r="P972" s="19" t="str">
        <x:f>IF(AND(B972="Butterfly",J972&gt;0,J972&lt;K972),L972/J972,"n.a.")</x:f>
        <x:v>n.a.</x:v>
      </x:c>
      <x:c r="Q972" s="11" t="n">
        <x:f>J972*'Model inputs'!$B$8</x:f>
        <x:v>-110.00000000000014</x:v>
      </x:c>
      <x:c r="R972" s="1" t="str">
        <x:v>Indicative only</x:v>
      </x:c>
      <x:c r="S972" s="1" t="n">
        <x:v>604</x:v>
      </x:c>
      <x:c r="T972" s="1" t="n">
        <x:v>585</x:v>
      </x:c>
    </x:row>
    <x:row r="973" ht="21" customHeight="1">
      <x:c r="A973" s="12" t="n">
        <x:v>46267</x:v>
      </x:c>
      <x:c r="B973" s="1" t="str">
        <x:v>1x2 ratio</x:v>
      </x:c>
      <x:c r="C973" s="1" t="str">
        <x:v>call</x:v>
      </x:c>
      <x:c r="D973" s="11" t="n">
        <x:v>8900</x:v>
      </x:c>
      <x:c r="E973" s="11" t="n">
        <x:v>9200</x:v>
      </x:c>
      <x:c r="F973" s="11"/>
      <x:c r="G973" s="11" t="n">
        <x:f>'Option source'!B419</x:f>
        <x:v>53.17</x:v>
      </x:c>
      <x:c r="H973" s="11" t="n">
        <x:f>'Option source'!B438</x:f>
        <x:v>32.75</x:v>
      </x:c>
      <x:c r="I973" s="11"/>
      <x:c r="J973" s="11" t="n">
        <x:f>G973-2*H973+IF(B973="Butterfly",I973,0)</x:f>
        <x:v>-12.329999999999998</x:v>
      </x:c>
      <x:c r="K973" s="11" t="n">
        <x:f>ABS(E973-D973)</x:f>
        <x:v>300</x:v>
      </x:c>
      <x:c r="L973" s="11" t="n">
        <x:f>K973-J973</x:f>
        <x:v>312.33</x:v>
      </x:c>
      <x:c r="M973" s="11" t="str">
        <x:f>IF(B973="Butterfly",MAX(J973,0),IF(C973="call","Unlimited",MAX(2*E973-D973+J973,J973,0)))</x:f>
        <x:v>Unlimited</x:v>
      </x:c>
      <x:c r="N973" s="11" t="str">
        <x:f>IF(B973="Butterfly",IF(AND(J973&gt;0,J973&lt;K973),D973+J973,"n.a."),IF(C973="call",IF(AND(J973&gt;0,J973&lt;K973),D973+J973,"n.a."),IF(AND(K973&gt;J973,2*E973-D973+J973&gt;=0),2*E973-D973+J973,"n.a.")))</x:f>
        <x:v>n.a.</x:v>
      </x:c>
      <x:c r="O973" s="11" t="n">
        <x:f>IF(B973="Butterfly",IF(AND(J973&gt;0,J973&lt;K973),F973-J973,"n.a."),IF(C973="call",IF(K973&gt;J973,2*E973-D973-J973,"n.a."),IF(AND(J973&gt;0,J973&lt;K973),D973-J973,"n.a.")))</x:f>
        <x:v>9512.33</x:v>
      </x:c>
      <x:c r="P973" s="19" t="str">
        <x:f>IF(AND(B973="Butterfly",J973&gt;0,J973&lt;K973),L973/J973,"n.a.")</x:f>
        <x:v>n.a.</x:v>
      </x:c>
      <x:c r="Q973" s="11" t="n">
        <x:f>J973*'Model inputs'!$B$8</x:f>
        <x:v>-1232.9999999999998</x:v>
      </x:c>
      <x:c r="R973" s="1" t="str">
        <x:v>Indicative only</x:v>
      </x:c>
      <x:c r="S973" s="1" t="n">
        <x:v>414</x:v>
      </x:c>
      <x:c r="T973" s="1" t="n">
        <x:v>433</x:v>
      </x:c>
    </x:row>
    <x:row r="974" ht="21" customHeight="1">
      <x:c r="A974" s="12" t="n">
        <x:v>46267</x:v>
      </x:c>
      <x:c r="B974" s="1" t="str">
        <x:v>1x2 ratio</x:v>
      </x:c>
      <x:c r="C974" s="1" t="str">
        <x:v>put</x:v>
      </x:c>
      <x:c r="D974" s="11" t="n">
        <x:v>5200</x:v>
      </x:c>
      <x:c r="E974" s="11" t="n">
        <x:v>5000</x:v>
      </x:c>
      <x:c r="F974" s="11"/>
      <x:c r="G974" s="11" t="n">
        <x:f>'Option source'!B590</x:f>
        <x:v>4.57</x:v>
      </x:c>
      <x:c r="H974" s="11" t="n">
        <x:f>'Option source'!B571</x:f>
        <x:v>2.6</x:v>
      </x:c>
      <x:c r="I974" s="11"/>
      <x:c r="J974" s="11" t="n">
        <x:f>G974-2*H974+IF(B974="Butterfly",I974,0)</x:f>
        <x:v>-0.6299999999999999</x:v>
      </x:c>
      <x:c r="K974" s="11" t="n">
        <x:f>ABS(E974-D974)</x:f>
        <x:v>200</x:v>
      </x:c>
      <x:c r="L974" s="11" t="n">
        <x:f>K974-J974</x:f>
        <x:v>200.63</x:v>
      </x:c>
      <x:c r="M974" s="11" t="n">
        <x:f>IF(B974="Butterfly",MAX(J974,0),IF(C974="call","Unlimited",MAX(2*E974-D974+J974,J974,0)))</x:f>
        <x:v>4799.37</x:v>
      </x:c>
      <x:c r="N974" s="11" t="n">
        <x:f>IF(B974="Butterfly",IF(AND(J974&gt;0,J974&lt;K974),D974+J974,"n.a."),IF(C974="call",IF(AND(J974&gt;0,J974&lt;K974),D974+J974,"n.a."),IF(AND(K974&gt;J974,2*E974-D974+J974&gt;=0),2*E974-D974+J974,"n.a.")))</x:f>
        <x:v>4799.37</x:v>
      </x:c>
      <x:c r="O974" s="11" t="str">
        <x:f>IF(B974="Butterfly",IF(AND(J974&gt;0,J974&lt;K974),F974-J974,"n.a."),IF(C974="call",IF(K974&gt;J974,2*E974-D974-J974,"n.a."),IF(AND(J974&gt;0,J974&lt;K974),D974-J974,"n.a.")))</x:f>
        <x:v>n.a.</x:v>
      </x:c>
      <x:c r="P974" s="19" t="str">
        <x:f>IF(AND(B974="Butterfly",J974&gt;0,J974&lt;K974),L974/J974,"n.a.")</x:f>
        <x:v>n.a.</x:v>
      </x:c>
      <x:c r="Q974" s="11" t="n">
        <x:f>J974*'Model inputs'!$B$8</x:f>
        <x:v>-62.999999999999986</x:v>
      </x:c>
      <x:c r="R974" s="1" t="str">
        <x:v>Indicative only</x:v>
      </x:c>
      <x:c r="S974" s="1" t="n">
        <x:v>585</x:v>
      </x:c>
      <x:c r="T974" s="1" t="n">
        <x:v>566</x:v>
      </x:c>
    </x:row>
    <x:row r="975" ht="21" customHeight="1">
      <x:c r="A975" s="12" t="n">
        <x:v>46267</x:v>
      </x:c>
      <x:c r="B975" s="1" t="str">
        <x:v>1x2 ratio</x:v>
      </x:c>
      <x:c r="C975" s="1" t="str">
        <x:v>call</x:v>
      </x:c>
      <x:c r="D975" s="11" t="n">
        <x:v>9200</x:v>
      </x:c>
      <x:c r="E975" s="11" t="n">
        <x:v>9500</x:v>
      </x:c>
      <x:c r="F975" s="11"/>
      <x:c r="G975" s="11" t="n">
        <x:f>'Option source'!B438</x:f>
        <x:v>32.75</x:v>
      </x:c>
      <x:c r="H975" s="11" t="n">
        <x:f>'Option source'!B457</x:f>
        <x:v>20.75</x:v>
      </x:c>
      <x:c r="I975" s="11"/>
      <x:c r="J975" s="11" t="n">
        <x:f>G975-2*H975+IF(B975="Butterfly",I975,0)</x:f>
        <x:v>-8.75</x:v>
      </x:c>
      <x:c r="K975" s="11" t="n">
        <x:f>ABS(E975-D975)</x:f>
        <x:v>300</x:v>
      </x:c>
      <x:c r="L975" s="11" t="n">
        <x:f>K975-J975</x:f>
        <x:v>308.75</x:v>
      </x:c>
      <x:c r="M975" s="11" t="str">
        <x:f>IF(B975="Butterfly",MAX(J975,0),IF(C975="call","Unlimited",MAX(2*E975-D975+J975,J975,0)))</x:f>
        <x:v>Unlimited</x:v>
      </x:c>
      <x:c r="N975" s="11" t="str">
        <x:f>IF(B975="Butterfly",IF(AND(J975&gt;0,J975&lt;K975),D975+J975,"n.a."),IF(C975="call",IF(AND(J975&gt;0,J975&lt;K975),D975+J975,"n.a."),IF(AND(K975&gt;J975,2*E975-D975+J975&gt;=0),2*E975-D975+J975,"n.a.")))</x:f>
        <x:v>n.a.</x:v>
      </x:c>
      <x:c r="O975" s="11" t="n">
        <x:f>IF(B975="Butterfly",IF(AND(J975&gt;0,J975&lt;K975),F975-J975,"n.a."),IF(C975="call",IF(K975&gt;J975,2*E975-D975-J975,"n.a."),IF(AND(J975&gt;0,J975&lt;K975),D975-J975,"n.a.")))</x:f>
        <x:v>9808.75</x:v>
      </x:c>
      <x:c r="P975" s="19" t="str">
        <x:f>IF(AND(B975="Butterfly",J975&gt;0,J975&lt;K975),L975/J975,"n.a.")</x:f>
        <x:v>n.a.</x:v>
      </x:c>
      <x:c r="Q975" s="11" t="n">
        <x:f>J975*'Model inputs'!$B$8</x:f>
        <x:v>-875</x:v>
      </x:c>
      <x:c r="R975" s="1" t="str">
        <x:v>Indicative only</x:v>
      </x:c>
      <x:c r="S975" s="1" t="n">
        <x:v>433</x:v>
      </x:c>
      <x:c r="T975" s="1" t="n">
        <x:v>452</x:v>
      </x:c>
    </x:row>
    <x:row r="976" ht="21" customHeight="1">
      <x:c r="A976" s="12" t="n">
        <x:v>46267</x:v>
      </x:c>
      <x:c r="B976" s="1" t="str">
        <x:v>1x2 ratio</x:v>
      </x:c>
      <x:c r="C976" s="1" t="str">
        <x:v>put</x:v>
      </x:c>
      <x:c r="D976" s="11" t="n">
        <x:v>5000</x:v>
      </x:c>
      <x:c r="E976" s="11" t="n">
        <x:v>4800</x:v>
      </x:c>
      <x:c r="F976" s="11"/>
      <x:c r="G976" s="11" t="n">
        <x:f>'Option source'!B571</x:f>
        <x:v>2.6</x:v>
      </x:c>
      <x:c r="H976" s="11" t="n">
        <x:f>'Option source'!B552</x:f>
        <x:v>1.74</x:v>
      </x:c>
      <x:c r="I976" s="11"/>
      <x:c r="J976" s="11" t="n">
        <x:f>G976-2*H976+IF(B976="Butterfly",I976,0)</x:f>
        <x:v>-0.8799999999999999</x:v>
      </x:c>
      <x:c r="K976" s="11" t="n">
        <x:f>ABS(E976-D976)</x:f>
        <x:v>200</x:v>
      </x:c>
      <x:c r="L976" s="11" t="n">
        <x:f>K976-J976</x:f>
        <x:v>200.88</x:v>
      </x:c>
      <x:c r="M976" s="11" t="n">
        <x:f>IF(B976="Butterfly",MAX(J976,0),IF(C976="call","Unlimited",MAX(2*E976-D976+J976,J976,0)))</x:f>
        <x:v>4599.12</x:v>
      </x:c>
      <x:c r="N976" s="11" t="n">
        <x:f>IF(B976="Butterfly",IF(AND(J976&gt;0,J976&lt;K976),D976+J976,"n.a."),IF(C976="call",IF(AND(J976&gt;0,J976&lt;K976),D976+J976,"n.a."),IF(AND(K976&gt;J976,2*E976-D976+J976&gt;=0),2*E976-D976+J976,"n.a.")))</x:f>
        <x:v>4599.12</x:v>
      </x:c>
      <x:c r="O976" s="11" t="str">
        <x:f>IF(B976="Butterfly",IF(AND(J976&gt;0,J976&lt;K976),F976-J976,"n.a."),IF(C976="call",IF(K976&gt;J976,2*E976-D976-J976,"n.a."),IF(AND(J976&gt;0,J976&lt;K976),D976-J976,"n.a.")))</x:f>
        <x:v>n.a.</x:v>
      </x:c>
      <x:c r="P976" s="19" t="str">
        <x:f>IF(AND(B976="Butterfly",J976&gt;0,J976&lt;K976),L976/J976,"n.a.")</x:f>
        <x:v>n.a.</x:v>
      </x:c>
      <x:c r="Q976" s="11" t="n">
        <x:f>J976*'Model inputs'!$B$8</x:f>
        <x:v>-87.99999999999999</x:v>
      </x:c>
      <x:c r="R976" s="1" t="str">
        <x:v>Indicative only</x:v>
      </x:c>
      <x:c r="S976" s="1" t="n">
        <x:v>566</x:v>
      </x:c>
      <x:c r="T976" s="1" t="n">
        <x:v>547</x:v>
      </x:c>
    </x:row>
    <x:row r="977" ht="21" customHeight="1">
      <x:c r="A977" s="12" t="n">
        <x:v>46267</x:v>
      </x:c>
      <x:c r="B977" s="1" t="str">
        <x:v>1x2 ratio</x:v>
      </x:c>
      <x:c r="C977" s="1" t="str">
        <x:v>put</x:v>
      </x:c>
      <x:c r="D977" s="11" t="n">
        <x:v>4800</x:v>
      </x:c>
      <x:c r="E977" s="11" t="n">
        <x:v>4600</x:v>
      </x:c>
      <x:c r="F977" s="11"/>
      <x:c r="G977" s="11" t="n">
        <x:f>'Option source'!B552</x:f>
        <x:v>1.74</x:v>
      </x:c>
      <x:c r="H977" s="11" t="n">
        <x:f>'Option source'!B533</x:f>
        <x:v>1.38</x:v>
      </x:c>
      <x:c r="I977" s="11"/>
      <x:c r="J977" s="11" t="n">
        <x:f>G977-2*H977+IF(B977="Butterfly",I977,0)</x:f>
        <x:v>-1.0199999999999998</x:v>
      </x:c>
      <x:c r="K977" s="11" t="n">
        <x:f>ABS(E977-D977)</x:f>
        <x:v>200</x:v>
      </x:c>
      <x:c r="L977" s="11" t="n">
        <x:f>K977-J977</x:f>
        <x:v>201.02</x:v>
      </x:c>
      <x:c r="M977" s="11" t="n">
        <x:f>IF(B977="Butterfly",MAX(J977,0),IF(C977="call","Unlimited",MAX(2*E977-D977+J977,J977,0)))</x:f>
        <x:v>4398.98</x:v>
      </x:c>
      <x:c r="N977" s="11" t="n">
        <x:f>IF(B977="Butterfly",IF(AND(J977&gt;0,J977&lt;K977),D977+J977,"n.a."),IF(C977="call",IF(AND(J977&gt;0,J977&lt;K977),D977+J977,"n.a."),IF(AND(K977&gt;J977,2*E977-D977+J977&gt;=0),2*E977-D977+J977,"n.a.")))</x:f>
        <x:v>4398.98</x:v>
      </x:c>
      <x:c r="O977" s="11" t="str">
        <x:f>IF(B977="Butterfly",IF(AND(J977&gt;0,J977&lt;K977),F977-J977,"n.a."),IF(C977="call",IF(K977&gt;J977,2*E977-D977-J977,"n.a."),IF(AND(J977&gt;0,J977&lt;K977),D977-J977,"n.a.")))</x:f>
        <x:v>n.a.</x:v>
      </x:c>
      <x:c r="P977" s="19" t="str">
        <x:f>IF(AND(B977="Butterfly",J977&gt;0,J977&lt;K977),L977/J977,"n.a.")</x:f>
        <x:v>n.a.</x:v>
      </x:c>
      <x:c r="Q977" s="11" t="n">
        <x:f>J977*'Model inputs'!$B$8</x:f>
        <x:v>-101.99999999999999</x:v>
      </x:c>
      <x:c r="R977" s="1" t="str">
        <x:v>Indicative only</x:v>
      </x:c>
      <x:c r="S977" s="1" t="n">
        <x:v>547</x:v>
      </x:c>
      <x:c r="T977" s="1" t="n">
        <x:v>528</x:v>
      </x:c>
    </x:row>
    <x:row r="978" ht="21" customHeight="1">
      <x:c r="A978" s="12" t="n">
        <x:v>46267</x:v>
      </x:c>
      <x:c r="B978" s="1" t="str">
        <x:v>1x2 ratio</x:v>
      </x:c>
      <x:c r="C978" s="1" t="str">
        <x:v>call</x:v>
      </x:c>
      <x:c r="D978" s="11" t="n">
        <x:v>9500</x:v>
      </x:c>
      <x:c r="E978" s="11" t="n">
        <x:v>9900</x:v>
      </x:c>
      <x:c r="F978" s="11"/>
      <x:c r="G978" s="11" t="n">
        <x:f>'Option source'!B457</x:f>
        <x:v>20.75</x:v>
      </x:c>
      <x:c r="H978" s="11" t="n">
        <x:f>'Option source'!B476</x:f>
        <x:v>12.28</x:v>
      </x:c>
      <x:c r="I978" s="11"/>
      <x:c r="J978" s="11" t="n">
        <x:f>G978-2*H978+IF(B978="Butterfly",I978,0)</x:f>
        <x:v>-3.8099999999999987</x:v>
      </x:c>
      <x:c r="K978" s="11" t="n">
        <x:f>ABS(E978-D978)</x:f>
        <x:v>400</x:v>
      </x:c>
      <x:c r="L978" s="11" t="n">
        <x:f>K978-J978</x:f>
        <x:v>403.81</x:v>
      </x:c>
      <x:c r="M978" s="11" t="str">
        <x:f>IF(B978="Butterfly",MAX(J978,0),IF(C978="call","Unlimited",MAX(2*E978-D978+J978,J978,0)))</x:f>
        <x:v>Unlimited</x:v>
      </x:c>
      <x:c r="N978" s="11" t="str">
        <x:f>IF(B978="Butterfly",IF(AND(J978&gt;0,J978&lt;K978),D978+J978,"n.a."),IF(C978="call",IF(AND(J978&gt;0,J978&lt;K978),D978+J978,"n.a."),IF(AND(K978&gt;J978,2*E978-D978+J978&gt;=0),2*E978-D978+J978,"n.a.")))</x:f>
        <x:v>n.a.</x:v>
      </x:c>
      <x:c r="O978" s="11" t="n">
        <x:f>IF(B978="Butterfly",IF(AND(J978&gt;0,J978&lt;K978),F978-J978,"n.a."),IF(C978="call",IF(K978&gt;J978,2*E978-D978-J978,"n.a."),IF(AND(J978&gt;0,J978&lt;K978),D978-J978,"n.a.")))</x:f>
        <x:v>10303.81</x:v>
      </x:c>
      <x:c r="P978" s="19" t="str">
        <x:f>IF(AND(B978="Butterfly",J978&gt;0,J978&lt;K978),L978/J978,"n.a.")</x:f>
        <x:v>n.a.</x:v>
      </x:c>
      <x:c r="Q978" s="11" t="n">
        <x:f>J978*'Model inputs'!$B$8</x:f>
        <x:v>-380.9999999999999</x:v>
      </x:c>
      <x:c r="R978" s="1" t="str">
        <x:v>Indicative only</x:v>
      </x:c>
      <x:c r="S978" s="1" t="n">
        <x:v>452</x:v>
      </x:c>
      <x:c r="T978" s="1" t="n">
        <x:v>471</x:v>
      </x:c>
    </x:row>
    <x:row r="979" ht="21" customHeight="1">
      <x:c r="A979" s="12" t="n">
        <x:v>46267</x:v>
      </x:c>
      <x:c r="B979" s="1" t="str">
        <x:v>1x2 ratio</x:v>
      </x:c>
      <x:c r="C979" s="1" t="str">
        <x:v>put</x:v>
      </x:c>
      <x:c r="D979" s="11" t="n">
        <x:v>4600</x:v>
      </x:c>
      <x:c r="E979" s="11" t="n">
        <x:v>4400</x:v>
      </x:c>
      <x:c r="F979" s="11"/>
      <x:c r="G979" s="11" t="n">
        <x:f>'Option source'!B533</x:f>
        <x:v>1.38</x:v>
      </x:c>
      <x:c r="H979" s="11" t="n">
        <x:f>'Option source'!B514</x:f>
        <x:v>1.28</x:v>
      </x:c>
      <x:c r="I979" s="11"/>
      <x:c r="J979" s="11" t="n">
        <x:f>G979-2*H979+IF(B979="Butterfly",I979,0)</x:f>
        <x:v>-1.1800000000000002</x:v>
      </x:c>
      <x:c r="K979" s="11" t="n">
        <x:f>ABS(E979-D979)</x:f>
        <x:v>200</x:v>
      </x:c>
      <x:c r="L979" s="11" t="n">
        <x:f>K979-J979</x:f>
        <x:v>201.18</x:v>
      </x:c>
      <x:c r="M979" s="11" t="n">
        <x:f>IF(B979="Butterfly",MAX(J979,0),IF(C979="call","Unlimited",MAX(2*E979-D979+J979,J979,0)))</x:f>
        <x:v>4198.82</x:v>
      </x:c>
      <x:c r="N979" s="11" t="n">
        <x:f>IF(B979="Butterfly",IF(AND(J979&gt;0,J979&lt;K979),D979+J979,"n.a."),IF(C979="call",IF(AND(J979&gt;0,J979&lt;K979),D979+J979,"n.a."),IF(AND(K979&gt;J979,2*E979-D979+J979&gt;=0),2*E979-D979+J979,"n.a.")))</x:f>
        <x:v>4198.82</x:v>
      </x:c>
      <x:c r="O979" s="11" t="str">
        <x:f>IF(B979="Butterfly",IF(AND(J979&gt;0,J979&lt;K979),F979-J979,"n.a."),IF(C979="call",IF(K979&gt;J979,2*E979-D979-J979,"n.a."),IF(AND(J979&gt;0,J979&lt;K979),D979-J979,"n.a.")))</x:f>
        <x:v>n.a.</x:v>
      </x:c>
      <x:c r="P979" s="19" t="str">
        <x:f>IF(AND(B979="Butterfly",J979&gt;0,J979&lt;K979),L979/J979,"n.a.")</x:f>
        <x:v>n.a.</x:v>
      </x:c>
      <x:c r="Q979" s="11" t="n">
        <x:f>J979*'Model inputs'!$B$8</x:f>
        <x:v>-118.00000000000001</x:v>
      </x:c>
      <x:c r="R979" s="1" t="str">
        <x:v>Indicative only</x:v>
      </x:c>
      <x:c r="S979" s="1" t="n">
        <x:v>528</x:v>
      </x:c>
      <x:c r="T979" s="1" t="n">
        <x:v>509</x:v>
      </x:c>
    </x:row>
    <x:row r="980" ht="21" customHeight="1">
      <x:c r="A980" s="12" t="n">
        <x:v>46267</x:v>
      </x:c>
      <x:c r="B980" s="1" t="str">
        <x:v>1x2 ratio</x:v>
      </x:c>
      <x:c r="C980" s="1" t="str">
        <x:v>put</x:v>
      </x:c>
      <x:c r="D980" s="11" t="n">
        <x:v>4400</x:v>
      </x:c>
      <x:c r="E980" s="11" t="n">
        <x:v>4200</x:v>
      </x:c>
      <x:c r="F980" s="11"/>
      <x:c r="G980" s="11" t="n">
        <x:f>'Option source'!B514</x:f>
        <x:v>1.28</x:v>
      </x:c>
      <x:c r="H980" s="11" t="n">
        <x:f>'Option source'!B495</x:f>
        <x:v>0.9</x:v>
      </x:c>
      <x:c r="I980" s="11"/>
      <x:c r="J980" s="11" t="n">
        <x:f>G980-2*H980+IF(B980="Butterfly",I980,0)</x:f>
        <x:v>-0.52</x:v>
      </x:c>
      <x:c r="K980" s="11" t="n">
        <x:f>ABS(E980-D980)</x:f>
        <x:v>200</x:v>
      </x:c>
      <x:c r="L980" s="11" t="n">
        <x:f>K980-J980</x:f>
        <x:v>200.52</x:v>
      </x:c>
      <x:c r="M980" s="11" t="n">
        <x:f>IF(B980="Butterfly",MAX(J980,0),IF(C980="call","Unlimited",MAX(2*E980-D980+J980,J980,0)))</x:f>
        <x:v>3999.48</x:v>
      </x:c>
      <x:c r="N980" s="11" t="n">
        <x:f>IF(B980="Butterfly",IF(AND(J980&gt;0,J980&lt;K980),D980+J980,"n.a."),IF(C980="call",IF(AND(J980&gt;0,J980&lt;K980),D980+J980,"n.a."),IF(AND(K980&gt;J980,2*E980-D980+J980&gt;=0),2*E980-D980+J980,"n.a.")))</x:f>
        <x:v>3999.48</x:v>
      </x:c>
      <x:c r="O980" s="11" t="str">
        <x:f>IF(B980="Butterfly",IF(AND(J980&gt;0,J980&lt;K980),F980-J980,"n.a."),IF(C980="call",IF(K980&gt;J980,2*E980-D980-J980,"n.a."),IF(AND(J980&gt;0,J980&lt;K980),D980-J980,"n.a.")))</x:f>
        <x:v>n.a.</x:v>
      </x:c>
      <x:c r="P980" s="19" t="str">
        <x:f>IF(AND(B980="Butterfly",J980&gt;0,J980&lt;K980),L980/J980,"n.a.")</x:f>
        <x:v>n.a.</x:v>
      </x:c>
      <x:c r="Q980" s="11" t="n">
        <x:f>J980*'Model inputs'!$B$8</x:f>
        <x:v>-52</x:v>
      </x:c>
      <x:c r="R980" s="1" t="str">
        <x:v>Indicative only</x:v>
      </x:c>
      <x:c r="S980" s="1" t="n">
        <x:v>509</x:v>
      </x:c>
      <x:c r="T980" s="1" t="n">
        <x:v>490</x:v>
      </x:c>
    </x:row>
    <x:row r="981" ht="21" customHeight="1">
      <x:c r="A981" s="12" t="n">
        <x:v>46267</x:v>
      </x:c>
      <x:c r="B981" s="1" t="str">
        <x:v>1x2 ratio</x:v>
      </x:c>
      <x:c r="C981" s="1" t="str">
        <x:v>put</x:v>
      </x:c>
      <x:c r="D981" s="11" t="n">
        <x:v>7800</x:v>
      </x:c>
      <x:c r="E981" s="11" t="n">
        <x:v>7600</x:v>
      </x:c>
      <x:c r="F981" s="11"/>
      <x:c r="G981" s="11" t="n">
        <x:f>'Option source'!B837</x:f>
        <x:v>726</x:v>
      </x:c>
      <x:c r="H981" s="11" t="n">
        <x:f>'Option source'!B818</x:f>
        <x:v>600</x:v>
      </x:c>
      <x:c r="I981" s="11"/>
      <x:c r="J981" s="11" t="n">
        <x:f>G981-2*H981+IF(B981="Butterfly",I981,0)</x:f>
        <x:v>-474</x:v>
      </x:c>
      <x:c r="K981" s="11" t="n">
        <x:f>ABS(E981-D981)</x:f>
        <x:v>200</x:v>
      </x:c>
      <x:c r="L981" s="11" t="n">
        <x:f>K981-J981</x:f>
        <x:v>674</x:v>
      </x:c>
      <x:c r="M981" s="11" t="n">
        <x:f>IF(B981="Butterfly",MAX(J981,0),IF(C981="call","Unlimited",MAX(2*E981-D981+J981,J981,0)))</x:f>
        <x:v>6926</x:v>
      </x:c>
      <x:c r="N981" s="11" t="n">
        <x:f>IF(B981="Butterfly",IF(AND(J981&gt;0,J981&lt;K981),D981+J981,"n.a."),IF(C981="call",IF(AND(J981&gt;0,J981&lt;K981),D981+J981,"n.a."),IF(AND(K981&gt;J981,2*E981-D981+J981&gt;=0),2*E981-D981+J981,"n.a.")))</x:f>
        <x:v>6926</x:v>
      </x:c>
      <x:c r="O981" s="11" t="str">
        <x:f>IF(B981="Butterfly",IF(AND(J981&gt;0,J981&lt;K981),F981-J981,"n.a."),IF(C981="call",IF(K981&gt;J981,2*E981-D981-J981,"n.a."),IF(AND(J981&gt;0,J981&lt;K981),D981-J981,"n.a.")))</x:f>
        <x:v>n.a.</x:v>
      </x:c>
      <x:c r="P981" s="19" t="str">
        <x:f>IF(AND(B981="Butterfly",J981&gt;0,J981&lt;K981),L981/J981,"n.a.")</x:f>
        <x:v>n.a.</x:v>
      </x:c>
      <x:c r="Q981" s="11" t="n">
        <x:f>J981*'Model inputs'!$B$8</x:f>
        <x:v>-47400</x:v>
      </x:c>
      <x:c r="R981" s="1" t="str">
        <x:v>Flagged leg data</x:v>
      </x:c>
      <x:c r="S981" s="1" t="n">
        <x:v>832</x:v>
      </x:c>
      <x:c r="T981" s="1" t="n">
        <x:v>813</x:v>
      </x:c>
    </x:row>
    <x:row r="982" ht="21" customHeight="1">
      <x:c r="A982" s="12" t="n">
        <x:v>46267</x:v>
      </x:c>
      <x:c r="B982" s="1" t="str">
        <x:v>1x2 ratio</x:v>
      </x:c>
      <x:c r="C982" s="1" t="str">
        <x:v>put</x:v>
      </x:c>
      <x:c r="D982" s="11" t="n">
        <x:v>8000</x:v>
      </x:c>
      <x:c r="E982" s="11" t="n">
        <x:v>7800</x:v>
      </x:c>
      <x:c r="F982" s="11"/>
      <x:c r="G982" s="11" t="n">
        <x:f>'Option source'!B856</x:f>
        <x:v>910</x:v>
      </x:c>
      <x:c r="H982" s="11" t="n">
        <x:f>'Option source'!B837</x:f>
        <x:v>726</x:v>
      </x:c>
      <x:c r="I982" s="11"/>
      <x:c r="J982" s="11" t="n">
        <x:f>G982-2*H982+IF(B982="Butterfly",I982,0)</x:f>
        <x:v>-542</x:v>
      </x:c>
      <x:c r="K982" s="11" t="n">
        <x:f>ABS(E982-D982)</x:f>
        <x:v>200</x:v>
      </x:c>
      <x:c r="L982" s="11" t="n">
        <x:f>K982-J982</x:f>
        <x:v>742</x:v>
      </x:c>
      <x:c r="M982" s="11" t="n">
        <x:f>IF(B982="Butterfly",MAX(J982,0),IF(C982="call","Unlimited",MAX(2*E982-D982+J982,J982,0)))</x:f>
        <x:v>7058</x:v>
      </x:c>
      <x:c r="N982" s="11" t="n">
        <x:f>IF(B982="Butterfly",IF(AND(J982&gt;0,J982&lt;K982),D982+J982,"n.a."),IF(C982="call",IF(AND(J982&gt;0,J982&lt;K982),D982+J982,"n.a."),IF(AND(K982&gt;J982,2*E982-D982+J982&gt;=0),2*E982-D982+J982,"n.a.")))</x:f>
        <x:v>7058</x:v>
      </x:c>
      <x:c r="O982" s="11" t="str">
        <x:f>IF(B982="Butterfly",IF(AND(J982&gt;0,J982&lt;K982),F982-J982,"n.a."),IF(C982="call",IF(K982&gt;J982,2*E982-D982-J982,"n.a."),IF(AND(J982&gt;0,J982&lt;K982),D982-J982,"n.a.")))</x:f>
        <x:v>n.a.</x:v>
      </x:c>
      <x:c r="P982" s="19" t="str">
        <x:f>IF(AND(B982="Butterfly",J982&gt;0,J982&lt;K982),L982/J982,"n.a.")</x:f>
        <x:v>n.a.</x:v>
      </x:c>
      <x:c r="Q982" s="11" t="n">
        <x:f>J982*'Model inputs'!$B$8</x:f>
        <x:v>-54200</x:v>
      </x:c>
      <x:c r="R982" s="1" t="str">
        <x:v>Flagged leg data</x:v>
      </x:c>
      <x:c r="S982" s="1" t="n">
        <x:v>851</x:v>
      </x:c>
      <x:c r="T982" s="1" t="n">
        <x:v>832</x:v>
      </x:c>
    </x:row>
    <x:row r="983" ht="21" customHeight="1">
      <x:c r="A983" s="12" t="n">
        <x:v>46267</x:v>
      </x:c>
      <x:c r="B983" s="1" t="str">
        <x:v>1x2 ratio</x:v>
      </x:c>
      <x:c r="C983" s="1" t="str">
        <x:v>call</x:v>
      </x:c>
      <x:c r="D983" s="11" t="n">
        <x:v>6200</x:v>
      </x:c>
      <x:c r="E983" s="11" t="n">
        <x:v>6400</x:v>
      </x:c>
      <x:c r="F983" s="11"/>
      <x:c r="G983" s="11" t="n">
        <x:f>'Option source'!B191</x:f>
        <x:v>1088.47</x:v>
      </x:c>
      <x:c r="H983" s="11" t="n">
        <x:f>'Option source'!B210</x:f>
        <x:v>1025</x:v>
      </x:c>
      <x:c r="I983" s="11"/>
      <x:c r="J983" s="11" t="n">
        <x:f>G983-2*H983+IF(B983="Butterfly",I983,0)</x:f>
        <x:v>-961.53</x:v>
      </x:c>
      <x:c r="K983" s="11" t="n">
        <x:f>ABS(E983-D983)</x:f>
        <x:v>200</x:v>
      </x:c>
      <x:c r="L983" s="11" t="n">
        <x:f>K983-J983</x:f>
        <x:v>1161.53</x:v>
      </x:c>
      <x:c r="M983" s="11" t="str">
        <x:f>IF(B983="Butterfly",MAX(J983,0),IF(C983="call","Unlimited",MAX(2*E983-D983+J983,J983,0)))</x:f>
        <x:v>Unlimited</x:v>
      </x:c>
      <x:c r="N983" s="11" t="str">
        <x:f>IF(B983="Butterfly",IF(AND(J983&gt;0,J983&lt;K983),D983+J983,"n.a."),IF(C983="call",IF(AND(J983&gt;0,J983&lt;K983),D983+J983,"n.a."),IF(AND(K983&gt;J983,2*E983-D983+J983&gt;=0),2*E983-D983+J983,"n.a.")))</x:f>
        <x:v>n.a.</x:v>
      </x:c>
      <x:c r="O983" s="11" t="n">
        <x:f>IF(B983="Butterfly",IF(AND(J983&gt;0,J983&lt;K983),F983-J983,"n.a."),IF(C983="call",IF(K983&gt;J983,2*E983-D983-J983,"n.a."),IF(AND(J983&gt;0,J983&lt;K983),D983-J983,"n.a.")))</x:f>
        <x:v>7561.53</x:v>
      </x:c>
      <x:c r="P983" s="19" t="str">
        <x:f>IF(AND(B983="Butterfly",J983&gt;0,J983&lt;K983),L983/J983,"n.a.")</x:f>
        <x:v>n.a.</x:v>
      </x:c>
      <x:c r="Q983" s="11" t="n">
        <x:f>J983*'Model inputs'!$B$8</x:f>
        <x:v>-96153</x:v>
      </x:c>
      <x:c r="R983" s="1" t="str">
        <x:v>Flagged leg data</x:v>
      </x:c>
      <x:c r="S983" s="1" t="n">
        <x:v>186</x:v>
      </x:c>
      <x:c r="T983" s="1" t="n">
        <x:v>205</x:v>
      </x:c>
    </x:row>
    <x:row r="984" ht="21" customHeight="1">
      <x:c r="A984" s="12" t="n">
        <x:v>46267</x:v>
      </x:c>
      <x:c r="B984" s="1" t="str">
        <x:v>1x2 ratio</x:v>
      </x:c>
      <x:c r="C984" s="1" t="str">
        <x:v>put</x:v>
      </x:c>
      <x:c r="D984" s="11" t="n">
        <x:v>8300</x:v>
      </x:c>
      <x:c r="E984" s="11" t="n">
        <x:v>8000</x:v>
      </x:c>
      <x:c r="F984" s="11"/>
      <x:c r="G984" s="11" t="n">
        <x:f>'Option source'!B875</x:f>
        <x:v>1250</x:v>
      </x:c>
      <x:c r="H984" s="11" t="n">
        <x:f>'Option source'!B856</x:f>
        <x:v>910</x:v>
      </x:c>
      <x:c r="I984" s="11"/>
      <x:c r="J984" s="11" t="n">
        <x:f>G984-2*H984+IF(B984="Butterfly",I984,0)</x:f>
        <x:v>-570</x:v>
      </x:c>
      <x:c r="K984" s="11" t="n">
        <x:f>ABS(E984-D984)</x:f>
        <x:v>300</x:v>
      </x:c>
      <x:c r="L984" s="11" t="n">
        <x:f>K984-J984</x:f>
        <x:v>870</x:v>
      </x:c>
      <x:c r="M984" s="11" t="n">
        <x:f>IF(B984="Butterfly",MAX(J984,0),IF(C984="call","Unlimited",MAX(2*E984-D984+J984,J984,0)))</x:f>
        <x:v>7130</x:v>
      </x:c>
      <x:c r="N984" s="11" t="n">
        <x:f>IF(B984="Butterfly",IF(AND(J984&gt;0,J984&lt;K984),D984+J984,"n.a."),IF(C984="call",IF(AND(J984&gt;0,J984&lt;K984),D984+J984,"n.a."),IF(AND(K984&gt;J984,2*E984-D984+J984&gt;=0),2*E984-D984+J984,"n.a.")))</x:f>
        <x:v>7130</x:v>
      </x:c>
      <x:c r="O984" s="11" t="str">
        <x:f>IF(B984="Butterfly",IF(AND(J984&gt;0,J984&lt;K984),F984-J984,"n.a."),IF(C984="call",IF(K984&gt;J984,2*E984-D984-J984,"n.a."),IF(AND(J984&gt;0,J984&lt;K984),D984-J984,"n.a.")))</x:f>
        <x:v>n.a.</x:v>
      </x:c>
      <x:c r="P984" s="19" t="str">
        <x:f>IF(AND(B984="Butterfly",J984&gt;0,J984&lt;K984),L984/J984,"n.a.")</x:f>
        <x:v>n.a.</x:v>
      </x:c>
      <x:c r="Q984" s="11" t="n">
        <x:f>J984*'Model inputs'!$B$8</x:f>
        <x:v>-57000</x:v>
      </x:c>
      <x:c r="R984" s="1" t="str">
        <x:v>Flagged leg data</x:v>
      </x:c>
      <x:c r="S984" s="1" t="n">
        <x:v>870</x:v>
      </x:c>
      <x:c r="T984" s="1" t="n">
        <x:v>851</x:v>
      </x:c>
    </x:row>
    <x:row r="985" ht="21" customHeight="1">
      <x:c r="A985" s="12" t="n">
        <x:v>46267</x:v>
      </x:c>
      <x:c r="B985" s="1" t="str">
        <x:v>1x2 ratio</x:v>
      </x:c>
      <x:c r="C985" s="1" t="str">
        <x:v>call</x:v>
      </x:c>
      <x:c r="D985" s="11" t="n">
        <x:v>6000</x:v>
      </x:c>
      <x:c r="E985" s="11" t="n">
        <x:v>6200</x:v>
      </x:c>
      <x:c r="F985" s="11"/>
      <x:c r="G985" s="11" t="n">
        <x:f>'Option source'!B172</x:f>
        <x:v>1350</x:v>
      </x:c>
      <x:c r="H985" s="11" t="n">
        <x:f>'Option source'!B191</x:f>
        <x:v>1088.47</x:v>
      </x:c>
      <x:c r="I985" s="11"/>
      <x:c r="J985" s="11" t="n">
        <x:f>G985-2*H985+IF(B985="Butterfly",I985,0)</x:f>
        <x:v>-826.94</x:v>
      </x:c>
      <x:c r="K985" s="11" t="n">
        <x:f>ABS(E985-D985)</x:f>
        <x:v>200</x:v>
      </x:c>
      <x:c r="L985" s="11" t="n">
        <x:f>K985-J985</x:f>
        <x:v>1026.94</x:v>
      </x:c>
      <x:c r="M985" s="11" t="str">
        <x:f>IF(B985="Butterfly",MAX(J985,0),IF(C985="call","Unlimited",MAX(2*E985-D985+J985,J985,0)))</x:f>
        <x:v>Unlimited</x:v>
      </x:c>
      <x:c r="N985" s="11" t="str">
        <x:f>IF(B985="Butterfly",IF(AND(J985&gt;0,J985&lt;K985),D985+J985,"n.a."),IF(C985="call",IF(AND(J985&gt;0,J985&lt;K985),D985+J985,"n.a."),IF(AND(K985&gt;J985,2*E985-D985+J985&gt;=0),2*E985-D985+J985,"n.a.")))</x:f>
        <x:v>n.a.</x:v>
      </x:c>
      <x:c r="O985" s="11" t="n">
        <x:f>IF(B985="Butterfly",IF(AND(J985&gt;0,J985&lt;K985),F985-J985,"n.a."),IF(C985="call",IF(K985&gt;J985,2*E985-D985-J985,"n.a."),IF(AND(J985&gt;0,J985&lt;K985),D985-J985,"n.a.")))</x:f>
        <x:v>7226.9400000000005</x:v>
      </x:c>
      <x:c r="P985" s="19" t="str">
        <x:f>IF(AND(B985="Butterfly",J985&gt;0,J985&lt;K985),L985/J985,"n.a.")</x:f>
        <x:v>n.a.</x:v>
      </x:c>
      <x:c r="Q985" s="11" t="n">
        <x:f>J985*'Model inputs'!$B$8</x:f>
        <x:v>-82694</x:v>
      </x:c>
      <x:c r="R985" s="1" t="str">
        <x:v>Flagged leg data</x:v>
      </x:c>
      <x:c r="S985" s="1" t="n">
        <x:v>167</x:v>
      </x:c>
      <x:c r="T985" s="1" t="n">
        <x:v>186</x:v>
      </x:c>
    </x:row>
    <x:row r="986" ht="21" customHeight="1">
      <x:c r="A986" s="12" t="n">
        <x:v>46267</x:v>
      </x:c>
      <x:c r="B986" s="1" t="str">
        <x:v>1x2 ratio</x:v>
      </x:c>
      <x:c r="C986" s="1" t="str">
        <x:v>put</x:v>
      </x:c>
      <x:c r="D986" s="11" t="n">
        <x:v>8600</x:v>
      </x:c>
      <x:c r="E986" s="11" t="n">
        <x:v>8300</x:v>
      </x:c>
      <x:c r="F986" s="11"/>
      <x:c r="G986" s="11" t="n">
        <x:f>'Option source'!B894</x:f>
        <x:v>1555.11</x:v>
      </x:c>
      <x:c r="H986" s="11" t="n">
        <x:f>'Option source'!B875</x:f>
        <x:v>1250</x:v>
      </x:c>
      <x:c r="I986" s="11"/>
      <x:c r="J986" s="11" t="n">
        <x:f>G986-2*H986+IF(B986="Butterfly",I986,0)</x:f>
        <x:v>-944.8900000000001</x:v>
      </x:c>
      <x:c r="K986" s="11" t="n">
        <x:f>ABS(E986-D986)</x:f>
        <x:v>300</x:v>
      </x:c>
      <x:c r="L986" s="11" t="n">
        <x:f>K986-J986</x:f>
        <x:v>1244.89</x:v>
      </x:c>
      <x:c r="M986" s="11" t="n">
        <x:f>IF(B986="Butterfly",MAX(J986,0),IF(C986="call","Unlimited",MAX(2*E986-D986+J986,J986,0)))</x:f>
        <x:v>7055.11</x:v>
      </x:c>
      <x:c r="N986" s="11" t="n">
        <x:f>IF(B986="Butterfly",IF(AND(J986&gt;0,J986&lt;K986),D986+J986,"n.a."),IF(C986="call",IF(AND(J986&gt;0,J986&lt;K986),D986+J986,"n.a."),IF(AND(K986&gt;J986,2*E986-D986+J986&gt;=0),2*E986-D986+J986,"n.a.")))</x:f>
        <x:v>7055.11</x:v>
      </x:c>
      <x:c r="O986" s="11" t="str">
        <x:f>IF(B986="Butterfly",IF(AND(J986&gt;0,J986&lt;K986),F986-J986,"n.a."),IF(C986="call",IF(K986&gt;J986,2*E986-D986-J986,"n.a."),IF(AND(J986&gt;0,J986&lt;K986),D986-J986,"n.a.")))</x:f>
        <x:v>n.a.</x:v>
      </x:c>
      <x:c r="P986" s="19" t="str">
        <x:f>IF(AND(B986="Butterfly",J986&gt;0,J986&lt;K986),L986/J986,"n.a.")</x:f>
        <x:v>n.a.</x:v>
      </x:c>
      <x:c r="Q986" s="11" t="n">
        <x:f>J986*'Model inputs'!$B$8</x:f>
        <x:v>-94489.00000000001</x:v>
      </x:c>
      <x:c r="R986" s="1" t="str">
        <x:v>Flagged leg data</x:v>
      </x:c>
      <x:c r="S986" s="1" t="n">
        <x:v>889</x:v>
      </x:c>
      <x:c r="T986" s="1" t="n">
        <x:v>870</x:v>
      </x:c>
    </x:row>
    <x:row r="987" ht="21" customHeight="1">
      <x:c r="A987" s="12" t="n">
        <x:v>46267</x:v>
      </x:c>
      <x:c r="B987" s="1" t="str">
        <x:v>1x2 ratio</x:v>
      </x:c>
      <x:c r="C987" s="1" t="str">
        <x:v>call</x:v>
      </x:c>
      <x:c r="D987" s="11" t="n">
        <x:v>5600</x:v>
      </x:c>
      <x:c r="E987" s="11" t="n">
        <x:v>6000</x:v>
      </x:c>
      <x:c r="F987" s="11"/>
      <x:c r="G987" s="11" t="n">
        <x:f>'Option source'!B143</x:f>
        <x:v>1600</x:v>
      </x:c>
      <x:c r="H987" s="11" t="n">
        <x:f>'Option source'!B172</x:f>
        <x:v>1350</x:v>
      </x:c>
      <x:c r="I987" s="11"/>
      <x:c r="J987" s="11" t="n">
        <x:f>G987-2*H987+IF(B987="Butterfly",I987,0)</x:f>
        <x:v>-1100</x:v>
      </x:c>
      <x:c r="K987" s="11" t="n">
        <x:f>ABS(E987-D987)</x:f>
        <x:v>400</x:v>
      </x:c>
      <x:c r="L987" s="11" t="n">
        <x:f>K987-J987</x:f>
        <x:v>1500</x:v>
      </x:c>
      <x:c r="M987" s="11" t="str">
        <x:f>IF(B987="Butterfly",MAX(J987,0),IF(C987="call","Unlimited",MAX(2*E987-D987+J987,J987,0)))</x:f>
        <x:v>Unlimited</x:v>
      </x:c>
      <x:c r="N987" s="11" t="str">
        <x:f>IF(B987="Butterfly",IF(AND(J987&gt;0,J987&lt;K987),D987+J987,"n.a."),IF(C987="call",IF(AND(J987&gt;0,J987&lt;K987),D987+J987,"n.a."),IF(AND(K987&gt;J987,2*E987-D987+J987&gt;=0),2*E987-D987+J987,"n.a.")))</x:f>
        <x:v>n.a.</x:v>
      </x:c>
      <x:c r="O987" s="11" t="n">
        <x:f>IF(B987="Butterfly",IF(AND(J987&gt;0,J987&lt;K987),F987-J987,"n.a."),IF(C987="call",IF(K987&gt;J987,2*E987-D987-J987,"n.a."),IF(AND(J987&gt;0,J987&lt;K987),D987-J987,"n.a.")))</x:f>
        <x:v>7500</x:v>
      </x:c>
      <x:c r="P987" s="19" t="str">
        <x:f>IF(AND(B987="Butterfly",J987&gt;0,J987&lt;K987),L987/J987,"n.a.")</x:f>
        <x:v>n.a.</x:v>
      </x:c>
      <x:c r="Q987" s="11" t="n">
        <x:f>J987*'Model inputs'!$B$8</x:f>
        <x:v>-110000</x:v>
      </x:c>
      <x:c r="R987" s="1" t="str">
        <x:v>Flagged leg data</x:v>
      </x:c>
      <x:c r="S987" s="1" t="n">
        <x:v>138</x:v>
      </x:c>
      <x:c r="T987" s="1" t="n">
        <x:v>167</x:v>
      </x:c>
    </x:row>
    <x:row r="988" ht="21" customHeight="1">
      <x:c r="A988" s="12" t="n">
        <x:v>46267</x:v>
      </x:c>
      <x:c r="B988" s="1" t="str">
        <x:v>1x2 ratio</x:v>
      </x:c>
      <x:c r="C988" s="1" t="str">
        <x:v>put</x:v>
      </x:c>
      <x:c r="D988" s="11" t="n">
        <x:v>8900</x:v>
      </x:c>
      <x:c r="E988" s="11" t="n">
        <x:v>8600</x:v>
      </x:c>
      <x:c r="F988" s="11"/>
      <x:c r="G988" s="11" t="n">
        <x:f>'Option source'!B909</x:f>
        <x:v>2022.5</x:v>
      </x:c>
      <x:c r="H988" s="11" t="n">
        <x:f>'Option source'!B894</x:f>
        <x:v>1555.11</x:v>
      </x:c>
      <x:c r="I988" s="11"/>
      <x:c r="J988" s="11" t="n">
        <x:f>G988-2*H988+IF(B988="Butterfly",I988,0)</x:f>
        <x:v>-1087.7199999999998</x:v>
      </x:c>
      <x:c r="K988" s="11" t="n">
        <x:f>ABS(E988-D988)</x:f>
        <x:v>300</x:v>
      </x:c>
      <x:c r="L988" s="11" t="n">
        <x:f>K988-J988</x:f>
        <x:v>1387.7199999999998</x:v>
      </x:c>
      <x:c r="M988" s="11" t="n">
        <x:f>IF(B988="Butterfly",MAX(J988,0),IF(C988="call","Unlimited",MAX(2*E988-D988+J988,J988,0)))</x:f>
        <x:v>7212.280000000001</x:v>
      </x:c>
      <x:c r="N988" s="11" t="n">
        <x:f>IF(B988="Butterfly",IF(AND(J988&gt;0,J988&lt;K988),D988+J988,"n.a."),IF(C988="call",IF(AND(J988&gt;0,J988&lt;K988),D988+J988,"n.a."),IF(AND(K988&gt;J988,2*E988-D988+J988&gt;=0),2*E988-D988+J988,"n.a.")))</x:f>
        <x:v>7212.280000000001</x:v>
      </x:c>
      <x:c r="O988" s="11" t="str">
        <x:f>IF(B988="Butterfly",IF(AND(J988&gt;0,J988&lt;K988),F988-J988,"n.a."),IF(C988="call",IF(K988&gt;J988,2*E988-D988-J988,"n.a."),IF(AND(J988&gt;0,J988&lt;K988),D988-J988,"n.a.")))</x:f>
        <x:v>n.a.</x:v>
      </x:c>
      <x:c r="P988" s="19" t="str">
        <x:f>IF(AND(B988="Butterfly",J988&gt;0,J988&lt;K988),L988/J988,"n.a.")</x:f>
        <x:v>n.a.</x:v>
      </x:c>
      <x:c r="Q988" s="11" t="n">
        <x:f>J988*'Model inputs'!$B$8</x:f>
        <x:v>-108771.99999999999</x:v>
      </x:c>
      <x:c r="R988" s="1" t="str">
        <x:v>Flagged leg data</x:v>
      </x:c>
      <x:c r="S988" s="1" t="n">
        <x:v>904</x:v>
      </x:c>
      <x:c r="T988" s="1" t="n">
        <x:v>889</x:v>
      </x:c>
    </x:row>
    <x:row r="989" ht="21" customHeight="1">
      <x:c r="A989" s="12" t="n">
        <x:v>46267</x:v>
      </x:c>
      <x:c r="B989" s="1" t="str">
        <x:v>1x2 ratio</x:v>
      </x:c>
      <x:c r="C989" s="1" t="str">
        <x:v>call</x:v>
      </x:c>
      <x:c r="D989" s="11" t="n">
        <x:v>5400</x:v>
      </x:c>
      <x:c r="E989" s="11" t="n">
        <x:v>5600</x:v>
      </x:c>
      <x:c r="F989" s="11"/>
      <x:c r="G989" s="11" t="n">
        <x:f>'Option source'!B125</x:f>
        <x:v>1790</x:v>
      </x:c>
      <x:c r="H989" s="11" t="n">
        <x:f>'Option source'!B143</x:f>
        <x:v>1600</x:v>
      </x:c>
      <x:c r="I989" s="11"/>
      <x:c r="J989" s="11" t="n">
        <x:f>G989-2*H989+IF(B989="Butterfly",I989,0)</x:f>
        <x:v>-1410</x:v>
      </x:c>
      <x:c r="K989" s="11" t="n">
        <x:f>ABS(E989-D989)</x:f>
        <x:v>200</x:v>
      </x:c>
      <x:c r="L989" s="11" t="n">
        <x:f>K989-J989</x:f>
        <x:v>1610</x:v>
      </x:c>
      <x:c r="M989" s="11" t="str">
        <x:f>IF(B989="Butterfly",MAX(J989,0),IF(C989="call","Unlimited",MAX(2*E989-D989+J989,J989,0)))</x:f>
        <x:v>Unlimited</x:v>
      </x:c>
      <x:c r="N989" s="11" t="str">
        <x:f>IF(B989="Butterfly",IF(AND(J989&gt;0,J989&lt;K989),D989+J989,"n.a."),IF(C989="call",IF(AND(J989&gt;0,J989&lt;K989),D989+J989,"n.a."),IF(AND(K989&gt;J989,2*E989-D989+J989&gt;=0),2*E989-D989+J989,"n.a.")))</x:f>
        <x:v>n.a.</x:v>
      </x:c>
      <x:c r="O989" s="11" t="n">
        <x:f>IF(B989="Butterfly",IF(AND(J989&gt;0,J989&lt;K989),F989-J989,"n.a."),IF(C989="call",IF(K989&gt;J989,2*E989-D989-J989,"n.a."),IF(AND(J989&gt;0,J989&lt;K989),D989-J989,"n.a.")))</x:f>
        <x:v>7210</x:v>
      </x:c>
      <x:c r="P989" s="19" t="str">
        <x:f>IF(AND(B989="Butterfly",J989&gt;0,J989&lt;K989),L989/J989,"n.a.")</x:f>
        <x:v>n.a.</x:v>
      </x:c>
      <x:c r="Q989" s="11" t="n">
        <x:f>J989*'Model inputs'!$B$8</x:f>
        <x:v>-141000</x:v>
      </x:c>
      <x:c r="R989" s="1" t="str">
        <x:v>Flagged leg data</x:v>
      </x:c>
      <x:c r="S989" s="1" t="n">
        <x:v>120</x:v>
      </x:c>
      <x:c r="T989" s="1" t="n">
        <x:v>138</x:v>
      </x:c>
    </x:row>
    <x:row r="990" ht="21" customHeight="1">
      <x:c r="A990" s="12" t="n">
        <x:v>46267</x:v>
      </x:c>
      <x:c r="B990" s="1" t="str">
        <x:v>1x2 ratio</x:v>
      </x:c>
      <x:c r="C990" s="1" t="str">
        <x:v>call</x:v>
      </x:c>
      <x:c r="D990" s="11" t="n">
        <x:v>5200</x:v>
      </x:c>
      <x:c r="E990" s="11" t="n">
        <x:v>5400</x:v>
      </x:c>
      <x:c r="F990" s="11"/>
      <x:c r="G990" s="11" t="n">
        <x:f>'Option source'!B106</x:f>
        <x:v>1991.75</x:v>
      </x:c>
      <x:c r="H990" s="11" t="n">
        <x:f>'Option source'!B125</x:f>
        <x:v>1790</x:v>
      </x:c>
      <x:c r="I990" s="11"/>
      <x:c r="J990" s="11" t="n">
        <x:f>G990-2*H990+IF(B990="Butterfly",I990,0)</x:f>
        <x:v>-1588.25</x:v>
      </x:c>
      <x:c r="K990" s="11" t="n">
        <x:f>ABS(E990-D990)</x:f>
        <x:v>200</x:v>
      </x:c>
      <x:c r="L990" s="11" t="n">
        <x:f>K990-J990</x:f>
        <x:v>1788.25</x:v>
      </x:c>
      <x:c r="M990" s="11" t="str">
        <x:f>IF(B990="Butterfly",MAX(J990,0),IF(C990="call","Unlimited",MAX(2*E990-D990+J990,J990,0)))</x:f>
        <x:v>Unlimited</x:v>
      </x:c>
      <x:c r="N990" s="11" t="str">
        <x:f>IF(B990="Butterfly",IF(AND(J990&gt;0,J990&lt;K990),D990+J990,"n.a."),IF(C990="call",IF(AND(J990&gt;0,J990&lt;K990),D990+J990,"n.a."),IF(AND(K990&gt;J990,2*E990-D990+J990&gt;=0),2*E990-D990+J990,"n.a.")))</x:f>
        <x:v>n.a.</x:v>
      </x:c>
      <x:c r="O990" s="11" t="n">
        <x:f>IF(B990="Butterfly",IF(AND(J990&gt;0,J990&lt;K990),F990-J990,"n.a."),IF(C990="call",IF(K990&gt;J990,2*E990-D990-J990,"n.a."),IF(AND(J990&gt;0,J990&lt;K990),D990-J990,"n.a.")))</x:f>
        <x:v>7188.25</x:v>
      </x:c>
      <x:c r="P990" s="19" t="str">
        <x:f>IF(AND(B990="Butterfly",J990&gt;0,J990&lt;K990),L990/J990,"n.a.")</x:f>
        <x:v>n.a.</x:v>
      </x:c>
      <x:c r="Q990" s="11" t="n">
        <x:f>J990*'Model inputs'!$B$8</x:f>
        <x:v>-158825</x:v>
      </x:c>
      <x:c r="R990" s="1" t="str">
        <x:v>Flagged leg data</x:v>
      </x:c>
      <x:c r="S990" s="1" t="n">
        <x:v>101</x:v>
      </x:c>
      <x:c r="T990" s="1" t="n">
        <x:v>120</x:v>
      </x:c>
    </x:row>
    <x:row r="991" ht="21" customHeight="1">
      <x:c r="A991" s="12" t="n">
        <x:v>46267</x:v>
      </x:c>
      <x:c r="B991" s="1" t="str">
        <x:v>1x2 ratio</x:v>
      </x:c>
      <x:c r="C991" s="1" t="str">
        <x:v>call</x:v>
      </x:c>
      <x:c r="D991" s="11" t="n">
        <x:v>5000</x:v>
      </x:c>
      <x:c r="E991" s="11" t="n">
        <x:v>5200</x:v>
      </x:c>
      <x:c r="F991" s="11"/>
      <x:c r="G991" s="11" t="n">
        <x:f>'Option source'!B87</x:f>
        <x:v>2170</x:v>
      </x:c>
      <x:c r="H991" s="11" t="n">
        <x:f>'Option source'!B106</x:f>
        <x:v>1991.75</x:v>
      </x:c>
      <x:c r="I991" s="11"/>
      <x:c r="J991" s="11" t="n">
        <x:f>G991-2*H991+IF(B991="Butterfly",I991,0)</x:f>
        <x:v>-1813.5</x:v>
      </x:c>
      <x:c r="K991" s="11" t="n">
        <x:f>ABS(E991-D991)</x:f>
        <x:v>200</x:v>
      </x:c>
      <x:c r="L991" s="11" t="n">
        <x:f>K991-J991</x:f>
        <x:v>2013.5</x:v>
      </x:c>
      <x:c r="M991" s="11" t="str">
        <x:f>IF(B991="Butterfly",MAX(J991,0),IF(C991="call","Unlimited",MAX(2*E991-D991+J991,J991,0)))</x:f>
        <x:v>Unlimited</x:v>
      </x:c>
      <x:c r="N991" s="11" t="str">
        <x:f>IF(B991="Butterfly",IF(AND(J991&gt;0,J991&lt;K991),D991+J991,"n.a."),IF(C991="call",IF(AND(J991&gt;0,J991&lt;K991),D991+J991,"n.a."),IF(AND(K991&gt;J991,2*E991-D991+J991&gt;=0),2*E991-D991+J991,"n.a.")))</x:f>
        <x:v>n.a.</x:v>
      </x:c>
      <x:c r="O991" s="11" t="n">
        <x:f>IF(B991="Butterfly",IF(AND(J991&gt;0,J991&lt;K991),F991-J991,"n.a."),IF(C991="call",IF(K991&gt;J991,2*E991-D991-J991,"n.a."),IF(AND(J991&gt;0,J991&lt;K991),D991-J991,"n.a.")))</x:f>
        <x:v>7213.5</x:v>
      </x:c>
      <x:c r="P991" s="19" t="str">
        <x:f>IF(AND(B991="Butterfly",J991&gt;0,J991&lt;K991),L991/J991,"n.a.")</x:f>
        <x:v>n.a.</x:v>
      </x:c>
      <x:c r="Q991" s="11" t="n">
        <x:f>J991*'Model inputs'!$B$8</x:f>
        <x:v>-181350</x:v>
      </x:c>
      <x:c r="R991" s="1" t="str">
        <x:v>Flagged leg data</x:v>
      </x:c>
      <x:c r="S991" s="1" t="n">
        <x:v>82</x:v>
      </x:c>
      <x:c r="T991" s="1" t="n">
        <x:v>101</x:v>
      </x:c>
    </x:row>
    <x:row r="992" ht="21" customHeight="1">
      <x:c r="A992" s="12" t="n">
        <x:v>46267</x:v>
      </x:c>
      <x:c r="B992" s="1" t="str">
        <x:v>1x2 ratio</x:v>
      </x:c>
      <x:c r="C992" s="1" t="str">
        <x:v>call</x:v>
      </x:c>
      <x:c r="D992" s="11" t="n">
        <x:v>4800</x:v>
      </x:c>
      <x:c r="E992" s="11" t="n">
        <x:v>5000</x:v>
      </x:c>
      <x:c r="F992" s="11"/>
      <x:c r="G992" s="11" t="n">
        <x:f>'Option source'!B70</x:f>
        <x:v>2375</x:v>
      </x:c>
      <x:c r="H992" s="11" t="n">
        <x:f>'Option source'!B87</x:f>
        <x:v>2170</x:v>
      </x:c>
      <x:c r="I992" s="11"/>
      <x:c r="J992" s="11" t="n">
        <x:f>G992-2*H992+IF(B992="Butterfly",I992,0)</x:f>
        <x:v>-1965</x:v>
      </x:c>
      <x:c r="K992" s="11" t="n">
        <x:f>ABS(E992-D992)</x:f>
        <x:v>200</x:v>
      </x:c>
      <x:c r="L992" s="11" t="n">
        <x:f>K992-J992</x:f>
        <x:v>2165</x:v>
      </x:c>
      <x:c r="M992" s="11" t="str">
        <x:f>IF(B992="Butterfly",MAX(J992,0),IF(C992="call","Unlimited",MAX(2*E992-D992+J992,J992,0)))</x:f>
        <x:v>Unlimited</x:v>
      </x:c>
      <x:c r="N992" s="11" t="str">
        <x:f>IF(B992="Butterfly",IF(AND(J992&gt;0,J992&lt;K992),D992+J992,"n.a."),IF(C992="call",IF(AND(J992&gt;0,J992&lt;K992),D992+J992,"n.a."),IF(AND(K992&gt;J992,2*E992-D992+J992&gt;=0),2*E992-D992+J992,"n.a.")))</x:f>
        <x:v>n.a.</x:v>
      </x:c>
      <x:c r="O992" s="11" t="n">
        <x:f>IF(B992="Butterfly",IF(AND(J992&gt;0,J992&lt;K992),F992-J992,"n.a."),IF(C992="call",IF(K992&gt;J992,2*E992-D992-J992,"n.a."),IF(AND(J992&gt;0,J992&lt;K992),D992-J992,"n.a.")))</x:f>
        <x:v>7165</x:v>
      </x:c>
      <x:c r="P992" s="19" t="str">
        <x:f>IF(AND(B992="Butterfly",J992&gt;0,J992&lt;K992),L992/J992,"n.a.")</x:f>
        <x:v>n.a.</x:v>
      </x:c>
      <x:c r="Q992" s="11" t="n">
        <x:f>J992*'Model inputs'!$B$8</x:f>
        <x:v>-196500</x:v>
      </x:c>
      <x:c r="R992" s="1" t="str">
        <x:v>Flagged leg data</x:v>
      </x:c>
      <x:c r="S992" s="1" t="n">
        <x:v>65</x:v>
      </x:c>
      <x:c r="T992" s="1" t="n">
        <x:v>82</x:v>
      </x:c>
    </x:row>
    <x:row r="993" ht="21" customHeight="1">
      <x:c r="A993" s="12" t="n">
        <x:v>46267</x:v>
      </x:c>
      <x:c r="B993" s="1" t="str">
        <x:v>1x2 ratio</x:v>
      </x:c>
      <x:c r="C993" s="1" t="str">
        <x:v>call</x:v>
      </x:c>
      <x:c r="D993" s="11" t="n">
        <x:v>4600</x:v>
      </x:c>
      <x:c r="E993" s="11" t="n">
        <x:v>4800</x:v>
      </x:c>
      <x:c r="F993" s="11"/>
      <x:c r="G993" s="11" t="n">
        <x:f>'Option source'!B53</x:f>
        <x:v>2384.72</x:v>
      </x:c>
      <x:c r="H993" s="11" t="n">
        <x:f>'Option source'!B70</x:f>
        <x:v>2375</x:v>
      </x:c>
      <x:c r="I993" s="11"/>
      <x:c r="J993" s="11" t="n">
        <x:f>G993-2*H993+IF(B993="Butterfly",I993,0)</x:f>
        <x:v>-2365.28</x:v>
      </x:c>
      <x:c r="K993" s="11" t="n">
        <x:f>ABS(E993-D993)</x:f>
        <x:v>200</x:v>
      </x:c>
      <x:c r="L993" s="11" t="n">
        <x:f>K993-J993</x:f>
        <x:v>2565.28</x:v>
      </x:c>
      <x:c r="M993" s="11" t="str">
        <x:f>IF(B993="Butterfly",MAX(J993,0),IF(C993="call","Unlimited",MAX(2*E993-D993+J993,J993,0)))</x:f>
        <x:v>Unlimited</x:v>
      </x:c>
      <x:c r="N993" s="11" t="str">
        <x:f>IF(B993="Butterfly",IF(AND(J993&gt;0,J993&lt;K993),D993+J993,"n.a."),IF(C993="call",IF(AND(J993&gt;0,J993&lt;K993),D993+J993,"n.a."),IF(AND(K993&gt;J993,2*E993-D993+J993&gt;=0),2*E993-D993+J993,"n.a.")))</x:f>
        <x:v>n.a.</x:v>
      </x:c>
      <x:c r="O993" s="11" t="n">
        <x:f>IF(B993="Butterfly",IF(AND(J993&gt;0,J993&lt;K993),F993-J993,"n.a."),IF(C993="call",IF(K993&gt;J993,2*E993-D993-J993,"n.a."),IF(AND(J993&gt;0,J993&lt;K993),D993-J993,"n.a.")))</x:f>
        <x:v>7365.280000000001</x:v>
      </x:c>
      <x:c r="P993" s="19" t="str">
        <x:f>IF(AND(B993="Butterfly",J993&gt;0,J993&lt;K993),L993/J993,"n.a.")</x:f>
        <x:v>n.a.</x:v>
      </x:c>
      <x:c r="Q993" s="11" t="n">
        <x:f>J993*'Model inputs'!$B$8</x:f>
        <x:v>-236528.00000000003</x:v>
      </x:c>
      <x:c r="R993" s="1" t="str">
        <x:v>Flagged leg data</x:v>
      </x:c>
      <x:c r="S993" s="1" t="n">
        <x:v>48</x:v>
      </x:c>
      <x:c r="T993" s="1" t="n">
        <x:v>65</x:v>
      </x:c>
    </x:row>
    <x:row r="994" ht="21" customHeight="1">
      <x:c r="A994" s="12" t="n">
        <x:v>46267</x:v>
      </x:c>
      <x:c r="B994" s="1" t="str">
        <x:v>1x2 ratio</x:v>
      </x:c>
      <x:c r="C994" s="1" t="str">
        <x:v>call</x:v>
      </x:c>
      <x:c r="D994" s="11" t="n">
        <x:v>4400</x:v>
      </x:c>
      <x:c r="E994" s="11" t="n">
        <x:v>4600</x:v>
      </x:c>
      <x:c r="F994" s="11"/>
      <x:c r="G994" s="11" t="n">
        <x:f>'Option source'!B34</x:f>
        <x:v>2849.09</x:v>
      </x:c>
      <x:c r="H994" s="11" t="n">
        <x:f>'Option source'!B53</x:f>
        <x:v>2384.72</x:v>
      </x:c>
      <x:c r="I994" s="11"/>
      <x:c r="J994" s="11" t="n">
        <x:f>G994-2*H994+IF(B994="Butterfly",I994,0)</x:f>
        <x:v>-1920.3499999999995</x:v>
      </x:c>
      <x:c r="K994" s="11" t="n">
        <x:f>ABS(E994-D994)</x:f>
        <x:v>200</x:v>
      </x:c>
      <x:c r="L994" s="11" t="n">
        <x:f>K994-J994</x:f>
        <x:v>2120.3499999999995</x:v>
      </x:c>
      <x:c r="M994" s="11" t="str">
        <x:f>IF(B994="Butterfly",MAX(J994,0),IF(C994="call","Unlimited",MAX(2*E994-D994+J994,J994,0)))</x:f>
        <x:v>Unlimited</x:v>
      </x:c>
      <x:c r="N994" s="11" t="str">
        <x:f>IF(B994="Butterfly",IF(AND(J994&gt;0,J994&lt;K994),D994+J994,"n.a."),IF(C994="call",IF(AND(J994&gt;0,J994&lt;K994),D994+J994,"n.a."),IF(AND(K994&gt;J994,2*E994-D994+J994&gt;=0),2*E994-D994+J994,"n.a.")))</x:f>
        <x:v>n.a.</x:v>
      </x:c>
      <x:c r="O994" s="11" t="n">
        <x:f>IF(B994="Butterfly",IF(AND(J994&gt;0,J994&lt;K994),F994-J994,"n.a."),IF(C994="call",IF(K994&gt;J994,2*E994-D994-J994,"n.a."),IF(AND(J994&gt;0,J994&lt;K994),D994-J994,"n.a.")))</x:f>
        <x:v>6720.349999999999</x:v>
      </x:c>
      <x:c r="P994" s="19" t="str">
        <x:f>IF(AND(B994="Butterfly",J994&gt;0,J994&lt;K994),L994/J994,"n.a.")</x:f>
        <x:v>n.a.</x:v>
      </x:c>
      <x:c r="Q994" s="11" t="n">
        <x:f>J994*'Model inputs'!$B$8</x:f>
        <x:v>-192034.99999999994</x:v>
      </x:c>
      <x:c r="R994" s="1" t="str">
        <x:v>Flagged leg data</x:v>
      </x:c>
      <x:c r="S994" s="1" t="n">
        <x:v>29</x:v>
      </x:c>
      <x:c r="T994" s="1" t="n">
        <x:v>48</x:v>
      </x:c>
    </x:row>
    <x:row r="995" ht="21" customHeight="1">
      <x:c r="A995" s="12" t="n">
        <x:v>46267</x:v>
      </x:c>
      <x:c r="B995" s="1" t="str">
        <x:v>1x2 ratio</x:v>
      </x:c>
      <x:c r="C995" s="1" t="str">
        <x:v>call</x:v>
      </x:c>
      <x:c r="D995" s="11" t="n">
        <x:v>4200</x:v>
      </x:c>
      <x:c r="E995" s="11" t="n">
        <x:v>4400</x:v>
      </x:c>
      <x:c r="F995" s="11"/>
      <x:c r="G995" s="11" t="n">
        <x:f>'Option source'!B15</x:f>
        <x:v>3017.35</x:v>
      </x:c>
      <x:c r="H995" s="11" t="n">
        <x:f>'Option source'!B34</x:f>
        <x:v>2849.09</x:v>
      </x:c>
      <x:c r="I995" s="11"/>
      <x:c r="J995" s="11" t="n">
        <x:f>G995-2*H995+IF(B995="Butterfly",I995,0)</x:f>
        <x:v>-2680.8300000000004</x:v>
      </x:c>
      <x:c r="K995" s="11" t="n">
        <x:f>ABS(E995-D995)</x:f>
        <x:v>200</x:v>
      </x:c>
      <x:c r="L995" s="11" t="n">
        <x:f>K995-J995</x:f>
        <x:v>2880.8300000000004</x:v>
      </x:c>
      <x:c r="M995" s="11" t="str">
        <x:f>IF(B995="Butterfly",MAX(J995,0),IF(C995="call","Unlimited",MAX(2*E995-D995+J995,J995,0)))</x:f>
        <x:v>Unlimited</x:v>
      </x:c>
      <x:c r="N995" s="11" t="str">
        <x:f>IF(B995="Butterfly",IF(AND(J995&gt;0,J995&lt;K995),D995+J995,"n.a."),IF(C995="call",IF(AND(J995&gt;0,J995&lt;K995),D995+J995,"n.a."),IF(AND(K995&gt;J995,2*E995-D995+J995&gt;=0),2*E995-D995+J995,"n.a.")))</x:f>
        <x:v>n.a.</x:v>
      </x:c>
      <x:c r="O995" s="11" t="n">
        <x:f>IF(B995="Butterfly",IF(AND(J995&gt;0,J995&lt;K995),F995-J995,"n.a."),IF(C995="call",IF(K995&gt;J995,2*E995-D995-J995,"n.a."),IF(AND(J995&gt;0,J995&lt;K995),D995-J995,"n.a.")))</x:f>
        <x:v>7280.83</x:v>
      </x:c>
      <x:c r="P995" s="19" t="str">
        <x:f>IF(AND(B995="Butterfly",J995&gt;0,J995&lt;K995),L995/J995,"n.a.")</x:f>
        <x:v>n.a.</x:v>
      </x:c>
      <x:c r="Q995" s="11" t="n">
        <x:f>J995*'Model inputs'!$B$8</x:f>
        <x:v>-268083.00000000006</x:v>
      </x:c>
      <x:c r="R995" s="1" t="str">
        <x:v>Flagged leg data</x:v>
      </x:c>
      <x:c r="S995" s="1" t="n">
        <x:v>10</x:v>
      </x:c>
      <x:c r="T995" s="1" t="n">
        <x:v>29</x:v>
      </x:c>
    </x:row>
    <x:row r="996" ht="21" customHeight="1">
      <x:c r="A996" s="12" t="n">
        <x:v>46266</x:v>
      </x:c>
      <x:c r="B996" s="1" t="str">
        <x:v>Butterfly</x:v>
      </x:c>
      <x:c r="C996" s="1" t="str">
        <x:v>call</x:v>
      </x:c>
      <x:c r="D996" s="11" t="n">
        <x:v>6800</x:v>
      </x:c>
      <x:c r="E996" s="11" t="n">
        <x:v>7000</x:v>
      </x:c>
      <x:c r="F996" s="11" t="n">
        <x:v>7200</x:v>
      </x:c>
      <x:c r="G996" s="11" t="n">
        <x:f>'Option source'!B247</x:f>
        <x:v>688.81</x:v>
      </x:c>
      <x:c r="H996" s="11" t="n">
        <x:f>'Option source'!B266</x:f>
        <x:v>562.73</x:v>
      </x:c>
      <x:c r="I996" s="11" t="n">
        <x:f>'Option source'!B285</x:f>
        <x:v>464.15</x:v>
      </x:c>
      <x:c r="J996" s="11" t="n">
        <x:f>G996-2*H996+IF(B996="Butterfly",I996,0)</x:f>
        <x:v>27.499999999999886</x:v>
      </x:c>
      <x:c r="K996" s="11" t="n">
        <x:f>ABS(E996-D996)</x:f>
        <x:v>200</x:v>
      </x:c>
      <x:c r="L996" s="11" t="n">
        <x:f>K996-J996</x:f>
        <x:v>172.5000000000001</x:v>
      </x:c>
      <x:c r="M996" s="11" t="n">
        <x:f>IF(B996="Butterfly",MAX(J996,0),IF(C996="call","Unlimited",MAX(2*E996-D996+J996,J996,0)))</x:f>
        <x:v>27.499999999999886</x:v>
      </x:c>
      <x:c r="N996" s="11" t="n">
        <x:f>IF(B996="Butterfly",IF(AND(J996&gt;0,J996&lt;K996),D996+J996,"n.a."),IF(C996="call",IF(AND(J996&gt;0,J996&lt;K996),D996+J996,"n.a."),IF(AND(K996&gt;J996,2*E996-D996+J996&gt;=0),2*E996-D996+J996,"n.a.")))</x:f>
        <x:v>6827.5</x:v>
      </x:c>
      <x:c r="O996" s="11" t="n">
        <x:f>IF(B996="Butterfly",IF(AND(J996&gt;0,J996&lt;K996),F996-J996,"n.a."),IF(C996="call",IF(K996&gt;J996,2*E996-D996-J996,"n.a."),IF(AND(J996&gt;0,J996&lt;K996),D996-J996,"n.a.")))</x:f>
        <x:v>7172.5</x:v>
      </x:c>
      <x:c r="P996" s="19" t="n">
        <x:f>IF(AND(B996="Butterfly",J996&gt;0,J996&lt;K996),L996/J996,"n.a.")</x:f>
        <x:v>6.272727272727303</x:v>
      </x:c>
      <x:c r="Q996" s="11" t="n">
        <x:f>J996*'Model inputs'!$B$8</x:f>
        <x:v>2749.9999999999886</x:v>
      </x:c>
      <x:c r="R996" s="1" t="str">
        <x:v>Indicative only</x:v>
      </x:c>
      <x:c r="S996" s="1" t="n">
        <x:v>242</x:v>
      </x:c>
      <x:c r="T996" s="1" t="n">
        <x:v>261</x:v>
      </x:c>
    </x:row>
    <x:row r="997" ht="21" customHeight="1">
      <x:c r="A997" s="12" t="n">
        <x:v>46266</x:v>
      </x:c>
      <x:c r="B997" s="1" t="str">
        <x:v>Butterfly</x:v>
      </x:c>
      <x:c r="C997" s="1" t="str">
        <x:v>put</x:v>
      </x:c>
      <x:c r="D997" s="11" t="n">
        <x:v>6800</x:v>
      </x:c>
      <x:c r="E997" s="11" t="n">
        <x:v>7000</x:v>
      </x:c>
      <x:c r="F997" s="11" t="n">
        <x:v>7200</x:v>
      </x:c>
      <x:c r="G997" s="11" t="n">
        <x:f>'Option source'!B741</x:f>
        <x:v>251.94</x:v>
      </x:c>
      <x:c r="H997" s="11" t="n">
        <x:f>'Option source'!B760</x:f>
        <x:v>334.82</x:v>
      </x:c>
      <x:c r="I997" s="11" t="n">
        <x:f>'Option source'!B779</x:f>
        <x:v>431.34</x:v>
      </x:c>
      <x:c r="J997" s="11" t="n">
        <x:f>G997-2*H997+IF(B997="Butterfly",I997,0)</x:f>
        <x:v>13.639999999999986</x:v>
      </x:c>
      <x:c r="K997" s="11" t="n">
        <x:f>ABS(E997-D997)</x:f>
        <x:v>200</x:v>
      </x:c>
      <x:c r="L997" s="11" t="n">
        <x:f>K997-J997</x:f>
        <x:v>186.36</x:v>
      </x:c>
      <x:c r="M997" s="11" t="n">
        <x:f>IF(B997="Butterfly",MAX(J997,0),IF(C997="call","Unlimited",MAX(2*E997-D997+J997,J997,0)))</x:f>
        <x:v>13.639999999999986</x:v>
      </x:c>
      <x:c r="N997" s="11" t="n">
        <x:f>IF(B997="Butterfly",IF(AND(J997&gt;0,J997&lt;K997),D997+J997,"n.a."),IF(C997="call",IF(AND(J997&gt;0,J997&lt;K997),D997+J997,"n.a."),IF(AND(K997&gt;J997,2*E997-D997+J997&gt;=0),2*E997-D997+J997,"n.a.")))</x:f>
        <x:v>6813.64</x:v>
      </x:c>
      <x:c r="O997" s="11" t="n">
        <x:f>IF(B997="Butterfly",IF(AND(J997&gt;0,J997&lt;K997),F997-J997,"n.a."),IF(C997="call",IF(K997&gt;J997,2*E997-D997-J997,"n.a."),IF(AND(J997&gt;0,J997&lt;K997),D997-J997,"n.a.")))</x:f>
        <x:v>7186.36</x:v>
      </x:c>
      <x:c r="P997" s="19" t="n">
        <x:f>IF(AND(B997="Butterfly",J997&gt;0,J997&lt;K997),L997/J997,"n.a.")</x:f>
        <x:v>13.662756598240485</x:v>
      </x:c>
      <x:c r="Q997" s="11" t="n">
        <x:f>J997*'Model inputs'!$B$8</x:f>
        <x:v>1363.9999999999986</x:v>
      </x:c>
      <x:c r="R997" s="1" t="str">
        <x:v>Indicative only</x:v>
      </x:c>
      <x:c r="S997" s="1" t="n">
        <x:v>736</x:v>
      </x:c>
      <x:c r="T997" s="1" t="n">
        <x:v>755</x:v>
      </x:c>
    </x:row>
    <x:row r="998" ht="21" customHeight="1">
      <x:c r="A998" s="12" t="n">
        <x:v>46266</x:v>
      </x:c>
      <x:c r="B998" s="1" t="str">
        <x:v>Butterfly</x:v>
      </x:c>
      <x:c r="C998" s="1" t="str">
        <x:v>call</x:v>
      </x:c>
      <x:c r="D998" s="11" t="n">
        <x:v>7000</x:v>
      </x:c>
      <x:c r="E998" s="11" t="n">
        <x:v>7200</x:v>
      </x:c>
      <x:c r="F998" s="11" t="n">
        <x:v>7400</x:v>
      </x:c>
      <x:c r="G998" s="11" t="n">
        <x:f>'Option source'!B266</x:f>
        <x:v>562.73</x:v>
      </x:c>
      <x:c r="H998" s="11" t="n">
        <x:f>'Option source'!B285</x:f>
        <x:v>464.15</x:v>
      </x:c>
      <x:c r="I998" s="11" t="n">
        <x:f>'Option source'!B304</x:f>
        <x:v>372.77</x:v>
      </x:c>
      <x:c r="J998" s="11" t="n">
        <x:f>G998-2*H998+IF(B998="Butterfly",I998,0)</x:f>
        <x:v>7.2000000000000455</x:v>
      </x:c>
      <x:c r="K998" s="11" t="n">
        <x:f>ABS(E998-D998)</x:f>
        <x:v>200</x:v>
      </x:c>
      <x:c r="L998" s="11" t="n">
        <x:f>K998-J998</x:f>
        <x:v>192.79999999999995</x:v>
      </x:c>
      <x:c r="M998" s="11" t="n">
        <x:f>IF(B998="Butterfly",MAX(J998,0),IF(C998="call","Unlimited",MAX(2*E998-D998+J998,J998,0)))</x:f>
        <x:v>7.2000000000000455</x:v>
      </x:c>
      <x:c r="N998" s="11" t="n">
        <x:f>IF(B998="Butterfly",IF(AND(J998&gt;0,J998&lt;K998),D998+J998,"n.a."),IF(C998="call",IF(AND(J998&gt;0,J998&lt;K998),D998+J998,"n.a."),IF(AND(K998&gt;J998,2*E998-D998+J998&gt;=0),2*E998-D998+J998,"n.a.")))</x:f>
        <x:v>7007.2</x:v>
      </x:c>
      <x:c r="O998" s="11" t="n">
        <x:f>IF(B998="Butterfly",IF(AND(J998&gt;0,J998&lt;K998),F998-J998,"n.a."),IF(C998="call",IF(K998&gt;J998,2*E998-D998-J998,"n.a."),IF(AND(J998&gt;0,J998&lt;K998),D998-J998,"n.a.")))</x:f>
        <x:v>7392.8</x:v>
      </x:c>
      <x:c r="P998" s="19" t="n">
        <x:f>IF(AND(B998="Butterfly",J998&gt;0,J998&lt;K998),L998/J998,"n.a.")</x:f>
        <x:v>26.7777777777776</x:v>
      </x:c>
      <x:c r="Q998" s="11" t="n">
        <x:f>J998*'Model inputs'!$B$8</x:f>
        <x:v>720.0000000000045</x:v>
      </x:c>
      <x:c r="R998" s="1" t="str">
        <x:v>Indicative only</x:v>
      </x:c>
      <x:c r="S998" s="1" t="n">
        <x:v>261</x:v>
      </x:c>
      <x:c r="T998" s="1" t="n">
        <x:v>280</x:v>
      </x:c>
    </x:row>
    <x:row r="999" ht="21" customHeight="1">
      <x:c r="A999" s="12" t="n">
        <x:v>46266</x:v>
      </x:c>
      <x:c r="B999" s="1" t="str">
        <x:v>Butterfly</x:v>
      </x:c>
      <x:c r="C999" s="1" t="str">
        <x:v>put</x:v>
      </x:c>
      <x:c r="D999" s="11" t="n">
        <x:v>7000</x:v>
      </x:c>
      <x:c r="E999" s="11" t="n">
        <x:v>7200</x:v>
      </x:c>
      <x:c r="F999" s="11" t="n">
        <x:v>7400</x:v>
      </x:c>
      <x:c r="G999" s="11" t="n">
        <x:f>'Option source'!B760</x:f>
        <x:v>334.82</x:v>
      </x:c>
      <x:c r="H999" s="11" t="n">
        <x:f>'Option source'!B779</x:f>
        <x:v>431.34</x:v>
      </x:c>
      <x:c r="I999" s="11" t="n">
        <x:f>'Option source'!B798</x:f>
        <x:v>538.73</x:v>
      </x:c>
      <x:c r="J999" s="11" t="n">
        <x:f>G999-2*H999+IF(B999="Butterfly",I999,0)</x:f>
        <x:v>10.870000000000118</x:v>
      </x:c>
      <x:c r="K999" s="11" t="n">
        <x:f>ABS(E999-D999)</x:f>
        <x:v>200</x:v>
      </x:c>
      <x:c r="L999" s="11" t="n">
        <x:f>K999-J999</x:f>
        <x:v>189.12999999999988</x:v>
      </x:c>
      <x:c r="M999" s="11" t="n">
        <x:f>IF(B999="Butterfly",MAX(J999,0),IF(C999="call","Unlimited",MAX(2*E999-D999+J999,J999,0)))</x:f>
        <x:v>10.870000000000118</x:v>
      </x:c>
      <x:c r="N999" s="11" t="n">
        <x:f>IF(B999="Butterfly",IF(AND(J999&gt;0,J999&lt;K999),D999+J999,"n.a."),IF(C999="call",IF(AND(J999&gt;0,J999&lt;K999),D999+J999,"n.a."),IF(AND(K999&gt;J999,2*E999-D999+J999&gt;=0),2*E999-D999+J999,"n.a.")))</x:f>
        <x:v>7010.87</x:v>
      </x:c>
      <x:c r="O999" s="11" t="n">
        <x:f>IF(B999="Butterfly",IF(AND(J999&gt;0,J999&lt;K999),F999-J999,"n.a."),IF(C999="call",IF(K999&gt;J999,2*E999-D999-J999,"n.a."),IF(AND(J999&gt;0,J999&lt;K999),D999-J999,"n.a.")))</x:f>
        <x:v>7389.13</x:v>
      </x:c>
      <x:c r="P999" s="19" t="n">
        <x:f>IF(AND(B999="Butterfly",J999&gt;0,J999&lt;K999),L999/J999,"n.a.")</x:f>
        <x:v>17.399264029438623</x:v>
      </x:c>
      <x:c r="Q999" s="11" t="n">
        <x:f>J999*'Model inputs'!$B$8</x:f>
        <x:v>1087.0000000000118</x:v>
      </x:c>
      <x:c r="R999" s="1" t="str">
        <x:v>Indicative only</x:v>
      </x:c>
      <x:c r="S999" s="1" t="n">
        <x:v>755</x:v>
      </x:c>
      <x:c r="T999" s="1" t="n">
        <x:v>774</x:v>
      </x:c>
    </x:row>
    <x:row r="1000" ht="21" customHeight="1">
      <x:c r="A1000" s="12" t="n">
        <x:v>46266</x:v>
      </x:c>
      <x:c r="B1000" s="1" t="str">
        <x:v>Butterfly</x:v>
      </x:c>
      <x:c r="C1000" s="1" t="str">
        <x:v>put</x:v>
      </x:c>
      <x:c r="D1000" s="11" t="n">
        <x:v>6600</x:v>
      </x:c>
      <x:c r="E1000" s="11" t="n">
        <x:v>6800</x:v>
      </x:c>
      <x:c r="F1000" s="11" t="n">
        <x:v>7000</x:v>
      </x:c>
      <x:c r="G1000" s="11" t="n">
        <x:f>'Option source'!B722</x:f>
        <x:v>178.65</x:v>
      </x:c>
      <x:c r="H1000" s="11" t="n">
        <x:f>'Option source'!B741</x:f>
        <x:v>251.94</x:v>
      </x:c>
      <x:c r="I1000" s="11" t="n">
        <x:f>'Option source'!B760</x:f>
        <x:v>334.82</x:v>
      </x:c>
      <x:c r="J1000" s="11" t="n">
        <x:f>G1000-2*H1000+IF(B1000="Butterfly",I1000,0)</x:f>
        <x:v>9.589999999999975</x:v>
      </x:c>
      <x:c r="K1000" s="11" t="n">
        <x:f>ABS(E1000-D1000)</x:f>
        <x:v>200</x:v>
      </x:c>
      <x:c r="L1000" s="11" t="n">
        <x:f>K1000-J1000</x:f>
        <x:v>190.41000000000003</x:v>
      </x:c>
      <x:c r="M1000" s="11" t="n">
        <x:f>IF(B1000="Butterfly",MAX(J1000,0),IF(C1000="call","Unlimited",MAX(2*E1000-D1000+J1000,J1000,0)))</x:f>
        <x:v>9.589999999999975</x:v>
      </x:c>
      <x:c r="N1000" s="11" t="n">
        <x:f>IF(B1000="Butterfly",IF(AND(J1000&gt;0,J1000&lt;K1000),D1000+J1000,"n.a."),IF(C1000="call",IF(AND(J1000&gt;0,J1000&lt;K1000),D1000+J1000,"n.a."),IF(AND(K1000&gt;J1000,2*E1000-D1000+J1000&gt;=0),2*E1000-D1000+J1000,"n.a.")))</x:f>
        <x:v>6609.59</x:v>
      </x:c>
      <x:c r="O1000" s="11" t="n">
        <x:f>IF(B1000="Butterfly",IF(AND(J1000&gt;0,J1000&lt;K1000),F1000-J1000,"n.a."),IF(C1000="call",IF(K1000&gt;J1000,2*E1000-D1000-J1000,"n.a."),IF(AND(J1000&gt;0,J1000&lt;K1000),D1000-J1000,"n.a.")))</x:f>
        <x:v>6990.41</x:v>
      </x:c>
      <x:c r="P1000" s="19" t="n">
        <x:f>IF(AND(B1000="Butterfly",J1000&gt;0,J1000&lt;K1000),L1000/J1000,"n.a.")</x:f>
        <x:v>19.85505735140777</x:v>
      </x:c>
      <x:c r="Q1000" s="11" t="n">
        <x:f>J1000*'Model inputs'!$B$8</x:f>
        <x:v>958.9999999999975</x:v>
      </x:c>
      <x:c r="R1000" s="1" t="str">
        <x:v>Indicative only</x:v>
      </x:c>
      <x:c r="S1000" s="1" t="n">
        <x:v>717</x:v>
      </x:c>
      <x:c r="T1000" s="1" t="n">
        <x:v>736</x:v>
      </x:c>
    </x:row>
    <x:row r="1001" ht="21" customHeight="1">
      <x:c r="A1001" s="12" t="n">
        <x:v>46266</x:v>
      </x:c>
      <x:c r="B1001" s="1" t="str">
        <x:v>Butterfly</x:v>
      </x:c>
      <x:c r="C1001" s="1" t="str">
        <x:v>call</x:v>
      </x:c>
      <x:c r="D1001" s="11" t="n">
        <x:v>7200</x:v>
      </x:c>
      <x:c r="E1001" s="11" t="n">
        <x:v>7400</x:v>
      </x:c>
      <x:c r="F1001" s="11" t="n">
        <x:v>7600</x:v>
      </x:c>
      <x:c r="G1001" s="11" t="n">
        <x:f>'Option source'!B285</x:f>
        <x:v>464.15</x:v>
      </x:c>
      <x:c r="H1001" s="11" t="n">
        <x:f>'Option source'!B304</x:f>
        <x:v>372.77</x:v>
      </x:c>
      <x:c r="I1001" s="11" t="n">
        <x:f>'Option source'!B323</x:f>
        <x:v>295.41</x:v>
      </x:c>
      <x:c r="J1001" s="11" t="n">
        <x:f>G1001-2*H1001+IF(B1001="Butterfly",I1001,0)</x:f>
        <x:v>14.020000000000039</x:v>
      </x:c>
      <x:c r="K1001" s="11" t="n">
        <x:f>ABS(E1001-D1001)</x:f>
        <x:v>200</x:v>
      </x:c>
      <x:c r="L1001" s="11" t="n">
        <x:f>K1001-J1001</x:f>
        <x:v>185.97999999999996</x:v>
      </x:c>
      <x:c r="M1001" s="11" t="n">
        <x:f>IF(B1001="Butterfly",MAX(J1001,0),IF(C1001="call","Unlimited",MAX(2*E1001-D1001+J1001,J1001,0)))</x:f>
        <x:v>14.020000000000039</x:v>
      </x:c>
      <x:c r="N1001" s="11" t="n">
        <x:f>IF(B1001="Butterfly",IF(AND(J1001&gt;0,J1001&lt;K1001),D1001+J1001,"n.a."),IF(C1001="call",IF(AND(J1001&gt;0,J1001&lt;K1001),D1001+J1001,"n.a."),IF(AND(K1001&gt;J1001,2*E1001-D1001+J1001&gt;=0),2*E1001-D1001+J1001,"n.a.")))</x:f>
        <x:v>7214.02</x:v>
      </x:c>
      <x:c r="O1001" s="11" t="n">
        <x:f>IF(B1001="Butterfly",IF(AND(J1001&gt;0,J1001&lt;K1001),F1001-J1001,"n.a."),IF(C1001="call",IF(K1001&gt;J1001,2*E1001-D1001-J1001,"n.a."),IF(AND(J1001&gt;0,J1001&lt;K1001),D1001-J1001,"n.a.")))</x:f>
        <x:v>7585.98</x:v>
      </x:c>
      <x:c r="P1001" s="19" t="n">
        <x:f>IF(AND(B1001="Butterfly",J1001&gt;0,J1001&lt;K1001),L1001/J1001,"n.a.")</x:f>
        <x:v>13.265335235377991</x:v>
      </x:c>
      <x:c r="Q1001" s="11" t="n">
        <x:f>J1001*'Model inputs'!$B$8</x:f>
        <x:v>1402.0000000000039</x:v>
      </x:c>
      <x:c r="R1001" s="1" t="str">
        <x:v>Indicative only</x:v>
      </x:c>
      <x:c r="S1001" s="1" t="n">
        <x:v>280</x:v>
      </x:c>
      <x:c r="T1001" s="1" t="n">
        <x:v>299</x:v>
      </x:c>
    </x:row>
    <x:row r="1002" ht="21" customHeight="1">
      <x:c r="A1002" s="12" t="n">
        <x:v>46266</x:v>
      </x:c>
      <x:c r="B1002" s="1" t="str">
        <x:v>Butterfly</x:v>
      </x:c>
      <x:c r="C1002" s="1" t="str">
        <x:v>put</x:v>
      </x:c>
      <x:c r="D1002" s="11" t="n">
        <x:v>7200</x:v>
      </x:c>
      <x:c r="E1002" s="11" t="n">
        <x:v>7400</x:v>
      </x:c>
      <x:c r="F1002" s="11" t="n">
        <x:v>7600</x:v>
      </x:c>
      <x:c r="G1002" s="11" t="n">
        <x:f>'Option source'!B779</x:f>
        <x:v>431.34</x:v>
      </x:c>
      <x:c r="H1002" s="11" t="n">
        <x:f>'Option source'!B798</x:f>
        <x:v>538.73</x:v>
      </x:c>
      <x:c r="I1002" s="11" t="n">
        <x:f>'Option source'!B817</x:f>
        <x:v>660.35</x:v>
      </x:c>
      <x:c r="J1002" s="11" t="n">
        <x:f>G1002-2*H1002+IF(B1002="Butterfly",I1002,0)</x:f>
        <x:v>14.229999999999905</x:v>
      </x:c>
      <x:c r="K1002" s="11" t="n">
        <x:f>ABS(E1002-D1002)</x:f>
        <x:v>200</x:v>
      </x:c>
      <x:c r="L1002" s="11" t="n">
        <x:f>K1002-J1002</x:f>
        <x:v>185.7700000000001</x:v>
      </x:c>
      <x:c r="M1002" s="11" t="n">
        <x:f>IF(B1002="Butterfly",MAX(J1002,0),IF(C1002="call","Unlimited",MAX(2*E1002-D1002+J1002,J1002,0)))</x:f>
        <x:v>14.229999999999905</x:v>
      </x:c>
      <x:c r="N1002" s="11" t="n">
        <x:f>IF(B1002="Butterfly",IF(AND(J1002&gt;0,J1002&lt;K1002),D1002+J1002,"n.a."),IF(C1002="call",IF(AND(J1002&gt;0,J1002&lt;K1002),D1002+J1002,"n.a."),IF(AND(K1002&gt;J1002,2*E1002-D1002+J1002&gt;=0),2*E1002-D1002+J1002,"n.a.")))</x:f>
        <x:v>7214.23</x:v>
      </x:c>
      <x:c r="O1002" s="11" t="n">
        <x:f>IF(B1002="Butterfly",IF(AND(J1002&gt;0,J1002&lt;K1002),F1002-J1002,"n.a."),IF(C1002="call",IF(K1002&gt;J1002,2*E1002-D1002-J1002,"n.a."),IF(AND(J1002&gt;0,J1002&lt;K1002),D1002-J1002,"n.a.")))</x:f>
        <x:v>7585.77</x:v>
      </x:c>
      <x:c r="P1002" s="19" t="n">
        <x:f>IF(AND(B1002="Butterfly",J1002&gt;0,J1002&lt;K1002),L1002/J1002,"n.a.")</x:f>
        <x:v>13.054813773717592</x:v>
      </x:c>
      <x:c r="Q1002" s="11" t="n">
        <x:f>J1002*'Model inputs'!$B$8</x:f>
        <x:v>1422.9999999999905</x:v>
      </x:c>
      <x:c r="R1002" s="1" t="str">
        <x:v>Indicative only</x:v>
      </x:c>
      <x:c r="S1002" s="1" t="n">
        <x:v>774</x:v>
      </x:c>
      <x:c r="T1002" s="1" t="n">
        <x:v>793</x:v>
      </x:c>
    </x:row>
    <x:row r="1003" ht="21" customHeight="1">
      <x:c r="A1003" s="12" t="n">
        <x:v>46266</x:v>
      </x:c>
      <x:c r="B1003" s="1" t="str">
        <x:v>Butterfly</x:v>
      </x:c>
      <x:c r="C1003" s="1" t="str">
        <x:v>put</x:v>
      </x:c>
      <x:c r="D1003" s="11" t="n">
        <x:v>6400</x:v>
      </x:c>
      <x:c r="E1003" s="11" t="n">
        <x:v>6600</x:v>
      </x:c>
      <x:c r="F1003" s="11" t="n">
        <x:v>6800</x:v>
      </x:c>
      <x:c r="G1003" s="11" t="n">
        <x:f>'Option source'!B703</x:f>
        <x:v>127.45</x:v>
      </x:c>
      <x:c r="H1003" s="11" t="n">
        <x:f>'Option source'!B722</x:f>
        <x:v>178.65</x:v>
      </x:c>
      <x:c r="I1003" s="11" t="n">
        <x:f>'Option source'!B741</x:f>
        <x:v>251.94</x:v>
      </x:c>
      <x:c r="J1003" s="11" t="n">
        <x:f>G1003-2*H1003+IF(B1003="Butterfly",I1003,0)</x:f>
        <x:v>22.089999999999975</x:v>
      </x:c>
      <x:c r="K1003" s="11" t="n">
        <x:f>ABS(E1003-D1003)</x:f>
        <x:v>200</x:v>
      </x:c>
      <x:c r="L1003" s="11" t="n">
        <x:f>K1003-J1003</x:f>
        <x:v>177.91000000000003</x:v>
      </x:c>
      <x:c r="M1003" s="11" t="n">
        <x:f>IF(B1003="Butterfly",MAX(J1003,0),IF(C1003="call","Unlimited",MAX(2*E1003-D1003+J1003,J1003,0)))</x:f>
        <x:v>22.089999999999975</x:v>
      </x:c>
      <x:c r="N1003" s="11" t="n">
        <x:f>IF(B1003="Butterfly",IF(AND(J1003&gt;0,J1003&lt;K1003),D1003+J1003,"n.a."),IF(C1003="call",IF(AND(J1003&gt;0,J1003&lt;K1003),D1003+J1003,"n.a."),IF(AND(K1003&gt;J1003,2*E1003-D1003+J1003&gt;=0),2*E1003-D1003+J1003,"n.a.")))</x:f>
        <x:v>6422.09</x:v>
      </x:c>
      <x:c r="O1003" s="11" t="n">
        <x:f>IF(B1003="Butterfly",IF(AND(J1003&gt;0,J1003&lt;K1003),F1003-J1003,"n.a."),IF(C1003="call",IF(K1003&gt;J1003,2*E1003-D1003-J1003,"n.a."),IF(AND(J1003&gt;0,J1003&lt;K1003),D1003-J1003,"n.a.")))</x:f>
        <x:v>6777.91</x:v>
      </x:c>
      <x:c r="P1003" s="19" t="n">
        <x:f>IF(AND(B1003="Butterfly",J1003&gt;0,J1003&lt;K1003),L1003/J1003,"n.a.")</x:f>
        <x:v>8.053870529651435</x:v>
      </x:c>
      <x:c r="Q1003" s="11" t="n">
        <x:f>J1003*'Model inputs'!$B$8</x:f>
        <x:v>2208.9999999999973</x:v>
      </x:c>
      <x:c r="R1003" s="1" t="str">
        <x:v>Indicative only</x:v>
      </x:c>
      <x:c r="S1003" s="1" t="n">
        <x:v>698</x:v>
      </x:c>
      <x:c r="T1003" s="1" t="n">
        <x:v>717</x:v>
      </x:c>
    </x:row>
    <x:row r="1004" ht="21" customHeight="1">
      <x:c r="A1004" s="12" t="n">
        <x:v>46266</x:v>
      </x:c>
      <x:c r="B1004" s="1" t="str">
        <x:v>Butterfly</x:v>
      </x:c>
      <x:c r="C1004" s="1" t="str">
        <x:v>call</x:v>
      </x:c>
      <x:c r="D1004" s="11" t="n">
        <x:v>7400</x:v>
      </x:c>
      <x:c r="E1004" s="11" t="n">
        <x:v>7600</x:v>
      </x:c>
      <x:c r="F1004" s="11" t="n">
        <x:v>7800</x:v>
      </x:c>
      <x:c r="G1004" s="11" t="n">
        <x:f>'Option source'!B304</x:f>
        <x:v>372.77</x:v>
      </x:c>
      <x:c r="H1004" s="11" t="n">
        <x:f>'Option source'!B323</x:f>
        <x:v>295.41</x:v>
      </x:c>
      <x:c r="I1004" s="11" t="n">
        <x:f>'Option source'!B342</x:f>
        <x:v>232.85</x:v>
      </x:c>
      <x:c r="J1004" s="11" t="n">
        <x:f>G1004-2*H1004+IF(B1004="Butterfly",I1004,0)</x:f>
        <x:v>14.799999999999926</x:v>
      </x:c>
      <x:c r="K1004" s="11" t="n">
        <x:f>ABS(E1004-D1004)</x:f>
        <x:v>200</x:v>
      </x:c>
      <x:c r="L1004" s="11" t="n">
        <x:f>K1004-J1004</x:f>
        <x:v>185.20000000000007</x:v>
      </x:c>
      <x:c r="M1004" s="11" t="n">
        <x:f>IF(B1004="Butterfly",MAX(J1004,0),IF(C1004="call","Unlimited",MAX(2*E1004-D1004+J1004,J1004,0)))</x:f>
        <x:v>14.799999999999926</x:v>
      </x:c>
      <x:c r="N1004" s="11" t="n">
        <x:f>IF(B1004="Butterfly",IF(AND(J1004&gt;0,J1004&lt;K1004),D1004+J1004,"n.a."),IF(C1004="call",IF(AND(J1004&gt;0,J1004&lt;K1004),D1004+J1004,"n.a."),IF(AND(K1004&gt;J1004,2*E1004-D1004+J1004&gt;=0),2*E1004-D1004+J1004,"n.a.")))</x:f>
        <x:v>7414.8</x:v>
      </x:c>
      <x:c r="O1004" s="11" t="n">
        <x:f>IF(B1004="Butterfly",IF(AND(J1004&gt;0,J1004&lt;K1004),F1004-J1004,"n.a."),IF(C1004="call",IF(K1004&gt;J1004,2*E1004-D1004-J1004,"n.a."),IF(AND(J1004&gt;0,J1004&lt;K1004),D1004-J1004,"n.a.")))</x:f>
        <x:v>7785.2</x:v>
      </x:c>
      <x:c r="P1004" s="19" t="n">
        <x:f>IF(AND(B1004="Butterfly",J1004&gt;0,J1004&lt;K1004),L1004/J1004,"n.a.")</x:f>
        <x:v>12.513513513513582</x:v>
      </x:c>
      <x:c r="Q1004" s="11" t="n">
        <x:f>J1004*'Model inputs'!$B$8</x:f>
        <x:v>1479.9999999999927</x:v>
      </x:c>
      <x:c r="R1004" s="1" t="str">
        <x:v>Indicative only</x:v>
      </x:c>
      <x:c r="S1004" s="1" t="n">
        <x:v>299</x:v>
      </x:c>
      <x:c r="T1004" s="1" t="n">
        <x:v>318</x:v>
      </x:c>
    </x:row>
    <x:row r="1005" ht="21" customHeight="1">
      <x:c r="A1005" s="12" t="n">
        <x:v>46266</x:v>
      </x:c>
      <x:c r="B1005" s="1" t="str">
        <x:v>Butterfly</x:v>
      </x:c>
      <x:c r="C1005" s="1" t="str">
        <x:v>put</x:v>
      </x:c>
      <x:c r="D1005" s="11" t="n">
        <x:v>7400</x:v>
      </x:c>
      <x:c r="E1005" s="11" t="n">
        <x:v>7600</x:v>
      </x:c>
      <x:c r="F1005" s="11" t="n">
        <x:v>7800</x:v>
      </x:c>
      <x:c r="G1005" s="11" t="n">
        <x:f>'Option source'!B798</x:f>
        <x:v>538.73</x:v>
      </x:c>
      <x:c r="H1005" s="11" t="n">
        <x:f>'Option source'!B817</x:f>
        <x:v>660.35</x:v>
      </x:c>
      <x:c r="I1005" s="11" t="n">
        <x:f>'Option source'!B836</x:f>
        <x:v>798.65</x:v>
      </x:c>
      <x:c r="J1005" s="11" t="n">
        <x:f>G1005-2*H1005+IF(B1005="Butterfly",I1005,0)</x:f>
        <x:v>16.67999999999995</x:v>
      </x:c>
      <x:c r="K1005" s="11" t="n">
        <x:f>ABS(E1005-D1005)</x:f>
        <x:v>200</x:v>
      </x:c>
      <x:c r="L1005" s="11" t="n">
        <x:f>K1005-J1005</x:f>
        <x:v>183.32000000000005</x:v>
      </x:c>
      <x:c r="M1005" s="11" t="n">
        <x:f>IF(B1005="Butterfly",MAX(J1005,0),IF(C1005="call","Unlimited",MAX(2*E1005-D1005+J1005,J1005,0)))</x:f>
        <x:v>16.67999999999995</x:v>
      </x:c>
      <x:c r="N1005" s="11" t="n">
        <x:f>IF(B1005="Butterfly",IF(AND(J1005&gt;0,J1005&lt;K1005),D1005+J1005,"n.a."),IF(C1005="call",IF(AND(J1005&gt;0,J1005&lt;K1005),D1005+J1005,"n.a."),IF(AND(K1005&gt;J1005,2*E1005-D1005+J1005&gt;=0),2*E1005-D1005+J1005,"n.a.")))</x:f>
        <x:v>7416.68</x:v>
      </x:c>
      <x:c r="O1005" s="11" t="n">
        <x:f>IF(B1005="Butterfly",IF(AND(J1005&gt;0,J1005&lt;K1005),F1005-J1005,"n.a."),IF(C1005="call",IF(K1005&gt;J1005,2*E1005-D1005-J1005,"n.a."),IF(AND(J1005&gt;0,J1005&lt;K1005),D1005-J1005,"n.a.")))</x:f>
        <x:v>7783.32</x:v>
      </x:c>
      <x:c r="P1005" s="19" t="n">
        <x:f>IF(AND(B1005="Butterfly",J1005&gt;0,J1005&lt;K1005),L1005/J1005,"n.a.")</x:f>
        <x:v>10.990407673860947</x:v>
      </x:c>
      <x:c r="Q1005" s="11" t="n">
        <x:f>J1005*'Model inputs'!$B$8</x:f>
        <x:v>1667.999999999995</x:v>
      </x:c>
      <x:c r="R1005" s="1" t="str">
        <x:v>Indicative only</x:v>
      </x:c>
      <x:c r="S1005" s="1" t="n">
        <x:v>793</x:v>
      </x:c>
      <x:c r="T1005" s="1" t="n">
        <x:v>812</x:v>
      </x:c>
    </x:row>
    <x:row r="1006" ht="21" customHeight="1">
      <x:c r="A1006" s="12" t="n">
        <x:v>46266</x:v>
      </x:c>
      <x:c r="B1006" s="1" t="str">
        <x:v>Butterfly</x:v>
      </x:c>
      <x:c r="C1006" s="1" t="str">
        <x:v>put</x:v>
      </x:c>
      <x:c r="D1006" s="11" t="n">
        <x:v>6200</x:v>
      </x:c>
      <x:c r="E1006" s="11" t="n">
        <x:v>6400</x:v>
      </x:c>
      <x:c r="F1006" s="11" t="n">
        <x:v>6600</x:v>
      </x:c>
      <x:c r="G1006" s="11" t="n">
        <x:f>'Option source'!B684</x:f>
        <x:v>85.04</x:v>
      </x:c>
      <x:c r="H1006" s="11" t="n">
        <x:f>'Option source'!B703</x:f>
        <x:v>127.45</x:v>
      </x:c>
      <x:c r="I1006" s="11" t="n">
        <x:f>'Option source'!B722</x:f>
        <x:v>178.65</x:v>
      </x:c>
      <x:c r="J1006" s="11" t="n">
        <x:f>G1006-2*H1006+IF(B1006="Butterfly",I1006,0)</x:f>
        <x:v>8.789999999999992</x:v>
      </x:c>
      <x:c r="K1006" s="11" t="n">
        <x:f>ABS(E1006-D1006)</x:f>
        <x:v>200</x:v>
      </x:c>
      <x:c r="L1006" s="11" t="n">
        <x:f>K1006-J1006</x:f>
        <x:v>191.21</x:v>
      </x:c>
      <x:c r="M1006" s="11" t="n">
        <x:f>IF(B1006="Butterfly",MAX(J1006,0),IF(C1006="call","Unlimited",MAX(2*E1006-D1006+J1006,J1006,0)))</x:f>
        <x:v>8.789999999999992</x:v>
      </x:c>
      <x:c r="N1006" s="11" t="n">
        <x:f>IF(B1006="Butterfly",IF(AND(J1006&gt;0,J1006&lt;K1006),D1006+J1006,"n.a."),IF(C1006="call",IF(AND(J1006&gt;0,J1006&lt;K1006),D1006+J1006,"n.a."),IF(AND(K1006&gt;J1006,2*E1006-D1006+J1006&gt;=0),2*E1006-D1006+J1006,"n.a.")))</x:f>
        <x:v>6208.79</x:v>
      </x:c>
      <x:c r="O1006" s="11" t="n">
        <x:f>IF(B1006="Butterfly",IF(AND(J1006&gt;0,J1006&lt;K1006),F1006-J1006,"n.a."),IF(C1006="call",IF(K1006&gt;J1006,2*E1006-D1006-J1006,"n.a."),IF(AND(J1006&gt;0,J1006&lt;K1006),D1006-J1006,"n.a.")))</x:f>
        <x:v>6591.21</x:v>
      </x:c>
      <x:c r="P1006" s="19" t="n">
        <x:f>IF(AND(B1006="Butterfly",J1006&gt;0,J1006&lt;K1006),L1006/J1006,"n.a.")</x:f>
        <x:v>21.753128555176357</x:v>
      </x:c>
      <x:c r="Q1006" s="11" t="n">
        <x:f>J1006*'Model inputs'!$B$8</x:f>
        <x:v>878.9999999999992</x:v>
      </x:c>
      <x:c r="R1006" s="1" t="str">
        <x:v>Indicative only</x:v>
      </x:c>
      <x:c r="S1006" s="1" t="n">
        <x:v>679</x:v>
      </x:c>
      <x:c r="T1006" s="1" t="n">
        <x:v>698</x:v>
      </x:c>
    </x:row>
    <x:row r="1007" ht="21" customHeight="1">
      <x:c r="A1007" s="12" t="n">
        <x:v>46266</x:v>
      </x:c>
      <x:c r="B1007" s="1" t="str">
        <x:v>Butterfly</x:v>
      </x:c>
      <x:c r="C1007" s="1" t="str">
        <x:v>call</x:v>
      </x:c>
      <x:c r="D1007" s="11" t="n">
        <x:v>7600</x:v>
      </x:c>
      <x:c r="E1007" s="11" t="n">
        <x:v>7800</x:v>
      </x:c>
      <x:c r="F1007" s="11" t="n">
        <x:v>8000</x:v>
      </x:c>
      <x:c r="G1007" s="11" t="n">
        <x:f>'Option source'!B323</x:f>
        <x:v>295.41</x:v>
      </x:c>
      <x:c r="H1007" s="11" t="n">
        <x:f>'Option source'!B342</x:f>
        <x:v>232.85</x:v>
      </x:c>
      <x:c r="I1007" s="11" t="n">
        <x:f>'Option source'!B361</x:f>
        <x:v>181.31</x:v>
      </x:c>
      <x:c r="J1007" s="11" t="n">
        <x:f>G1007-2*H1007+IF(B1007="Butterfly",I1007,0)</x:f>
        <x:v>11.020000000000039</x:v>
      </x:c>
      <x:c r="K1007" s="11" t="n">
        <x:f>ABS(E1007-D1007)</x:f>
        <x:v>200</x:v>
      </x:c>
      <x:c r="L1007" s="11" t="n">
        <x:f>K1007-J1007</x:f>
        <x:v>188.97999999999996</x:v>
      </x:c>
      <x:c r="M1007" s="11" t="n">
        <x:f>IF(B1007="Butterfly",MAX(J1007,0),IF(C1007="call","Unlimited",MAX(2*E1007-D1007+J1007,J1007,0)))</x:f>
        <x:v>11.020000000000039</x:v>
      </x:c>
      <x:c r="N1007" s="11" t="n">
        <x:f>IF(B1007="Butterfly",IF(AND(J1007&gt;0,J1007&lt;K1007),D1007+J1007,"n.a."),IF(C1007="call",IF(AND(J1007&gt;0,J1007&lt;K1007),D1007+J1007,"n.a."),IF(AND(K1007&gt;J1007,2*E1007-D1007+J1007&gt;=0),2*E1007-D1007+J1007,"n.a.")))</x:f>
        <x:v>7611.02</x:v>
      </x:c>
      <x:c r="O1007" s="11" t="n">
        <x:f>IF(B1007="Butterfly",IF(AND(J1007&gt;0,J1007&lt;K1007),F1007-J1007,"n.a."),IF(C1007="call",IF(K1007&gt;J1007,2*E1007-D1007-J1007,"n.a."),IF(AND(J1007&gt;0,J1007&lt;K1007),D1007-J1007,"n.a.")))</x:f>
        <x:v>7988.98</x:v>
      </x:c>
      <x:c r="P1007" s="19" t="n">
        <x:f>IF(AND(B1007="Butterfly",J1007&gt;0,J1007&lt;K1007),L1007/J1007,"n.a.")</x:f>
        <x:v>17.148820326678702</x:v>
      </x:c>
      <x:c r="Q1007" s="11" t="n">
        <x:f>J1007*'Model inputs'!$B$8</x:f>
        <x:v>1102.0000000000039</x:v>
      </x:c>
      <x:c r="R1007" s="1" t="str">
        <x:v>Indicative only</x:v>
      </x:c>
      <x:c r="S1007" s="1" t="n">
        <x:v>318</x:v>
      </x:c>
      <x:c r="T1007" s="1" t="n">
        <x:v>337</x:v>
      </x:c>
    </x:row>
    <x:row r="1008" ht="21" customHeight="1">
      <x:c r="A1008" s="12" t="n">
        <x:v>46266</x:v>
      </x:c>
      <x:c r="B1008" s="1" t="str">
        <x:v>Butterfly</x:v>
      </x:c>
      <x:c r="C1008" s="1" t="str">
        <x:v>put</x:v>
      </x:c>
      <x:c r="D1008" s="11" t="n">
        <x:v>7600</x:v>
      </x:c>
      <x:c r="E1008" s="11" t="n">
        <x:v>7800</x:v>
      </x:c>
      <x:c r="F1008" s="11" t="n">
        <x:v>8000</x:v>
      </x:c>
      <x:c r="G1008" s="11" t="n">
        <x:f>'Option source'!B817</x:f>
        <x:v>660.35</x:v>
      </x:c>
      <x:c r="H1008" s="11" t="n">
        <x:f>'Option source'!B836</x:f>
        <x:v>798.65</x:v>
      </x:c>
      <x:c r="I1008" s="11" t="n">
        <x:f>'Option source'!B855</x:f>
        <x:v>960</x:v>
      </x:c>
      <x:c r="J1008" s="11" t="n">
        <x:f>G1008-2*H1008+IF(B1008="Butterfly",I1008,0)</x:f>
        <x:v>23.050000000000068</x:v>
      </x:c>
      <x:c r="K1008" s="11" t="n">
        <x:f>ABS(E1008-D1008)</x:f>
        <x:v>200</x:v>
      </x:c>
      <x:c r="L1008" s="11" t="n">
        <x:f>K1008-J1008</x:f>
        <x:v>176.94999999999993</x:v>
      </x:c>
      <x:c r="M1008" s="11" t="n">
        <x:f>IF(B1008="Butterfly",MAX(J1008,0),IF(C1008="call","Unlimited",MAX(2*E1008-D1008+J1008,J1008,0)))</x:f>
        <x:v>23.050000000000068</x:v>
      </x:c>
      <x:c r="N1008" s="11" t="n">
        <x:f>IF(B1008="Butterfly",IF(AND(J1008&gt;0,J1008&lt;K1008),D1008+J1008,"n.a."),IF(C1008="call",IF(AND(J1008&gt;0,J1008&lt;K1008),D1008+J1008,"n.a."),IF(AND(K1008&gt;J1008,2*E1008-D1008+J1008&gt;=0),2*E1008-D1008+J1008,"n.a.")))</x:f>
        <x:v>7623.05</x:v>
      </x:c>
      <x:c r="O1008" s="11" t="n">
        <x:f>IF(B1008="Butterfly",IF(AND(J1008&gt;0,J1008&lt;K1008),F1008-J1008,"n.a."),IF(C1008="call",IF(K1008&gt;J1008,2*E1008-D1008-J1008,"n.a."),IF(AND(J1008&gt;0,J1008&lt;K1008),D1008-J1008,"n.a.")))</x:f>
        <x:v>7976.95</x:v>
      </x:c>
      <x:c r="P1008" s="19" t="n">
        <x:f>IF(AND(B1008="Butterfly",J1008&gt;0,J1008&lt;K1008),L1008/J1008,"n.a.")</x:f>
        <x:v>7.676789587852469</x:v>
      </x:c>
      <x:c r="Q1008" s="11" t="n">
        <x:f>J1008*'Model inputs'!$B$8</x:f>
        <x:v>2305.000000000007</x:v>
      </x:c>
      <x:c r="R1008" s="1" t="str">
        <x:v>Indicative only</x:v>
      </x:c>
      <x:c r="S1008" s="1" t="n">
        <x:v>812</x:v>
      </x:c>
      <x:c r="T1008" s="1" t="n">
        <x:v>831</x:v>
      </x:c>
    </x:row>
    <x:row r="1009" ht="21" customHeight="1">
      <x:c r="A1009" s="12" t="n">
        <x:v>46266</x:v>
      </x:c>
      <x:c r="B1009" s="1" t="str">
        <x:v>Butterfly</x:v>
      </x:c>
      <x:c r="C1009" s="1" t="str">
        <x:v>put</x:v>
      </x:c>
      <x:c r="D1009" s="11" t="n">
        <x:v>6000</x:v>
      </x:c>
      <x:c r="E1009" s="11" t="n">
        <x:v>6200</x:v>
      </x:c>
      <x:c r="F1009" s="11" t="n">
        <x:v>6400</x:v>
      </x:c>
      <x:c r="G1009" s="11" t="n">
        <x:f>'Option source'!B665</x:f>
        <x:v>56.43</x:v>
      </x:c>
      <x:c r="H1009" s="11" t="n">
        <x:f>'Option source'!B684</x:f>
        <x:v>85.04</x:v>
      </x:c>
      <x:c r="I1009" s="11" t="n">
        <x:f>'Option source'!B703</x:f>
        <x:v>127.45</x:v>
      </x:c>
      <x:c r="J1009" s="11" t="n">
        <x:f>G1009-2*H1009+IF(B1009="Butterfly",I1009,0)</x:f>
        <x:v>13.799999999999997</x:v>
      </x:c>
      <x:c r="K1009" s="11" t="n">
        <x:f>ABS(E1009-D1009)</x:f>
        <x:v>200</x:v>
      </x:c>
      <x:c r="L1009" s="11" t="n">
        <x:f>K1009-J1009</x:f>
        <x:v>186.2</x:v>
      </x:c>
      <x:c r="M1009" s="11" t="n">
        <x:f>IF(B1009="Butterfly",MAX(J1009,0),IF(C1009="call","Unlimited",MAX(2*E1009-D1009+J1009,J1009,0)))</x:f>
        <x:v>13.799999999999997</x:v>
      </x:c>
      <x:c r="N1009" s="11" t="n">
        <x:f>IF(B1009="Butterfly",IF(AND(J1009&gt;0,J1009&lt;K1009),D1009+J1009,"n.a."),IF(C1009="call",IF(AND(J1009&gt;0,J1009&lt;K1009),D1009+J1009,"n.a."),IF(AND(K1009&gt;J1009,2*E1009-D1009+J1009&gt;=0),2*E1009-D1009+J1009,"n.a.")))</x:f>
        <x:v>6013.8</x:v>
      </x:c>
      <x:c r="O1009" s="11" t="n">
        <x:f>IF(B1009="Butterfly",IF(AND(J1009&gt;0,J1009&lt;K1009),F1009-J1009,"n.a."),IF(C1009="call",IF(K1009&gt;J1009,2*E1009-D1009-J1009,"n.a."),IF(AND(J1009&gt;0,J1009&lt;K1009),D1009-J1009,"n.a.")))</x:f>
        <x:v>6386.2</x:v>
      </x:c>
      <x:c r="P1009" s="19" t="n">
        <x:f>IF(AND(B1009="Butterfly",J1009&gt;0,J1009&lt;K1009),L1009/J1009,"n.a.")</x:f>
        <x:v>13.492753623188408</x:v>
      </x:c>
      <x:c r="Q1009" s="11" t="n">
        <x:f>J1009*'Model inputs'!$B$8</x:f>
        <x:v>1379.9999999999998</x:v>
      </x:c>
      <x:c r="R1009" s="1" t="str">
        <x:v>Indicative only</x:v>
      </x:c>
      <x:c r="S1009" s="1" t="n">
        <x:v>660</x:v>
      </x:c>
      <x:c r="T1009" s="1" t="n">
        <x:v>679</x:v>
      </x:c>
    </x:row>
    <x:row r="1010" ht="21" customHeight="1">
      <x:c r="A1010" s="12" t="n">
        <x:v>46266</x:v>
      </x:c>
      <x:c r="B1010" s="1" t="str">
        <x:v>Butterfly</x:v>
      </x:c>
      <x:c r="C1010" s="1" t="str">
        <x:v>put</x:v>
      </x:c>
      <x:c r="D1010" s="11" t="n">
        <x:v>5800</x:v>
      </x:c>
      <x:c r="E1010" s="11" t="n">
        <x:v>6000</x:v>
      </x:c>
      <x:c r="F1010" s="11" t="n">
        <x:v>6200</x:v>
      </x:c>
      <x:c r="G1010" s="11" t="n">
        <x:f>'Option source'!B646</x:f>
        <x:v>33.95</x:v>
      </x:c>
      <x:c r="H1010" s="11" t="n">
        <x:f>'Option source'!B665</x:f>
        <x:v>56.43</x:v>
      </x:c>
      <x:c r="I1010" s="11" t="n">
        <x:f>'Option source'!B684</x:f>
        <x:v>85.04</x:v>
      </x:c>
      <x:c r="J1010" s="11" t="n">
        <x:f>G1010-2*H1010+IF(B1010="Butterfly",I1010,0)</x:f>
        <x:v>6.13000000000001</x:v>
      </x:c>
      <x:c r="K1010" s="11" t="n">
        <x:f>ABS(E1010-D1010)</x:f>
        <x:v>200</x:v>
      </x:c>
      <x:c r="L1010" s="11" t="n">
        <x:f>K1010-J1010</x:f>
        <x:v>193.87</x:v>
      </x:c>
      <x:c r="M1010" s="11" t="n">
        <x:f>IF(B1010="Butterfly",MAX(J1010,0),IF(C1010="call","Unlimited",MAX(2*E1010-D1010+J1010,J1010,0)))</x:f>
        <x:v>6.13000000000001</x:v>
      </x:c>
      <x:c r="N1010" s="11" t="n">
        <x:f>IF(B1010="Butterfly",IF(AND(J1010&gt;0,J1010&lt;K1010),D1010+J1010,"n.a."),IF(C1010="call",IF(AND(J1010&gt;0,J1010&lt;K1010),D1010+J1010,"n.a."),IF(AND(K1010&gt;J1010,2*E1010-D1010+J1010&gt;=0),2*E1010-D1010+J1010,"n.a.")))</x:f>
        <x:v>5806.13</x:v>
      </x:c>
      <x:c r="O1010" s="11" t="n">
        <x:f>IF(B1010="Butterfly",IF(AND(J1010&gt;0,J1010&lt;K1010),F1010-J1010,"n.a."),IF(C1010="call",IF(K1010&gt;J1010,2*E1010-D1010-J1010,"n.a."),IF(AND(J1010&gt;0,J1010&lt;K1010),D1010-J1010,"n.a.")))</x:f>
        <x:v>6193.87</x:v>
      </x:c>
      <x:c r="P1010" s="19" t="n">
        <x:f>IF(AND(B1010="Butterfly",J1010&gt;0,J1010&lt;K1010),L1010/J1010,"n.a.")</x:f>
        <x:v>31.62642740619897</x:v>
      </x:c>
      <x:c r="Q1010" s="11" t="n">
        <x:f>J1010*'Model inputs'!$B$8</x:f>
        <x:v>613.0000000000009</x:v>
      </x:c>
      <x:c r="R1010" s="1" t="str">
        <x:v>Indicative only</x:v>
      </x:c>
      <x:c r="S1010" s="1" t="n">
        <x:v>641</x:v>
      </x:c>
      <x:c r="T1010" s="1" t="n">
        <x:v>660</x:v>
      </x:c>
    </x:row>
    <x:row r="1011" ht="21" customHeight="1">
      <x:c r="A1011" s="12" t="n">
        <x:v>46266</x:v>
      </x:c>
      <x:c r="B1011" s="1" t="str">
        <x:v>Butterfly</x:v>
      </x:c>
      <x:c r="C1011" s="1" t="str">
        <x:v>call</x:v>
      </x:c>
      <x:c r="D1011" s="11" t="n">
        <x:v>8000</x:v>
      </x:c>
      <x:c r="E1011" s="11" t="n">
        <x:v>8300</x:v>
      </x:c>
      <x:c r="F1011" s="11" t="n">
        <x:v>8600</x:v>
      </x:c>
      <x:c r="G1011" s="11" t="n">
        <x:f>'Option source'!B361</x:f>
        <x:v>181.31</x:v>
      </x:c>
      <x:c r="H1011" s="11" t="n">
        <x:f>'Option source'!B380</x:f>
        <x:v>117.76</x:v>
      </x:c>
      <x:c r="I1011" s="11" t="n">
        <x:f>'Option source'!B399</x:f>
        <x:v>73.38</x:v>
      </x:c>
      <x:c r="J1011" s="11" t="n">
        <x:f>G1011-2*H1011+IF(B1011="Butterfly",I1011,0)</x:f>
        <x:v>19.169999999999987</x:v>
      </x:c>
      <x:c r="K1011" s="11" t="n">
        <x:f>ABS(E1011-D1011)</x:f>
        <x:v>300</x:v>
      </x:c>
      <x:c r="L1011" s="11" t="n">
        <x:f>K1011-J1011</x:f>
        <x:v>280.83000000000004</x:v>
      </x:c>
      <x:c r="M1011" s="11" t="n">
        <x:f>IF(B1011="Butterfly",MAX(J1011,0),IF(C1011="call","Unlimited",MAX(2*E1011-D1011+J1011,J1011,0)))</x:f>
        <x:v>19.169999999999987</x:v>
      </x:c>
      <x:c r="N1011" s="11" t="n">
        <x:f>IF(B1011="Butterfly",IF(AND(J1011&gt;0,J1011&lt;K1011),D1011+J1011,"n.a."),IF(C1011="call",IF(AND(J1011&gt;0,J1011&lt;K1011),D1011+J1011,"n.a."),IF(AND(K1011&gt;J1011,2*E1011-D1011+J1011&gt;=0),2*E1011-D1011+J1011,"n.a.")))</x:f>
        <x:v>8019.17</x:v>
      </x:c>
      <x:c r="O1011" s="11" t="n">
        <x:f>IF(B1011="Butterfly",IF(AND(J1011&gt;0,J1011&lt;K1011),F1011-J1011,"n.a."),IF(C1011="call",IF(K1011&gt;J1011,2*E1011-D1011-J1011,"n.a."),IF(AND(J1011&gt;0,J1011&lt;K1011),D1011-J1011,"n.a.")))</x:f>
        <x:v>8580.83</x:v>
      </x:c>
      <x:c r="P1011" s="19" t="n">
        <x:f>IF(AND(B1011="Butterfly",J1011&gt;0,J1011&lt;K1011),L1011/J1011,"n.a.")</x:f>
        <x:v>14.64945226917059</x:v>
      </x:c>
      <x:c r="Q1011" s="11" t="n">
        <x:f>J1011*'Model inputs'!$B$8</x:f>
        <x:v>1916.9999999999986</x:v>
      </x:c>
      <x:c r="R1011" s="1" t="str">
        <x:v>Indicative only</x:v>
      </x:c>
      <x:c r="S1011" s="1" t="n">
        <x:v>356</x:v>
      </x:c>
      <x:c r="T1011" s="1" t="n">
        <x:v>375</x:v>
      </x:c>
    </x:row>
    <x:row r="1012" ht="21" customHeight="1">
      <x:c r="A1012" s="12" t="n">
        <x:v>46266</x:v>
      </x:c>
      <x:c r="B1012" s="1" t="str">
        <x:v>Butterfly</x:v>
      </x:c>
      <x:c r="C1012" s="1" t="str">
        <x:v>put</x:v>
      </x:c>
      <x:c r="D1012" s="11" t="n">
        <x:v>5600</x:v>
      </x:c>
      <x:c r="E1012" s="11" t="n">
        <x:v>5800</x:v>
      </x:c>
      <x:c r="F1012" s="11" t="n">
        <x:v>6000</x:v>
      </x:c>
      <x:c r="G1012" s="11" t="n">
        <x:f>'Option source'!B627</x:f>
        <x:v>20.3</x:v>
      </x:c>
      <x:c r="H1012" s="11" t="n">
        <x:f>'Option source'!B646</x:f>
        <x:v>33.95</x:v>
      </x:c>
      <x:c r="I1012" s="11" t="n">
        <x:f>'Option source'!B665</x:f>
        <x:v>56.43</x:v>
      </x:c>
      <x:c r="J1012" s="11" t="n">
        <x:f>G1012-2*H1012+IF(B1012="Butterfly",I1012,0)</x:f>
        <x:v>8.829999999999991</x:v>
      </x:c>
      <x:c r="K1012" s="11" t="n">
        <x:f>ABS(E1012-D1012)</x:f>
        <x:v>200</x:v>
      </x:c>
      <x:c r="L1012" s="11" t="n">
        <x:f>K1012-J1012</x:f>
        <x:v>191.17000000000002</x:v>
      </x:c>
      <x:c r="M1012" s="11" t="n">
        <x:f>IF(B1012="Butterfly",MAX(J1012,0),IF(C1012="call","Unlimited",MAX(2*E1012-D1012+J1012,J1012,0)))</x:f>
        <x:v>8.829999999999991</x:v>
      </x:c>
      <x:c r="N1012" s="11" t="n">
        <x:f>IF(B1012="Butterfly",IF(AND(J1012&gt;0,J1012&lt;K1012),D1012+J1012,"n.a."),IF(C1012="call",IF(AND(J1012&gt;0,J1012&lt;K1012),D1012+J1012,"n.a."),IF(AND(K1012&gt;J1012,2*E1012-D1012+J1012&gt;=0),2*E1012-D1012+J1012,"n.a.")))</x:f>
        <x:v>5608.83</x:v>
      </x:c>
      <x:c r="O1012" s="11" t="n">
        <x:f>IF(B1012="Butterfly",IF(AND(J1012&gt;0,J1012&lt;K1012),F1012-J1012,"n.a."),IF(C1012="call",IF(K1012&gt;J1012,2*E1012-D1012-J1012,"n.a."),IF(AND(J1012&gt;0,J1012&lt;K1012),D1012-J1012,"n.a.")))</x:f>
        <x:v>5991.17</x:v>
      </x:c>
      <x:c r="P1012" s="19" t="n">
        <x:f>IF(AND(B1012="Butterfly",J1012&gt;0,J1012&lt;K1012),L1012/J1012,"n.a.")</x:f>
        <x:v>21.650056625141588</x:v>
      </x:c>
      <x:c r="Q1012" s="11" t="n">
        <x:f>J1012*'Model inputs'!$B$8</x:f>
        <x:v>882.9999999999991</x:v>
      </x:c>
      <x:c r="R1012" s="1" t="str">
        <x:v>Indicative only</x:v>
      </x:c>
      <x:c r="S1012" s="1" t="n">
        <x:v>622</x:v>
      </x:c>
      <x:c r="T1012" s="1" t="n">
        <x:v>641</x:v>
      </x:c>
    </x:row>
    <x:row r="1013" ht="21" customHeight="1">
      <x:c r="A1013" s="12" t="n">
        <x:v>46266</x:v>
      </x:c>
      <x:c r="B1013" s="1" t="str">
        <x:v>Butterfly</x:v>
      </x:c>
      <x:c r="C1013" s="1" t="str">
        <x:v>put</x:v>
      </x:c>
      <x:c r="D1013" s="11" t="n">
        <x:v>5400</x:v>
      </x:c>
      <x:c r="E1013" s="11" t="n">
        <x:v>5600</x:v>
      </x:c>
      <x:c r="F1013" s="11" t="n">
        <x:v>5800</x:v>
      </x:c>
      <x:c r="G1013" s="11" t="n">
        <x:f>'Option source'!B608</x:f>
        <x:v>11.07</x:v>
      </x:c>
      <x:c r="H1013" s="11" t="n">
        <x:f>'Option source'!B627</x:f>
        <x:v>20.3</x:v>
      </x:c>
      <x:c r="I1013" s="11" t="n">
        <x:f>'Option source'!B646</x:f>
        <x:v>33.95</x:v>
      </x:c>
      <x:c r="J1013" s="11" t="n">
        <x:f>G1013-2*H1013+IF(B1013="Butterfly",I1013,0)</x:f>
        <x:v>4.420000000000002</x:v>
      </x:c>
      <x:c r="K1013" s="11" t="n">
        <x:f>ABS(E1013-D1013)</x:f>
        <x:v>200</x:v>
      </x:c>
      <x:c r="L1013" s="11" t="n">
        <x:f>K1013-J1013</x:f>
        <x:v>195.57999999999998</x:v>
      </x:c>
      <x:c r="M1013" s="11" t="n">
        <x:f>IF(B1013="Butterfly",MAX(J1013,0),IF(C1013="call","Unlimited",MAX(2*E1013-D1013+J1013,J1013,0)))</x:f>
        <x:v>4.420000000000002</x:v>
      </x:c>
      <x:c r="N1013" s="11" t="n">
        <x:f>IF(B1013="Butterfly",IF(AND(J1013&gt;0,J1013&lt;K1013),D1013+J1013,"n.a."),IF(C1013="call",IF(AND(J1013&gt;0,J1013&lt;K1013),D1013+J1013,"n.a."),IF(AND(K1013&gt;J1013,2*E1013-D1013+J1013&gt;=0),2*E1013-D1013+J1013,"n.a.")))</x:f>
        <x:v>5404.42</x:v>
      </x:c>
      <x:c r="O1013" s="11" t="n">
        <x:f>IF(B1013="Butterfly",IF(AND(J1013&gt;0,J1013&lt;K1013),F1013-J1013,"n.a."),IF(C1013="call",IF(K1013&gt;J1013,2*E1013-D1013-J1013,"n.a."),IF(AND(J1013&gt;0,J1013&lt;K1013),D1013-J1013,"n.a.")))</x:f>
        <x:v>5795.58</x:v>
      </x:c>
      <x:c r="P1013" s="19" t="n">
        <x:f>IF(AND(B1013="Butterfly",J1013&gt;0,J1013&lt;K1013),L1013/J1013,"n.a.")</x:f>
        <x:v>44.248868778280524</x:v>
      </x:c>
      <x:c r="Q1013" s="11" t="n">
        <x:f>J1013*'Model inputs'!$B$8</x:f>
        <x:v>442.00000000000017</x:v>
      </x:c>
      <x:c r="R1013" s="1" t="str">
        <x:v>Indicative only</x:v>
      </x:c>
      <x:c r="S1013" s="1" t="n">
        <x:v>603</x:v>
      </x:c>
      <x:c r="T1013" s="1" t="n">
        <x:v>622</x:v>
      </x:c>
    </x:row>
    <x:row r="1014" ht="21" customHeight="1">
      <x:c r="A1014" s="12" t="n">
        <x:v>46266</x:v>
      </x:c>
      <x:c r="B1014" s="1" t="str">
        <x:v>Butterfly</x:v>
      </x:c>
      <x:c r="C1014" s="1" t="str">
        <x:v>call</x:v>
      </x:c>
      <x:c r="D1014" s="11" t="n">
        <x:v>8300</x:v>
      </x:c>
      <x:c r="E1014" s="11" t="n">
        <x:v>8600</x:v>
      </x:c>
      <x:c r="F1014" s="11" t="n">
        <x:v>8900</x:v>
      </x:c>
      <x:c r="G1014" s="11" t="n">
        <x:f>'Option source'!B380</x:f>
        <x:v>117.76</x:v>
      </x:c>
      <x:c r="H1014" s="11" t="n">
        <x:f>'Option source'!B399</x:f>
        <x:v>73.38</x:v>
      </x:c>
      <x:c r="I1014" s="11" t="n">
        <x:f>'Option source'!B418</x:f>
        <x:v>45.91</x:v>
      </x:c>
      <x:c r="J1014" s="11" t="n">
        <x:f>G1014-2*H1014+IF(B1014="Butterfly",I1014,0)</x:f>
        <x:v>16.91000000000001</x:v>
      </x:c>
      <x:c r="K1014" s="11" t="n">
        <x:f>ABS(E1014-D1014)</x:f>
        <x:v>300</x:v>
      </x:c>
      <x:c r="L1014" s="11" t="n">
        <x:f>K1014-J1014</x:f>
        <x:v>283.09</x:v>
      </x:c>
      <x:c r="M1014" s="11" t="n">
        <x:f>IF(B1014="Butterfly",MAX(J1014,0),IF(C1014="call","Unlimited",MAX(2*E1014-D1014+J1014,J1014,0)))</x:f>
        <x:v>16.91000000000001</x:v>
      </x:c>
      <x:c r="N1014" s="11" t="n">
        <x:f>IF(B1014="Butterfly",IF(AND(J1014&gt;0,J1014&lt;K1014),D1014+J1014,"n.a."),IF(C1014="call",IF(AND(J1014&gt;0,J1014&lt;K1014),D1014+J1014,"n.a."),IF(AND(K1014&gt;J1014,2*E1014-D1014+J1014&gt;=0),2*E1014-D1014+J1014,"n.a.")))</x:f>
        <x:v>8316.91</x:v>
      </x:c>
      <x:c r="O1014" s="11" t="n">
        <x:f>IF(B1014="Butterfly",IF(AND(J1014&gt;0,J1014&lt;K1014),F1014-J1014,"n.a."),IF(C1014="call",IF(K1014&gt;J1014,2*E1014-D1014-J1014,"n.a."),IF(AND(J1014&gt;0,J1014&lt;K1014),D1014-J1014,"n.a.")))</x:f>
        <x:v>8883.09</x:v>
      </x:c>
      <x:c r="P1014" s="19" t="n">
        <x:f>IF(AND(B1014="Butterfly",J1014&gt;0,J1014&lt;K1014),L1014/J1014,"n.a.")</x:f>
        <x:v>16.740981667652264</x:v>
      </x:c>
      <x:c r="Q1014" s="11" t="n">
        <x:f>J1014*'Model inputs'!$B$8</x:f>
        <x:v>1691.0000000000011</x:v>
      </x:c>
      <x:c r="R1014" s="1" t="str">
        <x:v>Indicative only</x:v>
      </x:c>
      <x:c r="S1014" s="1" t="n">
        <x:v>375</x:v>
      </x:c>
      <x:c r="T1014" s="1" t="n">
        <x:v>394</x:v>
      </x:c>
    </x:row>
    <x:row r="1015" ht="21" customHeight="1">
      <x:c r="A1015" s="12" t="n">
        <x:v>46266</x:v>
      </x:c>
      <x:c r="B1015" s="1" t="str">
        <x:v>Butterfly</x:v>
      </x:c>
      <x:c r="C1015" s="1" t="str">
        <x:v>put</x:v>
      </x:c>
      <x:c r="D1015" s="11" t="n">
        <x:v>5200</x:v>
      </x:c>
      <x:c r="E1015" s="11" t="n">
        <x:v>5400</x:v>
      </x:c>
      <x:c r="F1015" s="11" t="n">
        <x:v>5600</x:v>
      </x:c>
      <x:c r="G1015" s="11" t="n">
        <x:f>'Option source'!B589</x:f>
        <x:v>6.67</x:v>
      </x:c>
      <x:c r="H1015" s="11" t="n">
        <x:f>'Option source'!B608</x:f>
        <x:v>11.07</x:v>
      </x:c>
      <x:c r="I1015" s="11" t="n">
        <x:f>'Option source'!B627</x:f>
        <x:v>20.3</x:v>
      </x:c>
      <x:c r="J1015" s="11" t="n">
        <x:f>G1015-2*H1015+IF(B1015="Butterfly",I1015,0)</x:f>
        <x:v>4.83</x:v>
      </x:c>
      <x:c r="K1015" s="11" t="n">
        <x:f>ABS(E1015-D1015)</x:f>
        <x:v>200</x:v>
      </x:c>
      <x:c r="L1015" s="11" t="n">
        <x:f>K1015-J1015</x:f>
        <x:v>195.17</x:v>
      </x:c>
      <x:c r="M1015" s="11" t="n">
        <x:f>IF(B1015="Butterfly",MAX(J1015,0),IF(C1015="call","Unlimited",MAX(2*E1015-D1015+J1015,J1015,0)))</x:f>
        <x:v>4.83</x:v>
      </x:c>
      <x:c r="N1015" s="11" t="n">
        <x:f>IF(B1015="Butterfly",IF(AND(J1015&gt;0,J1015&lt;K1015),D1015+J1015,"n.a."),IF(C1015="call",IF(AND(J1015&gt;0,J1015&lt;K1015),D1015+J1015,"n.a."),IF(AND(K1015&gt;J1015,2*E1015-D1015+J1015&gt;=0),2*E1015-D1015+J1015,"n.a.")))</x:f>
        <x:v>5204.83</x:v>
      </x:c>
      <x:c r="O1015" s="11" t="n">
        <x:f>IF(B1015="Butterfly",IF(AND(J1015&gt;0,J1015&lt;K1015),F1015-J1015,"n.a."),IF(C1015="call",IF(K1015&gt;J1015,2*E1015-D1015-J1015,"n.a."),IF(AND(J1015&gt;0,J1015&lt;K1015),D1015-J1015,"n.a.")))</x:f>
        <x:v>5595.17</x:v>
      </x:c>
      <x:c r="P1015" s="19" t="n">
        <x:f>IF(AND(B1015="Butterfly",J1015&gt;0,J1015&lt;K1015),L1015/J1015,"n.a.")</x:f>
        <x:v>40.40786749482401</x:v>
      </x:c>
      <x:c r="Q1015" s="11" t="n">
        <x:f>J1015*'Model inputs'!$B$8</x:f>
        <x:v>483</x:v>
      </x:c>
      <x:c r="R1015" s="1" t="str">
        <x:v>Indicative only</x:v>
      </x:c>
      <x:c r="S1015" s="1" t="n">
        <x:v>584</x:v>
      </x:c>
      <x:c r="T1015" s="1" t="n">
        <x:v>603</x:v>
      </x:c>
    </x:row>
    <x:row r="1016" ht="21" customHeight="1">
      <x:c r="A1016" s="12" t="n">
        <x:v>46266</x:v>
      </x:c>
      <x:c r="B1016" s="1" t="str">
        <x:v>Butterfly</x:v>
      </x:c>
      <x:c r="C1016" s="1" t="str">
        <x:v>call</x:v>
      </x:c>
      <x:c r="D1016" s="11" t="n">
        <x:v>8600</x:v>
      </x:c>
      <x:c r="E1016" s="11" t="n">
        <x:v>8900</x:v>
      </x:c>
      <x:c r="F1016" s="11" t="n">
        <x:v>9200</x:v>
      </x:c>
      <x:c r="G1016" s="11" t="n">
        <x:f>'Option source'!B399</x:f>
        <x:v>73.38</x:v>
      </x:c>
      <x:c r="H1016" s="11" t="n">
        <x:f>'Option source'!B418</x:f>
        <x:v>45.91</x:v>
      </x:c>
      <x:c r="I1016" s="11" t="n">
        <x:f>'Option source'!B437</x:f>
        <x:v>29.8</x:v>
      </x:c>
      <x:c r="J1016" s="11" t="n">
        <x:f>G1016-2*H1016+IF(B1016="Butterfly",I1016,0)</x:f>
        <x:v>11.360000000000003</x:v>
      </x:c>
      <x:c r="K1016" s="11" t="n">
        <x:f>ABS(E1016-D1016)</x:f>
        <x:v>300</x:v>
      </x:c>
      <x:c r="L1016" s="11" t="n">
        <x:f>K1016-J1016</x:f>
        <x:v>288.64</x:v>
      </x:c>
      <x:c r="M1016" s="11" t="n">
        <x:f>IF(B1016="Butterfly",MAX(J1016,0),IF(C1016="call","Unlimited",MAX(2*E1016-D1016+J1016,J1016,0)))</x:f>
        <x:v>11.360000000000003</x:v>
      </x:c>
      <x:c r="N1016" s="11" t="n">
        <x:f>IF(B1016="Butterfly",IF(AND(J1016&gt;0,J1016&lt;K1016),D1016+J1016,"n.a."),IF(C1016="call",IF(AND(J1016&gt;0,J1016&lt;K1016),D1016+J1016,"n.a."),IF(AND(K1016&gt;J1016,2*E1016-D1016+J1016&gt;=0),2*E1016-D1016+J1016,"n.a.")))</x:f>
        <x:v>8611.36</x:v>
      </x:c>
      <x:c r="O1016" s="11" t="n">
        <x:f>IF(B1016="Butterfly",IF(AND(J1016&gt;0,J1016&lt;K1016),F1016-J1016,"n.a."),IF(C1016="call",IF(K1016&gt;J1016,2*E1016-D1016-J1016,"n.a."),IF(AND(J1016&gt;0,J1016&lt;K1016),D1016-J1016,"n.a.")))</x:f>
        <x:v>9188.64</x:v>
      </x:c>
      <x:c r="P1016" s="19" t="n">
        <x:f>IF(AND(B1016="Butterfly",J1016&gt;0,J1016&lt;K1016),L1016/J1016,"n.a.")</x:f>
        <x:v>25.408450704225345</x:v>
      </x:c>
      <x:c r="Q1016" s="11" t="n">
        <x:f>J1016*'Model inputs'!$B$8</x:f>
        <x:v>1136.0000000000002</x:v>
      </x:c>
      <x:c r="R1016" s="1" t="str">
        <x:v>Indicative only</x:v>
      </x:c>
      <x:c r="S1016" s="1" t="n">
        <x:v>394</x:v>
      </x:c>
      <x:c r="T1016" s="1" t="n">
        <x:v>413</x:v>
      </x:c>
    </x:row>
    <x:row r="1017" ht="21" customHeight="1">
      <x:c r="A1017" s="12" t="n">
        <x:v>46266</x:v>
      </x:c>
      <x:c r="B1017" s="1" t="str">
        <x:v>Butterfly</x:v>
      </x:c>
      <x:c r="C1017" s="1" t="str">
        <x:v>put</x:v>
      </x:c>
      <x:c r="D1017" s="11" t="n">
        <x:v>5000</x:v>
      </x:c>
      <x:c r="E1017" s="11" t="n">
        <x:v>5200</x:v>
      </x:c>
      <x:c r="F1017" s="11" t="n">
        <x:v>5400</x:v>
      </x:c>
      <x:c r="G1017" s="11" t="n">
        <x:f>'Option source'!B570</x:f>
        <x:v>3.51</x:v>
      </x:c>
      <x:c r="H1017" s="11" t="n">
        <x:f>'Option source'!B589</x:f>
        <x:v>6.67</x:v>
      </x:c>
      <x:c r="I1017" s="11" t="n">
        <x:f>'Option source'!B608</x:f>
        <x:v>11.07</x:v>
      </x:c>
      <x:c r="J1017" s="11" t="n">
        <x:f>G1017-2*H1017+IF(B1017="Butterfly",I1017,0)</x:f>
        <x:v>1.2400000000000002</x:v>
      </x:c>
      <x:c r="K1017" s="11" t="n">
        <x:f>ABS(E1017-D1017)</x:f>
        <x:v>200</x:v>
      </x:c>
      <x:c r="L1017" s="11" t="n">
        <x:f>K1017-J1017</x:f>
        <x:v>198.76</x:v>
      </x:c>
      <x:c r="M1017" s="11" t="n">
        <x:f>IF(B1017="Butterfly",MAX(J1017,0),IF(C1017="call","Unlimited",MAX(2*E1017-D1017+J1017,J1017,0)))</x:f>
        <x:v>1.2400000000000002</x:v>
      </x:c>
      <x:c r="N1017" s="11" t="n">
        <x:f>IF(B1017="Butterfly",IF(AND(J1017&gt;0,J1017&lt;K1017),D1017+J1017,"n.a."),IF(C1017="call",IF(AND(J1017&gt;0,J1017&lt;K1017),D1017+J1017,"n.a."),IF(AND(K1017&gt;J1017,2*E1017-D1017+J1017&gt;=0),2*E1017-D1017+J1017,"n.a.")))</x:f>
        <x:v>5001.24</x:v>
      </x:c>
      <x:c r="O1017" s="11" t="n">
        <x:f>IF(B1017="Butterfly",IF(AND(J1017&gt;0,J1017&lt;K1017),F1017-J1017,"n.a."),IF(C1017="call",IF(K1017&gt;J1017,2*E1017-D1017-J1017,"n.a."),IF(AND(J1017&gt;0,J1017&lt;K1017),D1017-J1017,"n.a.")))</x:f>
        <x:v>5398.76</x:v>
      </x:c>
      <x:c r="P1017" s="19" t="n">
        <x:f>IF(AND(B1017="Butterfly",J1017&gt;0,J1017&lt;K1017),L1017/J1017,"n.a.")</x:f>
        <x:v>160.29032258064512</x:v>
      </x:c>
      <x:c r="Q1017" s="11" t="n">
        <x:f>J1017*'Model inputs'!$B$8</x:f>
        <x:v>124.00000000000003</x:v>
      </x:c>
      <x:c r="R1017" s="1" t="str">
        <x:v>Indicative only</x:v>
      </x:c>
      <x:c r="S1017" s="1" t="n">
        <x:v>565</x:v>
      </x:c>
      <x:c r="T1017" s="1" t="n">
        <x:v>584</x:v>
      </x:c>
    </x:row>
    <x:row r="1018" ht="21" customHeight="1">
      <x:c r="A1018" s="12" t="n">
        <x:v>46266</x:v>
      </x:c>
      <x:c r="B1018" s="1" t="str">
        <x:v>Butterfly</x:v>
      </x:c>
      <x:c r="C1018" s="1" t="str">
        <x:v>put</x:v>
      </x:c>
      <x:c r="D1018" s="11" t="n">
        <x:v>4800</x:v>
      </x:c>
      <x:c r="E1018" s="11" t="n">
        <x:v>5000</x:v>
      </x:c>
      <x:c r="F1018" s="11" t="n">
        <x:v>5200</x:v>
      </x:c>
      <x:c r="G1018" s="11" t="n">
        <x:f>'Option source'!B551</x:f>
        <x:v>2.89</x:v>
      </x:c>
      <x:c r="H1018" s="11" t="n">
        <x:f>'Option source'!B570</x:f>
        <x:v>3.51</x:v>
      </x:c>
      <x:c r="I1018" s="11" t="n">
        <x:f>'Option source'!B589</x:f>
        <x:v>6.67</x:v>
      </x:c>
      <x:c r="J1018" s="11" t="n">
        <x:f>G1018-2*H1018+IF(B1018="Butterfly",I1018,0)</x:f>
        <x:v>2.540000000000001</x:v>
      </x:c>
      <x:c r="K1018" s="11" t="n">
        <x:f>ABS(E1018-D1018)</x:f>
        <x:v>200</x:v>
      </x:c>
      <x:c r="L1018" s="11" t="n">
        <x:f>K1018-J1018</x:f>
        <x:v>197.46</x:v>
      </x:c>
      <x:c r="M1018" s="11" t="n">
        <x:f>IF(B1018="Butterfly",MAX(J1018,0),IF(C1018="call","Unlimited",MAX(2*E1018-D1018+J1018,J1018,0)))</x:f>
        <x:v>2.540000000000001</x:v>
      </x:c>
      <x:c r="N1018" s="11" t="n">
        <x:f>IF(B1018="Butterfly",IF(AND(J1018&gt;0,J1018&lt;K1018),D1018+J1018,"n.a."),IF(C1018="call",IF(AND(J1018&gt;0,J1018&lt;K1018),D1018+J1018,"n.a."),IF(AND(K1018&gt;J1018,2*E1018-D1018+J1018&gt;=0),2*E1018-D1018+J1018,"n.a.")))</x:f>
        <x:v>4802.54</x:v>
      </x:c>
      <x:c r="O1018" s="11" t="n">
        <x:f>IF(B1018="Butterfly",IF(AND(J1018&gt;0,J1018&lt;K1018),F1018-J1018,"n.a."),IF(C1018="call",IF(K1018&gt;J1018,2*E1018-D1018-J1018,"n.a."),IF(AND(J1018&gt;0,J1018&lt;K1018),D1018-J1018,"n.a.")))</x:f>
        <x:v>5197.46</x:v>
      </x:c>
      <x:c r="P1018" s="19" t="n">
        <x:f>IF(AND(B1018="Butterfly",J1018&gt;0,J1018&lt;K1018),L1018/J1018,"n.a.")</x:f>
        <x:v>77.74015748031493</x:v>
      </x:c>
      <x:c r="Q1018" s="11" t="n">
        <x:f>J1018*'Model inputs'!$B$8</x:f>
        <x:v>254.00000000000009</x:v>
      </x:c>
      <x:c r="R1018" s="1" t="str">
        <x:v>Indicative only</x:v>
      </x:c>
      <x:c r="S1018" s="1" t="n">
        <x:v>546</x:v>
      </x:c>
      <x:c r="T1018" s="1" t="n">
        <x:v>565</x:v>
      </x:c>
    </x:row>
    <x:row r="1019" ht="21" customHeight="1">
      <x:c r="A1019" s="12" t="n">
        <x:v>46266</x:v>
      </x:c>
      <x:c r="B1019" s="1" t="str">
        <x:v>Butterfly</x:v>
      </x:c>
      <x:c r="C1019" s="1" t="str">
        <x:v>call</x:v>
      </x:c>
      <x:c r="D1019" s="11" t="n">
        <x:v>8900</x:v>
      </x:c>
      <x:c r="E1019" s="11" t="n">
        <x:v>9200</x:v>
      </x:c>
      <x:c r="F1019" s="11" t="n">
        <x:v>9500</x:v>
      </x:c>
      <x:c r="G1019" s="11" t="n">
        <x:f>'Option source'!B418</x:f>
        <x:v>45.91</x:v>
      </x:c>
      <x:c r="H1019" s="11" t="n">
        <x:f>'Option source'!B437</x:f>
        <x:v>29.8</x:v>
      </x:c>
      <x:c r="I1019" s="11" t="n">
        <x:f>'Option source'!B456</x:f>
        <x:v>19.03</x:v>
      </x:c>
      <x:c r="J1019" s="11" t="n">
        <x:f>G1019-2*H1019+IF(B1019="Butterfly",I1019,0)</x:f>
        <x:v>5.339999999999996</x:v>
      </x:c>
      <x:c r="K1019" s="11" t="n">
        <x:f>ABS(E1019-D1019)</x:f>
        <x:v>300</x:v>
      </x:c>
      <x:c r="L1019" s="11" t="n">
        <x:f>K1019-J1019</x:f>
        <x:v>294.66</x:v>
      </x:c>
      <x:c r="M1019" s="11" t="n">
        <x:f>IF(B1019="Butterfly",MAX(J1019,0),IF(C1019="call","Unlimited",MAX(2*E1019-D1019+J1019,J1019,0)))</x:f>
        <x:v>5.339999999999996</x:v>
      </x:c>
      <x:c r="N1019" s="11" t="n">
        <x:f>IF(B1019="Butterfly",IF(AND(J1019&gt;0,J1019&lt;K1019),D1019+J1019,"n.a."),IF(C1019="call",IF(AND(J1019&gt;0,J1019&lt;K1019),D1019+J1019,"n.a."),IF(AND(K1019&gt;J1019,2*E1019-D1019+J1019&gt;=0),2*E1019-D1019+J1019,"n.a.")))</x:f>
        <x:v>8905.34</x:v>
      </x:c>
      <x:c r="O1019" s="11" t="n">
        <x:f>IF(B1019="Butterfly",IF(AND(J1019&gt;0,J1019&lt;K1019),F1019-J1019,"n.a."),IF(C1019="call",IF(K1019&gt;J1019,2*E1019-D1019-J1019,"n.a."),IF(AND(J1019&gt;0,J1019&lt;K1019),D1019-J1019,"n.a.")))</x:f>
        <x:v>9494.66</x:v>
      </x:c>
      <x:c r="P1019" s="19" t="n">
        <x:f>IF(AND(B1019="Butterfly",J1019&gt;0,J1019&lt;K1019),L1019/J1019,"n.a.")</x:f>
        <x:v>55.179775280898916</x:v>
      </x:c>
      <x:c r="Q1019" s="11" t="n">
        <x:f>J1019*'Model inputs'!$B$8</x:f>
        <x:v>533.9999999999997</x:v>
      </x:c>
      <x:c r="R1019" s="1" t="str">
        <x:v>Indicative only</x:v>
      </x:c>
      <x:c r="S1019" s="1" t="n">
        <x:v>413</x:v>
      </x:c>
      <x:c r="T1019" s="1" t="n">
        <x:v>432</x:v>
      </x:c>
    </x:row>
    <x:row r="1020" ht="21" customHeight="1">
      <x:c r="A1020" s="12" t="n">
        <x:v>46266</x:v>
      </x:c>
      <x:c r="B1020" s="1" t="str">
        <x:v>Butterfly</x:v>
      </x:c>
      <x:c r="C1020" s="1" t="str">
        <x:v>put</x:v>
      </x:c>
      <x:c r="D1020" s="11" t="n">
        <x:v>4400</x:v>
      </x:c>
      <x:c r="E1020" s="11" t="n">
        <x:v>4600</x:v>
      </x:c>
      <x:c r="F1020" s="11" t="n">
        <x:v>4800</x:v>
      </x:c>
      <x:c r="G1020" s="11" t="n">
        <x:f>'Option source'!B513</x:f>
        <x:v>1.22</x:v>
      </x:c>
      <x:c r="H1020" s="11" t="n">
        <x:f>'Option source'!B532</x:f>
        <x:v>1.53</x:v>
      </x:c>
      <x:c r="I1020" s="11" t="n">
        <x:f>'Option source'!B551</x:f>
        <x:v>2.89</x:v>
      </x:c>
      <x:c r="J1020" s="11" t="n">
        <x:f>G1020-2*H1020+IF(B1020="Butterfly",I1020,0)</x:f>
        <x:v>1.05</x:v>
      </x:c>
      <x:c r="K1020" s="11" t="n">
        <x:f>ABS(E1020-D1020)</x:f>
        <x:v>200</x:v>
      </x:c>
      <x:c r="L1020" s="11" t="n">
        <x:f>K1020-J1020</x:f>
        <x:v>198.95</x:v>
      </x:c>
      <x:c r="M1020" s="11" t="n">
        <x:f>IF(B1020="Butterfly",MAX(J1020,0),IF(C1020="call","Unlimited",MAX(2*E1020-D1020+J1020,J1020,0)))</x:f>
        <x:v>1.05</x:v>
      </x:c>
      <x:c r="N1020" s="11" t="n">
        <x:f>IF(B1020="Butterfly",IF(AND(J1020&gt;0,J1020&lt;K1020),D1020+J1020,"n.a."),IF(C1020="call",IF(AND(J1020&gt;0,J1020&lt;K1020),D1020+J1020,"n.a."),IF(AND(K1020&gt;J1020,2*E1020-D1020+J1020&gt;=0),2*E1020-D1020+J1020,"n.a.")))</x:f>
        <x:v>4401.05</x:v>
      </x:c>
      <x:c r="O1020" s="11" t="n">
        <x:f>IF(B1020="Butterfly",IF(AND(J1020&gt;0,J1020&lt;K1020),F1020-J1020,"n.a."),IF(C1020="call",IF(K1020&gt;J1020,2*E1020-D1020-J1020,"n.a."),IF(AND(J1020&gt;0,J1020&lt;K1020),D1020-J1020,"n.a.")))</x:f>
        <x:v>4798.95</x:v>
      </x:c>
      <x:c r="P1020" s="19" t="n">
        <x:f>IF(AND(B1020="Butterfly",J1020&gt;0,J1020&lt;K1020),L1020/J1020,"n.a.")</x:f>
        <x:v>189.47619047619045</x:v>
      </x:c>
      <x:c r="Q1020" s="11" t="n">
        <x:f>J1020*'Model inputs'!$B$8</x:f>
        <x:v>105</x:v>
      </x:c>
      <x:c r="R1020" s="1" t="str">
        <x:v>Indicative only</x:v>
      </x:c>
      <x:c r="S1020" s="1" t="n">
        <x:v>508</x:v>
      </x:c>
      <x:c r="T1020" s="1" t="n">
        <x:v>527</x:v>
      </x:c>
    </x:row>
    <x:row r="1021" ht="21" customHeight="1">
      <x:c r="A1021" s="12" t="n">
        <x:v>46266</x:v>
      </x:c>
      <x:c r="B1021" s="1" t="str">
        <x:v>Butterfly</x:v>
      </x:c>
      <x:c r="C1021" s="1" t="str">
        <x:v>put</x:v>
      </x:c>
      <x:c r="D1021" s="11" t="n">
        <x:v>4200</x:v>
      </x:c>
      <x:c r="E1021" s="11" t="n">
        <x:v>4400</x:v>
      </x:c>
      <x:c r="F1021" s="11" t="n">
        <x:v>4600</x:v>
      </x:c>
      <x:c r="G1021" s="11" t="n">
        <x:f>'Option source'!B494</x:f>
        <x:v>0.97</x:v>
      </x:c>
      <x:c r="H1021" s="11" t="n">
        <x:f>'Option source'!B513</x:f>
        <x:v>1.22</x:v>
      </x:c>
      <x:c r="I1021" s="11" t="n">
        <x:f>'Option source'!B532</x:f>
        <x:v>1.53</x:v>
      </x:c>
      <x:c r="J1021" s="11" t="n">
        <x:f>G1021-2*H1021+IF(B1021="Butterfly",I1021,0)</x:f>
        <x:v>0.06000000000000005</x:v>
      </x:c>
      <x:c r="K1021" s="11" t="n">
        <x:f>ABS(E1021-D1021)</x:f>
        <x:v>200</x:v>
      </x:c>
      <x:c r="L1021" s="11" t="n">
        <x:f>K1021-J1021</x:f>
        <x:v>199.94</x:v>
      </x:c>
      <x:c r="M1021" s="11" t="n">
        <x:f>IF(B1021="Butterfly",MAX(J1021,0),IF(C1021="call","Unlimited",MAX(2*E1021-D1021+J1021,J1021,0)))</x:f>
        <x:v>0.06000000000000005</x:v>
      </x:c>
      <x:c r="N1021" s="11" t="n">
        <x:f>IF(B1021="Butterfly",IF(AND(J1021&gt;0,J1021&lt;K1021),D1021+J1021,"n.a."),IF(C1021="call",IF(AND(J1021&gt;0,J1021&lt;K1021),D1021+J1021,"n.a."),IF(AND(K1021&gt;J1021,2*E1021-D1021+J1021&gt;=0),2*E1021-D1021+J1021,"n.a.")))</x:f>
        <x:v>4200.06</x:v>
      </x:c>
      <x:c r="O1021" s="11" t="n">
        <x:f>IF(B1021="Butterfly",IF(AND(J1021&gt;0,J1021&lt;K1021),F1021-J1021,"n.a."),IF(C1021="call",IF(K1021&gt;J1021,2*E1021-D1021-J1021,"n.a."),IF(AND(J1021&gt;0,J1021&lt;K1021),D1021-J1021,"n.a.")))</x:f>
        <x:v>4599.94</x:v>
      </x:c>
      <x:c r="P1021" s="19" t="n">
        <x:f>IF(AND(B1021="Butterfly",J1021&gt;0,J1021&lt;K1021),L1021/J1021,"n.a.")</x:f>
        <x:v>3332.3333333333303</x:v>
      </x:c>
      <x:c r="Q1021" s="11" t="n">
        <x:f>J1021*'Model inputs'!$B$8</x:f>
        <x:v>6.000000000000005</x:v>
      </x:c>
      <x:c r="R1021" s="1" t="str">
        <x:v>Indicative only</x:v>
      </x:c>
      <x:c r="S1021" s="1" t="n">
        <x:v>489</x:v>
      </x:c>
      <x:c r="T1021" s="1" t="n">
        <x:v>508</x:v>
      </x:c>
    </x:row>
    <x:row r="1022" ht="21" customHeight="1">
      <x:c r="A1022" s="12" t="n">
        <x:v>46266</x:v>
      </x:c>
      <x:c r="B1022" s="1" t="str">
        <x:v>Butterfly</x:v>
      </x:c>
      <x:c r="C1022" s="1" t="str">
        <x:v>call</x:v>
      </x:c>
      <x:c r="D1022" s="11" t="n">
        <x:v>6600</x:v>
      </x:c>
      <x:c r="E1022" s="11" t="n">
        <x:v>6800</x:v>
      </x:c>
      <x:c r="F1022" s="11" t="n">
        <x:v>7000</x:v>
      </x:c>
      <x:c r="G1022" s="11" t="n">
        <x:f>'Option source'!B228</x:f>
        <x:v>808.51</x:v>
      </x:c>
      <x:c r="H1022" s="11" t="n">
        <x:f>'Option source'!B247</x:f>
        <x:v>688.81</x:v>
      </x:c>
      <x:c r="I1022" s="11" t="n">
        <x:f>'Option source'!B266</x:f>
        <x:v>562.73</x:v>
      </x:c>
      <x:c r="J1022" s="11" t="n">
        <x:f>G1022-2*H1022+IF(B1022="Butterfly",I1022,0)</x:f>
        <x:v>-6.379999999999882</x:v>
      </x:c>
      <x:c r="K1022" s="11" t="n">
        <x:f>ABS(E1022-D1022)</x:f>
        <x:v>200</x:v>
      </x:c>
      <x:c r="L1022" s="11" t="n">
        <x:f>K1022-J1022</x:f>
        <x:v>206.37999999999988</x:v>
      </x:c>
      <x:c r="M1022" s="11" t="n">
        <x:f>IF(B1022="Butterfly",MAX(J1022,0),IF(C1022="call","Unlimited",MAX(2*E1022-D1022+J1022,J1022,0)))</x:f>
        <x:v>0</x:v>
      </x:c>
      <x:c r="N1022" s="11" t="str">
        <x:f>IF(B1022="Butterfly",IF(AND(J1022&gt;0,J1022&lt;K1022),D1022+J1022,"n.a."),IF(C1022="call",IF(AND(J1022&gt;0,J1022&lt;K1022),D1022+J1022,"n.a."),IF(AND(K1022&gt;J1022,2*E1022-D1022+J1022&gt;=0),2*E1022-D1022+J1022,"n.a.")))</x:f>
        <x:v>n.a.</x:v>
      </x:c>
      <x:c r="O1022" s="11" t="str">
        <x:f>IF(B1022="Butterfly",IF(AND(J1022&gt;0,J1022&lt;K1022),F1022-J1022,"n.a."),IF(C1022="call",IF(K1022&gt;J1022,2*E1022-D1022-J1022,"n.a."),IF(AND(J1022&gt;0,J1022&lt;K1022),D1022-J1022,"n.a.")))</x:f>
        <x:v>n.a.</x:v>
      </x:c>
      <x:c r="P1022" s="19" t="str">
        <x:f>IF(AND(B1022="Butterfly",J1022&gt;0,J1022&lt;K1022),L1022/J1022,"n.a.")</x:f>
        <x:v>n.a.</x:v>
      </x:c>
      <x:c r="Q1022" s="11" t="n">
        <x:f>J1022*'Model inputs'!$B$8</x:f>
        <x:v>-637.9999999999882</x:v>
      </x:c>
      <x:c r="R1022" s="1" t="str">
        <x:v>Outside standard debit bounds</x:v>
      </x:c>
      <x:c r="S1022" s="1" t="n">
        <x:v>223</x:v>
      </x:c>
      <x:c r="T1022" s="1" t="n">
        <x:v>242</x:v>
      </x:c>
    </x:row>
    <x:row r="1023" ht="21" customHeight="1">
      <x:c r="A1023" s="12" t="n">
        <x:v>46266</x:v>
      </x:c>
      <x:c r="B1023" s="1" t="str">
        <x:v>Butterfly</x:v>
      </x:c>
      <x:c r="C1023" s="1" t="str">
        <x:v>call</x:v>
      </x:c>
      <x:c r="D1023" s="11" t="n">
        <x:v>6400</x:v>
      </x:c>
      <x:c r="E1023" s="11" t="n">
        <x:v>6600</x:v>
      </x:c>
      <x:c r="F1023" s="11" t="n">
        <x:v>6800</x:v>
      </x:c>
      <x:c r="G1023" s="11" t="n">
        <x:f>'Option source'!B209</x:f>
        <x:v>909.97</x:v>
      </x:c>
      <x:c r="H1023" s="11" t="n">
        <x:f>'Option source'!B228</x:f>
        <x:v>808.51</x:v>
      </x:c>
      <x:c r="I1023" s="11" t="n">
        <x:f>'Option source'!B247</x:f>
        <x:v>688.81</x:v>
      </x:c>
      <x:c r="J1023" s="11" t="n">
        <x:f>G1023-2*H1023+IF(B1023="Butterfly",I1023,0)</x:f>
        <x:v>-18.24000000000001</x:v>
      </x:c>
      <x:c r="K1023" s="11" t="n">
        <x:f>ABS(E1023-D1023)</x:f>
        <x:v>200</x:v>
      </x:c>
      <x:c r="L1023" s="11" t="n">
        <x:f>K1023-J1023</x:f>
        <x:v>218.24</x:v>
      </x:c>
      <x:c r="M1023" s="11" t="n">
        <x:f>IF(B1023="Butterfly",MAX(J1023,0),IF(C1023="call","Unlimited",MAX(2*E1023-D1023+J1023,J1023,0)))</x:f>
        <x:v>0</x:v>
      </x:c>
      <x:c r="N1023" s="11" t="str">
        <x:f>IF(B1023="Butterfly",IF(AND(J1023&gt;0,J1023&lt;K1023),D1023+J1023,"n.a."),IF(C1023="call",IF(AND(J1023&gt;0,J1023&lt;K1023),D1023+J1023,"n.a."),IF(AND(K1023&gt;J1023,2*E1023-D1023+J1023&gt;=0),2*E1023-D1023+J1023,"n.a.")))</x:f>
        <x:v>n.a.</x:v>
      </x:c>
      <x:c r="O1023" s="11" t="str">
        <x:f>IF(B1023="Butterfly",IF(AND(J1023&gt;0,J1023&lt;K1023),F1023-J1023,"n.a."),IF(C1023="call",IF(K1023&gt;J1023,2*E1023-D1023-J1023,"n.a."),IF(AND(J1023&gt;0,J1023&lt;K1023),D1023-J1023,"n.a.")))</x:f>
        <x:v>n.a.</x:v>
      </x:c>
      <x:c r="P1023" s="19" t="str">
        <x:f>IF(AND(B1023="Butterfly",J1023&gt;0,J1023&lt;K1023),L1023/J1023,"n.a.")</x:f>
        <x:v>n.a.</x:v>
      </x:c>
      <x:c r="Q1023" s="11" t="n">
        <x:f>J1023*'Model inputs'!$B$8</x:f>
        <x:v>-1824.000000000001</x:v>
      </x:c>
      <x:c r="R1023" s="1" t="str">
        <x:v>Outside standard debit bounds</x:v>
      </x:c>
      <x:c r="S1023" s="1" t="n">
        <x:v>204</x:v>
      </x:c>
      <x:c r="T1023" s="1" t="n">
        <x:v>223</x:v>
      </x:c>
    </x:row>
    <x:row r="1024" ht="21" customHeight="1">
      <x:c r="A1024" s="12" t="n">
        <x:v>46266</x:v>
      </x:c>
      <x:c r="B1024" s="1" t="str">
        <x:v>Butterfly</x:v>
      </x:c>
      <x:c r="C1024" s="1" t="str">
        <x:v>call</x:v>
      </x:c>
      <x:c r="D1024" s="11" t="n">
        <x:v>6200</x:v>
      </x:c>
      <x:c r="E1024" s="11" t="n">
        <x:v>6400</x:v>
      </x:c>
      <x:c r="F1024" s="11" t="n">
        <x:v>6600</x:v>
      </x:c>
      <x:c r="G1024" s="11" t="n">
        <x:f>'Option source'!B190</x:f>
        <x:v>1069</x:v>
      </x:c>
      <x:c r="H1024" s="11" t="n">
        <x:f>'Option source'!B209</x:f>
        <x:v>909.97</x:v>
      </x:c>
      <x:c r="I1024" s="11" t="n">
        <x:f>'Option source'!B228</x:f>
        <x:v>808.51</x:v>
      </x:c>
      <x:c r="J1024" s="11" t="n">
        <x:f>G1024-2*H1024+IF(B1024="Butterfly",I1024,0)</x:f>
        <x:v>57.569999999999936</x:v>
      </x:c>
      <x:c r="K1024" s="11" t="n">
        <x:f>ABS(E1024-D1024)</x:f>
        <x:v>200</x:v>
      </x:c>
      <x:c r="L1024" s="11" t="n">
        <x:f>K1024-J1024</x:f>
        <x:v>142.43000000000006</x:v>
      </x:c>
      <x:c r="M1024" s="11" t="n">
        <x:f>IF(B1024="Butterfly",MAX(J1024,0),IF(C1024="call","Unlimited",MAX(2*E1024-D1024+J1024,J1024,0)))</x:f>
        <x:v>57.569999999999936</x:v>
      </x:c>
      <x:c r="N1024" s="11" t="n">
        <x:f>IF(B1024="Butterfly",IF(AND(J1024&gt;0,J1024&lt;K1024),D1024+J1024,"n.a."),IF(C1024="call",IF(AND(J1024&gt;0,J1024&lt;K1024),D1024+J1024,"n.a."),IF(AND(K1024&gt;J1024,2*E1024-D1024+J1024&gt;=0),2*E1024-D1024+J1024,"n.a.")))</x:f>
        <x:v>6257.57</x:v>
      </x:c>
      <x:c r="O1024" s="11" t="n">
        <x:f>IF(B1024="Butterfly",IF(AND(J1024&gt;0,J1024&lt;K1024),F1024-J1024,"n.a."),IF(C1024="call",IF(K1024&gt;J1024,2*E1024-D1024-J1024,"n.a."),IF(AND(J1024&gt;0,J1024&lt;K1024),D1024-J1024,"n.a.")))</x:f>
        <x:v>6542.43</x:v>
      </x:c>
      <x:c r="P1024" s="19" t="n">
        <x:f>IF(AND(B1024="Butterfly",J1024&gt;0,J1024&lt;K1024),L1024/J1024,"n.a.")</x:f>
        <x:v>2.4740316136876883</x:v>
      </x:c>
      <x:c r="Q1024" s="11" t="n">
        <x:f>J1024*'Model inputs'!$B$8</x:f>
        <x:v>5756.999999999994</x:v>
      </x:c>
      <x:c r="R1024" s="1" t="str">
        <x:v>Flagged leg data</x:v>
      </x:c>
      <x:c r="S1024" s="1" t="n">
        <x:v>185</x:v>
      </x:c>
      <x:c r="T1024" s="1" t="n">
        <x:v>204</x:v>
      </x:c>
    </x:row>
    <x:row r="1025" ht="21" customHeight="1">
      <x:c r="A1025" s="12" t="n">
        <x:v>46266</x:v>
      </x:c>
      <x:c r="B1025" s="1" t="str">
        <x:v>Butterfly</x:v>
      </x:c>
      <x:c r="C1025" s="1" t="str">
        <x:v>call</x:v>
      </x:c>
      <x:c r="D1025" s="11" t="n">
        <x:v>6000</x:v>
      </x:c>
      <x:c r="E1025" s="11" t="n">
        <x:v>6200</x:v>
      </x:c>
      <x:c r="F1025" s="11" t="n">
        <x:v>6400</x:v>
      </x:c>
      <x:c r="G1025" s="11" t="n">
        <x:f>'Option source'!B171</x:f>
        <x:v>1200</x:v>
      </x:c>
      <x:c r="H1025" s="11" t="n">
        <x:f>'Option source'!B190</x:f>
        <x:v>1069</x:v>
      </x:c>
      <x:c r="I1025" s="11" t="n">
        <x:f>'Option source'!B209</x:f>
        <x:v>909.97</x:v>
      </x:c>
      <x:c r="J1025" s="11" t="n">
        <x:f>G1025-2*H1025+IF(B1025="Butterfly",I1025,0)</x:f>
        <x:v>-28.029999999999973</x:v>
      </x:c>
      <x:c r="K1025" s="11" t="n">
        <x:f>ABS(E1025-D1025)</x:f>
        <x:v>200</x:v>
      </x:c>
      <x:c r="L1025" s="11" t="n">
        <x:f>K1025-J1025</x:f>
        <x:v>228.02999999999997</x:v>
      </x:c>
      <x:c r="M1025" s="11" t="n">
        <x:f>IF(B1025="Butterfly",MAX(J1025,0),IF(C1025="call","Unlimited",MAX(2*E1025-D1025+J1025,J1025,0)))</x:f>
        <x:v>0</x:v>
      </x:c>
      <x:c r="N1025" s="11" t="str">
        <x:f>IF(B1025="Butterfly",IF(AND(J1025&gt;0,J1025&lt;K1025),D1025+J1025,"n.a."),IF(C1025="call",IF(AND(J1025&gt;0,J1025&lt;K1025),D1025+J1025,"n.a."),IF(AND(K1025&gt;J1025,2*E1025-D1025+J1025&gt;=0),2*E1025-D1025+J1025,"n.a.")))</x:f>
        <x:v>n.a.</x:v>
      </x:c>
      <x:c r="O1025" s="11" t="str">
        <x:f>IF(B1025="Butterfly",IF(AND(J1025&gt;0,J1025&lt;K1025),F1025-J1025,"n.a."),IF(C1025="call",IF(K1025&gt;J1025,2*E1025-D1025-J1025,"n.a."),IF(AND(J1025&gt;0,J1025&lt;K1025),D1025-J1025,"n.a.")))</x:f>
        <x:v>n.a.</x:v>
      </x:c>
      <x:c r="P1025" s="19" t="str">
        <x:f>IF(AND(B1025="Butterfly",J1025&gt;0,J1025&lt;K1025),L1025/J1025,"n.a.")</x:f>
        <x:v>n.a.</x:v>
      </x:c>
      <x:c r="Q1025" s="11" t="n">
        <x:f>J1025*'Model inputs'!$B$8</x:f>
        <x:v>-2802.9999999999973</x:v>
      </x:c>
      <x:c r="R1025" s="1" t="str">
        <x:v>Outside standard debit bounds</x:v>
      </x:c>
      <x:c r="S1025" s="1" t="n">
        <x:v>166</x:v>
      </x:c>
      <x:c r="T1025" s="1" t="n">
        <x:v>185</x:v>
      </x:c>
    </x:row>
    <x:row r="1026" ht="21" customHeight="1">
      <x:c r="A1026" s="12" t="n">
        <x:v>46266</x:v>
      </x:c>
      <x:c r="B1026" s="1" t="str">
        <x:v>Butterfly</x:v>
      </x:c>
      <x:c r="C1026" s="1" t="str">
        <x:v>put</x:v>
      </x:c>
      <x:c r="D1026" s="11" t="n">
        <x:v>8000</x:v>
      </x:c>
      <x:c r="E1026" s="11" t="n">
        <x:v>8300</x:v>
      </x:c>
      <x:c r="F1026" s="11" t="n">
        <x:v>8600</x:v>
      </x:c>
      <x:c r="G1026" s="11" t="n">
        <x:f>'Option source'!B855</x:f>
        <x:v>960</x:v>
      </x:c>
      <x:c r="H1026" s="11" t="n">
        <x:f>'Option source'!B874</x:f>
        <x:v>1260</x:v>
      </x:c>
      <x:c r="I1026" s="11" t="n">
        <x:f>'Option source'!B893</x:f>
        <x:v>1650</x:v>
      </x:c>
      <x:c r="J1026" s="11" t="n">
        <x:f>G1026-2*H1026+IF(B1026="Butterfly",I1026,0)</x:f>
        <x:v>90</x:v>
      </x:c>
      <x:c r="K1026" s="11" t="n">
        <x:f>ABS(E1026-D1026)</x:f>
        <x:v>300</x:v>
      </x:c>
      <x:c r="L1026" s="11" t="n">
        <x:f>K1026-J1026</x:f>
        <x:v>210</x:v>
      </x:c>
      <x:c r="M1026" s="11" t="n">
        <x:f>IF(B1026="Butterfly",MAX(J1026,0),IF(C1026="call","Unlimited",MAX(2*E1026-D1026+J1026,J1026,0)))</x:f>
        <x:v>90</x:v>
      </x:c>
      <x:c r="N1026" s="11" t="n">
        <x:f>IF(B1026="Butterfly",IF(AND(J1026&gt;0,J1026&lt;K1026),D1026+J1026,"n.a."),IF(C1026="call",IF(AND(J1026&gt;0,J1026&lt;K1026),D1026+J1026,"n.a."),IF(AND(K1026&gt;J1026,2*E1026-D1026+J1026&gt;=0),2*E1026-D1026+J1026,"n.a.")))</x:f>
        <x:v>8090</x:v>
      </x:c>
      <x:c r="O1026" s="11" t="n">
        <x:f>IF(B1026="Butterfly",IF(AND(J1026&gt;0,J1026&lt;K1026),F1026-J1026,"n.a."),IF(C1026="call",IF(K1026&gt;J1026,2*E1026-D1026-J1026,"n.a."),IF(AND(J1026&gt;0,J1026&lt;K1026),D1026-J1026,"n.a.")))</x:f>
        <x:v>8510</x:v>
      </x:c>
      <x:c r="P1026" s="19" t="n">
        <x:f>IF(AND(B1026="Butterfly",J1026&gt;0,J1026&lt;K1026),L1026/J1026,"n.a.")</x:f>
        <x:v>2.3333333333333335</x:v>
      </x:c>
      <x:c r="Q1026" s="11" t="n">
        <x:f>J1026*'Model inputs'!$B$8</x:f>
        <x:v>9000</x:v>
      </x:c>
      <x:c r="R1026" s="1" t="str">
        <x:v>Flagged leg data</x:v>
      </x:c>
      <x:c r="S1026" s="1" t="n">
        <x:v>850</x:v>
      </x:c>
      <x:c r="T1026" s="1" t="n">
        <x:v>869</x:v>
      </x:c>
    </x:row>
    <x:row r="1027" ht="21" customHeight="1">
      <x:c r="A1027" s="12" t="n">
        <x:v>46266</x:v>
      </x:c>
      <x:c r="B1027" s="1" t="str">
        <x:v>Butterfly</x:v>
      </x:c>
      <x:c r="C1027" s="1" t="str">
        <x:v>put</x:v>
      </x:c>
      <x:c r="D1027" s="11" t="n">
        <x:v>8300</x:v>
      </x:c>
      <x:c r="E1027" s="11" t="n">
        <x:v>8600</x:v>
      </x:c>
      <x:c r="F1027" s="11" t="n">
        <x:v>8900</x:v>
      </x:c>
      <x:c r="G1027" s="11" t="n">
        <x:f>'Option source'!B874</x:f>
        <x:v>1260</x:v>
      </x:c>
      <x:c r="H1027" s="11" t="n">
        <x:f>'Option source'!B893</x:f>
        <x:v>1650</x:v>
      </x:c>
      <x:c r="I1027" s="11" t="n">
        <x:f>'Option source'!B908</x:f>
        <x:v>2022.5</x:v>
      </x:c>
      <x:c r="J1027" s="11" t="n">
        <x:f>G1027-2*H1027+IF(B1027="Butterfly",I1027,0)</x:f>
        <x:v>-17.5</x:v>
      </x:c>
      <x:c r="K1027" s="11" t="n">
        <x:f>ABS(E1027-D1027)</x:f>
        <x:v>300</x:v>
      </x:c>
      <x:c r="L1027" s="11" t="n">
        <x:f>K1027-J1027</x:f>
        <x:v>317.5</x:v>
      </x:c>
      <x:c r="M1027" s="11" t="n">
        <x:f>IF(B1027="Butterfly",MAX(J1027,0),IF(C1027="call","Unlimited",MAX(2*E1027-D1027+J1027,J1027,0)))</x:f>
        <x:v>0</x:v>
      </x:c>
      <x:c r="N1027" s="11" t="str">
        <x:f>IF(B1027="Butterfly",IF(AND(J1027&gt;0,J1027&lt;K1027),D1027+J1027,"n.a."),IF(C1027="call",IF(AND(J1027&gt;0,J1027&lt;K1027),D1027+J1027,"n.a."),IF(AND(K1027&gt;J1027,2*E1027-D1027+J1027&gt;=0),2*E1027-D1027+J1027,"n.a.")))</x:f>
        <x:v>n.a.</x:v>
      </x:c>
      <x:c r="O1027" s="11" t="str">
        <x:f>IF(B1027="Butterfly",IF(AND(J1027&gt;0,J1027&lt;K1027),F1027-J1027,"n.a."),IF(C1027="call",IF(K1027&gt;J1027,2*E1027-D1027-J1027,"n.a."),IF(AND(J1027&gt;0,J1027&lt;K1027),D1027-J1027,"n.a.")))</x:f>
        <x:v>n.a.</x:v>
      </x:c>
      <x:c r="P1027" s="19" t="str">
        <x:f>IF(AND(B1027="Butterfly",J1027&gt;0,J1027&lt;K1027),L1027/J1027,"n.a.")</x:f>
        <x:v>n.a.</x:v>
      </x:c>
      <x:c r="Q1027" s="11" t="n">
        <x:f>J1027*'Model inputs'!$B$8</x:f>
        <x:v>-1750</x:v>
      </x:c>
      <x:c r="R1027" s="1" t="str">
        <x:v>Outside standard debit bounds</x:v>
      </x:c>
      <x:c r="S1027" s="1" t="n">
        <x:v>869</x:v>
      </x:c>
      <x:c r="T1027" s="1" t="n">
        <x:v>888</x:v>
      </x:c>
    </x:row>
    <x:row r="1028" ht="21" customHeight="1">
      <x:c r="A1028" s="12" t="n">
        <x:v>46266</x:v>
      </x:c>
      <x:c r="B1028" s="1" t="str">
        <x:v>Butterfly</x:v>
      </x:c>
      <x:c r="C1028" s="1" t="str">
        <x:v>call</x:v>
      </x:c>
      <x:c r="D1028" s="11" t="n">
        <x:v>5200</x:v>
      </x:c>
      <x:c r="E1028" s="11" t="n">
        <x:v>5400</x:v>
      </x:c>
      <x:c r="F1028" s="11" t="n">
        <x:v>5600</x:v>
      </x:c>
      <x:c r="G1028" s="11" t="n">
        <x:f>'Option source'!B105</x:f>
        <x:v>1991.75</x:v>
      </x:c>
      <x:c r="H1028" s="11" t="n">
        <x:f>'Option source'!B124</x:f>
        <x:v>1790</x:v>
      </x:c>
      <x:c r="I1028" s="11" t="n">
        <x:f>'Option source'!B142</x:f>
        <x:v>1600</x:v>
      </x:c>
      <x:c r="J1028" s="11" t="n">
        <x:f>G1028-2*H1028+IF(B1028="Butterfly",I1028,0)</x:f>
        <x:v>11.75</x:v>
      </x:c>
      <x:c r="K1028" s="11" t="n">
        <x:f>ABS(E1028-D1028)</x:f>
        <x:v>200</x:v>
      </x:c>
      <x:c r="L1028" s="11" t="n">
        <x:f>K1028-J1028</x:f>
        <x:v>188.25</x:v>
      </x:c>
      <x:c r="M1028" s="11" t="n">
        <x:f>IF(B1028="Butterfly",MAX(J1028,0),IF(C1028="call","Unlimited",MAX(2*E1028-D1028+J1028,J1028,0)))</x:f>
        <x:v>11.75</x:v>
      </x:c>
      <x:c r="N1028" s="11" t="n">
        <x:f>IF(B1028="Butterfly",IF(AND(J1028&gt;0,J1028&lt;K1028),D1028+J1028,"n.a."),IF(C1028="call",IF(AND(J1028&gt;0,J1028&lt;K1028),D1028+J1028,"n.a."),IF(AND(K1028&gt;J1028,2*E1028-D1028+J1028&gt;=0),2*E1028-D1028+J1028,"n.a.")))</x:f>
        <x:v>5211.75</x:v>
      </x:c>
      <x:c r="O1028" s="11" t="n">
        <x:f>IF(B1028="Butterfly",IF(AND(J1028&gt;0,J1028&lt;K1028),F1028-J1028,"n.a."),IF(C1028="call",IF(K1028&gt;J1028,2*E1028-D1028-J1028,"n.a."),IF(AND(J1028&gt;0,J1028&lt;K1028),D1028-J1028,"n.a.")))</x:f>
        <x:v>5588.25</x:v>
      </x:c>
      <x:c r="P1028" s="19" t="n">
        <x:f>IF(AND(B1028="Butterfly",J1028&gt;0,J1028&lt;K1028),L1028/J1028,"n.a.")</x:f>
        <x:v>16.02127659574468</x:v>
      </x:c>
      <x:c r="Q1028" s="11" t="n">
        <x:f>J1028*'Model inputs'!$B$8</x:f>
        <x:v>1175</x:v>
      </x:c>
      <x:c r="R1028" s="1" t="str">
        <x:v>Flagged leg data</x:v>
      </x:c>
      <x:c r="S1028" s="1" t="n">
        <x:v>100</x:v>
      </x:c>
      <x:c r="T1028" s="1" t="n">
        <x:v>119</x:v>
      </x:c>
    </x:row>
    <x:row r="1029" ht="21" customHeight="1">
      <x:c r="A1029" s="12" t="n">
        <x:v>46266</x:v>
      </x:c>
      <x:c r="B1029" s="1" t="str">
        <x:v>Butterfly</x:v>
      </x:c>
      <x:c r="C1029" s="1" t="str">
        <x:v>call</x:v>
      </x:c>
      <x:c r="D1029" s="11" t="n">
        <x:v>5000</x:v>
      </x:c>
      <x:c r="E1029" s="11" t="n">
        <x:v>5200</x:v>
      </x:c>
      <x:c r="F1029" s="11" t="n">
        <x:v>5400</x:v>
      </x:c>
      <x:c r="G1029" s="11" t="n">
        <x:f>'Option source'!B86</x:f>
        <x:v>2180</x:v>
      </x:c>
      <x:c r="H1029" s="11" t="n">
        <x:f>'Option source'!B105</x:f>
        <x:v>1991.75</x:v>
      </x:c>
      <x:c r="I1029" s="11" t="n">
        <x:f>'Option source'!B124</x:f>
        <x:v>1790</x:v>
      </x:c>
      <x:c r="J1029" s="11" t="n">
        <x:f>G1029-2*H1029+IF(B1029="Butterfly",I1029,0)</x:f>
        <x:v>-13.5</x:v>
      </x:c>
      <x:c r="K1029" s="11" t="n">
        <x:f>ABS(E1029-D1029)</x:f>
        <x:v>200</x:v>
      </x:c>
      <x:c r="L1029" s="11" t="n">
        <x:f>K1029-J1029</x:f>
        <x:v>213.5</x:v>
      </x:c>
      <x:c r="M1029" s="11" t="n">
        <x:f>IF(B1029="Butterfly",MAX(J1029,0),IF(C1029="call","Unlimited",MAX(2*E1029-D1029+J1029,J1029,0)))</x:f>
        <x:v>0</x:v>
      </x:c>
      <x:c r="N1029" s="11" t="str">
        <x:f>IF(B1029="Butterfly",IF(AND(J1029&gt;0,J1029&lt;K1029),D1029+J1029,"n.a."),IF(C1029="call",IF(AND(J1029&gt;0,J1029&lt;K1029),D1029+J1029,"n.a."),IF(AND(K1029&gt;J1029,2*E1029-D1029+J1029&gt;=0),2*E1029-D1029+J1029,"n.a.")))</x:f>
        <x:v>n.a.</x:v>
      </x:c>
      <x:c r="O1029" s="11" t="str">
        <x:f>IF(B1029="Butterfly",IF(AND(J1029&gt;0,J1029&lt;K1029),F1029-J1029,"n.a."),IF(C1029="call",IF(K1029&gt;J1029,2*E1029-D1029-J1029,"n.a."),IF(AND(J1029&gt;0,J1029&lt;K1029),D1029-J1029,"n.a.")))</x:f>
        <x:v>n.a.</x:v>
      </x:c>
      <x:c r="P1029" s="19" t="str">
        <x:f>IF(AND(B1029="Butterfly",J1029&gt;0,J1029&lt;K1029),L1029/J1029,"n.a.")</x:f>
        <x:v>n.a.</x:v>
      </x:c>
      <x:c r="Q1029" s="11" t="n">
        <x:f>J1029*'Model inputs'!$B$8</x:f>
        <x:v>-1350</x:v>
      </x:c>
      <x:c r="R1029" s="1" t="str">
        <x:v>Outside standard debit bounds</x:v>
      </x:c>
      <x:c r="S1029" s="1" t="n">
        <x:v>81</x:v>
      </x:c>
      <x:c r="T1029" s="1" t="n">
        <x:v>100</x:v>
      </x:c>
    </x:row>
    <x:row r="1030" ht="21" customHeight="1">
      <x:c r="A1030" s="12" t="n">
        <x:v>46266</x:v>
      </x:c>
      <x:c r="B1030" s="1" t="str">
        <x:v>Butterfly</x:v>
      </x:c>
      <x:c r="C1030" s="1" t="str">
        <x:v>call</x:v>
      </x:c>
      <x:c r="D1030" s="11" t="n">
        <x:v>4800</x:v>
      </x:c>
      <x:c r="E1030" s="11" t="n">
        <x:v>5000</x:v>
      </x:c>
      <x:c r="F1030" s="11" t="n">
        <x:v>5200</x:v>
      </x:c>
      <x:c r="G1030" s="11" t="n">
        <x:f>'Option source'!B69</x:f>
        <x:v>2375</x:v>
      </x:c>
      <x:c r="H1030" s="11" t="n">
        <x:f>'Option source'!B86</x:f>
        <x:v>2180</x:v>
      </x:c>
      <x:c r="I1030" s="11" t="n">
        <x:f>'Option source'!B105</x:f>
        <x:v>1991.75</x:v>
      </x:c>
      <x:c r="J1030" s="11" t="n">
        <x:f>G1030-2*H1030+IF(B1030="Butterfly",I1030,0)</x:f>
        <x:v>6.75</x:v>
      </x:c>
      <x:c r="K1030" s="11" t="n">
        <x:f>ABS(E1030-D1030)</x:f>
        <x:v>200</x:v>
      </x:c>
      <x:c r="L1030" s="11" t="n">
        <x:f>K1030-J1030</x:f>
        <x:v>193.25</x:v>
      </x:c>
      <x:c r="M1030" s="11" t="n">
        <x:f>IF(B1030="Butterfly",MAX(J1030,0),IF(C1030="call","Unlimited",MAX(2*E1030-D1030+J1030,J1030,0)))</x:f>
        <x:v>6.75</x:v>
      </x:c>
      <x:c r="N1030" s="11" t="n">
        <x:f>IF(B1030="Butterfly",IF(AND(J1030&gt;0,J1030&lt;K1030),D1030+J1030,"n.a."),IF(C1030="call",IF(AND(J1030&gt;0,J1030&lt;K1030),D1030+J1030,"n.a."),IF(AND(K1030&gt;J1030,2*E1030-D1030+J1030&gt;=0),2*E1030-D1030+J1030,"n.a.")))</x:f>
        <x:v>4806.75</x:v>
      </x:c>
      <x:c r="O1030" s="11" t="n">
        <x:f>IF(B1030="Butterfly",IF(AND(J1030&gt;0,J1030&lt;K1030),F1030-J1030,"n.a."),IF(C1030="call",IF(K1030&gt;J1030,2*E1030-D1030-J1030,"n.a."),IF(AND(J1030&gt;0,J1030&lt;K1030),D1030-J1030,"n.a.")))</x:f>
        <x:v>5193.25</x:v>
      </x:c>
      <x:c r="P1030" s="19" t="n">
        <x:f>IF(AND(B1030="Butterfly",J1030&gt;0,J1030&lt;K1030),L1030/J1030,"n.a.")</x:f>
        <x:v>28.62962962962963</x:v>
      </x:c>
      <x:c r="Q1030" s="11" t="n">
        <x:f>J1030*'Model inputs'!$B$8</x:f>
        <x:v>675</x:v>
      </x:c>
      <x:c r="R1030" s="1" t="str">
        <x:v>Flagged leg data</x:v>
      </x:c>
      <x:c r="S1030" s="1" t="n">
        <x:v>64</x:v>
      </x:c>
      <x:c r="T1030" s="1" t="n">
        <x:v>81</x:v>
      </x:c>
    </x:row>
    <x:row r="1031" ht="21" customHeight="1">
      <x:c r="A1031" s="12" t="n">
        <x:v>46266</x:v>
      </x:c>
      <x:c r="B1031" s="1" t="str">
        <x:v>Butterfly</x:v>
      </x:c>
      <x:c r="C1031" s="1" t="str">
        <x:v>call</x:v>
      </x:c>
      <x:c r="D1031" s="11" t="n">
        <x:v>4600</x:v>
      </x:c>
      <x:c r="E1031" s="11" t="n">
        <x:v>4800</x:v>
      </x:c>
      <x:c r="F1031" s="11" t="n">
        <x:v>5000</x:v>
      </x:c>
      <x:c r="G1031" s="11" t="n">
        <x:f>'Option source'!B52</x:f>
        <x:v>2384.72</x:v>
      </x:c>
      <x:c r="H1031" s="11" t="n">
        <x:f>'Option source'!B69</x:f>
        <x:v>2375</x:v>
      </x:c>
      <x:c r="I1031" s="11" t="n">
        <x:f>'Option source'!B86</x:f>
        <x:v>2180</x:v>
      </x:c>
      <x:c r="J1031" s="11" t="n">
        <x:f>G1031-2*H1031+IF(B1031="Butterfly",I1031,0)</x:f>
        <x:v>-185.2800000000002</x:v>
      </x:c>
      <x:c r="K1031" s="11" t="n">
        <x:f>ABS(E1031-D1031)</x:f>
        <x:v>200</x:v>
      </x:c>
      <x:c r="L1031" s="11" t="n">
        <x:f>K1031-J1031</x:f>
        <x:v>385.2800000000002</x:v>
      </x:c>
      <x:c r="M1031" s="11" t="n">
        <x:f>IF(B1031="Butterfly",MAX(J1031,0),IF(C1031="call","Unlimited",MAX(2*E1031-D1031+J1031,J1031,0)))</x:f>
        <x:v>0</x:v>
      </x:c>
      <x:c r="N1031" s="11" t="str">
        <x:f>IF(B1031="Butterfly",IF(AND(J1031&gt;0,J1031&lt;K1031),D1031+J1031,"n.a."),IF(C1031="call",IF(AND(J1031&gt;0,J1031&lt;K1031),D1031+J1031,"n.a."),IF(AND(K1031&gt;J1031,2*E1031-D1031+J1031&gt;=0),2*E1031-D1031+J1031,"n.a.")))</x:f>
        <x:v>n.a.</x:v>
      </x:c>
      <x:c r="O1031" s="11" t="str">
        <x:f>IF(B1031="Butterfly",IF(AND(J1031&gt;0,J1031&lt;K1031),F1031-J1031,"n.a."),IF(C1031="call",IF(K1031&gt;J1031,2*E1031-D1031-J1031,"n.a."),IF(AND(J1031&gt;0,J1031&lt;K1031),D1031-J1031,"n.a.")))</x:f>
        <x:v>n.a.</x:v>
      </x:c>
      <x:c r="P1031" s="19" t="str">
        <x:f>IF(AND(B1031="Butterfly",J1031&gt;0,J1031&lt;K1031),L1031/J1031,"n.a.")</x:f>
        <x:v>n.a.</x:v>
      </x:c>
      <x:c r="Q1031" s="11" t="n">
        <x:f>J1031*'Model inputs'!$B$8</x:f>
        <x:v>-18528.000000000022</x:v>
      </x:c>
      <x:c r="R1031" s="1" t="str">
        <x:v>Outside standard debit bounds</x:v>
      </x:c>
      <x:c r="S1031" s="1" t="n">
        <x:v>47</x:v>
      </x:c>
      <x:c r="T1031" s="1" t="n">
        <x:v>64</x:v>
      </x:c>
    </x:row>
    <x:row r="1032" ht="21" customHeight="1">
      <x:c r="A1032" s="12" t="n">
        <x:v>46266</x:v>
      </x:c>
      <x:c r="B1032" s="1" t="str">
        <x:v>Butterfly</x:v>
      </x:c>
      <x:c r="C1032" s="1" t="str">
        <x:v>put</x:v>
      </x:c>
      <x:c r="D1032" s="11" t="n">
        <x:v>4600</x:v>
      </x:c>
      <x:c r="E1032" s="11" t="n">
        <x:v>4800</x:v>
      </x:c>
      <x:c r="F1032" s="11" t="n">
        <x:v>5000</x:v>
      </x:c>
      <x:c r="G1032" s="11" t="n">
        <x:f>'Option source'!B532</x:f>
        <x:v>1.53</x:v>
      </x:c>
      <x:c r="H1032" s="11" t="n">
        <x:f>'Option source'!B551</x:f>
        <x:v>2.89</x:v>
      </x:c>
      <x:c r="I1032" s="11" t="n">
        <x:f>'Option source'!B570</x:f>
        <x:v>3.51</x:v>
      </x:c>
      <x:c r="J1032" s="11" t="n">
        <x:f>G1032-2*H1032+IF(B1032="Butterfly",I1032,0)</x:f>
        <x:v>-0.7400000000000002</x:v>
      </x:c>
      <x:c r="K1032" s="11" t="n">
        <x:f>ABS(E1032-D1032)</x:f>
        <x:v>200</x:v>
      </x:c>
      <x:c r="L1032" s="11" t="n">
        <x:f>K1032-J1032</x:f>
        <x:v>200.74</x:v>
      </x:c>
      <x:c r="M1032" s="11" t="n">
        <x:f>IF(B1032="Butterfly",MAX(J1032,0),IF(C1032="call","Unlimited",MAX(2*E1032-D1032+J1032,J1032,0)))</x:f>
        <x:v>0</x:v>
      </x:c>
      <x:c r="N1032" s="11" t="str">
        <x:f>IF(B1032="Butterfly",IF(AND(J1032&gt;0,J1032&lt;K1032),D1032+J1032,"n.a."),IF(C1032="call",IF(AND(J1032&gt;0,J1032&lt;K1032),D1032+J1032,"n.a."),IF(AND(K1032&gt;J1032,2*E1032-D1032+J1032&gt;=0),2*E1032-D1032+J1032,"n.a.")))</x:f>
        <x:v>n.a.</x:v>
      </x:c>
      <x:c r="O1032" s="11" t="str">
        <x:f>IF(B1032="Butterfly",IF(AND(J1032&gt;0,J1032&lt;K1032),F1032-J1032,"n.a."),IF(C1032="call",IF(K1032&gt;J1032,2*E1032-D1032-J1032,"n.a."),IF(AND(J1032&gt;0,J1032&lt;K1032),D1032-J1032,"n.a.")))</x:f>
        <x:v>n.a.</x:v>
      </x:c>
      <x:c r="P1032" s="19" t="str">
        <x:f>IF(AND(B1032="Butterfly",J1032&gt;0,J1032&lt;K1032),L1032/J1032,"n.a.")</x:f>
        <x:v>n.a.</x:v>
      </x:c>
      <x:c r="Q1032" s="11" t="n">
        <x:f>J1032*'Model inputs'!$B$8</x:f>
        <x:v>-74.00000000000003</x:v>
      </x:c>
      <x:c r="R1032" s="1" t="str">
        <x:v>Outside standard debit bounds</x:v>
      </x:c>
      <x:c r="S1032" s="1" t="n">
        <x:v>527</x:v>
      </x:c>
      <x:c r="T1032" s="1" t="n">
        <x:v>546</x:v>
      </x:c>
    </x:row>
    <x:row r="1033" ht="21" customHeight="1">
      <x:c r="A1033" s="12" t="n">
        <x:v>46266</x:v>
      </x:c>
      <x:c r="B1033" s="1" t="str">
        <x:v>Butterfly</x:v>
      </x:c>
      <x:c r="C1033" s="1" t="str">
        <x:v>call</x:v>
      </x:c>
      <x:c r="D1033" s="11" t="n">
        <x:v>4400</x:v>
      </x:c>
      <x:c r="E1033" s="11" t="n">
        <x:v>4600</x:v>
      </x:c>
      <x:c r="F1033" s="11" t="n">
        <x:v>4800</x:v>
      </x:c>
      <x:c r="G1033" s="11" t="n">
        <x:f>'Option source'!B33</x:f>
        <x:v>2746.82</x:v>
      </x:c>
      <x:c r="H1033" s="11" t="n">
        <x:f>'Option source'!B52</x:f>
        <x:v>2384.72</x:v>
      </x:c>
      <x:c r="I1033" s="11" t="n">
        <x:f>'Option source'!B69</x:f>
        <x:v>2375</x:v>
      </x:c>
      <x:c r="J1033" s="11" t="n">
        <x:f>G1033-2*H1033+IF(B1033="Butterfly",I1033,0)</x:f>
        <x:v>352.38000000000056</x:v>
      </x:c>
      <x:c r="K1033" s="11" t="n">
        <x:f>ABS(E1033-D1033)</x:f>
        <x:v>200</x:v>
      </x:c>
      <x:c r="L1033" s="11" t="n">
        <x:f>K1033-J1033</x:f>
        <x:v>-152.38000000000056</x:v>
      </x:c>
      <x:c r="M1033" s="11" t="n">
        <x:f>IF(B1033="Butterfly",MAX(J1033,0),IF(C1033="call","Unlimited",MAX(2*E1033-D1033+J1033,J1033,0)))</x:f>
        <x:v>352.38000000000056</x:v>
      </x:c>
      <x:c r="N1033" s="11" t="str">
        <x:f>IF(B1033="Butterfly",IF(AND(J1033&gt;0,J1033&lt;K1033),D1033+J1033,"n.a."),IF(C1033="call",IF(AND(J1033&gt;0,J1033&lt;K1033),D1033+J1033,"n.a."),IF(AND(K1033&gt;J1033,2*E1033-D1033+J1033&gt;=0),2*E1033-D1033+J1033,"n.a.")))</x:f>
        <x:v>n.a.</x:v>
      </x:c>
      <x:c r="O1033" s="11" t="str">
        <x:f>IF(B1033="Butterfly",IF(AND(J1033&gt;0,J1033&lt;K1033),F1033-J1033,"n.a."),IF(C1033="call",IF(K1033&gt;J1033,2*E1033-D1033-J1033,"n.a."),IF(AND(J1033&gt;0,J1033&lt;K1033),D1033-J1033,"n.a.")))</x:f>
        <x:v>n.a.</x:v>
      </x:c>
      <x:c r="P1033" s="19" t="str">
        <x:f>IF(AND(B1033="Butterfly",J1033&gt;0,J1033&lt;K1033),L1033/J1033,"n.a.")</x:f>
        <x:v>n.a.</x:v>
      </x:c>
      <x:c r="Q1033" s="11" t="n">
        <x:f>J1033*'Model inputs'!$B$8</x:f>
        <x:v>35238.00000000006</x:v>
      </x:c>
      <x:c r="R1033" s="1" t="str">
        <x:v>Outside standard debit bounds</x:v>
      </x:c>
      <x:c r="S1033" s="1" t="n">
        <x:v>28</x:v>
      </x:c>
      <x:c r="T1033" s="1" t="n">
        <x:v>47</x:v>
      </x:c>
    </x:row>
    <x:row r="1034" ht="21" customHeight="1">
      <x:c r="A1034" s="12" t="n">
        <x:v>46266</x:v>
      </x:c>
      <x:c r="B1034" s="1" t="str">
        <x:v>Butterfly</x:v>
      </x:c>
      <x:c r="C1034" s="1" t="str">
        <x:v>call</x:v>
      </x:c>
      <x:c r="D1034" s="11" t="n">
        <x:v>4200</x:v>
      </x:c>
      <x:c r="E1034" s="11" t="n">
        <x:v>4400</x:v>
      </x:c>
      <x:c r="F1034" s="11" t="n">
        <x:v>4600</x:v>
      </x:c>
      <x:c r="G1034" s="11" t="n">
        <x:f>'Option source'!B14</x:f>
        <x:v>3017.35</x:v>
      </x:c>
      <x:c r="H1034" s="11" t="n">
        <x:f>'Option source'!B33</x:f>
        <x:v>2746.82</x:v>
      </x:c>
      <x:c r="I1034" s="11" t="n">
        <x:f>'Option source'!B52</x:f>
        <x:v>2384.72</x:v>
      </x:c>
      <x:c r="J1034" s="11" t="n">
        <x:f>G1034-2*H1034+IF(B1034="Butterfly",I1034,0)</x:f>
        <x:v>-91.57000000000062</x:v>
      </x:c>
      <x:c r="K1034" s="11" t="n">
        <x:f>ABS(E1034-D1034)</x:f>
        <x:v>200</x:v>
      </x:c>
      <x:c r="L1034" s="11" t="n">
        <x:f>K1034-J1034</x:f>
        <x:v>291.5700000000006</x:v>
      </x:c>
      <x:c r="M1034" s="11" t="n">
        <x:f>IF(B1034="Butterfly",MAX(J1034,0),IF(C1034="call","Unlimited",MAX(2*E1034-D1034+J1034,J1034,0)))</x:f>
        <x:v>0</x:v>
      </x:c>
      <x:c r="N1034" s="11" t="str">
        <x:f>IF(B1034="Butterfly",IF(AND(J1034&gt;0,J1034&lt;K1034),D1034+J1034,"n.a."),IF(C1034="call",IF(AND(J1034&gt;0,J1034&lt;K1034),D1034+J1034,"n.a."),IF(AND(K1034&gt;J1034,2*E1034-D1034+J1034&gt;=0),2*E1034-D1034+J1034,"n.a.")))</x:f>
        <x:v>n.a.</x:v>
      </x:c>
      <x:c r="O1034" s="11" t="str">
        <x:f>IF(B1034="Butterfly",IF(AND(J1034&gt;0,J1034&lt;K1034),F1034-J1034,"n.a."),IF(C1034="call",IF(K1034&gt;J1034,2*E1034-D1034-J1034,"n.a."),IF(AND(J1034&gt;0,J1034&lt;K1034),D1034-J1034,"n.a.")))</x:f>
        <x:v>n.a.</x:v>
      </x:c>
      <x:c r="P1034" s="19" t="str">
        <x:f>IF(AND(B1034="Butterfly",J1034&gt;0,J1034&lt;K1034),L1034/J1034,"n.a.")</x:f>
        <x:v>n.a.</x:v>
      </x:c>
      <x:c r="Q1034" s="11" t="n">
        <x:f>J1034*'Model inputs'!$B$8</x:f>
        <x:v>-9157.000000000062</x:v>
      </x:c>
      <x:c r="R1034" s="1" t="str">
        <x:v>Outside standard debit bounds</x:v>
      </x:c>
      <x:c r="S1034" s="1" t="n">
        <x:v>9</x:v>
      </x:c>
      <x:c r="T1034" s="1" t="n">
        <x:v>28</x:v>
      </x:c>
    </x:row>
    <x:row r="1035" ht="21" customHeight="1">
      <x:c r="A1035" s="12" t="n">
        <x:v>46266</x:v>
      </x:c>
      <x:c r="B1035" s="1" t="str">
        <x:v>1x2 ratio</x:v>
      </x:c>
      <x:c r="C1035" s="1" t="str">
        <x:v>call</x:v>
      </x:c>
      <x:c r="D1035" s="11" t="n">
        <x:v>6800</x:v>
      </x:c>
      <x:c r="E1035" s="11" t="n">
        <x:v>7000</x:v>
      </x:c>
      <x:c r="F1035" s="11"/>
      <x:c r="G1035" s="11" t="n">
        <x:f>'Option source'!B247</x:f>
        <x:v>688.81</x:v>
      </x:c>
      <x:c r="H1035" s="11" t="n">
        <x:f>'Option source'!B266</x:f>
        <x:v>562.73</x:v>
      </x:c>
      <x:c r="I1035" s="11"/>
      <x:c r="J1035" s="11" t="n">
        <x:f>G1035-2*H1035+IF(B1035="Butterfly",I1035,0)</x:f>
        <x:v>-436.6500000000001</x:v>
      </x:c>
      <x:c r="K1035" s="11" t="n">
        <x:f>ABS(E1035-D1035)</x:f>
        <x:v>200</x:v>
      </x:c>
      <x:c r="L1035" s="11" t="n">
        <x:f>K1035-J1035</x:f>
        <x:v>636.6500000000001</x:v>
      </x:c>
      <x:c r="M1035" s="11" t="str">
        <x:f>IF(B1035="Butterfly",MAX(J1035,0),IF(C1035="call","Unlimited",MAX(2*E1035-D1035+J1035,J1035,0)))</x:f>
        <x:v>Unlimited</x:v>
      </x:c>
      <x:c r="N1035" s="11" t="str">
        <x:f>IF(B1035="Butterfly",IF(AND(J1035&gt;0,J1035&lt;K1035),D1035+J1035,"n.a."),IF(C1035="call",IF(AND(J1035&gt;0,J1035&lt;K1035),D1035+J1035,"n.a."),IF(AND(K1035&gt;J1035,2*E1035-D1035+J1035&gt;=0),2*E1035-D1035+J1035,"n.a.")))</x:f>
        <x:v>n.a.</x:v>
      </x:c>
      <x:c r="O1035" s="11" t="n">
        <x:f>IF(B1035="Butterfly",IF(AND(J1035&gt;0,J1035&lt;K1035),F1035-J1035,"n.a."),IF(C1035="call",IF(K1035&gt;J1035,2*E1035-D1035-J1035,"n.a."),IF(AND(J1035&gt;0,J1035&lt;K1035),D1035-J1035,"n.a.")))</x:f>
        <x:v>7636.65</x:v>
      </x:c>
      <x:c r="P1035" s="19" t="str">
        <x:f>IF(AND(B1035="Butterfly",J1035&gt;0,J1035&lt;K1035),L1035/J1035,"n.a.")</x:f>
        <x:v>n.a.</x:v>
      </x:c>
      <x:c r="Q1035" s="11" t="n">
        <x:f>J1035*'Model inputs'!$B$8</x:f>
        <x:v>-43665.00000000001</x:v>
      </x:c>
      <x:c r="R1035" s="1" t="str">
        <x:v>Indicative only</x:v>
      </x:c>
      <x:c r="S1035" s="1" t="n">
        <x:v>242</x:v>
      </x:c>
      <x:c r="T1035" s="1" t="n">
        <x:v>261</x:v>
      </x:c>
    </x:row>
    <x:row r="1036" ht="21" customHeight="1">
      <x:c r="A1036" s="12" t="n">
        <x:v>46266</x:v>
      </x:c>
      <x:c r="B1036" s="1" t="str">
        <x:v>1x2 ratio</x:v>
      </x:c>
      <x:c r="C1036" s="1" t="str">
        <x:v>put</x:v>
      </x:c>
      <x:c r="D1036" s="11" t="n">
        <x:v>7200</x:v>
      </x:c>
      <x:c r="E1036" s="11" t="n">
        <x:v>7000</x:v>
      </x:c>
      <x:c r="F1036" s="11"/>
      <x:c r="G1036" s="11" t="n">
        <x:f>'Option source'!B779</x:f>
        <x:v>431.34</x:v>
      </x:c>
      <x:c r="H1036" s="11" t="n">
        <x:f>'Option source'!B760</x:f>
        <x:v>334.82</x:v>
      </x:c>
      <x:c r="I1036" s="11"/>
      <x:c r="J1036" s="11" t="n">
        <x:f>G1036-2*H1036+IF(B1036="Butterfly",I1036,0)</x:f>
        <x:v>-238.3</x:v>
      </x:c>
      <x:c r="K1036" s="11" t="n">
        <x:f>ABS(E1036-D1036)</x:f>
        <x:v>200</x:v>
      </x:c>
      <x:c r="L1036" s="11" t="n">
        <x:f>K1036-J1036</x:f>
        <x:v>438.3</x:v>
      </x:c>
      <x:c r="M1036" s="11" t="n">
        <x:f>IF(B1036="Butterfly",MAX(J1036,0),IF(C1036="call","Unlimited",MAX(2*E1036-D1036+J1036,J1036,0)))</x:f>
        <x:v>6561.7</x:v>
      </x:c>
      <x:c r="N1036" s="11" t="n">
        <x:f>IF(B1036="Butterfly",IF(AND(J1036&gt;0,J1036&lt;K1036),D1036+J1036,"n.a."),IF(C1036="call",IF(AND(J1036&gt;0,J1036&lt;K1036),D1036+J1036,"n.a."),IF(AND(K1036&gt;J1036,2*E1036-D1036+J1036&gt;=0),2*E1036-D1036+J1036,"n.a.")))</x:f>
        <x:v>6561.7</x:v>
      </x:c>
      <x:c r="O1036" s="11" t="str">
        <x:f>IF(B1036="Butterfly",IF(AND(J1036&gt;0,J1036&lt;K1036),F1036-J1036,"n.a."),IF(C1036="call",IF(K1036&gt;J1036,2*E1036-D1036-J1036,"n.a."),IF(AND(J1036&gt;0,J1036&lt;K1036),D1036-J1036,"n.a.")))</x:f>
        <x:v>n.a.</x:v>
      </x:c>
      <x:c r="P1036" s="19" t="str">
        <x:f>IF(AND(B1036="Butterfly",J1036&gt;0,J1036&lt;K1036),L1036/J1036,"n.a.")</x:f>
        <x:v>n.a.</x:v>
      </x:c>
      <x:c r="Q1036" s="11" t="n">
        <x:f>J1036*'Model inputs'!$B$8</x:f>
        <x:v>-23830</x:v>
      </x:c>
      <x:c r="R1036" s="1" t="str">
        <x:v>Indicative only</x:v>
      </x:c>
      <x:c r="S1036" s="1" t="n">
        <x:v>774</x:v>
      </x:c>
      <x:c r="T1036" s="1" t="n">
        <x:v>755</x:v>
      </x:c>
    </x:row>
    <x:row r="1037" ht="21" customHeight="1">
      <x:c r="A1037" s="12" t="n">
        <x:v>46266</x:v>
      </x:c>
      <x:c r="B1037" s="1" t="str">
        <x:v>1x2 ratio</x:v>
      </x:c>
      <x:c r="C1037" s="1" t="str">
        <x:v>call</x:v>
      </x:c>
      <x:c r="D1037" s="11" t="n">
        <x:v>7000</x:v>
      </x:c>
      <x:c r="E1037" s="11" t="n">
        <x:v>7200</x:v>
      </x:c>
      <x:c r="F1037" s="11"/>
      <x:c r="G1037" s="11" t="n">
        <x:f>'Option source'!B266</x:f>
        <x:v>562.73</x:v>
      </x:c>
      <x:c r="H1037" s="11" t="n">
        <x:f>'Option source'!B285</x:f>
        <x:v>464.15</x:v>
      </x:c>
      <x:c r="I1037" s="11"/>
      <x:c r="J1037" s="11" t="n">
        <x:f>G1037-2*H1037+IF(B1037="Butterfly",I1037,0)</x:f>
        <x:v>-365.56999999999994</x:v>
      </x:c>
      <x:c r="K1037" s="11" t="n">
        <x:f>ABS(E1037-D1037)</x:f>
        <x:v>200</x:v>
      </x:c>
      <x:c r="L1037" s="11" t="n">
        <x:f>K1037-J1037</x:f>
        <x:v>565.5699999999999</x:v>
      </x:c>
      <x:c r="M1037" s="11" t="str">
        <x:f>IF(B1037="Butterfly",MAX(J1037,0),IF(C1037="call","Unlimited",MAX(2*E1037-D1037+J1037,J1037,0)))</x:f>
        <x:v>Unlimited</x:v>
      </x:c>
      <x:c r="N1037" s="11" t="str">
        <x:f>IF(B1037="Butterfly",IF(AND(J1037&gt;0,J1037&lt;K1037),D1037+J1037,"n.a."),IF(C1037="call",IF(AND(J1037&gt;0,J1037&lt;K1037),D1037+J1037,"n.a."),IF(AND(K1037&gt;J1037,2*E1037-D1037+J1037&gt;=0),2*E1037-D1037+J1037,"n.a.")))</x:f>
        <x:v>n.a.</x:v>
      </x:c>
      <x:c r="O1037" s="11" t="n">
        <x:f>IF(B1037="Butterfly",IF(AND(J1037&gt;0,J1037&lt;K1037),F1037-J1037,"n.a."),IF(C1037="call",IF(K1037&gt;J1037,2*E1037-D1037-J1037,"n.a."),IF(AND(J1037&gt;0,J1037&lt;K1037),D1037-J1037,"n.a.")))</x:f>
        <x:v>7765.57</x:v>
      </x:c>
      <x:c r="P1037" s="19" t="str">
        <x:f>IF(AND(B1037="Butterfly",J1037&gt;0,J1037&lt;K1037),L1037/J1037,"n.a.")</x:f>
        <x:v>n.a.</x:v>
      </x:c>
      <x:c r="Q1037" s="11" t="n">
        <x:f>J1037*'Model inputs'!$B$8</x:f>
        <x:v>-36556.99999999999</x:v>
      </x:c>
      <x:c r="R1037" s="1" t="str">
        <x:v>Indicative only</x:v>
      </x:c>
      <x:c r="S1037" s="1" t="n">
        <x:v>261</x:v>
      </x:c>
      <x:c r="T1037" s="1" t="n">
        <x:v>280</x:v>
      </x:c>
    </x:row>
    <x:row r="1038" ht="21" customHeight="1">
      <x:c r="A1038" s="12" t="n">
        <x:v>46266</x:v>
      </x:c>
      <x:c r="B1038" s="1" t="str">
        <x:v>1x2 ratio</x:v>
      </x:c>
      <x:c r="C1038" s="1" t="str">
        <x:v>put</x:v>
      </x:c>
      <x:c r="D1038" s="11" t="n">
        <x:v>7400</x:v>
      </x:c>
      <x:c r="E1038" s="11" t="n">
        <x:v>7200</x:v>
      </x:c>
      <x:c r="F1038" s="11"/>
      <x:c r="G1038" s="11" t="n">
        <x:f>'Option source'!B798</x:f>
        <x:v>538.73</x:v>
      </x:c>
      <x:c r="H1038" s="11" t="n">
        <x:f>'Option source'!B779</x:f>
        <x:v>431.34</x:v>
      </x:c>
      <x:c r="I1038" s="11"/>
      <x:c r="J1038" s="11" t="n">
        <x:f>G1038-2*H1038+IF(B1038="Butterfly",I1038,0)</x:f>
        <x:v>-323.94999999999993</x:v>
      </x:c>
      <x:c r="K1038" s="11" t="n">
        <x:f>ABS(E1038-D1038)</x:f>
        <x:v>200</x:v>
      </x:c>
      <x:c r="L1038" s="11" t="n">
        <x:f>K1038-J1038</x:f>
        <x:v>523.9499999999999</x:v>
      </x:c>
      <x:c r="M1038" s="11" t="n">
        <x:f>IF(B1038="Butterfly",MAX(J1038,0),IF(C1038="call","Unlimited",MAX(2*E1038-D1038+J1038,J1038,0)))</x:f>
        <x:v>6676.05</x:v>
      </x:c>
      <x:c r="N1038" s="11" t="n">
        <x:f>IF(B1038="Butterfly",IF(AND(J1038&gt;0,J1038&lt;K1038),D1038+J1038,"n.a."),IF(C1038="call",IF(AND(J1038&gt;0,J1038&lt;K1038),D1038+J1038,"n.a."),IF(AND(K1038&gt;J1038,2*E1038-D1038+J1038&gt;=0),2*E1038-D1038+J1038,"n.a.")))</x:f>
        <x:v>6676.05</x:v>
      </x:c>
      <x:c r="O1038" s="11" t="str">
        <x:f>IF(B1038="Butterfly",IF(AND(J1038&gt;0,J1038&lt;K1038),F1038-J1038,"n.a."),IF(C1038="call",IF(K1038&gt;J1038,2*E1038-D1038-J1038,"n.a."),IF(AND(J1038&gt;0,J1038&lt;K1038),D1038-J1038,"n.a.")))</x:f>
        <x:v>n.a.</x:v>
      </x:c>
      <x:c r="P1038" s="19" t="str">
        <x:f>IF(AND(B1038="Butterfly",J1038&gt;0,J1038&lt;K1038),L1038/J1038,"n.a.")</x:f>
        <x:v>n.a.</x:v>
      </x:c>
      <x:c r="Q1038" s="11" t="n">
        <x:f>J1038*'Model inputs'!$B$8</x:f>
        <x:v>-32394.999999999993</x:v>
      </x:c>
      <x:c r="R1038" s="1" t="str">
        <x:v>Indicative only</x:v>
      </x:c>
      <x:c r="S1038" s="1" t="n">
        <x:v>793</x:v>
      </x:c>
      <x:c r="T1038" s="1" t="n">
        <x:v>774</x:v>
      </x:c>
    </x:row>
    <x:row r="1039" ht="21" customHeight="1">
      <x:c r="A1039" s="12" t="n">
        <x:v>46266</x:v>
      </x:c>
      <x:c r="B1039" s="1" t="str">
        <x:v>1x2 ratio</x:v>
      </x:c>
      <x:c r="C1039" s="1" t="str">
        <x:v>call</x:v>
      </x:c>
      <x:c r="D1039" s="11" t="n">
        <x:v>6600</x:v>
      </x:c>
      <x:c r="E1039" s="11" t="n">
        <x:v>6800</x:v>
      </x:c>
      <x:c r="F1039" s="11"/>
      <x:c r="G1039" s="11" t="n">
        <x:f>'Option source'!B228</x:f>
        <x:v>808.51</x:v>
      </x:c>
      <x:c r="H1039" s="11" t="n">
        <x:f>'Option source'!B247</x:f>
        <x:v>688.81</x:v>
      </x:c>
      <x:c r="I1039" s="11"/>
      <x:c r="J1039" s="11" t="n">
        <x:f>G1039-2*H1039+IF(B1039="Butterfly",I1039,0)</x:f>
        <x:v>-569.1099999999999</x:v>
      </x:c>
      <x:c r="K1039" s="11" t="n">
        <x:f>ABS(E1039-D1039)</x:f>
        <x:v>200</x:v>
      </x:c>
      <x:c r="L1039" s="11" t="n">
        <x:f>K1039-J1039</x:f>
        <x:v>769.1099999999999</x:v>
      </x:c>
      <x:c r="M1039" s="11" t="str">
        <x:f>IF(B1039="Butterfly",MAX(J1039,0),IF(C1039="call","Unlimited",MAX(2*E1039-D1039+J1039,J1039,0)))</x:f>
        <x:v>Unlimited</x:v>
      </x:c>
      <x:c r="N1039" s="11" t="str">
        <x:f>IF(B1039="Butterfly",IF(AND(J1039&gt;0,J1039&lt;K1039),D1039+J1039,"n.a."),IF(C1039="call",IF(AND(J1039&gt;0,J1039&lt;K1039),D1039+J1039,"n.a."),IF(AND(K1039&gt;J1039,2*E1039-D1039+J1039&gt;=0),2*E1039-D1039+J1039,"n.a.")))</x:f>
        <x:v>n.a.</x:v>
      </x:c>
      <x:c r="O1039" s="11" t="n">
        <x:f>IF(B1039="Butterfly",IF(AND(J1039&gt;0,J1039&lt;K1039),F1039-J1039,"n.a."),IF(C1039="call",IF(K1039&gt;J1039,2*E1039-D1039-J1039,"n.a."),IF(AND(J1039&gt;0,J1039&lt;K1039),D1039-J1039,"n.a.")))</x:f>
        <x:v>7569.11</x:v>
      </x:c>
      <x:c r="P1039" s="19" t="str">
        <x:f>IF(AND(B1039="Butterfly",J1039&gt;0,J1039&lt;K1039),L1039/J1039,"n.a.")</x:f>
        <x:v>n.a.</x:v>
      </x:c>
      <x:c r="Q1039" s="11" t="n">
        <x:f>J1039*'Model inputs'!$B$8</x:f>
        <x:v>-56910.99999999999</x:v>
      </x:c>
      <x:c r="R1039" s="1" t="str">
        <x:v>Indicative only</x:v>
      </x:c>
      <x:c r="S1039" s="1" t="n">
        <x:v>223</x:v>
      </x:c>
      <x:c r="T1039" s="1" t="n">
        <x:v>242</x:v>
      </x:c>
    </x:row>
    <x:row r="1040" ht="21" customHeight="1">
      <x:c r="A1040" s="12" t="n">
        <x:v>46266</x:v>
      </x:c>
      <x:c r="B1040" s="1" t="str">
        <x:v>1x2 ratio</x:v>
      </x:c>
      <x:c r="C1040" s="1" t="str">
        <x:v>put</x:v>
      </x:c>
      <x:c r="D1040" s="11" t="n">
        <x:v>7000</x:v>
      </x:c>
      <x:c r="E1040" s="11" t="n">
        <x:v>6800</x:v>
      </x:c>
      <x:c r="F1040" s="11"/>
      <x:c r="G1040" s="11" t="n">
        <x:f>'Option source'!B760</x:f>
        <x:v>334.82</x:v>
      </x:c>
      <x:c r="H1040" s="11" t="n">
        <x:f>'Option source'!B741</x:f>
        <x:v>251.94</x:v>
      </x:c>
      <x:c r="I1040" s="11"/>
      <x:c r="J1040" s="11" t="n">
        <x:f>G1040-2*H1040+IF(B1040="Butterfly",I1040,0)</x:f>
        <x:v>-169.06</x:v>
      </x:c>
      <x:c r="K1040" s="11" t="n">
        <x:f>ABS(E1040-D1040)</x:f>
        <x:v>200</x:v>
      </x:c>
      <x:c r="L1040" s="11" t="n">
        <x:f>K1040-J1040</x:f>
        <x:v>369.06</x:v>
      </x:c>
      <x:c r="M1040" s="11" t="n">
        <x:f>IF(B1040="Butterfly",MAX(J1040,0),IF(C1040="call","Unlimited",MAX(2*E1040-D1040+J1040,J1040,0)))</x:f>
        <x:v>6430.94</x:v>
      </x:c>
      <x:c r="N1040" s="11" t="n">
        <x:f>IF(B1040="Butterfly",IF(AND(J1040&gt;0,J1040&lt;K1040),D1040+J1040,"n.a."),IF(C1040="call",IF(AND(J1040&gt;0,J1040&lt;K1040),D1040+J1040,"n.a."),IF(AND(K1040&gt;J1040,2*E1040-D1040+J1040&gt;=0),2*E1040-D1040+J1040,"n.a.")))</x:f>
        <x:v>6430.94</x:v>
      </x:c>
      <x:c r="O1040" s="11" t="str">
        <x:f>IF(B1040="Butterfly",IF(AND(J1040&gt;0,J1040&lt;K1040),F1040-J1040,"n.a."),IF(C1040="call",IF(K1040&gt;J1040,2*E1040-D1040-J1040,"n.a."),IF(AND(J1040&gt;0,J1040&lt;K1040),D1040-J1040,"n.a.")))</x:f>
        <x:v>n.a.</x:v>
      </x:c>
      <x:c r="P1040" s="19" t="str">
        <x:f>IF(AND(B1040="Butterfly",J1040&gt;0,J1040&lt;K1040),L1040/J1040,"n.a.")</x:f>
        <x:v>n.a.</x:v>
      </x:c>
      <x:c r="Q1040" s="11" t="n">
        <x:f>J1040*'Model inputs'!$B$8</x:f>
        <x:v>-16906</x:v>
      </x:c>
      <x:c r="R1040" s="1" t="str">
        <x:v>Indicative only</x:v>
      </x:c>
      <x:c r="S1040" s="1" t="n">
        <x:v>755</x:v>
      </x:c>
      <x:c r="T1040" s="1" t="n">
        <x:v>736</x:v>
      </x:c>
    </x:row>
    <x:row r="1041" ht="21" customHeight="1">
      <x:c r="A1041" s="12" t="n">
        <x:v>46266</x:v>
      </x:c>
      <x:c r="B1041" s="1" t="str">
        <x:v>1x2 ratio</x:v>
      </x:c>
      <x:c r="C1041" s="1" t="str">
        <x:v>call</x:v>
      </x:c>
      <x:c r="D1041" s="11" t="n">
        <x:v>7200</x:v>
      </x:c>
      <x:c r="E1041" s="11" t="n">
        <x:v>7400</x:v>
      </x:c>
      <x:c r="F1041" s="11"/>
      <x:c r="G1041" s="11" t="n">
        <x:f>'Option source'!B285</x:f>
        <x:v>464.15</x:v>
      </x:c>
      <x:c r="H1041" s="11" t="n">
        <x:f>'Option source'!B304</x:f>
        <x:v>372.77</x:v>
      </x:c>
      <x:c r="I1041" s="11"/>
      <x:c r="J1041" s="11" t="n">
        <x:f>G1041-2*H1041+IF(B1041="Butterfly",I1041,0)</x:f>
        <x:v>-281.39</x:v>
      </x:c>
      <x:c r="K1041" s="11" t="n">
        <x:f>ABS(E1041-D1041)</x:f>
        <x:v>200</x:v>
      </x:c>
      <x:c r="L1041" s="11" t="n">
        <x:f>K1041-J1041</x:f>
        <x:v>481.39</x:v>
      </x:c>
      <x:c r="M1041" s="11" t="str">
        <x:f>IF(B1041="Butterfly",MAX(J1041,0),IF(C1041="call","Unlimited",MAX(2*E1041-D1041+J1041,J1041,0)))</x:f>
        <x:v>Unlimited</x:v>
      </x:c>
      <x:c r="N1041" s="11" t="str">
        <x:f>IF(B1041="Butterfly",IF(AND(J1041&gt;0,J1041&lt;K1041),D1041+J1041,"n.a."),IF(C1041="call",IF(AND(J1041&gt;0,J1041&lt;K1041),D1041+J1041,"n.a."),IF(AND(K1041&gt;J1041,2*E1041-D1041+J1041&gt;=0),2*E1041-D1041+J1041,"n.a.")))</x:f>
        <x:v>n.a.</x:v>
      </x:c>
      <x:c r="O1041" s="11" t="n">
        <x:f>IF(B1041="Butterfly",IF(AND(J1041&gt;0,J1041&lt;K1041),F1041-J1041,"n.a."),IF(C1041="call",IF(K1041&gt;J1041,2*E1041-D1041-J1041,"n.a."),IF(AND(J1041&gt;0,J1041&lt;K1041),D1041-J1041,"n.a.")))</x:f>
        <x:v>7881.39</x:v>
      </x:c>
      <x:c r="P1041" s="19" t="str">
        <x:f>IF(AND(B1041="Butterfly",J1041&gt;0,J1041&lt;K1041),L1041/J1041,"n.a.")</x:f>
        <x:v>n.a.</x:v>
      </x:c>
      <x:c r="Q1041" s="11" t="n">
        <x:f>J1041*'Model inputs'!$B$8</x:f>
        <x:v>-28139</x:v>
      </x:c>
      <x:c r="R1041" s="1" t="str">
        <x:v>Indicative only</x:v>
      </x:c>
      <x:c r="S1041" s="1" t="n">
        <x:v>280</x:v>
      </x:c>
      <x:c r="T1041" s="1" t="n">
        <x:v>299</x:v>
      </x:c>
    </x:row>
    <x:row r="1042" ht="21" customHeight="1">
      <x:c r="A1042" s="12" t="n">
        <x:v>46266</x:v>
      </x:c>
      <x:c r="B1042" s="1" t="str">
        <x:v>1x2 ratio</x:v>
      </x:c>
      <x:c r="C1042" s="1" t="str">
        <x:v>put</x:v>
      </x:c>
      <x:c r="D1042" s="11" t="n">
        <x:v>7600</x:v>
      </x:c>
      <x:c r="E1042" s="11" t="n">
        <x:v>7400</x:v>
      </x:c>
      <x:c r="F1042" s="11"/>
      <x:c r="G1042" s="11" t="n">
        <x:f>'Option source'!B817</x:f>
        <x:v>660.35</x:v>
      </x:c>
      <x:c r="H1042" s="11" t="n">
        <x:f>'Option source'!B798</x:f>
        <x:v>538.73</x:v>
      </x:c>
      <x:c r="I1042" s="11"/>
      <x:c r="J1042" s="11" t="n">
        <x:f>G1042-2*H1042+IF(B1042="Butterfly",I1042,0)</x:f>
        <x:v>-417.11</x:v>
      </x:c>
      <x:c r="K1042" s="11" t="n">
        <x:f>ABS(E1042-D1042)</x:f>
        <x:v>200</x:v>
      </x:c>
      <x:c r="L1042" s="11" t="n">
        <x:f>K1042-J1042</x:f>
        <x:v>617.11</x:v>
      </x:c>
      <x:c r="M1042" s="11" t="n">
        <x:f>IF(B1042="Butterfly",MAX(J1042,0),IF(C1042="call","Unlimited",MAX(2*E1042-D1042+J1042,J1042,0)))</x:f>
        <x:v>6782.89</x:v>
      </x:c>
      <x:c r="N1042" s="11" t="n">
        <x:f>IF(B1042="Butterfly",IF(AND(J1042&gt;0,J1042&lt;K1042),D1042+J1042,"n.a."),IF(C1042="call",IF(AND(J1042&gt;0,J1042&lt;K1042),D1042+J1042,"n.a."),IF(AND(K1042&gt;J1042,2*E1042-D1042+J1042&gt;=0),2*E1042-D1042+J1042,"n.a.")))</x:f>
        <x:v>6782.89</x:v>
      </x:c>
      <x:c r="O1042" s="11" t="str">
        <x:f>IF(B1042="Butterfly",IF(AND(J1042&gt;0,J1042&lt;K1042),F1042-J1042,"n.a."),IF(C1042="call",IF(K1042&gt;J1042,2*E1042-D1042-J1042,"n.a."),IF(AND(J1042&gt;0,J1042&lt;K1042),D1042-J1042,"n.a.")))</x:f>
        <x:v>n.a.</x:v>
      </x:c>
      <x:c r="P1042" s="19" t="str">
        <x:f>IF(AND(B1042="Butterfly",J1042&gt;0,J1042&lt;K1042),L1042/J1042,"n.a.")</x:f>
        <x:v>n.a.</x:v>
      </x:c>
      <x:c r="Q1042" s="11" t="n">
        <x:f>J1042*'Model inputs'!$B$8</x:f>
        <x:v>-41711</x:v>
      </x:c>
      <x:c r="R1042" s="1" t="str">
        <x:v>Indicative only</x:v>
      </x:c>
      <x:c r="S1042" s="1" t="n">
        <x:v>812</x:v>
      </x:c>
      <x:c r="T1042" s="1" t="n">
        <x:v>793</x:v>
      </x:c>
    </x:row>
    <x:row r="1043" ht="21" customHeight="1">
      <x:c r="A1043" s="12" t="n">
        <x:v>46266</x:v>
      </x:c>
      <x:c r="B1043" s="1" t="str">
        <x:v>1x2 ratio</x:v>
      </x:c>
      <x:c r="C1043" s="1" t="str">
        <x:v>call</x:v>
      </x:c>
      <x:c r="D1043" s="11" t="n">
        <x:v>6400</x:v>
      </x:c>
      <x:c r="E1043" s="11" t="n">
        <x:v>6600</x:v>
      </x:c>
      <x:c r="F1043" s="11"/>
      <x:c r="G1043" s="11" t="n">
        <x:f>'Option source'!B209</x:f>
        <x:v>909.97</x:v>
      </x:c>
      <x:c r="H1043" s="11" t="n">
        <x:f>'Option source'!B228</x:f>
        <x:v>808.51</x:v>
      </x:c>
      <x:c r="I1043" s="11"/>
      <x:c r="J1043" s="11" t="n">
        <x:f>G1043-2*H1043+IF(B1043="Butterfly",I1043,0)</x:f>
        <x:v>-707.05</x:v>
      </x:c>
      <x:c r="K1043" s="11" t="n">
        <x:f>ABS(E1043-D1043)</x:f>
        <x:v>200</x:v>
      </x:c>
      <x:c r="L1043" s="11" t="n">
        <x:f>K1043-J1043</x:f>
        <x:v>907.05</x:v>
      </x:c>
      <x:c r="M1043" s="11" t="str">
        <x:f>IF(B1043="Butterfly",MAX(J1043,0),IF(C1043="call","Unlimited",MAX(2*E1043-D1043+J1043,J1043,0)))</x:f>
        <x:v>Unlimited</x:v>
      </x:c>
      <x:c r="N1043" s="11" t="str">
        <x:f>IF(B1043="Butterfly",IF(AND(J1043&gt;0,J1043&lt;K1043),D1043+J1043,"n.a."),IF(C1043="call",IF(AND(J1043&gt;0,J1043&lt;K1043),D1043+J1043,"n.a."),IF(AND(K1043&gt;J1043,2*E1043-D1043+J1043&gt;=0),2*E1043-D1043+J1043,"n.a.")))</x:f>
        <x:v>n.a.</x:v>
      </x:c>
      <x:c r="O1043" s="11" t="n">
        <x:f>IF(B1043="Butterfly",IF(AND(J1043&gt;0,J1043&lt;K1043),F1043-J1043,"n.a."),IF(C1043="call",IF(K1043&gt;J1043,2*E1043-D1043-J1043,"n.a."),IF(AND(J1043&gt;0,J1043&lt;K1043),D1043-J1043,"n.a.")))</x:f>
        <x:v>7507.05</x:v>
      </x:c>
      <x:c r="P1043" s="19" t="str">
        <x:f>IF(AND(B1043="Butterfly",J1043&gt;0,J1043&lt;K1043),L1043/J1043,"n.a.")</x:f>
        <x:v>n.a.</x:v>
      </x:c>
      <x:c r="Q1043" s="11" t="n">
        <x:f>J1043*'Model inputs'!$B$8</x:f>
        <x:v>-70705</x:v>
      </x:c>
      <x:c r="R1043" s="1" t="str">
        <x:v>Indicative only</x:v>
      </x:c>
      <x:c r="S1043" s="1" t="n">
        <x:v>204</x:v>
      </x:c>
      <x:c r="T1043" s="1" t="n">
        <x:v>223</x:v>
      </x:c>
    </x:row>
    <x:row r="1044" ht="21" customHeight="1">
      <x:c r="A1044" s="12" t="n">
        <x:v>46266</x:v>
      </x:c>
      <x:c r="B1044" s="1" t="str">
        <x:v>1x2 ratio</x:v>
      </x:c>
      <x:c r="C1044" s="1" t="str">
        <x:v>put</x:v>
      </x:c>
      <x:c r="D1044" s="11" t="n">
        <x:v>6800</x:v>
      </x:c>
      <x:c r="E1044" s="11" t="n">
        <x:v>6600</x:v>
      </x:c>
      <x:c r="F1044" s="11"/>
      <x:c r="G1044" s="11" t="n">
        <x:f>'Option source'!B741</x:f>
        <x:v>251.94</x:v>
      </x:c>
      <x:c r="H1044" s="11" t="n">
        <x:f>'Option source'!B722</x:f>
        <x:v>178.65</x:v>
      </x:c>
      <x:c r="I1044" s="11"/>
      <x:c r="J1044" s="11" t="n">
        <x:f>G1044-2*H1044+IF(B1044="Butterfly",I1044,0)</x:f>
        <x:v>-105.36000000000001</x:v>
      </x:c>
      <x:c r="K1044" s="11" t="n">
        <x:f>ABS(E1044-D1044)</x:f>
        <x:v>200</x:v>
      </x:c>
      <x:c r="L1044" s="11" t="n">
        <x:f>K1044-J1044</x:f>
        <x:v>305.36</x:v>
      </x:c>
      <x:c r="M1044" s="11" t="n">
        <x:f>IF(B1044="Butterfly",MAX(J1044,0),IF(C1044="call","Unlimited",MAX(2*E1044-D1044+J1044,J1044,0)))</x:f>
        <x:v>6294.64</x:v>
      </x:c>
      <x:c r="N1044" s="11" t="n">
        <x:f>IF(B1044="Butterfly",IF(AND(J1044&gt;0,J1044&lt;K1044),D1044+J1044,"n.a."),IF(C1044="call",IF(AND(J1044&gt;0,J1044&lt;K1044),D1044+J1044,"n.a."),IF(AND(K1044&gt;J1044,2*E1044-D1044+J1044&gt;=0),2*E1044-D1044+J1044,"n.a.")))</x:f>
        <x:v>6294.64</x:v>
      </x:c>
      <x:c r="O1044" s="11" t="str">
        <x:f>IF(B1044="Butterfly",IF(AND(J1044&gt;0,J1044&lt;K1044),F1044-J1044,"n.a."),IF(C1044="call",IF(K1044&gt;J1044,2*E1044-D1044-J1044,"n.a."),IF(AND(J1044&gt;0,J1044&lt;K1044),D1044-J1044,"n.a.")))</x:f>
        <x:v>n.a.</x:v>
      </x:c>
      <x:c r="P1044" s="19" t="str">
        <x:f>IF(AND(B1044="Butterfly",J1044&gt;0,J1044&lt;K1044),L1044/J1044,"n.a.")</x:f>
        <x:v>n.a.</x:v>
      </x:c>
      <x:c r="Q1044" s="11" t="n">
        <x:f>J1044*'Model inputs'!$B$8</x:f>
        <x:v>-10536.000000000002</x:v>
      </x:c>
      <x:c r="R1044" s="1" t="str">
        <x:v>Indicative only</x:v>
      </x:c>
      <x:c r="S1044" s="1" t="n">
        <x:v>736</x:v>
      </x:c>
      <x:c r="T1044" s="1" t="n">
        <x:v>717</x:v>
      </x:c>
    </x:row>
    <x:row r="1045" ht="21" customHeight="1">
      <x:c r="A1045" s="12" t="n">
        <x:v>46266</x:v>
      </x:c>
      <x:c r="B1045" s="1" t="str">
        <x:v>1x2 ratio</x:v>
      </x:c>
      <x:c r="C1045" s="1" t="str">
        <x:v>call</x:v>
      </x:c>
      <x:c r="D1045" s="11" t="n">
        <x:v>7400</x:v>
      </x:c>
      <x:c r="E1045" s="11" t="n">
        <x:v>7600</x:v>
      </x:c>
      <x:c r="F1045" s="11"/>
      <x:c r="G1045" s="11" t="n">
        <x:f>'Option source'!B304</x:f>
        <x:v>372.77</x:v>
      </x:c>
      <x:c r="H1045" s="11" t="n">
        <x:f>'Option source'!B323</x:f>
        <x:v>295.41</x:v>
      </x:c>
      <x:c r="I1045" s="11"/>
      <x:c r="J1045" s="11" t="n">
        <x:f>G1045-2*H1045+IF(B1045="Butterfly",I1045,0)</x:f>
        <x:v>-218.05000000000007</x:v>
      </x:c>
      <x:c r="K1045" s="11" t="n">
        <x:f>ABS(E1045-D1045)</x:f>
        <x:v>200</x:v>
      </x:c>
      <x:c r="L1045" s="11" t="n">
        <x:f>K1045-J1045</x:f>
        <x:v>418.05000000000007</x:v>
      </x:c>
      <x:c r="M1045" s="11" t="str">
        <x:f>IF(B1045="Butterfly",MAX(J1045,0),IF(C1045="call","Unlimited",MAX(2*E1045-D1045+J1045,J1045,0)))</x:f>
        <x:v>Unlimited</x:v>
      </x:c>
      <x:c r="N1045" s="11" t="str">
        <x:f>IF(B1045="Butterfly",IF(AND(J1045&gt;0,J1045&lt;K1045),D1045+J1045,"n.a."),IF(C1045="call",IF(AND(J1045&gt;0,J1045&lt;K1045),D1045+J1045,"n.a."),IF(AND(K1045&gt;J1045,2*E1045-D1045+J1045&gt;=0),2*E1045-D1045+J1045,"n.a.")))</x:f>
        <x:v>n.a.</x:v>
      </x:c>
      <x:c r="O1045" s="11" t="n">
        <x:f>IF(B1045="Butterfly",IF(AND(J1045&gt;0,J1045&lt;K1045),F1045-J1045,"n.a."),IF(C1045="call",IF(K1045&gt;J1045,2*E1045-D1045-J1045,"n.a."),IF(AND(J1045&gt;0,J1045&lt;K1045),D1045-J1045,"n.a.")))</x:f>
        <x:v>8018.05</x:v>
      </x:c>
      <x:c r="P1045" s="19" t="str">
        <x:f>IF(AND(B1045="Butterfly",J1045&gt;0,J1045&lt;K1045),L1045/J1045,"n.a.")</x:f>
        <x:v>n.a.</x:v>
      </x:c>
      <x:c r="Q1045" s="11" t="n">
        <x:f>J1045*'Model inputs'!$B$8</x:f>
        <x:v>-21805.000000000007</x:v>
      </x:c>
      <x:c r="R1045" s="1" t="str">
        <x:v>Indicative only</x:v>
      </x:c>
      <x:c r="S1045" s="1" t="n">
        <x:v>299</x:v>
      </x:c>
      <x:c r="T1045" s="1" t="n">
        <x:v>318</x:v>
      </x:c>
    </x:row>
    <x:row r="1046" ht="21" customHeight="1">
      <x:c r="A1046" s="12" t="n">
        <x:v>46266</x:v>
      </x:c>
      <x:c r="B1046" s="1" t="str">
        <x:v>1x2 ratio</x:v>
      </x:c>
      <x:c r="C1046" s="1" t="str">
        <x:v>put</x:v>
      </x:c>
      <x:c r="D1046" s="11" t="n">
        <x:v>7800</x:v>
      </x:c>
      <x:c r="E1046" s="11" t="n">
        <x:v>7600</x:v>
      </x:c>
      <x:c r="F1046" s="11"/>
      <x:c r="G1046" s="11" t="n">
        <x:f>'Option source'!B836</x:f>
        <x:v>798.65</x:v>
      </x:c>
      <x:c r="H1046" s="11" t="n">
        <x:f>'Option source'!B817</x:f>
        <x:v>660.35</x:v>
      </x:c>
      <x:c r="I1046" s="11"/>
      <x:c r="J1046" s="11" t="n">
        <x:f>G1046-2*H1046+IF(B1046="Butterfly",I1046,0)</x:f>
        <x:v>-522.0500000000001</x:v>
      </x:c>
      <x:c r="K1046" s="11" t="n">
        <x:f>ABS(E1046-D1046)</x:f>
        <x:v>200</x:v>
      </x:c>
      <x:c r="L1046" s="11" t="n">
        <x:f>K1046-J1046</x:f>
        <x:v>722.0500000000001</x:v>
      </x:c>
      <x:c r="M1046" s="11" t="n">
        <x:f>IF(B1046="Butterfly",MAX(J1046,0),IF(C1046="call","Unlimited",MAX(2*E1046-D1046+J1046,J1046,0)))</x:f>
        <x:v>6877.95</x:v>
      </x:c>
      <x:c r="N1046" s="11" t="n">
        <x:f>IF(B1046="Butterfly",IF(AND(J1046&gt;0,J1046&lt;K1046),D1046+J1046,"n.a."),IF(C1046="call",IF(AND(J1046&gt;0,J1046&lt;K1046),D1046+J1046,"n.a."),IF(AND(K1046&gt;J1046,2*E1046-D1046+J1046&gt;=0),2*E1046-D1046+J1046,"n.a.")))</x:f>
        <x:v>6877.95</x:v>
      </x:c>
      <x:c r="O1046" s="11" t="str">
        <x:f>IF(B1046="Butterfly",IF(AND(J1046&gt;0,J1046&lt;K1046),F1046-J1046,"n.a."),IF(C1046="call",IF(K1046&gt;J1046,2*E1046-D1046-J1046,"n.a."),IF(AND(J1046&gt;0,J1046&lt;K1046),D1046-J1046,"n.a.")))</x:f>
        <x:v>n.a.</x:v>
      </x:c>
      <x:c r="P1046" s="19" t="str">
        <x:f>IF(AND(B1046="Butterfly",J1046&gt;0,J1046&lt;K1046),L1046/J1046,"n.a.")</x:f>
        <x:v>n.a.</x:v>
      </x:c>
      <x:c r="Q1046" s="11" t="n">
        <x:f>J1046*'Model inputs'!$B$8</x:f>
        <x:v>-52205.00000000001</x:v>
      </x:c>
      <x:c r="R1046" s="1" t="str">
        <x:v>Indicative only</x:v>
      </x:c>
      <x:c r="S1046" s="1" t="n">
        <x:v>831</x:v>
      </x:c>
      <x:c r="T1046" s="1" t="n">
        <x:v>812</x:v>
      </x:c>
    </x:row>
    <x:row r="1047" ht="21" customHeight="1">
      <x:c r="A1047" s="12" t="n">
        <x:v>46266</x:v>
      </x:c>
      <x:c r="B1047" s="1" t="str">
        <x:v>1x2 ratio</x:v>
      </x:c>
      <x:c r="C1047" s="1" t="str">
        <x:v>put</x:v>
      </x:c>
      <x:c r="D1047" s="11" t="n">
        <x:v>6600</x:v>
      </x:c>
      <x:c r="E1047" s="11" t="n">
        <x:v>6400</x:v>
      </x:c>
      <x:c r="F1047" s="11"/>
      <x:c r="G1047" s="11" t="n">
        <x:f>'Option source'!B722</x:f>
        <x:v>178.65</x:v>
      </x:c>
      <x:c r="H1047" s="11" t="n">
        <x:f>'Option source'!B703</x:f>
        <x:v>127.45</x:v>
      </x:c>
      <x:c r="I1047" s="11"/>
      <x:c r="J1047" s="11" t="n">
        <x:f>G1047-2*H1047+IF(B1047="Butterfly",I1047,0)</x:f>
        <x:v>-76.25</x:v>
      </x:c>
      <x:c r="K1047" s="11" t="n">
        <x:f>ABS(E1047-D1047)</x:f>
        <x:v>200</x:v>
      </x:c>
      <x:c r="L1047" s="11" t="n">
        <x:f>K1047-J1047</x:f>
        <x:v>276.25</x:v>
      </x:c>
      <x:c r="M1047" s="11" t="n">
        <x:f>IF(B1047="Butterfly",MAX(J1047,0),IF(C1047="call","Unlimited",MAX(2*E1047-D1047+J1047,J1047,0)))</x:f>
        <x:v>6123.75</x:v>
      </x:c>
      <x:c r="N1047" s="11" t="n">
        <x:f>IF(B1047="Butterfly",IF(AND(J1047&gt;0,J1047&lt;K1047),D1047+J1047,"n.a."),IF(C1047="call",IF(AND(J1047&gt;0,J1047&lt;K1047),D1047+J1047,"n.a."),IF(AND(K1047&gt;J1047,2*E1047-D1047+J1047&gt;=0),2*E1047-D1047+J1047,"n.a.")))</x:f>
        <x:v>6123.75</x:v>
      </x:c>
      <x:c r="O1047" s="11" t="str">
        <x:f>IF(B1047="Butterfly",IF(AND(J1047&gt;0,J1047&lt;K1047),F1047-J1047,"n.a."),IF(C1047="call",IF(K1047&gt;J1047,2*E1047-D1047-J1047,"n.a."),IF(AND(J1047&gt;0,J1047&lt;K1047),D1047-J1047,"n.a.")))</x:f>
        <x:v>n.a.</x:v>
      </x:c>
      <x:c r="P1047" s="19" t="str">
        <x:f>IF(AND(B1047="Butterfly",J1047&gt;0,J1047&lt;K1047),L1047/J1047,"n.a.")</x:f>
        <x:v>n.a.</x:v>
      </x:c>
      <x:c r="Q1047" s="11" t="n">
        <x:f>J1047*'Model inputs'!$B$8</x:f>
        <x:v>-7625</x:v>
      </x:c>
      <x:c r="R1047" s="1" t="str">
        <x:v>Indicative only</x:v>
      </x:c>
      <x:c r="S1047" s="1" t="n">
        <x:v>717</x:v>
      </x:c>
      <x:c r="T1047" s="1" t="n">
        <x:v>698</x:v>
      </x:c>
    </x:row>
    <x:row r="1048" ht="21" customHeight="1">
      <x:c r="A1048" s="12" t="n">
        <x:v>46266</x:v>
      </x:c>
      <x:c r="B1048" s="1" t="str">
        <x:v>1x2 ratio</x:v>
      </x:c>
      <x:c r="C1048" s="1" t="str">
        <x:v>call</x:v>
      </x:c>
      <x:c r="D1048" s="11" t="n">
        <x:v>7600</x:v>
      </x:c>
      <x:c r="E1048" s="11" t="n">
        <x:v>7800</x:v>
      </x:c>
      <x:c r="F1048" s="11"/>
      <x:c r="G1048" s="11" t="n">
        <x:f>'Option source'!B323</x:f>
        <x:v>295.41</x:v>
      </x:c>
      <x:c r="H1048" s="11" t="n">
        <x:f>'Option source'!B342</x:f>
        <x:v>232.85</x:v>
      </x:c>
      <x:c r="I1048" s="11"/>
      <x:c r="J1048" s="11" t="n">
        <x:f>G1048-2*H1048+IF(B1048="Butterfly",I1048,0)</x:f>
        <x:v>-170.28999999999996</x:v>
      </x:c>
      <x:c r="K1048" s="11" t="n">
        <x:f>ABS(E1048-D1048)</x:f>
        <x:v>200</x:v>
      </x:c>
      <x:c r="L1048" s="11" t="n">
        <x:f>K1048-J1048</x:f>
        <x:v>370.28999999999996</x:v>
      </x:c>
      <x:c r="M1048" s="11" t="str">
        <x:f>IF(B1048="Butterfly",MAX(J1048,0),IF(C1048="call","Unlimited",MAX(2*E1048-D1048+J1048,J1048,0)))</x:f>
        <x:v>Unlimited</x:v>
      </x:c>
      <x:c r="N1048" s="11" t="str">
        <x:f>IF(B1048="Butterfly",IF(AND(J1048&gt;0,J1048&lt;K1048),D1048+J1048,"n.a."),IF(C1048="call",IF(AND(J1048&gt;0,J1048&lt;K1048),D1048+J1048,"n.a."),IF(AND(K1048&gt;J1048,2*E1048-D1048+J1048&gt;=0),2*E1048-D1048+J1048,"n.a.")))</x:f>
        <x:v>n.a.</x:v>
      </x:c>
      <x:c r="O1048" s="11" t="n">
        <x:f>IF(B1048="Butterfly",IF(AND(J1048&gt;0,J1048&lt;K1048),F1048-J1048,"n.a."),IF(C1048="call",IF(K1048&gt;J1048,2*E1048-D1048-J1048,"n.a."),IF(AND(J1048&gt;0,J1048&lt;K1048),D1048-J1048,"n.a.")))</x:f>
        <x:v>8170.29</x:v>
      </x:c>
      <x:c r="P1048" s="19" t="str">
        <x:f>IF(AND(B1048="Butterfly",J1048&gt;0,J1048&lt;K1048),L1048/J1048,"n.a.")</x:f>
        <x:v>n.a.</x:v>
      </x:c>
      <x:c r="Q1048" s="11" t="n">
        <x:f>J1048*'Model inputs'!$B$8</x:f>
        <x:v>-17028.999999999996</x:v>
      </x:c>
      <x:c r="R1048" s="1" t="str">
        <x:v>Indicative only</x:v>
      </x:c>
      <x:c r="S1048" s="1" t="n">
        <x:v>318</x:v>
      </x:c>
      <x:c r="T1048" s="1" t="n">
        <x:v>337</x:v>
      </x:c>
    </x:row>
    <x:row r="1049" ht="21" customHeight="1">
      <x:c r="A1049" s="12" t="n">
        <x:v>46266</x:v>
      </x:c>
      <x:c r="B1049" s="1" t="str">
        <x:v>1x2 ratio</x:v>
      </x:c>
      <x:c r="C1049" s="1" t="str">
        <x:v>put</x:v>
      </x:c>
      <x:c r="D1049" s="11" t="n">
        <x:v>8000</x:v>
      </x:c>
      <x:c r="E1049" s="11" t="n">
        <x:v>7800</x:v>
      </x:c>
      <x:c r="F1049" s="11"/>
      <x:c r="G1049" s="11" t="n">
        <x:f>'Option source'!B855</x:f>
        <x:v>960</x:v>
      </x:c>
      <x:c r="H1049" s="11" t="n">
        <x:f>'Option source'!B836</x:f>
        <x:v>798.65</x:v>
      </x:c>
      <x:c r="I1049" s="11"/>
      <x:c r="J1049" s="11" t="n">
        <x:f>G1049-2*H1049+IF(B1049="Butterfly",I1049,0)</x:f>
        <x:v>-637.3</x:v>
      </x:c>
      <x:c r="K1049" s="11" t="n">
        <x:f>ABS(E1049-D1049)</x:f>
        <x:v>200</x:v>
      </x:c>
      <x:c r="L1049" s="11" t="n">
        <x:f>K1049-J1049</x:f>
        <x:v>837.3</x:v>
      </x:c>
      <x:c r="M1049" s="11" t="n">
        <x:f>IF(B1049="Butterfly",MAX(J1049,0),IF(C1049="call","Unlimited",MAX(2*E1049-D1049+J1049,J1049,0)))</x:f>
        <x:v>6962.7</x:v>
      </x:c>
      <x:c r="N1049" s="11" t="n">
        <x:f>IF(B1049="Butterfly",IF(AND(J1049&gt;0,J1049&lt;K1049),D1049+J1049,"n.a."),IF(C1049="call",IF(AND(J1049&gt;0,J1049&lt;K1049),D1049+J1049,"n.a."),IF(AND(K1049&gt;J1049,2*E1049-D1049+J1049&gt;=0),2*E1049-D1049+J1049,"n.a.")))</x:f>
        <x:v>6962.7</x:v>
      </x:c>
      <x:c r="O1049" s="11" t="str">
        <x:f>IF(B1049="Butterfly",IF(AND(J1049&gt;0,J1049&lt;K1049),F1049-J1049,"n.a."),IF(C1049="call",IF(K1049&gt;J1049,2*E1049-D1049-J1049,"n.a."),IF(AND(J1049&gt;0,J1049&lt;K1049),D1049-J1049,"n.a.")))</x:f>
        <x:v>n.a.</x:v>
      </x:c>
      <x:c r="P1049" s="19" t="str">
        <x:f>IF(AND(B1049="Butterfly",J1049&gt;0,J1049&lt;K1049),L1049/J1049,"n.a.")</x:f>
        <x:v>n.a.</x:v>
      </x:c>
      <x:c r="Q1049" s="11" t="n">
        <x:f>J1049*'Model inputs'!$B$8</x:f>
        <x:v>-63729.99999999999</x:v>
      </x:c>
      <x:c r="R1049" s="1" t="str">
        <x:v>Indicative only</x:v>
      </x:c>
      <x:c r="S1049" s="1" t="n">
        <x:v>850</x:v>
      </x:c>
      <x:c r="T1049" s="1" t="n">
        <x:v>831</x:v>
      </x:c>
    </x:row>
    <x:row r="1050" ht="21" customHeight="1">
      <x:c r="A1050" s="12" t="n">
        <x:v>46266</x:v>
      </x:c>
      <x:c r="B1050" s="1" t="str">
        <x:v>1x2 ratio</x:v>
      </x:c>
      <x:c r="C1050" s="1" t="str">
        <x:v>put</x:v>
      </x:c>
      <x:c r="D1050" s="11" t="n">
        <x:v>6400</x:v>
      </x:c>
      <x:c r="E1050" s="11" t="n">
        <x:v>6200</x:v>
      </x:c>
      <x:c r="F1050" s="11"/>
      <x:c r="G1050" s="11" t="n">
        <x:f>'Option source'!B703</x:f>
        <x:v>127.45</x:v>
      </x:c>
      <x:c r="H1050" s="11" t="n">
        <x:f>'Option source'!B684</x:f>
        <x:v>85.04</x:v>
      </x:c>
      <x:c r="I1050" s="11"/>
      <x:c r="J1050" s="11" t="n">
        <x:f>G1050-2*H1050+IF(B1050="Butterfly",I1050,0)</x:f>
        <x:v>-42.63000000000001</x:v>
      </x:c>
      <x:c r="K1050" s="11" t="n">
        <x:f>ABS(E1050-D1050)</x:f>
        <x:v>200</x:v>
      </x:c>
      <x:c r="L1050" s="11" t="n">
        <x:f>K1050-J1050</x:f>
        <x:v>242.63</x:v>
      </x:c>
      <x:c r="M1050" s="11" t="n">
        <x:f>IF(B1050="Butterfly",MAX(J1050,0),IF(C1050="call","Unlimited",MAX(2*E1050-D1050+J1050,J1050,0)))</x:f>
        <x:v>5957.37</x:v>
      </x:c>
      <x:c r="N1050" s="11" t="n">
        <x:f>IF(B1050="Butterfly",IF(AND(J1050&gt;0,J1050&lt;K1050),D1050+J1050,"n.a."),IF(C1050="call",IF(AND(J1050&gt;0,J1050&lt;K1050),D1050+J1050,"n.a."),IF(AND(K1050&gt;J1050,2*E1050-D1050+J1050&gt;=0),2*E1050-D1050+J1050,"n.a.")))</x:f>
        <x:v>5957.37</x:v>
      </x:c>
      <x:c r="O1050" s="11" t="str">
        <x:f>IF(B1050="Butterfly",IF(AND(J1050&gt;0,J1050&lt;K1050),F1050-J1050,"n.a."),IF(C1050="call",IF(K1050&gt;J1050,2*E1050-D1050-J1050,"n.a."),IF(AND(J1050&gt;0,J1050&lt;K1050),D1050-J1050,"n.a.")))</x:f>
        <x:v>n.a.</x:v>
      </x:c>
      <x:c r="P1050" s="19" t="str">
        <x:f>IF(AND(B1050="Butterfly",J1050&gt;0,J1050&lt;K1050),L1050/J1050,"n.a.")</x:f>
        <x:v>n.a.</x:v>
      </x:c>
      <x:c r="Q1050" s="11" t="n">
        <x:f>J1050*'Model inputs'!$B$8</x:f>
        <x:v>-4263.000000000001</x:v>
      </x:c>
      <x:c r="R1050" s="1" t="str">
        <x:v>Indicative only</x:v>
      </x:c>
      <x:c r="S1050" s="1" t="n">
        <x:v>698</x:v>
      </x:c>
      <x:c r="T1050" s="1" t="n">
        <x:v>679</x:v>
      </x:c>
    </x:row>
    <x:row r="1051" ht="21" customHeight="1">
      <x:c r="A1051" s="12" t="n">
        <x:v>46266</x:v>
      </x:c>
      <x:c r="B1051" s="1" t="str">
        <x:v>1x2 ratio</x:v>
      </x:c>
      <x:c r="C1051" s="1" t="str">
        <x:v>call</x:v>
      </x:c>
      <x:c r="D1051" s="11" t="n">
        <x:v>7800</x:v>
      </x:c>
      <x:c r="E1051" s="11" t="n">
        <x:v>8000</x:v>
      </x:c>
      <x:c r="F1051" s="11"/>
      <x:c r="G1051" s="11" t="n">
        <x:f>'Option source'!B342</x:f>
        <x:v>232.85</x:v>
      </x:c>
      <x:c r="H1051" s="11" t="n">
        <x:f>'Option source'!B361</x:f>
        <x:v>181.31</x:v>
      </x:c>
      <x:c r="I1051" s="11"/>
      <x:c r="J1051" s="11" t="n">
        <x:f>G1051-2*H1051+IF(B1051="Butterfly",I1051,0)</x:f>
        <x:v>-129.77</x:v>
      </x:c>
      <x:c r="K1051" s="11" t="n">
        <x:f>ABS(E1051-D1051)</x:f>
        <x:v>200</x:v>
      </x:c>
      <x:c r="L1051" s="11" t="n">
        <x:f>K1051-J1051</x:f>
        <x:v>329.77</x:v>
      </x:c>
      <x:c r="M1051" s="11" t="str">
        <x:f>IF(B1051="Butterfly",MAX(J1051,0),IF(C1051="call","Unlimited",MAX(2*E1051-D1051+J1051,J1051,0)))</x:f>
        <x:v>Unlimited</x:v>
      </x:c>
      <x:c r="N1051" s="11" t="str">
        <x:f>IF(B1051="Butterfly",IF(AND(J1051&gt;0,J1051&lt;K1051),D1051+J1051,"n.a."),IF(C1051="call",IF(AND(J1051&gt;0,J1051&lt;K1051),D1051+J1051,"n.a."),IF(AND(K1051&gt;J1051,2*E1051-D1051+J1051&gt;=0),2*E1051-D1051+J1051,"n.a.")))</x:f>
        <x:v>n.a.</x:v>
      </x:c>
      <x:c r="O1051" s="11" t="n">
        <x:f>IF(B1051="Butterfly",IF(AND(J1051&gt;0,J1051&lt;K1051),F1051-J1051,"n.a."),IF(C1051="call",IF(K1051&gt;J1051,2*E1051-D1051-J1051,"n.a."),IF(AND(J1051&gt;0,J1051&lt;K1051),D1051-J1051,"n.a.")))</x:f>
        <x:v>8329.77</x:v>
      </x:c>
      <x:c r="P1051" s="19" t="str">
        <x:f>IF(AND(B1051="Butterfly",J1051&gt;0,J1051&lt;K1051),L1051/J1051,"n.a.")</x:f>
        <x:v>n.a.</x:v>
      </x:c>
      <x:c r="Q1051" s="11" t="n">
        <x:f>J1051*'Model inputs'!$B$8</x:f>
        <x:v>-12977.000000000002</x:v>
      </x:c>
      <x:c r="R1051" s="1" t="str">
        <x:v>Indicative only</x:v>
      </x:c>
      <x:c r="S1051" s="1" t="n">
        <x:v>337</x:v>
      </x:c>
      <x:c r="T1051" s="1" t="n">
        <x:v>356</x:v>
      </x:c>
    </x:row>
    <x:row r="1052" ht="21" customHeight="1">
      <x:c r="A1052" s="12" t="n">
        <x:v>46266</x:v>
      </x:c>
      <x:c r="B1052" s="1" t="str">
        <x:v>1x2 ratio</x:v>
      </x:c>
      <x:c r="C1052" s="1" t="str">
        <x:v>put</x:v>
      </x:c>
      <x:c r="D1052" s="11" t="n">
        <x:v>6200</x:v>
      </x:c>
      <x:c r="E1052" s="11" t="n">
        <x:v>6000</x:v>
      </x:c>
      <x:c r="F1052" s="11"/>
      <x:c r="G1052" s="11" t="n">
        <x:f>'Option source'!B684</x:f>
        <x:v>85.04</x:v>
      </x:c>
      <x:c r="H1052" s="11" t="n">
        <x:f>'Option source'!B665</x:f>
        <x:v>56.43</x:v>
      </x:c>
      <x:c r="I1052" s="11"/>
      <x:c r="J1052" s="11" t="n">
        <x:f>G1052-2*H1052+IF(B1052="Butterfly",I1052,0)</x:f>
        <x:v>-27.819999999999993</x:v>
      </x:c>
      <x:c r="K1052" s="11" t="n">
        <x:f>ABS(E1052-D1052)</x:f>
        <x:v>200</x:v>
      </x:c>
      <x:c r="L1052" s="11" t="n">
        <x:f>K1052-J1052</x:f>
        <x:v>227.82</x:v>
      </x:c>
      <x:c r="M1052" s="11" t="n">
        <x:f>IF(B1052="Butterfly",MAX(J1052,0),IF(C1052="call","Unlimited",MAX(2*E1052-D1052+J1052,J1052,0)))</x:f>
        <x:v>5772.18</x:v>
      </x:c>
      <x:c r="N1052" s="11" t="n">
        <x:f>IF(B1052="Butterfly",IF(AND(J1052&gt;0,J1052&lt;K1052),D1052+J1052,"n.a."),IF(C1052="call",IF(AND(J1052&gt;0,J1052&lt;K1052),D1052+J1052,"n.a."),IF(AND(K1052&gt;J1052,2*E1052-D1052+J1052&gt;=0),2*E1052-D1052+J1052,"n.a.")))</x:f>
        <x:v>5772.18</x:v>
      </x:c>
      <x:c r="O1052" s="11" t="str">
        <x:f>IF(B1052="Butterfly",IF(AND(J1052&gt;0,J1052&lt;K1052),F1052-J1052,"n.a."),IF(C1052="call",IF(K1052&gt;J1052,2*E1052-D1052-J1052,"n.a."),IF(AND(J1052&gt;0,J1052&lt;K1052),D1052-J1052,"n.a.")))</x:f>
        <x:v>n.a.</x:v>
      </x:c>
      <x:c r="P1052" s="19" t="str">
        <x:f>IF(AND(B1052="Butterfly",J1052&gt;0,J1052&lt;K1052),L1052/J1052,"n.a.")</x:f>
        <x:v>n.a.</x:v>
      </x:c>
      <x:c r="Q1052" s="11" t="n">
        <x:f>J1052*'Model inputs'!$B$8</x:f>
        <x:v>-2781.999999999999</x:v>
      </x:c>
      <x:c r="R1052" s="1" t="str">
        <x:v>Indicative only</x:v>
      </x:c>
      <x:c r="S1052" s="1" t="n">
        <x:v>679</x:v>
      </x:c>
      <x:c r="T1052" s="1" t="n">
        <x:v>660</x:v>
      </x:c>
    </x:row>
    <x:row r="1053" ht="21" customHeight="1">
      <x:c r="A1053" s="12" t="n">
        <x:v>46266</x:v>
      </x:c>
      <x:c r="B1053" s="1" t="str">
        <x:v>1x2 ratio</x:v>
      </x:c>
      <x:c r="C1053" s="1" t="str">
        <x:v>call</x:v>
      </x:c>
      <x:c r="D1053" s="11" t="n">
        <x:v>8000</x:v>
      </x:c>
      <x:c r="E1053" s="11" t="n">
        <x:v>8300</x:v>
      </x:c>
      <x:c r="F1053" s="11"/>
      <x:c r="G1053" s="11" t="n">
        <x:f>'Option source'!B361</x:f>
        <x:v>181.31</x:v>
      </x:c>
      <x:c r="H1053" s="11" t="n">
        <x:f>'Option source'!B380</x:f>
        <x:v>117.76</x:v>
      </x:c>
      <x:c r="I1053" s="11"/>
      <x:c r="J1053" s="11" t="n">
        <x:f>G1053-2*H1053+IF(B1053="Butterfly",I1053,0)</x:f>
        <x:v>-54.21000000000001</x:v>
      </x:c>
      <x:c r="K1053" s="11" t="n">
        <x:f>ABS(E1053-D1053)</x:f>
        <x:v>300</x:v>
      </x:c>
      <x:c r="L1053" s="11" t="n">
        <x:f>K1053-J1053</x:f>
        <x:v>354.21000000000004</x:v>
      </x:c>
      <x:c r="M1053" s="11" t="str">
        <x:f>IF(B1053="Butterfly",MAX(J1053,0),IF(C1053="call","Unlimited",MAX(2*E1053-D1053+J1053,J1053,0)))</x:f>
        <x:v>Unlimited</x:v>
      </x:c>
      <x:c r="N1053" s="11" t="str">
        <x:f>IF(B1053="Butterfly",IF(AND(J1053&gt;0,J1053&lt;K1053),D1053+J1053,"n.a."),IF(C1053="call",IF(AND(J1053&gt;0,J1053&lt;K1053),D1053+J1053,"n.a."),IF(AND(K1053&gt;J1053,2*E1053-D1053+J1053&gt;=0),2*E1053-D1053+J1053,"n.a.")))</x:f>
        <x:v>n.a.</x:v>
      </x:c>
      <x:c r="O1053" s="11" t="n">
        <x:f>IF(B1053="Butterfly",IF(AND(J1053&gt;0,J1053&lt;K1053),F1053-J1053,"n.a."),IF(C1053="call",IF(K1053&gt;J1053,2*E1053-D1053-J1053,"n.a."),IF(AND(J1053&gt;0,J1053&lt;K1053),D1053-J1053,"n.a.")))</x:f>
        <x:v>8654.21</x:v>
      </x:c>
      <x:c r="P1053" s="19" t="str">
        <x:f>IF(AND(B1053="Butterfly",J1053&gt;0,J1053&lt;K1053),L1053/J1053,"n.a.")</x:f>
        <x:v>n.a.</x:v>
      </x:c>
      <x:c r="Q1053" s="11" t="n">
        <x:f>J1053*'Model inputs'!$B$8</x:f>
        <x:v>-5421.000000000001</x:v>
      </x:c>
      <x:c r="R1053" s="1" t="str">
        <x:v>Indicative only</x:v>
      </x:c>
      <x:c r="S1053" s="1" t="n">
        <x:v>356</x:v>
      </x:c>
      <x:c r="T1053" s="1" t="n">
        <x:v>375</x:v>
      </x:c>
    </x:row>
    <x:row r="1054" ht="21" customHeight="1">
      <x:c r="A1054" s="12" t="n">
        <x:v>46266</x:v>
      </x:c>
      <x:c r="B1054" s="1" t="str">
        <x:v>1x2 ratio</x:v>
      </x:c>
      <x:c r="C1054" s="1" t="str">
        <x:v>put</x:v>
      </x:c>
      <x:c r="D1054" s="11" t="n">
        <x:v>6000</x:v>
      </x:c>
      <x:c r="E1054" s="11" t="n">
        <x:v>5800</x:v>
      </x:c>
      <x:c r="F1054" s="11"/>
      <x:c r="G1054" s="11" t="n">
        <x:f>'Option source'!B665</x:f>
        <x:v>56.43</x:v>
      </x:c>
      <x:c r="H1054" s="11" t="n">
        <x:f>'Option source'!B646</x:f>
        <x:v>33.95</x:v>
      </x:c>
      <x:c r="I1054" s="11"/>
      <x:c r="J1054" s="11" t="n">
        <x:f>G1054-2*H1054+IF(B1054="Butterfly",I1054,0)</x:f>
        <x:v>-11.470000000000006</x:v>
      </x:c>
      <x:c r="K1054" s="11" t="n">
        <x:f>ABS(E1054-D1054)</x:f>
        <x:v>200</x:v>
      </x:c>
      <x:c r="L1054" s="11" t="n">
        <x:f>K1054-J1054</x:f>
        <x:v>211.47</x:v>
      </x:c>
      <x:c r="M1054" s="11" t="n">
        <x:f>IF(B1054="Butterfly",MAX(J1054,0),IF(C1054="call","Unlimited",MAX(2*E1054-D1054+J1054,J1054,0)))</x:f>
        <x:v>5588.53</x:v>
      </x:c>
      <x:c r="N1054" s="11" t="n">
        <x:f>IF(B1054="Butterfly",IF(AND(J1054&gt;0,J1054&lt;K1054),D1054+J1054,"n.a."),IF(C1054="call",IF(AND(J1054&gt;0,J1054&lt;K1054),D1054+J1054,"n.a."),IF(AND(K1054&gt;J1054,2*E1054-D1054+J1054&gt;=0),2*E1054-D1054+J1054,"n.a.")))</x:f>
        <x:v>5588.53</x:v>
      </x:c>
      <x:c r="O1054" s="11" t="str">
        <x:f>IF(B1054="Butterfly",IF(AND(J1054&gt;0,J1054&lt;K1054),F1054-J1054,"n.a."),IF(C1054="call",IF(K1054&gt;J1054,2*E1054-D1054-J1054,"n.a."),IF(AND(J1054&gt;0,J1054&lt;K1054),D1054-J1054,"n.a.")))</x:f>
        <x:v>n.a.</x:v>
      </x:c>
      <x:c r="P1054" s="19" t="str">
        <x:f>IF(AND(B1054="Butterfly",J1054&gt;0,J1054&lt;K1054),L1054/J1054,"n.a.")</x:f>
        <x:v>n.a.</x:v>
      </x:c>
      <x:c r="Q1054" s="11" t="n">
        <x:f>J1054*'Model inputs'!$B$8</x:f>
        <x:v>-1147.0000000000007</x:v>
      </x:c>
      <x:c r="R1054" s="1" t="str">
        <x:v>Indicative only</x:v>
      </x:c>
      <x:c r="S1054" s="1" t="n">
        <x:v>660</x:v>
      </x:c>
      <x:c r="T1054" s="1" t="n">
        <x:v>641</x:v>
      </x:c>
    </x:row>
    <x:row r="1055" ht="21" customHeight="1">
      <x:c r="A1055" s="12" t="n">
        <x:v>46266</x:v>
      </x:c>
      <x:c r="B1055" s="1" t="str">
        <x:v>1x2 ratio</x:v>
      </x:c>
      <x:c r="C1055" s="1" t="str">
        <x:v>put</x:v>
      </x:c>
      <x:c r="D1055" s="11" t="n">
        <x:v>5800</x:v>
      </x:c>
      <x:c r="E1055" s="11" t="n">
        <x:v>5600</x:v>
      </x:c>
      <x:c r="F1055" s="11"/>
      <x:c r="G1055" s="11" t="n">
        <x:f>'Option source'!B646</x:f>
        <x:v>33.95</x:v>
      </x:c>
      <x:c r="H1055" s="11" t="n">
        <x:f>'Option source'!B627</x:f>
        <x:v>20.3</x:v>
      </x:c>
      <x:c r="I1055" s="11"/>
      <x:c r="J1055" s="11" t="n">
        <x:f>G1055-2*H1055+IF(B1055="Butterfly",I1055,0)</x:f>
        <x:v>-6.649999999999999</x:v>
      </x:c>
      <x:c r="K1055" s="11" t="n">
        <x:f>ABS(E1055-D1055)</x:f>
        <x:v>200</x:v>
      </x:c>
      <x:c r="L1055" s="11" t="n">
        <x:f>K1055-J1055</x:f>
        <x:v>206.65</x:v>
      </x:c>
      <x:c r="M1055" s="11" t="n">
        <x:f>IF(B1055="Butterfly",MAX(J1055,0),IF(C1055="call","Unlimited",MAX(2*E1055-D1055+J1055,J1055,0)))</x:f>
        <x:v>5393.35</x:v>
      </x:c>
      <x:c r="N1055" s="11" t="n">
        <x:f>IF(B1055="Butterfly",IF(AND(J1055&gt;0,J1055&lt;K1055),D1055+J1055,"n.a."),IF(C1055="call",IF(AND(J1055&gt;0,J1055&lt;K1055),D1055+J1055,"n.a."),IF(AND(K1055&gt;J1055,2*E1055-D1055+J1055&gt;=0),2*E1055-D1055+J1055,"n.a.")))</x:f>
        <x:v>5393.35</x:v>
      </x:c>
      <x:c r="O1055" s="11" t="str">
        <x:f>IF(B1055="Butterfly",IF(AND(J1055&gt;0,J1055&lt;K1055),F1055-J1055,"n.a."),IF(C1055="call",IF(K1055&gt;J1055,2*E1055-D1055-J1055,"n.a."),IF(AND(J1055&gt;0,J1055&lt;K1055),D1055-J1055,"n.a.")))</x:f>
        <x:v>n.a.</x:v>
      </x:c>
      <x:c r="P1055" s="19" t="str">
        <x:f>IF(AND(B1055="Butterfly",J1055&gt;0,J1055&lt;K1055),L1055/J1055,"n.a.")</x:f>
        <x:v>n.a.</x:v>
      </x:c>
      <x:c r="Q1055" s="11" t="n">
        <x:f>J1055*'Model inputs'!$B$8</x:f>
        <x:v>-664.9999999999999</x:v>
      </x:c>
      <x:c r="R1055" s="1" t="str">
        <x:v>Indicative only</x:v>
      </x:c>
      <x:c r="S1055" s="1" t="n">
        <x:v>641</x:v>
      </x:c>
      <x:c r="T1055" s="1" t="n">
        <x:v>622</x:v>
      </x:c>
    </x:row>
    <x:row r="1056" ht="21" customHeight="1">
      <x:c r="A1056" s="12" t="n">
        <x:v>46266</x:v>
      </x:c>
      <x:c r="B1056" s="1" t="str">
        <x:v>1x2 ratio</x:v>
      </x:c>
      <x:c r="C1056" s="1" t="str">
        <x:v>call</x:v>
      </x:c>
      <x:c r="D1056" s="11" t="n">
        <x:v>8300</x:v>
      </x:c>
      <x:c r="E1056" s="11" t="n">
        <x:v>8600</x:v>
      </x:c>
      <x:c r="F1056" s="11"/>
      <x:c r="G1056" s="11" t="n">
        <x:f>'Option source'!B380</x:f>
        <x:v>117.76</x:v>
      </x:c>
      <x:c r="H1056" s="11" t="n">
        <x:f>'Option source'!B399</x:f>
        <x:v>73.38</x:v>
      </x:c>
      <x:c r="I1056" s="11"/>
      <x:c r="J1056" s="11" t="n">
        <x:f>G1056-2*H1056+IF(B1056="Butterfly",I1056,0)</x:f>
        <x:v>-28.999999999999986</x:v>
      </x:c>
      <x:c r="K1056" s="11" t="n">
        <x:f>ABS(E1056-D1056)</x:f>
        <x:v>300</x:v>
      </x:c>
      <x:c r="L1056" s="11" t="n">
        <x:f>K1056-J1056</x:f>
        <x:v>329</x:v>
      </x:c>
      <x:c r="M1056" s="11" t="str">
        <x:f>IF(B1056="Butterfly",MAX(J1056,0),IF(C1056="call","Unlimited",MAX(2*E1056-D1056+J1056,J1056,0)))</x:f>
        <x:v>Unlimited</x:v>
      </x:c>
      <x:c r="N1056" s="11" t="str">
        <x:f>IF(B1056="Butterfly",IF(AND(J1056&gt;0,J1056&lt;K1056),D1056+J1056,"n.a."),IF(C1056="call",IF(AND(J1056&gt;0,J1056&lt;K1056),D1056+J1056,"n.a."),IF(AND(K1056&gt;J1056,2*E1056-D1056+J1056&gt;=0),2*E1056-D1056+J1056,"n.a.")))</x:f>
        <x:v>n.a.</x:v>
      </x:c>
      <x:c r="O1056" s="11" t="n">
        <x:f>IF(B1056="Butterfly",IF(AND(J1056&gt;0,J1056&lt;K1056),F1056-J1056,"n.a."),IF(C1056="call",IF(K1056&gt;J1056,2*E1056-D1056-J1056,"n.a."),IF(AND(J1056&gt;0,J1056&lt;K1056),D1056-J1056,"n.a.")))</x:f>
        <x:v>8929</x:v>
      </x:c>
      <x:c r="P1056" s="19" t="str">
        <x:f>IF(AND(B1056="Butterfly",J1056&gt;0,J1056&lt;K1056),L1056/J1056,"n.a.")</x:f>
        <x:v>n.a.</x:v>
      </x:c>
      <x:c r="Q1056" s="11" t="n">
        <x:f>J1056*'Model inputs'!$B$8</x:f>
        <x:v>-2899.9999999999986</x:v>
      </x:c>
      <x:c r="R1056" s="1" t="str">
        <x:v>Indicative only</x:v>
      </x:c>
      <x:c r="S1056" s="1" t="n">
        <x:v>375</x:v>
      </x:c>
      <x:c r="T1056" s="1" t="n">
        <x:v>394</x:v>
      </x:c>
    </x:row>
    <x:row r="1057" ht="21" customHeight="1">
      <x:c r="A1057" s="12" t="n">
        <x:v>46266</x:v>
      </x:c>
      <x:c r="B1057" s="1" t="str">
        <x:v>1x2 ratio</x:v>
      </x:c>
      <x:c r="C1057" s="1" t="str">
        <x:v>put</x:v>
      </x:c>
      <x:c r="D1057" s="11" t="n">
        <x:v>5600</x:v>
      </x:c>
      <x:c r="E1057" s="11" t="n">
        <x:v>5400</x:v>
      </x:c>
      <x:c r="F1057" s="11"/>
      <x:c r="G1057" s="11" t="n">
        <x:f>'Option source'!B627</x:f>
        <x:v>20.3</x:v>
      </x:c>
      <x:c r="H1057" s="11" t="n">
        <x:f>'Option source'!B608</x:f>
        <x:v>11.07</x:v>
      </x:c>
      <x:c r="I1057" s="11"/>
      <x:c r="J1057" s="11" t="n">
        <x:f>G1057-2*H1057+IF(B1057="Butterfly",I1057,0)</x:f>
        <x:v>-1.8399999999999999</x:v>
      </x:c>
      <x:c r="K1057" s="11" t="n">
        <x:f>ABS(E1057-D1057)</x:f>
        <x:v>200</x:v>
      </x:c>
      <x:c r="L1057" s="11" t="n">
        <x:f>K1057-J1057</x:f>
        <x:v>201.84</x:v>
      </x:c>
      <x:c r="M1057" s="11" t="n">
        <x:f>IF(B1057="Butterfly",MAX(J1057,0),IF(C1057="call","Unlimited",MAX(2*E1057-D1057+J1057,J1057,0)))</x:f>
        <x:v>5198.16</x:v>
      </x:c>
      <x:c r="N1057" s="11" t="n">
        <x:f>IF(B1057="Butterfly",IF(AND(J1057&gt;0,J1057&lt;K1057),D1057+J1057,"n.a."),IF(C1057="call",IF(AND(J1057&gt;0,J1057&lt;K1057),D1057+J1057,"n.a."),IF(AND(K1057&gt;J1057,2*E1057-D1057+J1057&gt;=0),2*E1057-D1057+J1057,"n.a.")))</x:f>
        <x:v>5198.16</x:v>
      </x:c>
      <x:c r="O1057" s="11" t="str">
        <x:f>IF(B1057="Butterfly",IF(AND(J1057&gt;0,J1057&lt;K1057),F1057-J1057,"n.a."),IF(C1057="call",IF(K1057&gt;J1057,2*E1057-D1057-J1057,"n.a."),IF(AND(J1057&gt;0,J1057&lt;K1057),D1057-J1057,"n.a.")))</x:f>
        <x:v>n.a.</x:v>
      </x:c>
      <x:c r="P1057" s="19" t="str">
        <x:f>IF(AND(B1057="Butterfly",J1057&gt;0,J1057&lt;K1057),L1057/J1057,"n.a.")</x:f>
        <x:v>n.a.</x:v>
      </x:c>
      <x:c r="Q1057" s="11" t="n">
        <x:f>J1057*'Model inputs'!$B$8</x:f>
        <x:v>-184</x:v>
      </x:c>
      <x:c r="R1057" s="1" t="str">
        <x:v>Indicative only</x:v>
      </x:c>
      <x:c r="S1057" s="1" t="n">
        <x:v>622</x:v>
      </x:c>
      <x:c r="T1057" s="1" t="n">
        <x:v>603</x:v>
      </x:c>
    </x:row>
    <x:row r="1058" ht="21" customHeight="1">
      <x:c r="A1058" s="12" t="n">
        <x:v>46266</x:v>
      </x:c>
      <x:c r="B1058" s="1" t="str">
        <x:v>1x2 ratio</x:v>
      </x:c>
      <x:c r="C1058" s="1" t="str">
        <x:v>call</x:v>
      </x:c>
      <x:c r="D1058" s="11" t="n">
        <x:v>8600</x:v>
      </x:c>
      <x:c r="E1058" s="11" t="n">
        <x:v>8900</x:v>
      </x:c>
      <x:c r="F1058" s="11"/>
      <x:c r="G1058" s="11" t="n">
        <x:f>'Option source'!B399</x:f>
        <x:v>73.38</x:v>
      </x:c>
      <x:c r="H1058" s="11" t="n">
        <x:f>'Option source'!B418</x:f>
        <x:v>45.91</x:v>
      </x:c>
      <x:c r="I1058" s="11"/>
      <x:c r="J1058" s="11" t="n">
        <x:f>G1058-2*H1058+IF(B1058="Butterfly",I1058,0)</x:f>
        <x:v>-18.439999999999998</x:v>
      </x:c>
      <x:c r="K1058" s="11" t="n">
        <x:f>ABS(E1058-D1058)</x:f>
        <x:v>300</x:v>
      </x:c>
      <x:c r="L1058" s="11" t="n">
        <x:f>K1058-J1058</x:f>
        <x:v>318.44</x:v>
      </x:c>
      <x:c r="M1058" s="11" t="str">
        <x:f>IF(B1058="Butterfly",MAX(J1058,0),IF(C1058="call","Unlimited",MAX(2*E1058-D1058+J1058,J1058,0)))</x:f>
        <x:v>Unlimited</x:v>
      </x:c>
      <x:c r="N1058" s="11" t="str">
        <x:f>IF(B1058="Butterfly",IF(AND(J1058&gt;0,J1058&lt;K1058),D1058+J1058,"n.a."),IF(C1058="call",IF(AND(J1058&gt;0,J1058&lt;K1058),D1058+J1058,"n.a."),IF(AND(K1058&gt;J1058,2*E1058-D1058+J1058&gt;=0),2*E1058-D1058+J1058,"n.a.")))</x:f>
        <x:v>n.a.</x:v>
      </x:c>
      <x:c r="O1058" s="11" t="n">
        <x:f>IF(B1058="Butterfly",IF(AND(J1058&gt;0,J1058&lt;K1058),F1058-J1058,"n.a."),IF(C1058="call",IF(K1058&gt;J1058,2*E1058-D1058-J1058,"n.a."),IF(AND(J1058&gt;0,J1058&lt;K1058),D1058-J1058,"n.a.")))</x:f>
        <x:v>9218.44</x:v>
      </x:c>
      <x:c r="P1058" s="19" t="str">
        <x:f>IF(AND(B1058="Butterfly",J1058&gt;0,J1058&lt;K1058),L1058/J1058,"n.a.")</x:f>
        <x:v>n.a.</x:v>
      </x:c>
      <x:c r="Q1058" s="11" t="n">
        <x:f>J1058*'Model inputs'!$B$8</x:f>
        <x:v>-1843.9999999999998</x:v>
      </x:c>
      <x:c r="R1058" s="1" t="str">
        <x:v>Indicative only</x:v>
      </x:c>
      <x:c r="S1058" s="1" t="n">
        <x:v>394</x:v>
      </x:c>
      <x:c r="T1058" s="1" t="n">
        <x:v>413</x:v>
      </x:c>
    </x:row>
    <x:row r="1059" ht="21" customHeight="1">
      <x:c r="A1059" s="12" t="n">
        <x:v>46266</x:v>
      </x:c>
      <x:c r="B1059" s="1" t="str">
        <x:v>1x2 ratio</x:v>
      </x:c>
      <x:c r="C1059" s="1" t="str">
        <x:v>put</x:v>
      </x:c>
      <x:c r="D1059" s="11" t="n">
        <x:v>5400</x:v>
      </x:c>
      <x:c r="E1059" s="11" t="n">
        <x:v>5200</x:v>
      </x:c>
      <x:c r="F1059" s="11"/>
      <x:c r="G1059" s="11" t="n">
        <x:f>'Option source'!B608</x:f>
        <x:v>11.07</x:v>
      </x:c>
      <x:c r="H1059" s="11" t="n">
        <x:f>'Option source'!B589</x:f>
        <x:v>6.67</x:v>
      </x:c>
      <x:c r="I1059" s="11"/>
      <x:c r="J1059" s="11" t="n">
        <x:f>G1059-2*H1059+IF(B1059="Butterfly",I1059,0)</x:f>
        <x:v>-2.2699999999999996</x:v>
      </x:c>
      <x:c r="K1059" s="11" t="n">
        <x:f>ABS(E1059-D1059)</x:f>
        <x:v>200</x:v>
      </x:c>
      <x:c r="L1059" s="11" t="n">
        <x:f>K1059-J1059</x:f>
        <x:v>202.27</x:v>
      </x:c>
      <x:c r="M1059" s="11" t="n">
        <x:f>IF(B1059="Butterfly",MAX(J1059,0),IF(C1059="call","Unlimited",MAX(2*E1059-D1059+J1059,J1059,0)))</x:f>
        <x:v>4997.73</x:v>
      </x:c>
      <x:c r="N1059" s="11" t="n">
        <x:f>IF(B1059="Butterfly",IF(AND(J1059&gt;0,J1059&lt;K1059),D1059+J1059,"n.a."),IF(C1059="call",IF(AND(J1059&gt;0,J1059&lt;K1059),D1059+J1059,"n.a."),IF(AND(K1059&gt;J1059,2*E1059-D1059+J1059&gt;=0),2*E1059-D1059+J1059,"n.a.")))</x:f>
        <x:v>4997.73</x:v>
      </x:c>
      <x:c r="O1059" s="11" t="str">
        <x:f>IF(B1059="Butterfly",IF(AND(J1059&gt;0,J1059&lt;K1059),F1059-J1059,"n.a."),IF(C1059="call",IF(K1059&gt;J1059,2*E1059-D1059-J1059,"n.a."),IF(AND(J1059&gt;0,J1059&lt;K1059),D1059-J1059,"n.a.")))</x:f>
        <x:v>n.a.</x:v>
      </x:c>
      <x:c r="P1059" s="19" t="str">
        <x:f>IF(AND(B1059="Butterfly",J1059&gt;0,J1059&lt;K1059),L1059/J1059,"n.a.")</x:f>
        <x:v>n.a.</x:v>
      </x:c>
      <x:c r="Q1059" s="11" t="n">
        <x:f>J1059*'Model inputs'!$B$8</x:f>
        <x:v>-226.99999999999994</x:v>
      </x:c>
      <x:c r="R1059" s="1" t="str">
        <x:v>Indicative only</x:v>
      </x:c>
      <x:c r="S1059" s="1" t="n">
        <x:v>603</x:v>
      </x:c>
      <x:c r="T1059" s="1" t="n">
        <x:v>584</x:v>
      </x:c>
    </x:row>
    <x:row r="1060" ht="21" customHeight="1">
      <x:c r="A1060" s="12" t="n">
        <x:v>46266</x:v>
      </x:c>
      <x:c r="B1060" s="1" t="str">
        <x:v>1x2 ratio</x:v>
      </x:c>
      <x:c r="C1060" s="1" t="str">
        <x:v>put</x:v>
      </x:c>
      <x:c r="D1060" s="11" t="n">
        <x:v>5200</x:v>
      </x:c>
      <x:c r="E1060" s="11" t="n">
        <x:v>5000</x:v>
      </x:c>
      <x:c r="F1060" s="11"/>
      <x:c r="G1060" s="11" t="n">
        <x:f>'Option source'!B589</x:f>
        <x:v>6.67</x:v>
      </x:c>
      <x:c r="H1060" s="11" t="n">
        <x:f>'Option source'!B570</x:f>
        <x:v>3.51</x:v>
      </x:c>
      <x:c r="I1060" s="11"/>
      <x:c r="J1060" s="11" t="n">
        <x:f>G1060-2*H1060+IF(B1060="Butterfly",I1060,0)</x:f>
        <x:v>-0.34999999999999964</x:v>
      </x:c>
      <x:c r="K1060" s="11" t="n">
        <x:f>ABS(E1060-D1060)</x:f>
        <x:v>200</x:v>
      </x:c>
      <x:c r="L1060" s="11" t="n">
        <x:f>K1060-J1060</x:f>
        <x:v>200.35</x:v>
      </x:c>
      <x:c r="M1060" s="11" t="n">
        <x:f>IF(B1060="Butterfly",MAX(J1060,0),IF(C1060="call","Unlimited",MAX(2*E1060-D1060+J1060,J1060,0)))</x:f>
        <x:v>4799.65</x:v>
      </x:c>
      <x:c r="N1060" s="11" t="n">
        <x:f>IF(B1060="Butterfly",IF(AND(J1060&gt;0,J1060&lt;K1060),D1060+J1060,"n.a."),IF(C1060="call",IF(AND(J1060&gt;0,J1060&lt;K1060),D1060+J1060,"n.a."),IF(AND(K1060&gt;J1060,2*E1060-D1060+J1060&gt;=0),2*E1060-D1060+J1060,"n.a.")))</x:f>
        <x:v>4799.65</x:v>
      </x:c>
      <x:c r="O1060" s="11" t="str">
        <x:f>IF(B1060="Butterfly",IF(AND(J1060&gt;0,J1060&lt;K1060),F1060-J1060,"n.a."),IF(C1060="call",IF(K1060&gt;J1060,2*E1060-D1060-J1060,"n.a."),IF(AND(J1060&gt;0,J1060&lt;K1060),D1060-J1060,"n.a.")))</x:f>
        <x:v>n.a.</x:v>
      </x:c>
      <x:c r="P1060" s="19" t="str">
        <x:f>IF(AND(B1060="Butterfly",J1060&gt;0,J1060&lt;K1060),L1060/J1060,"n.a.")</x:f>
        <x:v>n.a.</x:v>
      </x:c>
      <x:c r="Q1060" s="11" t="n">
        <x:f>J1060*'Model inputs'!$B$8</x:f>
        <x:v>-34.999999999999964</x:v>
      </x:c>
      <x:c r="R1060" s="1" t="str">
        <x:v>Indicative only</x:v>
      </x:c>
      <x:c r="S1060" s="1" t="n">
        <x:v>584</x:v>
      </x:c>
      <x:c r="T1060" s="1" t="n">
        <x:v>565</x:v>
      </x:c>
    </x:row>
    <x:row r="1061" ht="21" customHeight="1">
      <x:c r="A1061" s="12" t="n">
        <x:v>46266</x:v>
      </x:c>
      <x:c r="B1061" s="1" t="str">
        <x:v>1x2 ratio</x:v>
      </x:c>
      <x:c r="C1061" s="1" t="str">
        <x:v>call</x:v>
      </x:c>
      <x:c r="D1061" s="11" t="n">
        <x:v>8900</x:v>
      </x:c>
      <x:c r="E1061" s="11" t="n">
        <x:v>9200</x:v>
      </x:c>
      <x:c r="F1061" s="11"/>
      <x:c r="G1061" s="11" t="n">
        <x:f>'Option source'!B418</x:f>
        <x:v>45.91</x:v>
      </x:c>
      <x:c r="H1061" s="11" t="n">
        <x:f>'Option source'!B437</x:f>
        <x:v>29.8</x:v>
      </x:c>
      <x:c r="I1061" s="11"/>
      <x:c r="J1061" s="11" t="n">
        <x:f>G1061-2*H1061+IF(B1061="Butterfly",I1061,0)</x:f>
        <x:v>-13.690000000000005</x:v>
      </x:c>
      <x:c r="K1061" s="11" t="n">
        <x:f>ABS(E1061-D1061)</x:f>
        <x:v>300</x:v>
      </x:c>
      <x:c r="L1061" s="11" t="n">
        <x:f>K1061-J1061</x:f>
        <x:v>313.69</x:v>
      </x:c>
      <x:c r="M1061" s="11" t="str">
        <x:f>IF(B1061="Butterfly",MAX(J1061,0),IF(C1061="call","Unlimited",MAX(2*E1061-D1061+J1061,J1061,0)))</x:f>
        <x:v>Unlimited</x:v>
      </x:c>
      <x:c r="N1061" s="11" t="str">
        <x:f>IF(B1061="Butterfly",IF(AND(J1061&gt;0,J1061&lt;K1061),D1061+J1061,"n.a."),IF(C1061="call",IF(AND(J1061&gt;0,J1061&lt;K1061),D1061+J1061,"n.a."),IF(AND(K1061&gt;J1061,2*E1061-D1061+J1061&gt;=0),2*E1061-D1061+J1061,"n.a.")))</x:f>
        <x:v>n.a.</x:v>
      </x:c>
      <x:c r="O1061" s="11" t="n">
        <x:f>IF(B1061="Butterfly",IF(AND(J1061&gt;0,J1061&lt;K1061),F1061-J1061,"n.a."),IF(C1061="call",IF(K1061&gt;J1061,2*E1061-D1061-J1061,"n.a."),IF(AND(J1061&gt;0,J1061&lt;K1061),D1061-J1061,"n.a.")))</x:f>
        <x:v>9513.69</x:v>
      </x:c>
      <x:c r="P1061" s="19" t="str">
        <x:f>IF(AND(B1061="Butterfly",J1061&gt;0,J1061&lt;K1061),L1061/J1061,"n.a.")</x:f>
        <x:v>n.a.</x:v>
      </x:c>
      <x:c r="Q1061" s="11" t="n">
        <x:f>J1061*'Model inputs'!$B$8</x:f>
        <x:v>-1369.0000000000005</x:v>
      </x:c>
      <x:c r="R1061" s="1" t="str">
        <x:v>Indicative only</x:v>
      </x:c>
      <x:c r="S1061" s="1" t="n">
        <x:v>413</x:v>
      </x:c>
      <x:c r="T1061" s="1" t="n">
        <x:v>432</x:v>
      </x:c>
    </x:row>
    <x:row r="1062" ht="21" customHeight="1">
      <x:c r="A1062" s="12" t="n">
        <x:v>46266</x:v>
      </x:c>
      <x:c r="B1062" s="1" t="str">
        <x:v>1x2 ratio</x:v>
      </x:c>
      <x:c r="C1062" s="1" t="str">
        <x:v>put</x:v>
      </x:c>
      <x:c r="D1062" s="11" t="n">
        <x:v>5000</x:v>
      </x:c>
      <x:c r="E1062" s="11" t="n">
        <x:v>4800</x:v>
      </x:c>
      <x:c r="F1062" s="11"/>
      <x:c r="G1062" s="11" t="n">
        <x:f>'Option source'!B570</x:f>
        <x:v>3.51</x:v>
      </x:c>
      <x:c r="H1062" s="11" t="n">
        <x:f>'Option source'!B551</x:f>
        <x:v>2.89</x:v>
      </x:c>
      <x:c r="I1062" s="11"/>
      <x:c r="J1062" s="11" t="n">
        <x:f>G1062-2*H1062+IF(B1062="Butterfly",I1062,0)</x:f>
        <x:v>-2.2700000000000005</x:v>
      </x:c>
      <x:c r="K1062" s="11" t="n">
        <x:f>ABS(E1062-D1062)</x:f>
        <x:v>200</x:v>
      </x:c>
      <x:c r="L1062" s="11" t="n">
        <x:f>K1062-J1062</x:f>
        <x:v>202.27</x:v>
      </x:c>
      <x:c r="M1062" s="11" t="n">
        <x:f>IF(B1062="Butterfly",MAX(J1062,0),IF(C1062="call","Unlimited",MAX(2*E1062-D1062+J1062,J1062,0)))</x:f>
        <x:v>4597.73</x:v>
      </x:c>
      <x:c r="N1062" s="11" t="n">
        <x:f>IF(B1062="Butterfly",IF(AND(J1062&gt;0,J1062&lt;K1062),D1062+J1062,"n.a."),IF(C1062="call",IF(AND(J1062&gt;0,J1062&lt;K1062),D1062+J1062,"n.a."),IF(AND(K1062&gt;J1062,2*E1062-D1062+J1062&gt;=0),2*E1062-D1062+J1062,"n.a.")))</x:f>
        <x:v>4597.73</x:v>
      </x:c>
      <x:c r="O1062" s="11" t="str">
        <x:f>IF(B1062="Butterfly",IF(AND(J1062&gt;0,J1062&lt;K1062),F1062-J1062,"n.a."),IF(C1062="call",IF(K1062&gt;J1062,2*E1062-D1062-J1062,"n.a."),IF(AND(J1062&gt;0,J1062&lt;K1062),D1062-J1062,"n.a.")))</x:f>
        <x:v>n.a.</x:v>
      </x:c>
      <x:c r="P1062" s="19" t="str">
        <x:f>IF(AND(B1062="Butterfly",J1062&gt;0,J1062&lt;K1062),L1062/J1062,"n.a.")</x:f>
        <x:v>n.a.</x:v>
      </x:c>
      <x:c r="Q1062" s="11" t="n">
        <x:f>J1062*'Model inputs'!$B$8</x:f>
        <x:v>-227.00000000000006</x:v>
      </x:c>
      <x:c r="R1062" s="1" t="str">
        <x:v>Indicative only</x:v>
      </x:c>
      <x:c r="S1062" s="1" t="n">
        <x:v>565</x:v>
      </x:c>
      <x:c r="T1062" s="1" t="n">
        <x:v>546</x:v>
      </x:c>
    </x:row>
    <x:row r="1063" ht="21" customHeight="1">
      <x:c r="A1063" s="12" t="n">
        <x:v>46266</x:v>
      </x:c>
      <x:c r="B1063" s="1" t="str">
        <x:v>1x2 ratio</x:v>
      </x:c>
      <x:c r="C1063" s="1" t="str">
        <x:v>call</x:v>
      </x:c>
      <x:c r="D1063" s="11" t="n">
        <x:v>9200</x:v>
      </x:c>
      <x:c r="E1063" s="11" t="n">
        <x:v>9500</x:v>
      </x:c>
      <x:c r="F1063" s="11"/>
      <x:c r="G1063" s="11" t="n">
        <x:f>'Option source'!B437</x:f>
        <x:v>29.8</x:v>
      </x:c>
      <x:c r="H1063" s="11" t="n">
        <x:f>'Option source'!B456</x:f>
        <x:v>19.03</x:v>
      </x:c>
      <x:c r="I1063" s="11"/>
      <x:c r="J1063" s="11" t="n">
        <x:f>G1063-2*H1063+IF(B1063="Butterfly",I1063,0)</x:f>
        <x:v>-8.260000000000002</x:v>
      </x:c>
      <x:c r="K1063" s="11" t="n">
        <x:f>ABS(E1063-D1063)</x:f>
        <x:v>300</x:v>
      </x:c>
      <x:c r="L1063" s="11" t="n">
        <x:f>K1063-J1063</x:f>
        <x:v>308.26</x:v>
      </x:c>
      <x:c r="M1063" s="11" t="str">
        <x:f>IF(B1063="Butterfly",MAX(J1063,0),IF(C1063="call","Unlimited",MAX(2*E1063-D1063+J1063,J1063,0)))</x:f>
        <x:v>Unlimited</x:v>
      </x:c>
      <x:c r="N1063" s="11" t="str">
        <x:f>IF(B1063="Butterfly",IF(AND(J1063&gt;0,J1063&lt;K1063),D1063+J1063,"n.a."),IF(C1063="call",IF(AND(J1063&gt;0,J1063&lt;K1063),D1063+J1063,"n.a."),IF(AND(K1063&gt;J1063,2*E1063-D1063+J1063&gt;=0),2*E1063-D1063+J1063,"n.a.")))</x:f>
        <x:v>n.a.</x:v>
      </x:c>
      <x:c r="O1063" s="11" t="n">
        <x:f>IF(B1063="Butterfly",IF(AND(J1063&gt;0,J1063&lt;K1063),F1063-J1063,"n.a."),IF(C1063="call",IF(K1063&gt;J1063,2*E1063-D1063-J1063,"n.a."),IF(AND(J1063&gt;0,J1063&lt;K1063),D1063-J1063,"n.a.")))</x:f>
        <x:v>9808.26</x:v>
      </x:c>
      <x:c r="P1063" s="19" t="str">
        <x:f>IF(AND(B1063="Butterfly",J1063&gt;0,J1063&lt;K1063),L1063/J1063,"n.a.")</x:f>
        <x:v>n.a.</x:v>
      </x:c>
      <x:c r="Q1063" s="11" t="n">
        <x:f>J1063*'Model inputs'!$B$8</x:f>
        <x:v>-826.0000000000001</x:v>
      </x:c>
      <x:c r="R1063" s="1" t="str">
        <x:v>Indicative only</x:v>
      </x:c>
      <x:c r="S1063" s="1" t="n">
        <x:v>432</x:v>
      </x:c>
      <x:c r="T1063" s="1" t="n">
        <x:v>451</x:v>
      </x:c>
    </x:row>
    <x:row r="1064" ht="21" customHeight="1">
      <x:c r="A1064" s="12" t="n">
        <x:v>46266</x:v>
      </x:c>
      <x:c r="B1064" s="1" t="str">
        <x:v>1x2 ratio</x:v>
      </x:c>
      <x:c r="C1064" s="1" t="str">
        <x:v>put</x:v>
      </x:c>
      <x:c r="D1064" s="11" t="n">
        <x:v>4800</x:v>
      </x:c>
      <x:c r="E1064" s="11" t="n">
        <x:v>4600</x:v>
      </x:c>
      <x:c r="F1064" s="11"/>
      <x:c r="G1064" s="11" t="n">
        <x:f>'Option source'!B551</x:f>
        <x:v>2.89</x:v>
      </x:c>
      <x:c r="H1064" s="11" t="n">
        <x:f>'Option source'!B532</x:f>
        <x:v>1.53</x:v>
      </x:c>
      <x:c r="I1064" s="11"/>
      <x:c r="J1064" s="11" t="n">
        <x:f>G1064-2*H1064+IF(B1064="Butterfly",I1064,0)</x:f>
        <x:v>-0.16999999999999993</x:v>
      </x:c>
      <x:c r="K1064" s="11" t="n">
        <x:f>ABS(E1064-D1064)</x:f>
        <x:v>200</x:v>
      </x:c>
      <x:c r="L1064" s="11" t="n">
        <x:f>K1064-J1064</x:f>
        <x:v>200.17</x:v>
      </x:c>
      <x:c r="M1064" s="11" t="n">
        <x:f>IF(B1064="Butterfly",MAX(J1064,0),IF(C1064="call","Unlimited",MAX(2*E1064-D1064+J1064,J1064,0)))</x:f>
        <x:v>4399.83</x:v>
      </x:c>
      <x:c r="N1064" s="11" t="n">
        <x:f>IF(B1064="Butterfly",IF(AND(J1064&gt;0,J1064&lt;K1064),D1064+J1064,"n.a."),IF(C1064="call",IF(AND(J1064&gt;0,J1064&lt;K1064),D1064+J1064,"n.a."),IF(AND(K1064&gt;J1064,2*E1064-D1064+J1064&gt;=0),2*E1064-D1064+J1064,"n.a.")))</x:f>
        <x:v>4399.83</x:v>
      </x:c>
      <x:c r="O1064" s="11" t="str">
        <x:f>IF(B1064="Butterfly",IF(AND(J1064&gt;0,J1064&lt;K1064),F1064-J1064,"n.a."),IF(C1064="call",IF(K1064&gt;J1064,2*E1064-D1064-J1064,"n.a."),IF(AND(J1064&gt;0,J1064&lt;K1064),D1064-J1064,"n.a.")))</x:f>
        <x:v>n.a.</x:v>
      </x:c>
      <x:c r="P1064" s="19" t="str">
        <x:f>IF(AND(B1064="Butterfly",J1064&gt;0,J1064&lt;K1064),L1064/J1064,"n.a.")</x:f>
        <x:v>n.a.</x:v>
      </x:c>
      <x:c r="Q1064" s="11" t="n">
        <x:f>J1064*'Model inputs'!$B$8</x:f>
        <x:v>-16.999999999999993</x:v>
      </x:c>
      <x:c r="R1064" s="1" t="str">
        <x:v>Indicative only</x:v>
      </x:c>
      <x:c r="S1064" s="1" t="n">
        <x:v>546</x:v>
      </x:c>
      <x:c r="T1064" s="1" t="n">
        <x:v>527</x:v>
      </x:c>
    </x:row>
    <x:row r="1065" ht="21" customHeight="1">
      <x:c r="A1065" s="12" t="n">
        <x:v>46266</x:v>
      </x:c>
      <x:c r="B1065" s="1" t="str">
        <x:v>1x2 ratio</x:v>
      </x:c>
      <x:c r="C1065" s="1" t="str">
        <x:v>put</x:v>
      </x:c>
      <x:c r="D1065" s="11" t="n">
        <x:v>4600</x:v>
      </x:c>
      <x:c r="E1065" s="11" t="n">
        <x:v>4400</x:v>
      </x:c>
      <x:c r="F1065" s="11"/>
      <x:c r="G1065" s="11" t="n">
        <x:f>'Option source'!B532</x:f>
        <x:v>1.53</x:v>
      </x:c>
      <x:c r="H1065" s="11" t="n">
        <x:f>'Option source'!B513</x:f>
        <x:v>1.22</x:v>
      </x:c>
      <x:c r="I1065" s="11"/>
      <x:c r="J1065" s="11" t="n">
        <x:f>G1065-2*H1065+IF(B1065="Butterfly",I1065,0)</x:f>
        <x:v>-0.9099999999999999</x:v>
      </x:c>
      <x:c r="K1065" s="11" t="n">
        <x:f>ABS(E1065-D1065)</x:f>
        <x:v>200</x:v>
      </x:c>
      <x:c r="L1065" s="11" t="n">
        <x:f>K1065-J1065</x:f>
        <x:v>200.91</x:v>
      </x:c>
      <x:c r="M1065" s="11" t="n">
        <x:f>IF(B1065="Butterfly",MAX(J1065,0),IF(C1065="call","Unlimited",MAX(2*E1065-D1065+J1065,J1065,0)))</x:f>
        <x:v>4199.09</x:v>
      </x:c>
      <x:c r="N1065" s="11" t="n">
        <x:f>IF(B1065="Butterfly",IF(AND(J1065&gt;0,J1065&lt;K1065),D1065+J1065,"n.a."),IF(C1065="call",IF(AND(J1065&gt;0,J1065&lt;K1065),D1065+J1065,"n.a."),IF(AND(K1065&gt;J1065,2*E1065-D1065+J1065&gt;=0),2*E1065-D1065+J1065,"n.a.")))</x:f>
        <x:v>4199.09</x:v>
      </x:c>
      <x:c r="O1065" s="11" t="str">
        <x:f>IF(B1065="Butterfly",IF(AND(J1065&gt;0,J1065&lt;K1065),F1065-J1065,"n.a."),IF(C1065="call",IF(K1065&gt;J1065,2*E1065-D1065-J1065,"n.a."),IF(AND(J1065&gt;0,J1065&lt;K1065),D1065-J1065,"n.a.")))</x:f>
        <x:v>n.a.</x:v>
      </x:c>
      <x:c r="P1065" s="19" t="str">
        <x:f>IF(AND(B1065="Butterfly",J1065&gt;0,J1065&lt;K1065),L1065/J1065,"n.a.")</x:f>
        <x:v>n.a.</x:v>
      </x:c>
      <x:c r="Q1065" s="11" t="n">
        <x:f>J1065*'Model inputs'!$B$8</x:f>
        <x:v>-90.99999999999999</x:v>
      </x:c>
      <x:c r="R1065" s="1" t="str">
        <x:v>Indicative only</x:v>
      </x:c>
      <x:c r="S1065" s="1" t="n">
        <x:v>527</x:v>
      </x:c>
      <x:c r="T1065" s="1" t="n">
        <x:v>508</x:v>
      </x:c>
    </x:row>
    <x:row r="1066" ht="21" customHeight="1">
      <x:c r="A1066" s="12" t="n">
        <x:v>46266</x:v>
      </x:c>
      <x:c r="B1066" s="1" t="str">
        <x:v>1x2 ratio</x:v>
      </x:c>
      <x:c r="C1066" s="1" t="str">
        <x:v>call</x:v>
      </x:c>
      <x:c r="D1066" s="11" t="n">
        <x:v>9500</x:v>
      </x:c>
      <x:c r="E1066" s="11" t="n">
        <x:v>9900</x:v>
      </x:c>
      <x:c r="F1066" s="11"/>
      <x:c r="G1066" s="11" t="n">
        <x:f>'Option source'!B456</x:f>
        <x:v>19.03</x:v>
      </x:c>
      <x:c r="H1066" s="11" t="n">
        <x:f>'Option source'!B475</x:f>
        <x:v>11.44</x:v>
      </x:c>
      <x:c r="I1066" s="11"/>
      <x:c r="J1066" s="11" t="n">
        <x:f>G1066-2*H1066+IF(B1066="Butterfly",I1066,0)</x:f>
        <x:v>-3.849999999999998</x:v>
      </x:c>
      <x:c r="K1066" s="11" t="n">
        <x:f>ABS(E1066-D1066)</x:f>
        <x:v>400</x:v>
      </x:c>
      <x:c r="L1066" s="11" t="n">
        <x:f>K1066-J1066</x:f>
        <x:v>403.85</x:v>
      </x:c>
      <x:c r="M1066" s="11" t="str">
        <x:f>IF(B1066="Butterfly",MAX(J1066,0),IF(C1066="call","Unlimited",MAX(2*E1066-D1066+J1066,J1066,0)))</x:f>
        <x:v>Unlimited</x:v>
      </x:c>
      <x:c r="N1066" s="11" t="str">
        <x:f>IF(B1066="Butterfly",IF(AND(J1066&gt;0,J1066&lt;K1066),D1066+J1066,"n.a."),IF(C1066="call",IF(AND(J1066&gt;0,J1066&lt;K1066),D1066+J1066,"n.a."),IF(AND(K1066&gt;J1066,2*E1066-D1066+J1066&gt;=0),2*E1066-D1066+J1066,"n.a.")))</x:f>
        <x:v>n.a.</x:v>
      </x:c>
      <x:c r="O1066" s="11" t="n">
        <x:f>IF(B1066="Butterfly",IF(AND(J1066&gt;0,J1066&lt;K1066),F1066-J1066,"n.a."),IF(C1066="call",IF(K1066&gt;J1066,2*E1066-D1066-J1066,"n.a."),IF(AND(J1066&gt;0,J1066&lt;K1066),D1066-J1066,"n.a.")))</x:f>
        <x:v>10303.85</x:v>
      </x:c>
      <x:c r="P1066" s="19" t="str">
        <x:f>IF(AND(B1066="Butterfly",J1066&gt;0,J1066&lt;K1066),L1066/J1066,"n.a.")</x:f>
        <x:v>n.a.</x:v>
      </x:c>
      <x:c r="Q1066" s="11" t="n">
        <x:f>J1066*'Model inputs'!$B$8</x:f>
        <x:v>-384.9999999999998</x:v>
      </x:c>
      <x:c r="R1066" s="1" t="str">
        <x:v>Indicative only</x:v>
      </x:c>
      <x:c r="S1066" s="1" t="n">
        <x:v>451</x:v>
      </x:c>
      <x:c r="T1066" s="1" t="n">
        <x:v>470</x:v>
      </x:c>
    </x:row>
    <x:row r="1067" ht="21" customHeight="1">
      <x:c r="A1067" s="12" t="n">
        <x:v>46266</x:v>
      </x:c>
      <x:c r="B1067" s="1" t="str">
        <x:v>1x2 ratio</x:v>
      </x:c>
      <x:c r="C1067" s="1" t="str">
        <x:v>put</x:v>
      </x:c>
      <x:c r="D1067" s="11" t="n">
        <x:v>4400</x:v>
      </x:c>
      <x:c r="E1067" s="11" t="n">
        <x:v>4200</x:v>
      </x:c>
      <x:c r="F1067" s="11"/>
      <x:c r="G1067" s="11" t="n">
        <x:f>'Option source'!B513</x:f>
        <x:v>1.22</x:v>
      </x:c>
      <x:c r="H1067" s="11" t="n">
        <x:f>'Option source'!B494</x:f>
        <x:v>0.97</x:v>
      </x:c>
      <x:c r="I1067" s="11"/>
      <x:c r="J1067" s="11" t="n">
        <x:f>G1067-2*H1067+IF(B1067="Butterfly",I1067,0)</x:f>
        <x:v>-0.72</x:v>
      </x:c>
      <x:c r="K1067" s="11" t="n">
        <x:f>ABS(E1067-D1067)</x:f>
        <x:v>200</x:v>
      </x:c>
      <x:c r="L1067" s="11" t="n">
        <x:f>K1067-J1067</x:f>
        <x:v>200.72</x:v>
      </x:c>
      <x:c r="M1067" s="11" t="n">
        <x:f>IF(B1067="Butterfly",MAX(J1067,0),IF(C1067="call","Unlimited",MAX(2*E1067-D1067+J1067,J1067,0)))</x:f>
        <x:v>3999.28</x:v>
      </x:c>
      <x:c r="N1067" s="11" t="n">
        <x:f>IF(B1067="Butterfly",IF(AND(J1067&gt;0,J1067&lt;K1067),D1067+J1067,"n.a."),IF(C1067="call",IF(AND(J1067&gt;0,J1067&lt;K1067),D1067+J1067,"n.a."),IF(AND(K1067&gt;J1067,2*E1067-D1067+J1067&gt;=0),2*E1067-D1067+J1067,"n.a.")))</x:f>
        <x:v>3999.28</x:v>
      </x:c>
      <x:c r="O1067" s="11" t="str">
        <x:f>IF(B1067="Butterfly",IF(AND(J1067&gt;0,J1067&lt;K1067),F1067-J1067,"n.a."),IF(C1067="call",IF(K1067&gt;J1067,2*E1067-D1067-J1067,"n.a."),IF(AND(J1067&gt;0,J1067&lt;K1067),D1067-J1067,"n.a.")))</x:f>
        <x:v>n.a.</x:v>
      </x:c>
      <x:c r="P1067" s="19" t="str">
        <x:f>IF(AND(B1067="Butterfly",J1067&gt;0,J1067&lt;K1067),L1067/J1067,"n.a.")</x:f>
        <x:v>n.a.</x:v>
      </x:c>
      <x:c r="Q1067" s="11" t="n">
        <x:f>J1067*'Model inputs'!$B$8</x:f>
        <x:v>-72</x:v>
      </x:c>
      <x:c r="R1067" s="1" t="str">
        <x:v>Indicative only</x:v>
      </x:c>
      <x:c r="S1067" s="1" t="n">
        <x:v>508</x:v>
      </x:c>
      <x:c r="T1067" s="1" t="n">
        <x:v>489</x:v>
      </x:c>
    </x:row>
    <x:row r="1068" ht="21" customHeight="1">
      <x:c r="A1068" s="12" t="n">
        <x:v>46266</x:v>
      </x:c>
      <x:c r="B1068" s="1" t="str">
        <x:v>1x2 ratio</x:v>
      </x:c>
      <x:c r="C1068" s="1" t="str">
        <x:v>call</x:v>
      </x:c>
      <x:c r="D1068" s="11" t="n">
        <x:v>6200</x:v>
      </x:c>
      <x:c r="E1068" s="11" t="n">
        <x:v>6400</x:v>
      </x:c>
      <x:c r="F1068" s="11"/>
      <x:c r="G1068" s="11" t="n">
        <x:f>'Option source'!B190</x:f>
        <x:v>1069</x:v>
      </x:c>
      <x:c r="H1068" s="11" t="n">
        <x:f>'Option source'!B209</x:f>
        <x:v>909.97</x:v>
      </x:c>
      <x:c r="I1068" s="11"/>
      <x:c r="J1068" s="11" t="n">
        <x:f>G1068-2*H1068+IF(B1068="Butterfly",I1068,0)</x:f>
        <x:v>-750.94</x:v>
      </x:c>
      <x:c r="K1068" s="11" t="n">
        <x:f>ABS(E1068-D1068)</x:f>
        <x:v>200</x:v>
      </x:c>
      <x:c r="L1068" s="11" t="n">
        <x:f>K1068-J1068</x:f>
        <x:v>950.94</x:v>
      </x:c>
      <x:c r="M1068" s="11" t="str">
        <x:f>IF(B1068="Butterfly",MAX(J1068,0),IF(C1068="call","Unlimited",MAX(2*E1068-D1068+J1068,J1068,0)))</x:f>
        <x:v>Unlimited</x:v>
      </x:c>
      <x:c r="N1068" s="11" t="str">
        <x:f>IF(B1068="Butterfly",IF(AND(J1068&gt;0,J1068&lt;K1068),D1068+J1068,"n.a."),IF(C1068="call",IF(AND(J1068&gt;0,J1068&lt;K1068),D1068+J1068,"n.a."),IF(AND(K1068&gt;J1068,2*E1068-D1068+J1068&gt;=0),2*E1068-D1068+J1068,"n.a.")))</x:f>
        <x:v>n.a.</x:v>
      </x:c>
      <x:c r="O1068" s="11" t="n">
        <x:f>IF(B1068="Butterfly",IF(AND(J1068&gt;0,J1068&lt;K1068),F1068-J1068,"n.a."),IF(C1068="call",IF(K1068&gt;J1068,2*E1068-D1068-J1068,"n.a."),IF(AND(J1068&gt;0,J1068&lt;K1068),D1068-J1068,"n.a.")))</x:f>
        <x:v>7350.9400000000005</x:v>
      </x:c>
      <x:c r="P1068" s="19" t="str">
        <x:f>IF(AND(B1068="Butterfly",J1068&gt;0,J1068&lt;K1068),L1068/J1068,"n.a.")</x:f>
        <x:v>n.a.</x:v>
      </x:c>
      <x:c r="Q1068" s="11" t="n">
        <x:f>J1068*'Model inputs'!$B$8</x:f>
        <x:v>-75094</x:v>
      </x:c>
      <x:c r="R1068" s="1" t="str">
        <x:v>Flagged leg data</x:v>
      </x:c>
      <x:c r="S1068" s="1" t="n">
        <x:v>185</x:v>
      </x:c>
      <x:c r="T1068" s="1" t="n">
        <x:v>204</x:v>
      </x:c>
    </x:row>
    <x:row r="1069" ht="21" customHeight="1">
      <x:c r="A1069" s="12" t="n">
        <x:v>46266</x:v>
      </x:c>
      <x:c r="B1069" s="1" t="str">
        <x:v>1x2 ratio</x:v>
      </x:c>
      <x:c r="C1069" s="1" t="str">
        <x:v>call</x:v>
      </x:c>
      <x:c r="D1069" s="11" t="n">
        <x:v>6000</x:v>
      </x:c>
      <x:c r="E1069" s="11" t="n">
        <x:v>6200</x:v>
      </x:c>
      <x:c r="F1069" s="11"/>
      <x:c r="G1069" s="11" t="n">
        <x:f>'Option source'!B171</x:f>
        <x:v>1200</x:v>
      </x:c>
      <x:c r="H1069" s="11" t="n">
        <x:f>'Option source'!B190</x:f>
        <x:v>1069</x:v>
      </x:c>
      <x:c r="I1069" s="11"/>
      <x:c r="J1069" s="11" t="n">
        <x:f>G1069-2*H1069+IF(B1069="Butterfly",I1069,0)</x:f>
        <x:v>-938</x:v>
      </x:c>
      <x:c r="K1069" s="11" t="n">
        <x:f>ABS(E1069-D1069)</x:f>
        <x:v>200</x:v>
      </x:c>
      <x:c r="L1069" s="11" t="n">
        <x:f>K1069-J1069</x:f>
        <x:v>1138</x:v>
      </x:c>
      <x:c r="M1069" s="11" t="str">
        <x:f>IF(B1069="Butterfly",MAX(J1069,0),IF(C1069="call","Unlimited",MAX(2*E1069-D1069+J1069,J1069,0)))</x:f>
        <x:v>Unlimited</x:v>
      </x:c>
      <x:c r="N1069" s="11" t="str">
        <x:f>IF(B1069="Butterfly",IF(AND(J1069&gt;0,J1069&lt;K1069),D1069+J1069,"n.a."),IF(C1069="call",IF(AND(J1069&gt;0,J1069&lt;K1069),D1069+J1069,"n.a."),IF(AND(K1069&gt;J1069,2*E1069-D1069+J1069&gt;=0),2*E1069-D1069+J1069,"n.a.")))</x:f>
        <x:v>n.a.</x:v>
      </x:c>
      <x:c r="O1069" s="11" t="n">
        <x:f>IF(B1069="Butterfly",IF(AND(J1069&gt;0,J1069&lt;K1069),F1069-J1069,"n.a."),IF(C1069="call",IF(K1069&gt;J1069,2*E1069-D1069-J1069,"n.a."),IF(AND(J1069&gt;0,J1069&lt;K1069),D1069-J1069,"n.a.")))</x:f>
        <x:v>7338</x:v>
      </x:c>
      <x:c r="P1069" s="19" t="str">
        <x:f>IF(AND(B1069="Butterfly",J1069&gt;0,J1069&lt;K1069),L1069/J1069,"n.a.")</x:f>
        <x:v>n.a.</x:v>
      </x:c>
      <x:c r="Q1069" s="11" t="n">
        <x:f>J1069*'Model inputs'!$B$8</x:f>
        <x:v>-93800</x:v>
      </x:c>
      <x:c r="R1069" s="1" t="str">
        <x:v>Flagged leg data</x:v>
      </x:c>
      <x:c r="S1069" s="1" t="n">
        <x:v>166</x:v>
      </x:c>
      <x:c r="T1069" s="1" t="n">
        <x:v>185</x:v>
      </x:c>
    </x:row>
    <x:row r="1070" ht="21" customHeight="1">
      <x:c r="A1070" s="12" t="n">
        <x:v>46266</x:v>
      </x:c>
      <x:c r="B1070" s="1" t="str">
        <x:v>1x2 ratio</x:v>
      </x:c>
      <x:c r="C1070" s="1" t="str">
        <x:v>put</x:v>
      </x:c>
      <x:c r="D1070" s="11" t="n">
        <x:v>8300</x:v>
      </x:c>
      <x:c r="E1070" s="11" t="n">
        <x:v>8000</x:v>
      </x:c>
      <x:c r="F1070" s="11"/>
      <x:c r="G1070" s="11" t="n">
        <x:f>'Option source'!B874</x:f>
        <x:v>1260</x:v>
      </x:c>
      <x:c r="H1070" s="11" t="n">
        <x:f>'Option source'!B855</x:f>
        <x:v>960</x:v>
      </x:c>
      <x:c r="I1070" s="11"/>
      <x:c r="J1070" s="11" t="n">
        <x:f>G1070-2*H1070+IF(B1070="Butterfly",I1070,0)</x:f>
        <x:v>-660</x:v>
      </x:c>
      <x:c r="K1070" s="11" t="n">
        <x:f>ABS(E1070-D1070)</x:f>
        <x:v>300</x:v>
      </x:c>
      <x:c r="L1070" s="11" t="n">
        <x:f>K1070-J1070</x:f>
        <x:v>960</x:v>
      </x:c>
      <x:c r="M1070" s="11" t="n">
        <x:f>IF(B1070="Butterfly",MAX(J1070,0),IF(C1070="call","Unlimited",MAX(2*E1070-D1070+J1070,J1070,0)))</x:f>
        <x:v>7040</x:v>
      </x:c>
      <x:c r="N1070" s="11" t="n">
        <x:f>IF(B1070="Butterfly",IF(AND(J1070&gt;0,J1070&lt;K1070),D1070+J1070,"n.a."),IF(C1070="call",IF(AND(J1070&gt;0,J1070&lt;K1070),D1070+J1070,"n.a."),IF(AND(K1070&gt;J1070,2*E1070-D1070+J1070&gt;=0),2*E1070-D1070+J1070,"n.a.")))</x:f>
        <x:v>7040</x:v>
      </x:c>
      <x:c r="O1070" s="11" t="str">
        <x:f>IF(B1070="Butterfly",IF(AND(J1070&gt;0,J1070&lt;K1070),F1070-J1070,"n.a."),IF(C1070="call",IF(K1070&gt;J1070,2*E1070-D1070-J1070,"n.a."),IF(AND(J1070&gt;0,J1070&lt;K1070),D1070-J1070,"n.a.")))</x:f>
        <x:v>n.a.</x:v>
      </x:c>
      <x:c r="P1070" s="19" t="str">
        <x:f>IF(AND(B1070="Butterfly",J1070&gt;0,J1070&lt;K1070),L1070/J1070,"n.a.")</x:f>
        <x:v>n.a.</x:v>
      </x:c>
      <x:c r="Q1070" s="11" t="n">
        <x:f>J1070*'Model inputs'!$B$8</x:f>
        <x:v>-66000</x:v>
      </x:c>
      <x:c r="R1070" s="1" t="str">
        <x:v>Flagged leg data</x:v>
      </x:c>
      <x:c r="S1070" s="1" t="n">
        <x:v>869</x:v>
      </x:c>
      <x:c r="T1070" s="1" t="n">
        <x:v>850</x:v>
      </x:c>
    </x:row>
    <x:row r="1071" ht="21" customHeight="1">
      <x:c r="A1071" s="12" t="n">
        <x:v>46266</x:v>
      </x:c>
      <x:c r="B1071" s="1" t="str">
        <x:v>1x2 ratio</x:v>
      </x:c>
      <x:c r="C1071" s="1" t="str">
        <x:v>call</x:v>
      </x:c>
      <x:c r="D1071" s="11" t="n">
        <x:v>5600</x:v>
      </x:c>
      <x:c r="E1071" s="11" t="n">
        <x:v>6000</x:v>
      </x:c>
      <x:c r="F1071" s="11"/>
      <x:c r="G1071" s="11" t="n">
        <x:f>'Option source'!B142</x:f>
        <x:v>1600</x:v>
      </x:c>
      <x:c r="H1071" s="11" t="n">
        <x:f>'Option source'!B171</x:f>
        <x:v>1200</x:v>
      </x:c>
      <x:c r="I1071" s="11"/>
      <x:c r="J1071" s="11" t="n">
        <x:f>G1071-2*H1071+IF(B1071="Butterfly",I1071,0)</x:f>
        <x:v>-800</x:v>
      </x:c>
      <x:c r="K1071" s="11" t="n">
        <x:f>ABS(E1071-D1071)</x:f>
        <x:v>400</x:v>
      </x:c>
      <x:c r="L1071" s="11" t="n">
        <x:f>K1071-J1071</x:f>
        <x:v>1200</x:v>
      </x:c>
      <x:c r="M1071" s="11" t="str">
        <x:f>IF(B1071="Butterfly",MAX(J1071,0),IF(C1071="call","Unlimited",MAX(2*E1071-D1071+J1071,J1071,0)))</x:f>
        <x:v>Unlimited</x:v>
      </x:c>
      <x:c r="N1071" s="11" t="str">
        <x:f>IF(B1071="Butterfly",IF(AND(J1071&gt;0,J1071&lt;K1071),D1071+J1071,"n.a."),IF(C1071="call",IF(AND(J1071&gt;0,J1071&lt;K1071),D1071+J1071,"n.a."),IF(AND(K1071&gt;J1071,2*E1071-D1071+J1071&gt;=0),2*E1071-D1071+J1071,"n.a.")))</x:f>
        <x:v>n.a.</x:v>
      </x:c>
      <x:c r="O1071" s="11" t="n">
        <x:f>IF(B1071="Butterfly",IF(AND(J1071&gt;0,J1071&lt;K1071),F1071-J1071,"n.a."),IF(C1071="call",IF(K1071&gt;J1071,2*E1071-D1071-J1071,"n.a."),IF(AND(J1071&gt;0,J1071&lt;K1071),D1071-J1071,"n.a.")))</x:f>
        <x:v>7200</x:v>
      </x:c>
      <x:c r="P1071" s="19" t="str">
        <x:f>IF(AND(B1071="Butterfly",J1071&gt;0,J1071&lt;K1071),L1071/J1071,"n.a.")</x:f>
        <x:v>n.a.</x:v>
      </x:c>
      <x:c r="Q1071" s="11" t="n">
        <x:f>J1071*'Model inputs'!$B$8</x:f>
        <x:v>-80000</x:v>
      </x:c>
      <x:c r="R1071" s="1" t="str">
        <x:v>Flagged leg data</x:v>
      </x:c>
      <x:c r="S1071" s="1" t="n">
        <x:v>137</x:v>
      </x:c>
      <x:c r="T1071" s="1" t="n">
        <x:v>166</x:v>
      </x:c>
    </x:row>
    <x:row r="1072" ht="21" customHeight="1">
      <x:c r="A1072" s="12" t="n">
        <x:v>46266</x:v>
      </x:c>
      <x:c r="B1072" s="1" t="str">
        <x:v>1x2 ratio</x:v>
      </x:c>
      <x:c r="C1072" s="1" t="str">
        <x:v>put</x:v>
      </x:c>
      <x:c r="D1072" s="11" t="n">
        <x:v>8600</x:v>
      </x:c>
      <x:c r="E1072" s="11" t="n">
        <x:v>8300</x:v>
      </x:c>
      <x:c r="F1072" s="11"/>
      <x:c r="G1072" s="11" t="n">
        <x:f>'Option source'!B893</x:f>
        <x:v>1650</x:v>
      </x:c>
      <x:c r="H1072" s="11" t="n">
        <x:f>'Option source'!B874</x:f>
        <x:v>1260</x:v>
      </x:c>
      <x:c r="I1072" s="11"/>
      <x:c r="J1072" s="11" t="n">
        <x:f>G1072-2*H1072+IF(B1072="Butterfly",I1072,0)</x:f>
        <x:v>-870</x:v>
      </x:c>
      <x:c r="K1072" s="11" t="n">
        <x:f>ABS(E1072-D1072)</x:f>
        <x:v>300</x:v>
      </x:c>
      <x:c r="L1072" s="11" t="n">
        <x:f>K1072-J1072</x:f>
        <x:v>1170</x:v>
      </x:c>
      <x:c r="M1072" s="11" t="n">
        <x:f>IF(B1072="Butterfly",MAX(J1072,0),IF(C1072="call","Unlimited",MAX(2*E1072-D1072+J1072,J1072,0)))</x:f>
        <x:v>7130</x:v>
      </x:c>
      <x:c r="N1072" s="11" t="n">
        <x:f>IF(B1072="Butterfly",IF(AND(J1072&gt;0,J1072&lt;K1072),D1072+J1072,"n.a."),IF(C1072="call",IF(AND(J1072&gt;0,J1072&lt;K1072),D1072+J1072,"n.a."),IF(AND(K1072&gt;J1072,2*E1072-D1072+J1072&gt;=0),2*E1072-D1072+J1072,"n.a.")))</x:f>
        <x:v>7130</x:v>
      </x:c>
      <x:c r="O1072" s="11" t="str">
        <x:f>IF(B1072="Butterfly",IF(AND(J1072&gt;0,J1072&lt;K1072),F1072-J1072,"n.a."),IF(C1072="call",IF(K1072&gt;J1072,2*E1072-D1072-J1072,"n.a."),IF(AND(J1072&gt;0,J1072&lt;K1072),D1072-J1072,"n.a.")))</x:f>
        <x:v>n.a.</x:v>
      </x:c>
      <x:c r="P1072" s="19" t="str">
        <x:f>IF(AND(B1072="Butterfly",J1072&gt;0,J1072&lt;K1072),L1072/J1072,"n.a.")</x:f>
        <x:v>n.a.</x:v>
      </x:c>
      <x:c r="Q1072" s="11" t="n">
        <x:f>J1072*'Model inputs'!$B$8</x:f>
        <x:v>-87000</x:v>
      </x:c>
      <x:c r="R1072" s="1" t="str">
        <x:v>Flagged leg data</x:v>
      </x:c>
      <x:c r="S1072" s="1" t="n">
        <x:v>888</x:v>
      </x:c>
      <x:c r="T1072" s="1" t="n">
        <x:v>869</x:v>
      </x:c>
    </x:row>
    <x:row r="1073" ht="21" customHeight="1">
      <x:c r="A1073" s="12" t="n">
        <x:v>46266</x:v>
      </x:c>
      <x:c r="B1073" s="1" t="str">
        <x:v>1x2 ratio</x:v>
      </x:c>
      <x:c r="C1073" s="1" t="str">
        <x:v>call</x:v>
      </x:c>
      <x:c r="D1073" s="11" t="n">
        <x:v>5400</x:v>
      </x:c>
      <x:c r="E1073" s="11" t="n">
        <x:v>5600</x:v>
      </x:c>
      <x:c r="F1073" s="11"/>
      <x:c r="G1073" s="11" t="n">
        <x:f>'Option source'!B124</x:f>
        <x:v>1790</x:v>
      </x:c>
      <x:c r="H1073" s="11" t="n">
        <x:f>'Option source'!B142</x:f>
        <x:v>1600</x:v>
      </x:c>
      <x:c r="I1073" s="11"/>
      <x:c r="J1073" s="11" t="n">
        <x:f>G1073-2*H1073+IF(B1073="Butterfly",I1073,0)</x:f>
        <x:v>-1410</x:v>
      </x:c>
      <x:c r="K1073" s="11" t="n">
        <x:f>ABS(E1073-D1073)</x:f>
        <x:v>200</x:v>
      </x:c>
      <x:c r="L1073" s="11" t="n">
        <x:f>K1073-J1073</x:f>
        <x:v>1610</x:v>
      </x:c>
      <x:c r="M1073" s="11" t="str">
        <x:f>IF(B1073="Butterfly",MAX(J1073,0),IF(C1073="call","Unlimited",MAX(2*E1073-D1073+J1073,J1073,0)))</x:f>
        <x:v>Unlimited</x:v>
      </x:c>
      <x:c r="N1073" s="11" t="str">
        <x:f>IF(B1073="Butterfly",IF(AND(J1073&gt;0,J1073&lt;K1073),D1073+J1073,"n.a."),IF(C1073="call",IF(AND(J1073&gt;0,J1073&lt;K1073),D1073+J1073,"n.a."),IF(AND(K1073&gt;J1073,2*E1073-D1073+J1073&gt;=0),2*E1073-D1073+J1073,"n.a.")))</x:f>
        <x:v>n.a.</x:v>
      </x:c>
      <x:c r="O1073" s="11" t="n">
        <x:f>IF(B1073="Butterfly",IF(AND(J1073&gt;0,J1073&lt;K1073),F1073-J1073,"n.a."),IF(C1073="call",IF(K1073&gt;J1073,2*E1073-D1073-J1073,"n.a."),IF(AND(J1073&gt;0,J1073&lt;K1073),D1073-J1073,"n.a.")))</x:f>
        <x:v>7210</x:v>
      </x:c>
      <x:c r="P1073" s="19" t="str">
        <x:f>IF(AND(B1073="Butterfly",J1073&gt;0,J1073&lt;K1073),L1073/J1073,"n.a.")</x:f>
        <x:v>n.a.</x:v>
      </x:c>
      <x:c r="Q1073" s="11" t="n">
        <x:f>J1073*'Model inputs'!$B$8</x:f>
        <x:v>-141000</x:v>
      </x:c>
      <x:c r="R1073" s="1" t="str">
        <x:v>Flagged leg data</x:v>
      </x:c>
      <x:c r="S1073" s="1" t="n">
        <x:v>119</x:v>
      </x:c>
      <x:c r="T1073" s="1" t="n">
        <x:v>137</x:v>
      </x:c>
    </x:row>
    <x:row r="1074" ht="21" customHeight="1">
      <x:c r="A1074" s="12" t="n">
        <x:v>46266</x:v>
      </x:c>
      <x:c r="B1074" s="1" t="str">
        <x:v>1x2 ratio</x:v>
      </x:c>
      <x:c r="C1074" s="1" t="str">
        <x:v>put</x:v>
      </x:c>
      <x:c r="D1074" s="11" t="n">
        <x:v>8900</x:v>
      </x:c>
      <x:c r="E1074" s="11" t="n">
        <x:v>8600</x:v>
      </x:c>
      <x:c r="F1074" s="11"/>
      <x:c r="G1074" s="11" t="n">
        <x:f>'Option source'!B908</x:f>
        <x:v>2022.5</x:v>
      </x:c>
      <x:c r="H1074" s="11" t="n">
        <x:f>'Option source'!B893</x:f>
        <x:v>1650</x:v>
      </x:c>
      <x:c r="I1074" s="11"/>
      <x:c r="J1074" s="11" t="n">
        <x:f>G1074-2*H1074+IF(B1074="Butterfly",I1074,0)</x:f>
        <x:v>-1277.5</x:v>
      </x:c>
      <x:c r="K1074" s="11" t="n">
        <x:f>ABS(E1074-D1074)</x:f>
        <x:v>300</x:v>
      </x:c>
      <x:c r="L1074" s="11" t="n">
        <x:f>K1074-J1074</x:f>
        <x:v>1577.5</x:v>
      </x:c>
      <x:c r="M1074" s="11" t="n">
        <x:f>IF(B1074="Butterfly",MAX(J1074,0),IF(C1074="call","Unlimited",MAX(2*E1074-D1074+J1074,J1074,0)))</x:f>
        <x:v>7022.5</x:v>
      </x:c>
      <x:c r="N1074" s="11" t="n">
        <x:f>IF(B1074="Butterfly",IF(AND(J1074&gt;0,J1074&lt;K1074),D1074+J1074,"n.a."),IF(C1074="call",IF(AND(J1074&gt;0,J1074&lt;K1074),D1074+J1074,"n.a."),IF(AND(K1074&gt;J1074,2*E1074-D1074+J1074&gt;=0),2*E1074-D1074+J1074,"n.a.")))</x:f>
        <x:v>7022.5</x:v>
      </x:c>
      <x:c r="O1074" s="11" t="str">
        <x:f>IF(B1074="Butterfly",IF(AND(J1074&gt;0,J1074&lt;K1074),F1074-J1074,"n.a."),IF(C1074="call",IF(K1074&gt;J1074,2*E1074-D1074-J1074,"n.a."),IF(AND(J1074&gt;0,J1074&lt;K1074),D1074-J1074,"n.a.")))</x:f>
        <x:v>n.a.</x:v>
      </x:c>
      <x:c r="P1074" s="19" t="str">
        <x:f>IF(AND(B1074="Butterfly",J1074&gt;0,J1074&lt;K1074),L1074/J1074,"n.a.")</x:f>
        <x:v>n.a.</x:v>
      </x:c>
      <x:c r="Q1074" s="11" t="n">
        <x:f>J1074*'Model inputs'!$B$8</x:f>
        <x:v>-127750</x:v>
      </x:c>
      <x:c r="R1074" s="1" t="str">
        <x:v>Flagged leg data</x:v>
      </x:c>
      <x:c r="S1074" s="1" t="n">
        <x:v>903</x:v>
      </x:c>
      <x:c r="T1074" s="1" t="n">
        <x:v>888</x:v>
      </x:c>
    </x:row>
    <x:row r="1075" ht="21" customHeight="1">
      <x:c r="A1075" s="12" t="n">
        <x:v>46266</x:v>
      </x:c>
      <x:c r="B1075" s="1" t="str">
        <x:v>1x2 ratio</x:v>
      </x:c>
      <x:c r="C1075" s="1" t="str">
        <x:v>call</x:v>
      </x:c>
      <x:c r="D1075" s="11" t="n">
        <x:v>5200</x:v>
      </x:c>
      <x:c r="E1075" s="11" t="n">
        <x:v>5400</x:v>
      </x:c>
      <x:c r="F1075" s="11"/>
      <x:c r="G1075" s="11" t="n">
        <x:f>'Option source'!B105</x:f>
        <x:v>1991.75</x:v>
      </x:c>
      <x:c r="H1075" s="11" t="n">
        <x:f>'Option source'!B124</x:f>
        <x:v>1790</x:v>
      </x:c>
      <x:c r="I1075" s="11"/>
      <x:c r="J1075" s="11" t="n">
        <x:f>G1075-2*H1075+IF(B1075="Butterfly",I1075,0)</x:f>
        <x:v>-1588.25</x:v>
      </x:c>
      <x:c r="K1075" s="11" t="n">
        <x:f>ABS(E1075-D1075)</x:f>
        <x:v>200</x:v>
      </x:c>
      <x:c r="L1075" s="11" t="n">
        <x:f>K1075-J1075</x:f>
        <x:v>1788.25</x:v>
      </x:c>
      <x:c r="M1075" s="11" t="str">
        <x:f>IF(B1075="Butterfly",MAX(J1075,0),IF(C1075="call","Unlimited",MAX(2*E1075-D1075+J1075,J1075,0)))</x:f>
        <x:v>Unlimited</x:v>
      </x:c>
      <x:c r="N1075" s="11" t="str">
        <x:f>IF(B1075="Butterfly",IF(AND(J1075&gt;0,J1075&lt;K1075),D1075+J1075,"n.a."),IF(C1075="call",IF(AND(J1075&gt;0,J1075&lt;K1075),D1075+J1075,"n.a."),IF(AND(K1075&gt;J1075,2*E1075-D1075+J1075&gt;=0),2*E1075-D1075+J1075,"n.a.")))</x:f>
        <x:v>n.a.</x:v>
      </x:c>
      <x:c r="O1075" s="11" t="n">
        <x:f>IF(B1075="Butterfly",IF(AND(J1075&gt;0,J1075&lt;K1075),F1075-J1075,"n.a."),IF(C1075="call",IF(K1075&gt;J1075,2*E1075-D1075-J1075,"n.a."),IF(AND(J1075&gt;0,J1075&lt;K1075),D1075-J1075,"n.a.")))</x:f>
        <x:v>7188.25</x:v>
      </x:c>
      <x:c r="P1075" s="19" t="str">
        <x:f>IF(AND(B1075="Butterfly",J1075&gt;0,J1075&lt;K1075),L1075/J1075,"n.a.")</x:f>
        <x:v>n.a.</x:v>
      </x:c>
      <x:c r="Q1075" s="11" t="n">
        <x:f>J1075*'Model inputs'!$B$8</x:f>
        <x:v>-158825</x:v>
      </x:c>
      <x:c r="R1075" s="1" t="str">
        <x:v>Flagged leg data</x:v>
      </x:c>
      <x:c r="S1075" s="1" t="n">
        <x:v>100</x:v>
      </x:c>
      <x:c r="T1075" s="1" t="n">
        <x:v>119</x:v>
      </x:c>
    </x:row>
    <x:row r="1076" ht="21" customHeight="1">
      <x:c r="A1076" s="12" t="n">
        <x:v>46266</x:v>
      </x:c>
      <x:c r="B1076" s="1" t="str">
        <x:v>1x2 ratio</x:v>
      </x:c>
      <x:c r="C1076" s="1" t="str">
        <x:v>call</x:v>
      </x:c>
      <x:c r="D1076" s="11" t="n">
        <x:v>5000</x:v>
      </x:c>
      <x:c r="E1076" s="11" t="n">
        <x:v>5200</x:v>
      </x:c>
      <x:c r="F1076" s="11"/>
      <x:c r="G1076" s="11" t="n">
        <x:f>'Option source'!B86</x:f>
        <x:v>2180</x:v>
      </x:c>
      <x:c r="H1076" s="11" t="n">
        <x:f>'Option source'!B105</x:f>
        <x:v>1991.75</x:v>
      </x:c>
      <x:c r="I1076" s="11"/>
      <x:c r="J1076" s="11" t="n">
        <x:f>G1076-2*H1076+IF(B1076="Butterfly",I1076,0)</x:f>
        <x:v>-1803.5</x:v>
      </x:c>
      <x:c r="K1076" s="11" t="n">
        <x:f>ABS(E1076-D1076)</x:f>
        <x:v>200</x:v>
      </x:c>
      <x:c r="L1076" s="11" t="n">
        <x:f>K1076-J1076</x:f>
        <x:v>2003.5</x:v>
      </x:c>
      <x:c r="M1076" s="11" t="str">
        <x:f>IF(B1076="Butterfly",MAX(J1076,0),IF(C1076="call","Unlimited",MAX(2*E1076-D1076+J1076,J1076,0)))</x:f>
        <x:v>Unlimited</x:v>
      </x:c>
      <x:c r="N1076" s="11" t="str">
        <x:f>IF(B1076="Butterfly",IF(AND(J1076&gt;0,J1076&lt;K1076),D1076+J1076,"n.a."),IF(C1076="call",IF(AND(J1076&gt;0,J1076&lt;K1076),D1076+J1076,"n.a."),IF(AND(K1076&gt;J1076,2*E1076-D1076+J1076&gt;=0),2*E1076-D1076+J1076,"n.a.")))</x:f>
        <x:v>n.a.</x:v>
      </x:c>
      <x:c r="O1076" s="11" t="n">
        <x:f>IF(B1076="Butterfly",IF(AND(J1076&gt;0,J1076&lt;K1076),F1076-J1076,"n.a."),IF(C1076="call",IF(K1076&gt;J1076,2*E1076-D1076-J1076,"n.a."),IF(AND(J1076&gt;0,J1076&lt;K1076),D1076-J1076,"n.a.")))</x:f>
        <x:v>7203.5</x:v>
      </x:c>
      <x:c r="P1076" s="19" t="str">
        <x:f>IF(AND(B1076="Butterfly",J1076&gt;0,J1076&lt;K1076),L1076/J1076,"n.a.")</x:f>
        <x:v>n.a.</x:v>
      </x:c>
      <x:c r="Q1076" s="11" t="n">
        <x:f>J1076*'Model inputs'!$B$8</x:f>
        <x:v>-180350</x:v>
      </x:c>
      <x:c r="R1076" s="1" t="str">
        <x:v>Flagged leg data</x:v>
      </x:c>
      <x:c r="S1076" s="1" t="n">
        <x:v>81</x:v>
      </x:c>
      <x:c r="T1076" s="1" t="n">
        <x:v>100</x:v>
      </x:c>
    </x:row>
    <x:row r="1077" ht="21" customHeight="1">
      <x:c r="A1077" s="12" t="n">
        <x:v>46266</x:v>
      </x:c>
      <x:c r="B1077" s="1" t="str">
        <x:v>1x2 ratio</x:v>
      </x:c>
      <x:c r="C1077" s="1" t="str">
        <x:v>call</x:v>
      </x:c>
      <x:c r="D1077" s="11" t="n">
        <x:v>4800</x:v>
      </x:c>
      <x:c r="E1077" s="11" t="n">
        <x:v>5000</x:v>
      </x:c>
      <x:c r="F1077" s="11"/>
      <x:c r="G1077" s="11" t="n">
        <x:f>'Option source'!B69</x:f>
        <x:v>2375</x:v>
      </x:c>
      <x:c r="H1077" s="11" t="n">
        <x:f>'Option source'!B86</x:f>
        <x:v>2180</x:v>
      </x:c>
      <x:c r="I1077" s="11"/>
      <x:c r="J1077" s="11" t="n">
        <x:f>G1077-2*H1077+IF(B1077="Butterfly",I1077,0)</x:f>
        <x:v>-1985</x:v>
      </x:c>
      <x:c r="K1077" s="11" t="n">
        <x:f>ABS(E1077-D1077)</x:f>
        <x:v>200</x:v>
      </x:c>
      <x:c r="L1077" s="11" t="n">
        <x:f>K1077-J1077</x:f>
        <x:v>2185</x:v>
      </x:c>
      <x:c r="M1077" s="11" t="str">
        <x:f>IF(B1077="Butterfly",MAX(J1077,0),IF(C1077="call","Unlimited",MAX(2*E1077-D1077+J1077,J1077,0)))</x:f>
        <x:v>Unlimited</x:v>
      </x:c>
      <x:c r="N1077" s="11" t="str">
        <x:f>IF(B1077="Butterfly",IF(AND(J1077&gt;0,J1077&lt;K1077),D1077+J1077,"n.a."),IF(C1077="call",IF(AND(J1077&gt;0,J1077&lt;K1077),D1077+J1077,"n.a."),IF(AND(K1077&gt;J1077,2*E1077-D1077+J1077&gt;=0),2*E1077-D1077+J1077,"n.a.")))</x:f>
        <x:v>n.a.</x:v>
      </x:c>
      <x:c r="O1077" s="11" t="n">
        <x:f>IF(B1077="Butterfly",IF(AND(J1077&gt;0,J1077&lt;K1077),F1077-J1077,"n.a."),IF(C1077="call",IF(K1077&gt;J1077,2*E1077-D1077-J1077,"n.a."),IF(AND(J1077&gt;0,J1077&lt;K1077),D1077-J1077,"n.a.")))</x:f>
        <x:v>7185</x:v>
      </x:c>
      <x:c r="P1077" s="19" t="str">
        <x:f>IF(AND(B1077="Butterfly",J1077&gt;0,J1077&lt;K1077),L1077/J1077,"n.a.")</x:f>
        <x:v>n.a.</x:v>
      </x:c>
      <x:c r="Q1077" s="11" t="n">
        <x:f>J1077*'Model inputs'!$B$8</x:f>
        <x:v>-198500</x:v>
      </x:c>
      <x:c r="R1077" s="1" t="str">
        <x:v>Flagged leg data</x:v>
      </x:c>
      <x:c r="S1077" s="1" t="n">
        <x:v>64</x:v>
      </x:c>
      <x:c r="T1077" s="1" t="n">
        <x:v>81</x:v>
      </x:c>
    </x:row>
    <x:row r="1078" ht="21" customHeight="1">
      <x:c r="A1078" s="12" t="n">
        <x:v>46266</x:v>
      </x:c>
      <x:c r="B1078" s="1" t="str">
        <x:v>1x2 ratio</x:v>
      </x:c>
      <x:c r="C1078" s="1" t="str">
        <x:v>call</x:v>
      </x:c>
      <x:c r="D1078" s="11" t="n">
        <x:v>4600</x:v>
      </x:c>
      <x:c r="E1078" s="11" t="n">
        <x:v>4800</x:v>
      </x:c>
      <x:c r="F1078" s="11"/>
      <x:c r="G1078" s="11" t="n">
        <x:f>'Option source'!B52</x:f>
        <x:v>2384.72</x:v>
      </x:c>
      <x:c r="H1078" s="11" t="n">
        <x:f>'Option source'!B69</x:f>
        <x:v>2375</x:v>
      </x:c>
      <x:c r="I1078" s="11"/>
      <x:c r="J1078" s="11" t="n">
        <x:f>G1078-2*H1078+IF(B1078="Butterfly",I1078,0)</x:f>
        <x:v>-2365.28</x:v>
      </x:c>
      <x:c r="K1078" s="11" t="n">
        <x:f>ABS(E1078-D1078)</x:f>
        <x:v>200</x:v>
      </x:c>
      <x:c r="L1078" s="11" t="n">
        <x:f>K1078-J1078</x:f>
        <x:v>2565.28</x:v>
      </x:c>
      <x:c r="M1078" s="11" t="str">
        <x:f>IF(B1078="Butterfly",MAX(J1078,0),IF(C1078="call","Unlimited",MAX(2*E1078-D1078+J1078,J1078,0)))</x:f>
        <x:v>Unlimited</x:v>
      </x:c>
      <x:c r="N1078" s="11" t="str">
        <x:f>IF(B1078="Butterfly",IF(AND(J1078&gt;0,J1078&lt;K1078),D1078+J1078,"n.a."),IF(C1078="call",IF(AND(J1078&gt;0,J1078&lt;K1078),D1078+J1078,"n.a."),IF(AND(K1078&gt;J1078,2*E1078-D1078+J1078&gt;=0),2*E1078-D1078+J1078,"n.a.")))</x:f>
        <x:v>n.a.</x:v>
      </x:c>
      <x:c r="O1078" s="11" t="n">
        <x:f>IF(B1078="Butterfly",IF(AND(J1078&gt;0,J1078&lt;K1078),F1078-J1078,"n.a."),IF(C1078="call",IF(K1078&gt;J1078,2*E1078-D1078-J1078,"n.a."),IF(AND(J1078&gt;0,J1078&lt;K1078),D1078-J1078,"n.a.")))</x:f>
        <x:v>7365.280000000001</x:v>
      </x:c>
      <x:c r="P1078" s="19" t="str">
        <x:f>IF(AND(B1078="Butterfly",J1078&gt;0,J1078&lt;K1078),L1078/J1078,"n.a.")</x:f>
        <x:v>n.a.</x:v>
      </x:c>
      <x:c r="Q1078" s="11" t="n">
        <x:f>J1078*'Model inputs'!$B$8</x:f>
        <x:v>-236528.00000000003</x:v>
      </x:c>
      <x:c r="R1078" s="1" t="str">
        <x:v>Flagged leg data</x:v>
      </x:c>
      <x:c r="S1078" s="1" t="n">
        <x:v>47</x:v>
      </x:c>
      <x:c r="T1078" s="1" t="n">
        <x:v>64</x:v>
      </x:c>
    </x:row>
    <x:row r="1079" ht="21" customHeight="1">
      <x:c r="A1079" s="12" t="n">
        <x:v>46266</x:v>
      </x:c>
      <x:c r="B1079" s="1" t="str">
        <x:v>1x2 ratio</x:v>
      </x:c>
      <x:c r="C1079" s="1" t="str">
        <x:v>call</x:v>
      </x:c>
      <x:c r="D1079" s="11" t="n">
        <x:v>4400</x:v>
      </x:c>
      <x:c r="E1079" s="11" t="n">
        <x:v>4600</x:v>
      </x:c>
      <x:c r="F1079" s="11"/>
      <x:c r="G1079" s="11" t="n">
        <x:f>'Option source'!B33</x:f>
        <x:v>2746.82</x:v>
      </x:c>
      <x:c r="H1079" s="11" t="n">
        <x:f>'Option source'!B52</x:f>
        <x:v>2384.72</x:v>
      </x:c>
      <x:c r="I1079" s="11"/>
      <x:c r="J1079" s="11" t="n">
        <x:f>G1079-2*H1079+IF(B1079="Butterfly",I1079,0)</x:f>
        <x:v>-2022.6199999999994</x:v>
      </x:c>
      <x:c r="K1079" s="11" t="n">
        <x:f>ABS(E1079-D1079)</x:f>
        <x:v>200</x:v>
      </x:c>
      <x:c r="L1079" s="11" t="n">
        <x:f>K1079-J1079</x:f>
        <x:v>2222.6199999999994</x:v>
      </x:c>
      <x:c r="M1079" s="11" t="str">
        <x:f>IF(B1079="Butterfly",MAX(J1079,0),IF(C1079="call","Unlimited",MAX(2*E1079-D1079+J1079,J1079,0)))</x:f>
        <x:v>Unlimited</x:v>
      </x:c>
      <x:c r="N1079" s="11" t="str">
        <x:f>IF(B1079="Butterfly",IF(AND(J1079&gt;0,J1079&lt;K1079),D1079+J1079,"n.a."),IF(C1079="call",IF(AND(J1079&gt;0,J1079&lt;K1079),D1079+J1079,"n.a."),IF(AND(K1079&gt;J1079,2*E1079-D1079+J1079&gt;=0),2*E1079-D1079+J1079,"n.a.")))</x:f>
        <x:v>n.a.</x:v>
      </x:c>
      <x:c r="O1079" s="11" t="n">
        <x:f>IF(B1079="Butterfly",IF(AND(J1079&gt;0,J1079&lt;K1079),F1079-J1079,"n.a."),IF(C1079="call",IF(K1079&gt;J1079,2*E1079-D1079-J1079,"n.a."),IF(AND(J1079&gt;0,J1079&lt;K1079),D1079-J1079,"n.a.")))</x:f>
        <x:v>6822.619999999999</x:v>
      </x:c>
      <x:c r="P1079" s="19" t="str">
        <x:f>IF(AND(B1079="Butterfly",J1079&gt;0,J1079&lt;K1079),L1079/J1079,"n.a.")</x:f>
        <x:v>n.a.</x:v>
      </x:c>
      <x:c r="Q1079" s="11" t="n">
        <x:f>J1079*'Model inputs'!$B$8</x:f>
        <x:v>-202261.99999999994</x:v>
      </x:c>
      <x:c r="R1079" s="1" t="str">
        <x:v>Flagged leg data</x:v>
      </x:c>
      <x:c r="S1079" s="1" t="n">
        <x:v>28</x:v>
      </x:c>
      <x:c r="T1079" s="1" t="n">
        <x:v>47</x:v>
      </x:c>
    </x:row>
    <x:row r="1080" ht="21" customHeight="1">
      <x:c r="A1080" s="12" t="n">
        <x:v>46266</x:v>
      </x:c>
      <x:c r="B1080" s="1" t="str">
        <x:v>1x2 ratio</x:v>
      </x:c>
      <x:c r="C1080" s="1" t="str">
        <x:v>call</x:v>
      </x:c>
      <x:c r="D1080" s="11" t="n">
        <x:v>4200</x:v>
      </x:c>
      <x:c r="E1080" s="11" t="n">
        <x:v>4400</x:v>
      </x:c>
      <x:c r="F1080" s="11"/>
      <x:c r="G1080" s="11" t="n">
        <x:f>'Option source'!B14</x:f>
        <x:v>3017.35</x:v>
      </x:c>
      <x:c r="H1080" s="11" t="n">
        <x:f>'Option source'!B33</x:f>
        <x:v>2746.82</x:v>
      </x:c>
      <x:c r="I1080" s="11"/>
      <x:c r="J1080" s="11" t="n">
        <x:f>G1080-2*H1080+IF(B1080="Butterfly",I1080,0)</x:f>
        <x:v>-2476.2900000000004</x:v>
      </x:c>
      <x:c r="K1080" s="11" t="n">
        <x:f>ABS(E1080-D1080)</x:f>
        <x:v>200</x:v>
      </x:c>
      <x:c r="L1080" s="11" t="n">
        <x:f>K1080-J1080</x:f>
        <x:v>2676.2900000000004</x:v>
      </x:c>
      <x:c r="M1080" s="11" t="str">
        <x:f>IF(B1080="Butterfly",MAX(J1080,0),IF(C1080="call","Unlimited",MAX(2*E1080-D1080+J1080,J1080,0)))</x:f>
        <x:v>Unlimited</x:v>
      </x:c>
      <x:c r="N1080" s="11" t="str">
        <x:f>IF(B1080="Butterfly",IF(AND(J1080&gt;0,J1080&lt;K1080),D1080+J1080,"n.a."),IF(C1080="call",IF(AND(J1080&gt;0,J1080&lt;K1080),D1080+J1080,"n.a."),IF(AND(K1080&gt;J1080,2*E1080-D1080+J1080&gt;=0),2*E1080-D1080+J1080,"n.a.")))</x:f>
        <x:v>n.a.</x:v>
      </x:c>
      <x:c r="O1080" s="11" t="n">
        <x:f>IF(B1080="Butterfly",IF(AND(J1080&gt;0,J1080&lt;K1080),F1080-J1080,"n.a."),IF(C1080="call",IF(K1080&gt;J1080,2*E1080-D1080-J1080,"n.a."),IF(AND(J1080&gt;0,J1080&lt;K1080),D1080-J1080,"n.a.")))</x:f>
        <x:v>7076.290000000001</x:v>
      </x:c>
      <x:c r="P1080" s="19" t="str">
        <x:f>IF(AND(B1080="Butterfly",J1080&gt;0,J1080&lt;K1080),L1080/J1080,"n.a.")</x:f>
        <x:v>n.a.</x:v>
      </x:c>
      <x:c r="Q1080" s="11" t="n">
        <x:f>J1080*'Model inputs'!$B$8</x:f>
        <x:v>-247629.00000000003</x:v>
      </x:c>
      <x:c r="R1080" s="1" t="str">
        <x:v>Flagged leg data</x:v>
      </x:c>
      <x:c r="S1080" s="1" t="n">
        <x:v>9</x:v>
      </x:c>
      <x:c r="T1080" s="1" t="n">
        <x:v>28</x:v>
      </x:c>
    </x:row>
    <x:row r="1081" ht="21" customHeight="1">
      <x:c r="A1081" s="12" t="n">
        <x:v>46265</x:v>
      </x:c>
      <x:c r="B1081" s="1" t="str">
        <x:v>Butterfly</x:v>
      </x:c>
      <x:c r="C1081" s="1" t="str">
        <x:v>call</x:v>
      </x:c>
      <x:c r="D1081" s="11" t="n">
        <x:v>6800</x:v>
      </x:c>
      <x:c r="E1081" s="11" t="n">
        <x:v>7000</x:v>
      </x:c>
      <x:c r="F1081" s="11" t="n">
        <x:v>7200</x:v>
      </x:c>
      <x:c r="G1081" s="11" t="n">
        <x:f>'Option source'!B246</x:f>
        <x:v>661.02</x:v>
      </x:c>
      <x:c r="H1081" s="11" t="n">
        <x:f>'Option source'!B265</x:f>
        <x:v>552.7</x:v>
      </x:c>
      <x:c r="I1081" s="11" t="n">
        <x:f>'Option source'!B284</x:f>
        <x:v>453.57</x:v>
      </x:c>
      <x:c r="J1081" s="11" t="n">
        <x:f>G1081-2*H1081+IF(B1081="Butterfly",I1081,0)</x:f>
        <x:v>9.189999999999884</x:v>
      </x:c>
      <x:c r="K1081" s="11" t="n">
        <x:f>ABS(E1081-D1081)</x:f>
        <x:v>200</x:v>
      </x:c>
      <x:c r="L1081" s="11" t="n">
        <x:f>K1081-J1081</x:f>
        <x:v>190.81000000000012</x:v>
      </x:c>
      <x:c r="M1081" s="11" t="n">
        <x:f>IF(B1081="Butterfly",MAX(J1081,0),IF(C1081="call","Unlimited",MAX(2*E1081-D1081+J1081,J1081,0)))</x:f>
        <x:v>9.189999999999884</x:v>
      </x:c>
      <x:c r="N1081" s="11" t="n">
        <x:f>IF(B1081="Butterfly",IF(AND(J1081&gt;0,J1081&lt;K1081),D1081+J1081,"n.a."),IF(C1081="call",IF(AND(J1081&gt;0,J1081&lt;K1081),D1081+J1081,"n.a."),IF(AND(K1081&gt;J1081,2*E1081-D1081+J1081&gt;=0),2*E1081-D1081+J1081,"n.a.")))</x:f>
        <x:v>6809.19</x:v>
      </x:c>
      <x:c r="O1081" s="11" t="n">
        <x:f>IF(B1081="Butterfly",IF(AND(J1081&gt;0,J1081&lt;K1081),F1081-J1081,"n.a."),IF(C1081="call",IF(K1081&gt;J1081,2*E1081-D1081-J1081,"n.a."),IF(AND(J1081&gt;0,J1081&lt;K1081),D1081-J1081,"n.a.")))</x:f>
        <x:v>7190.81</x:v>
      </x:c>
      <x:c r="P1081" s="19" t="n">
        <x:f>IF(AND(B1081="Butterfly",J1081&gt;0,J1081&lt;K1081),L1081/J1081,"n.a.")</x:f>
        <x:v>20.762785636561755</x:v>
      </x:c>
      <x:c r="Q1081" s="11" t="n">
        <x:f>J1081*'Model inputs'!$B$8</x:f>
        <x:v>918.9999999999884</x:v>
      </x:c>
      <x:c r="R1081" s="1" t="str">
        <x:v>Indicative only</x:v>
      </x:c>
      <x:c r="S1081" s="1" t="n">
        <x:v>241</x:v>
      </x:c>
      <x:c r="T1081" s="1" t="n">
        <x:v>260</x:v>
      </x:c>
    </x:row>
    <x:row r="1082" ht="21" customHeight="1">
      <x:c r="A1082" s="12" t="n">
        <x:v>46265</x:v>
      </x:c>
      <x:c r="B1082" s="1" t="str">
        <x:v>Butterfly</x:v>
      </x:c>
      <x:c r="C1082" s="1" t="str">
        <x:v>put</x:v>
      </x:c>
      <x:c r="D1082" s="11" t="n">
        <x:v>6800</x:v>
      </x:c>
      <x:c r="E1082" s="11" t="n">
        <x:v>7000</x:v>
      </x:c>
      <x:c r="F1082" s="11" t="n">
        <x:v>7200</x:v>
      </x:c>
      <x:c r="G1082" s="11" t="n">
        <x:f>'Option source'!B740</x:f>
        <x:v>262.94</x:v>
      </x:c>
      <x:c r="H1082" s="11" t="n">
        <x:f>'Option source'!B759</x:f>
        <x:v>346.09</x:v>
      </x:c>
      <x:c r="I1082" s="11" t="n">
        <x:f>'Option source'!B778</x:f>
        <x:v>447.89</x:v>
      </x:c>
      <x:c r="J1082" s="11" t="n">
        <x:f>G1082-2*H1082+IF(B1082="Butterfly",I1082,0)</x:f>
        <x:v>18.650000000000034</x:v>
      </x:c>
      <x:c r="K1082" s="11" t="n">
        <x:f>ABS(E1082-D1082)</x:f>
        <x:v>200</x:v>
      </x:c>
      <x:c r="L1082" s="11" t="n">
        <x:f>K1082-J1082</x:f>
        <x:v>181.34999999999997</x:v>
      </x:c>
      <x:c r="M1082" s="11" t="n">
        <x:f>IF(B1082="Butterfly",MAX(J1082,0),IF(C1082="call","Unlimited",MAX(2*E1082-D1082+J1082,J1082,0)))</x:f>
        <x:v>18.650000000000034</x:v>
      </x:c>
      <x:c r="N1082" s="11" t="n">
        <x:f>IF(B1082="Butterfly",IF(AND(J1082&gt;0,J1082&lt;K1082),D1082+J1082,"n.a."),IF(C1082="call",IF(AND(J1082&gt;0,J1082&lt;K1082),D1082+J1082,"n.a."),IF(AND(K1082&gt;J1082,2*E1082-D1082+J1082&gt;=0),2*E1082-D1082+J1082,"n.a.")))</x:f>
        <x:v>6818.65</x:v>
      </x:c>
      <x:c r="O1082" s="11" t="n">
        <x:f>IF(B1082="Butterfly",IF(AND(J1082&gt;0,J1082&lt;K1082),F1082-J1082,"n.a."),IF(C1082="call",IF(K1082&gt;J1082,2*E1082-D1082-J1082,"n.a."),IF(AND(J1082&gt;0,J1082&lt;K1082),D1082-J1082,"n.a.")))</x:f>
        <x:v>7181.35</x:v>
      </x:c>
      <x:c r="P1082" s="19" t="n">
        <x:f>IF(AND(B1082="Butterfly",J1082&gt;0,J1082&lt;K1082),L1082/J1082,"n.a.")</x:f>
        <x:v>9.723860589812313</x:v>
      </x:c>
      <x:c r="Q1082" s="11" t="n">
        <x:f>J1082*'Model inputs'!$B$8</x:f>
        <x:v>1865.0000000000034</x:v>
      </x:c>
      <x:c r="R1082" s="1" t="str">
        <x:v>Indicative only</x:v>
      </x:c>
      <x:c r="S1082" s="1" t="n">
        <x:v>735</x:v>
      </x:c>
      <x:c r="T1082" s="1" t="n">
        <x:v>754</x:v>
      </x:c>
    </x:row>
    <x:row r="1083" ht="21" customHeight="1">
      <x:c r="A1083" s="12" t="n">
        <x:v>46265</x:v>
      </x:c>
      <x:c r="B1083" s="1" t="str">
        <x:v>Butterfly</x:v>
      </x:c>
      <x:c r="C1083" s="1" t="str">
        <x:v>call</x:v>
      </x:c>
      <x:c r="D1083" s="11" t="n">
        <x:v>7000</x:v>
      </x:c>
      <x:c r="E1083" s="11" t="n">
        <x:v>7200</x:v>
      </x:c>
      <x:c r="F1083" s="11" t="n">
        <x:v>7400</x:v>
      </x:c>
      <x:c r="G1083" s="11" t="n">
        <x:f>'Option source'!B265</x:f>
        <x:v>552.7</x:v>
      </x:c>
      <x:c r="H1083" s="11" t="n">
        <x:f>'Option source'!B284</x:f>
        <x:v>453.57</x:v>
      </x:c>
      <x:c r="I1083" s="11" t="n">
        <x:f>'Option source'!B303</x:f>
        <x:v>370.64</x:v>
      </x:c>
      <x:c r="J1083" s="11" t="n">
        <x:f>G1083-2*H1083+IF(B1083="Butterfly",I1083,0)</x:f>
        <x:v>16.200000000000045</x:v>
      </x:c>
      <x:c r="K1083" s="11" t="n">
        <x:f>ABS(E1083-D1083)</x:f>
        <x:v>200</x:v>
      </x:c>
      <x:c r="L1083" s="11" t="n">
        <x:f>K1083-J1083</x:f>
        <x:v>183.79999999999995</x:v>
      </x:c>
      <x:c r="M1083" s="11" t="n">
        <x:f>IF(B1083="Butterfly",MAX(J1083,0),IF(C1083="call","Unlimited",MAX(2*E1083-D1083+J1083,J1083,0)))</x:f>
        <x:v>16.200000000000045</x:v>
      </x:c>
      <x:c r="N1083" s="11" t="n">
        <x:f>IF(B1083="Butterfly",IF(AND(J1083&gt;0,J1083&lt;K1083),D1083+J1083,"n.a."),IF(C1083="call",IF(AND(J1083&gt;0,J1083&lt;K1083),D1083+J1083,"n.a."),IF(AND(K1083&gt;J1083,2*E1083-D1083+J1083&gt;=0),2*E1083-D1083+J1083,"n.a.")))</x:f>
        <x:v>7016.2</x:v>
      </x:c>
      <x:c r="O1083" s="11" t="n">
        <x:f>IF(B1083="Butterfly",IF(AND(J1083&gt;0,J1083&lt;K1083),F1083-J1083,"n.a."),IF(C1083="call",IF(K1083&gt;J1083,2*E1083-D1083-J1083,"n.a."),IF(AND(J1083&gt;0,J1083&lt;K1083),D1083-J1083,"n.a.")))</x:f>
        <x:v>7383.8</x:v>
      </x:c>
      <x:c r="P1083" s="19" t="n">
        <x:f>IF(AND(B1083="Butterfly",J1083&gt;0,J1083&lt;K1083),L1083/J1083,"n.a.")</x:f>
        <x:v>11.345679012345645</x:v>
      </x:c>
      <x:c r="Q1083" s="11" t="n">
        <x:f>J1083*'Model inputs'!$B$8</x:f>
        <x:v>1620.0000000000045</x:v>
      </x:c>
      <x:c r="R1083" s="1" t="str">
        <x:v>Indicative only</x:v>
      </x:c>
      <x:c r="S1083" s="1" t="n">
        <x:v>260</x:v>
      </x:c>
      <x:c r="T1083" s="1" t="n">
        <x:v>279</x:v>
      </x:c>
    </x:row>
    <x:row r="1084" ht="21" customHeight="1">
      <x:c r="A1084" s="12" t="n">
        <x:v>46265</x:v>
      </x:c>
      <x:c r="B1084" s="1" t="str">
        <x:v>Butterfly</x:v>
      </x:c>
      <x:c r="C1084" s="1" t="str">
        <x:v>put</x:v>
      </x:c>
      <x:c r="D1084" s="11" t="n">
        <x:v>7000</x:v>
      </x:c>
      <x:c r="E1084" s="11" t="n">
        <x:v>7200</x:v>
      </x:c>
      <x:c r="F1084" s="11" t="n">
        <x:v>7400</x:v>
      </x:c>
      <x:c r="G1084" s="11" t="n">
        <x:f>'Option source'!B759</x:f>
        <x:v>346.09</x:v>
      </x:c>
      <x:c r="H1084" s="11" t="n">
        <x:f>'Option source'!B778</x:f>
        <x:v>447.89</x:v>
      </x:c>
      <x:c r="I1084" s="11" t="n">
        <x:f>'Option source'!B797</x:f>
        <x:v>560.79</x:v>
      </x:c>
      <x:c r="J1084" s="11" t="n">
        <x:f>G1084-2*H1084+IF(B1084="Butterfly",I1084,0)</x:f>
        <x:v>11.099999999999909</x:v>
      </x:c>
      <x:c r="K1084" s="11" t="n">
        <x:f>ABS(E1084-D1084)</x:f>
        <x:v>200</x:v>
      </x:c>
      <x:c r="L1084" s="11" t="n">
        <x:f>K1084-J1084</x:f>
        <x:v>188.9000000000001</x:v>
      </x:c>
      <x:c r="M1084" s="11" t="n">
        <x:f>IF(B1084="Butterfly",MAX(J1084,0),IF(C1084="call","Unlimited",MAX(2*E1084-D1084+J1084,J1084,0)))</x:f>
        <x:v>11.099999999999909</x:v>
      </x:c>
      <x:c r="N1084" s="11" t="n">
        <x:f>IF(B1084="Butterfly",IF(AND(J1084&gt;0,J1084&lt;K1084),D1084+J1084,"n.a."),IF(C1084="call",IF(AND(J1084&gt;0,J1084&lt;K1084),D1084+J1084,"n.a."),IF(AND(K1084&gt;J1084,2*E1084-D1084+J1084&gt;=0),2*E1084-D1084+J1084,"n.a.")))</x:f>
        <x:v>7011.1</x:v>
      </x:c>
      <x:c r="O1084" s="11" t="n">
        <x:f>IF(B1084="Butterfly",IF(AND(J1084&gt;0,J1084&lt;K1084),F1084-J1084,"n.a."),IF(C1084="call",IF(K1084&gt;J1084,2*E1084-D1084-J1084,"n.a."),IF(AND(J1084&gt;0,J1084&lt;K1084),D1084-J1084,"n.a.")))</x:f>
        <x:v>7388.9</x:v>
      </x:c>
      <x:c r="P1084" s="19" t="n">
        <x:f>IF(AND(B1084="Butterfly",J1084&gt;0,J1084&lt;K1084),L1084/J1084,"n.a.")</x:f>
        <x:v>17.018018018018164</x:v>
      </x:c>
      <x:c r="Q1084" s="11" t="n">
        <x:f>J1084*'Model inputs'!$B$8</x:f>
        <x:v>1109.999999999991</x:v>
      </x:c>
      <x:c r="R1084" s="1" t="str">
        <x:v>Indicative only</x:v>
      </x:c>
      <x:c r="S1084" s="1" t="n">
        <x:v>754</x:v>
      </x:c>
      <x:c r="T1084" s="1" t="n">
        <x:v>773</x:v>
      </x:c>
    </x:row>
    <x:row r="1085" ht="21" customHeight="1">
      <x:c r="A1085" s="12" t="n">
        <x:v>46265</x:v>
      </x:c>
      <x:c r="B1085" s="1" t="str">
        <x:v>Butterfly</x:v>
      </x:c>
      <x:c r="C1085" s="1" t="str">
        <x:v>call</x:v>
      </x:c>
      <x:c r="D1085" s="11" t="n">
        <x:v>6600</x:v>
      </x:c>
      <x:c r="E1085" s="11" t="n">
        <x:v>6800</x:v>
      </x:c>
      <x:c r="F1085" s="11" t="n">
        <x:v>7000</x:v>
      </x:c>
      <x:c r="G1085" s="11" t="n">
        <x:f>'Option source'!B227</x:f>
        <x:v>785.86</x:v>
      </x:c>
      <x:c r="H1085" s="11" t="n">
        <x:f>'Option source'!B246</x:f>
        <x:v>661.02</x:v>
      </x:c>
      <x:c r="I1085" s="11" t="n">
        <x:f>'Option source'!B265</x:f>
        <x:v>552.7</x:v>
      </x:c>
      <x:c r="J1085" s="11" t="n">
        <x:f>G1085-2*H1085+IF(B1085="Butterfly",I1085,0)</x:f>
        <x:v>16.520000000000095</x:v>
      </x:c>
      <x:c r="K1085" s="11" t="n">
        <x:f>ABS(E1085-D1085)</x:f>
        <x:v>200</x:v>
      </x:c>
      <x:c r="L1085" s="11" t="n">
        <x:f>K1085-J1085</x:f>
        <x:v>183.4799999999999</x:v>
      </x:c>
      <x:c r="M1085" s="11" t="n">
        <x:f>IF(B1085="Butterfly",MAX(J1085,0),IF(C1085="call","Unlimited",MAX(2*E1085-D1085+J1085,J1085,0)))</x:f>
        <x:v>16.520000000000095</x:v>
      </x:c>
      <x:c r="N1085" s="11" t="n">
        <x:f>IF(B1085="Butterfly",IF(AND(J1085&gt;0,J1085&lt;K1085),D1085+J1085,"n.a."),IF(C1085="call",IF(AND(J1085&gt;0,J1085&lt;K1085),D1085+J1085,"n.a."),IF(AND(K1085&gt;J1085,2*E1085-D1085+J1085&gt;=0),2*E1085-D1085+J1085,"n.a.")))</x:f>
        <x:v>6616.52</x:v>
      </x:c>
      <x:c r="O1085" s="11" t="n">
        <x:f>IF(B1085="Butterfly",IF(AND(J1085&gt;0,J1085&lt;K1085),F1085-J1085,"n.a."),IF(C1085="call",IF(K1085&gt;J1085,2*E1085-D1085-J1085,"n.a."),IF(AND(J1085&gt;0,J1085&lt;K1085),D1085-J1085,"n.a.")))</x:f>
        <x:v>6983.48</x:v>
      </x:c>
      <x:c r="P1085" s="19" t="n">
        <x:f>IF(AND(B1085="Butterfly",J1085&gt;0,J1085&lt;K1085),L1085/J1085,"n.a.")</x:f>
        <x:v>11.106537530266273</x:v>
      </x:c>
      <x:c r="Q1085" s="11" t="n">
        <x:f>J1085*'Model inputs'!$B$8</x:f>
        <x:v>1652.0000000000095</x:v>
      </x:c>
      <x:c r="R1085" s="1" t="str">
        <x:v>Indicative only</x:v>
      </x:c>
      <x:c r="S1085" s="1" t="n">
        <x:v>222</x:v>
      </x:c>
      <x:c r="T1085" s="1" t="n">
        <x:v>241</x:v>
      </x:c>
    </x:row>
    <x:row r="1086" ht="21" customHeight="1">
      <x:c r="A1086" s="12" t="n">
        <x:v>46265</x:v>
      </x:c>
      <x:c r="B1086" s="1" t="str">
        <x:v>Butterfly</x:v>
      </x:c>
      <x:c r="C1086" s="1" t="str">
        <x:v>put</x:v>
      </x:c>
      <x:c r="D1086" s="11" t="n">
        <x:v>6600</x:v>
      </x:c>
      <x:c r="E1086" s="11" t="n">
        <x:v>6800</x:v>
      </x:c>
      <x:c r="F1086" s="11" t="n">
        <x:v>7000</x:v>
      </x:c>
      <x:c r="G1086" s="11" t="n">
        <x:f>'Option source'!B721</x:f>
        <x:v>193.67</x:v>
      </x:c>
      <x:c r="H1086" s="11" t="n">
        <x:f>'Option source'!B740</x:f>
        <x:v>262.94</x:v>
      </x:c>
      <x:c r="I1086" s="11" t="n">
        <x:f>'Option source'!B759</x:f>
        <x:v>346.09</x:v>
      </x:c>
      <x:c r="J1086" s="11" t="n">
        <x:f>G1086-2*H1086+IF(B1086="Butterfly",I1086,0)</x:f>
        <x:v>13.879999999999939</x:v>
      </x:c>
      <x:c r="K1086" s="11" t="n">
        <x:f>ABS(E1086-D1086)</x:f>
        <x:v>200</x:v>
      </x:c>
      <x:c r="L1086" s="11" t="n">
        <x:f>K1086-J1086</x:f>
        <x:v>186.12000000000006</x:v>
      </x:c>
      <x:c r="M1086" s="11" t="n">
        <x:f>IF(B1086="Butterfly",MAX(J1086,0),IF(C1086="call","Unlimited",MAX(2*E1086-D1086+J1086,J1086,0)))</x:f>
        <x:v>13.879999999999939</x:v>
      </x:c>
      <x:c r="N1086" s="11" t="n">
        <x:f>IF(B1086="Butterfly",IF(AND(J1086&gt;0,J1086&lt;K1086),D1086+J1086,"n.a."),IF(C1086="call",IF(AND(J1086&gt;0,J1086&lt;K1086),D1086+J1086,"n.a."),IF(AND(K1086&gt;J1086,2*E1086-D1086+J1086&gt;=0),2*E1086-D1086+J1086,"n.a.")))</x:f>
        <x:v>6613.88</x:v>
      </x:c>
      <x:c r="O1086" s="11" t="n">
        <x:f>IF(B1086="Butterfly",IF(AND(J1086&gt;0,J1086&lt;K1086),F1086-J1086,"n.a."),IF(C1086="call",IF(K1086&gt;J1086,2*E1086-D1086-J1086,"n.a."),IF(AND(J1086&gt;0,J1086&lt;K1086),D1086-J1086,"n.a.")))</x:f>
        <x:v>6986.12</x:v>
      </x:c>
      <x:c r="P1086" s="19" t="n">
        <x:f>IF(AND(B1086="Butterfly",J1086&gt;0,J1086&lt;K1086),L1086/J1086,"n.a.")</x:f>
        <x:v>13.409221902017356</x:v>
      </x:c>
      <x:c r="Q1086" s="11" t="n">
        <x:f>J1086*'Model inputs'!$B$8</x:f>
        <x:v>1387.9999999999939</x:v>
      </x:c>
      <x:c r="R1086" s="1" t="str">
        <x:v>Indicative only</x:v>
      </x:c>
      <x:c r="S1086" s="1" t="n">
        <x:v>716</x:v>
      </x:c>
      <x:c r="T1086" s="1" t="n">
        <x:v>735</x:v>
      </x:c>
    </x:row>
    <x:row r="1087" ht="21" customHeight="1">
      <x:c r="A1087" s="12" t="n">
        <x:v>46265</x:v>
      </x:c>
      <x:c r="B1087" s="1" t="str">
        <x:v>Butterfly</x:v>
      </x:c>
      <x:c r="C1087" s="1" t="str">
        <x:v>call</x:v>
      </x:c>
      <x:c r="D1087" s="11" t="n">
        <x:v>7200</x:v>
      </x:c>
      <x:c r="E1087" s="11" t="n">
        <x:v>7400</x:v>
      </x:c>
      <x:c r="F1087" s="11" t="n">
        <x:v>7600</x:v>
      </x:c>
      <x:c r="G1087" s="11" t="n">
        <x:f>'Option source'!B284</x:f>
        <x:v>453.57</x:v>
      </x:c>
      <x:c r="H1087" s="11" t="n">
        <x:f>'Option source'!B303</x:f>
        <x:v>370.64</x:v>
      </x:c>
      <x:c r="I1087" s="11" t="n">
        <x:f>'Option source'!B322</x:f>
        <x:v>290.9</x:v>
      </x:c>
      <x:c r="J1087" s="11" t="n">
        <x:f>G1087-2*H1087+IF(B1087="Butterfly",I1087,0)</x:f>
        <x:v>3.1899999999999977</x:v>
      </x:c>
      <x:c r="K1087" s="11" t="n">
        <x:f>ABS(E1087-D1087)</x:f>
        <x:v>200</x:v>
      </x:c>
      <x:c r="L1087" s="11" t="n">
        <x:f>K1087-J1087</x:f>
        <x:v>196.81</x:v>
      </x:c>
      <x:c r="M1087" s="11" t="n">
        <x:f>IF(B1087="Butterfly",MAX(J1087,0),IF(C1087="call","Unlimited",MAX(2*E1087-D1087+J1087,J1087,0)))</x:f>
        <x:v>3.1899999999999977</x:v>
      </x:c>
      <x:c r="N1087" s="11" t="n">
        <x:f>IF(B1087="Butterfly",IF(AND(J1087&gt;0,J1087&lt;K1087),D1087+J1087,"n.a."),IF(C1087="call",IF(AND(J1087&gt;0,J1087&lt;K1087),D1087+J1087,"n.a."),IF(AND(K1087&gt;J1087,2*E1087-D1087+J1087&gt;=0),2*E1087-D1087+J1087,"n.a.")))</x:f>
        <x:v>7203.19</x:v>
      </x:c>
      <x:c r="O1087" s="11" t="n">
        <x:f>IF(B1087="Butterfly",IF(AND(J1087&gt;0,J1087&lt;K1087),F1087-J1087,"n.a."),IF(C1087="call",IF(K1087&gt;J1087,2*E1087-D1087-J1087,"n.a."),IF(AND(J1087&gt;0,J1087&lt;K1087),D1087-J1087,"n.a.")))</x:f>
        <x:v>7596.81</x:v>
      </x:c>
      <x:c r="P1087" s="19" t="n">
        <x:f>IF(AND(B1087="Butterfly",J1087&gt;0,J1087&lt;K1087),L1087/J1087,"n.a.")</x:f>
        <x:v>61.69592476489033</x:v>
      </x:c>
      <x:c r="Q1087" s="11" t="n">
        <x:f>J1087*'Model inputs'!$B$8</x:f>
        <x:v>318.9999999999998</x:v>
      </x:c>
      <x:c r="R1087" s="1" t="str">
        <x:v>Indicative only</x:v>
      </x:c>
      <x:c r="S1087" s="1" t="n">
        <x:v>279</x:v>
      </x:c>
      <x:c r="T1087" s="1" t="n">
        <x:v>298</x:v>
      </x:c>
    </x:row>
    <x:row r="1088" ht="21" customHeight="1">
      <x:c r="A1088" s="12" t="n">
        <x:v>46265</x:v>
      </x:c>
      <x:c r="B1088" s="1" t="str">
        <x:v>Butterfly</x:v>
      </x:c>
      <x:c r="C1088" s="1" t="str">
        <x:v>put</x:v>
      </x:c>
      <x:c r="D1088" s="11" t="n">
        <x:v>7200</x:v>
      </x:c>
      <x:c r="E1088" s="11" t="n">
        <x:v>7400</x:v>
      </x:c>
      <x:c r="F1088" s="11" t="n">
        <x:v>7600</x:v>
      </x:c>
      <x:c r="G1088" s="11" t="n">
        <x:f>'Option source'!B778</x:f>
        <x:v>447.89</x:v>
      </x:c>
      <x:c r="H1088" s="11" t="n">
        <x:f>'Option source'!B797</x:f>
        <x:v>560.79</x:v>
      </x:c>
      <x:c r="I1088" s="11" t="n">
        <x:f>'Option source'!B816</x:f>
        <x:v>677.61</x:v>
      </x:c>
      <x:c r="J1088" s="11" t="n">
        <x:f>G1088-2*H1088+IF(B1088="Butterfly",I1088,0)</x:f>
        <x:v>3.9200000000000728</x:v>
      </x:c>
      <x:c r="K1088" s="11" t="n">
        <x:f>ABS(E1088-D1088)</x:f>
        <x:v>200</x:v>
      </x:c>
      <x:c r="L1088" s="11" t="n">
        <x:f>K1088-J1088</x:f>
        <x:v>196.07999999999993</x:v>
      </x:c>
      <x:c r="M1088" s="11" t="n">
        <x:f>IF(B1088="Butterfly",MAX(J1088,0),IF(C1088="call","Unlimited",MAX(2*E1088-D1088+J1088,J1088,0)))</x:f>
        <x:v>3.9200000000000728</x:v>
      </x:c>
      <x:c r="N1088" s="11" t="n">
        <x:f>IF(B1088="Butterfly",IF(AND(J1088&gt;0,J1088&lt;K1088),D1088+J1088,"n.a."),IF(C1088="call",IF(AND(J1088&gt;0,J1088&lt;K1088),D1088+J1088,"n.a."),IF(AND(K1088&gt;J1088,2*E1088-D1088+J1088&gt;=0),2*E1088-D1088+J1088,"n.a.")))</x:f>
        <x:v>7203.92</x:v>
      </x:c>
      <x:c r="O1088" s="11" t="n">
        <x:f>IF(B1088="Butterfly",IF(AND(J1088&gt;0,J1088&lt;K1088),F1088-J1088,"n.a."),IF(C1088="call",IF(K1088&gt;J1088,2*E1088-D1088-J1088,"n.a."),IF(AND(J1088&gt;0,J1088&lt;K1088),D1088-J1088,"n.a.")))</x:f>
        <x:v>7596.08</x:v>
      </x:c>
      <x:c r="P1088" s="19" t="n">
        <x:f>IF(AND(B1088="Butterfly",J1088&gt;0,J1088&lt;K1088),L1088/J1088,"n.a.")</x:f>
        <x:v>50.02040816326436</x:v>
      </x:c>
      <x:c r="Q1088" s="11" t="n">
        <x:f>J1088*'Model inputs'!$B$8</x:f>
        <x:v>392.0000000000073</x:v>
      </x:c>
      <x:c r="R1088" s="1" t="str">
        <x:v>Indicative only</x:v>
      </x:c>
      <x:c r="S1088" s="1" t="n">
        <x:v>773</x:v>
      </x:c>
      <x:c r="T1088" s="1" t="n">
        <x:v>792</x:v>
      </x:c>
    </x:row>
    <x:row r="1089" ht="21" customHeight="1">
      <x:c r="A1089" s="12" t="n">
        <x:v>46265</x:v>
      </x:c>
      <x:c r="B1089" s="1" t="str">
        <x:v>Butterfly</x:v>
      </x:c>
      <x:c r="C1089" s="1" t="str">
        <x:v>call</x:v>
      </x:c>
      <x:c r="D1089" s="11" t="n">
        <x:v>6400</x:v>
      </x:c>
      <x:c r="E1089" s="11" t="n">
        <x:v>6600</x:v>
      </x:c>
      <x:c r="F1089" s="11" t="n">
        <x:v>6800</x:v>
      </x:c>
      <x:c r="G1089" s="11" t="n">
        <x:f>'Option source'!B208</x:f>
        <x:v>925</x:v>
      </x:c>
      <x:c r="H1089" s="11" t="n">
        <x:f>'Option source'!B227</x:f>
        <x:v>785.86</x:v>
      </x:c>
      <x:c r="I1089" s="11" t="n">
        <x:f>'Option source'!B246</x:f>
        <x:v>661.02</x:v>
      </x:c>
      <x:c r="J1089" s="11" t="n">
        <x:f>G1089-2*H1089+IF(B1089="Butterfly",I1089,0)</x:f>
        <x:v>14.299999999999955</x:v>
      </x:c>
      <x:c r="K1089" s="11" t="n">
        <x:f>ABS(E1089-D1089)</x:f>
        <x:v>200</x:v>
      </x:c>
      <x:c r="L1089" s="11" t="n">
        <x:f>K1089-J1089</x:f>
        <x:v>185.70000000000005</x:v>
      </x:c>
      <x:c r="M1089" s="11" t="n">
        <x:f>IF(B1089="Butterfly",MAX(J1089,0),IF(C1089="call","Unlimited",MAX(2*E1089-D1089+J1089,J1089,0)))</x:f>
        <x:v>14.299999999999955</x:v>
      </x:c>
      <x:c r="N1089" s="11" t="n">
        <x:f>IF(B1089="Butterfly",IF(AND(J1089&gt;0,J1089&lt;K1089),D1089+J1089,"n.a."),IF(C1089="call",IF(AND(J1089&gt;0,J1089&lt;K1089),D1089+J1089,"n.a."),IF(AND(K1089&gt;J1089,2*E1089-D1089+J1089&gt;=0),2*E1089-D1089+J1089,"n.a.")))</x:f>
        <x:v>6414.3</x:v>
      </x:c>
      <x:c r="O1089" s="11" t="n">
        <x:f>IF(B1089="Butterfly",IF(AND(J1089&gt;0,J1089&lt;K1089),F1089-J1089,"n.a."),IF(C1089="call",IF(K1089&gt;J1089,2*E1089-D1089-J1089,"n.a."),IF(AND(J1089&gt;0,J1089&lt;K1089),D1089-J1089,"n.a.")))</x:f>
        <x:v>6785.7</x:v>
      </x:c>
      <x:c r="P1089" s="19" t="n">
        <x:f>IF(AND(B1089="Butterfly",J1089&gt;0,J1089&lt;K1089),L1089/J1089,"n.a.")</x:f>
        <x:v>12.986013986014031</x:v>
      </x:c>
      <x:c r="Q1089" s="11" t="n">
        <x:f>J1089*'Model inputs'!$B$8</x:f>
        <x:v>1429.9999999999955</x:v>
      </x:c>
      <x:c r="R1089" s="1" t="str">
        <x:v>Indicative only</x:v>
      </x:c>
      <x:c r="S1089" s="1" t="n">
        <x:v>203</x:v>
      </x:c>
      <x:c r="T1089" s="1" t="n">
        <x:v>222</x:v>
      </x:c>
    </x:row>
    <x:row r="1090" ht="21" customHeight="1">
      <x:c r="A1090" s="12" t="n">
        <x:v>46265</x:v>
      </x:c>
      <x:c r="B1090" s="1" t="str">
        <x:v>Butterfly</x:v>
      </x:c>
      <x:c r="C1090" s="1" t="str">
        <x:v>put</x:v>
      </x:c>
      <x:c r="D1090" s="11" t="n">
        <x:v>6400</x:v>
      </x:c>
      <x:c r="E1090" s="11" t="n">
        <x:v>6600</x:v>
      </x:c>
      <x:c r="F1090" s="11" t="n">
        <x:v>6800</x:v>
      </x:c>
      <x:c r="G1090" s="11" t="n">
        <x:f>'Option source'!B702</x:f>
        <x:v>137.67</x:v>
      </x:c>
      <x:c r="H1090" s="11" t="n">
        <x:f>'Option source'!B721</x:f>
        <x:v>193.67</x:v>
      </x:c>
      <x:c r="I1090" s="11" t="n">
        <x:f>'Option source'!B740</x:f>
        <x:v>262.94</x:v>
      </x:c>
      <x:c r="J1090" s="11" t="n">
        <x:f>G1090-2*H1090+IF(B1090="Butterfly",I1090,0)</x:f>
        <x:v>13.27000000000001</x:v>
      </x:c>
      <x:c r="K1090" s="11" t="n">
        <x:f>ABS(E1090-D1090)</x:f>
        <x:v>200</x:v>
      </x:c>
      <x:c r="L1090" s="11" t="n">
        <x:f>K1090-J1090</x:f>
        <x:v>186.73</x:v>
      </x:c>
      <x:c r="M1090" s="11" t="n">
        <x:f>IF(B1090="Butterfly",MAX(J1090,0),IF(C1090="call","Unlimited",MAX(2*E1090-D1090+J1090,J1090,0)))</x:f>
        <x:v>13.27000000000001</x:v>
      </x:c>
      <x:c r="N1090" s="11" t="n">
        <x:f>IF(B1090="Butterfly",IF(AND(J1090&gt;0,J1090&lt;K1090),D1090+J1090,"n.a."),IF(C1090="call",IF(AND(J1090&gt;0,J1090&lt;K1090),D1090+J1090,"n.a."),IF(AND(K1090&gt;J1090,2*E1090-D1090+J1090&gt;=0),2*E1090-D1090+J1090,"n.a.")))</x:f>
        <x:v>6413.27</x:v>
      </x:c>
      <x:c r="O1090" s="11" t="n">
        <x:f>IF(B1090="Butterfly",IF(AND(J1090&gt;0,J1090&lt;K1090),F1090-J1090,"n.a."),IF(C1090="call",IF(K1090&gt;J1090,2*E1090-D1090-J1090,"n.a."),IF(AND(J1090&gt;0,J1090&lt;K1090),D1090-J1090,"n.a.")))</x:f>
        <x:v>6786.73</x:v>
      </x:c>
      <x:c r="P1090" s="19" t="n">
        <x:f>IF(AND(B1090="Butterfly",J1090&gt;0,J1090&lt;K1090),L1090/J1090,"n.a.")</x:f>
        <x:v>14.071590052750553</x:v>
      </x:c>
      <x:c r="Q1090" s="11" t="n">
        <x:f>J1090*'Model inputs'!$B$8</x:f>
        <x:v>1327.000000000001</x:v>
      </x:c>
      <x:c r="R1090" s="1" t="str">
        <x:v>Indicative only</x:v>
      </x:c>
      <x:c r="S1090" s="1" t="n">
        <x:v>697</x:v>
      </x:c>
      <x:c r="T1090" s="1" t="n">
        <x:v>716</x:v>
      </x:c>
    </x:row>
    <x:row r="1091" ht="21" customHeight="1">
      <x:c r="A1091" s="12" t="n">
        <x:v>46265</x:v>
      </x:c>
      <x:c r="B1091" s="1" t="str">
        <x:v>Butterfly</x:v>
      </x:c>
      <x:c r="C1091" s="1" t="str">
        <x:v>call</x:v>
      </x:c>
      <x:c r="D1091" s="11" t="n">
        <x:v>7400</x:v>
      </x:c>
      <x:c r="E1091" s="11" t="n">
        <x:v>7600</x:v>
      </x:c>
      <x:c r="F1091" s="11" t="n">
        <x:v>7800</x:v>
      </x:c>
      <x:c r="G1091" s="11" t="n">
        <x:f>'Option source'!B303</x:f>
        <x:v>370.64</x:v>
      </x:c>
      <x:c r="H1091" s="11" t="n">
        <x:f>'Option source'!B322</x:f>
        <x:v>290.9</x:v>
      </x:c>
      <x:c r="I1091" s="11" t="n">
        <x:f>'Option source'!B341</x:f>
        <x:v>228.38</x:v>
      </x:c>
      <x:c r="J1091" s="11" t="n">
        <x:f>G1091-2*H1091+IF(B1091="Butterfly",I1091,0)</x:f>
        <x:v>17.220000000000027</x:v>
      </x:c>
      <x:c r="K1091" s="11" t="n">
        <x:f>ABS(E1091-D1091)</x:f>
        <x:v>200</x:v>
      </x:c>
      <x:c r="L1091" s="11" t="n">
        <x:f>K1091-J1091</x:f>
        <x:v>182.77999999999997</x:v>
      </x:c>
      <x:c r="M1091" s="11" t="n">
        <x:f>IF(B1091="Butterfly",MAX(J1091,0),IF(C1091="call","Unlimited",MAX(2*E1091-D1091+J1091,J1091,0)))</x:f>
        <x:v>17.220000000000027</x:v>
      </x:c>
      <x:c r="N1091" s="11" t="n">
        <x:f>IF(B1091="Butterfly",IF(AND(J1091&gt;0,J1091&lt;K1091),D1091+J1091,"n.a."),IF(C1091="call",IF(AND(J1091&gt;0,J1091&lt;K1091),D1091+J1091,"n.a."),IF(AND(K1091&gt;J1091,2*E1091-D1091+J1091&gt;=0),2*E1091-D1091+J1091,"n.a.")))</x:f>
        <x:v>7417.22</x:v>
      </x:c>
      <x:c r="O1091" s="11" t="n">
        <x:f>IF(B1091="Butterfly",IF(AND(J1091&gt;0,J1091&lt;K1091),F1091-J1091,"n.a."),IF(C1091="call",IF(K1091&gt;J1091,2*E1091-D1091-J1091,"n.a."),IF(AND(J1091&gt;0,J1091&lt;K1091),D1091-J1091,"n.a.")))</x:f>
        <x:v>7782.78</x:v>
      </x:c>
      <x:c r="P1091" s="19" t="n">
        <x:f>IF(AND(B1091="Butterfly",J1091&gt;0,J1091&lt;K1091),L1091/J1091,"n.a.")</x:f>
        <x:v>10.614401858304278</x:v>
      </x:c>
      <x:c r="Q1091" s="11" t="n">
        <x:f>J1091*'Model inputs'!$B$8</x:f>
        <x:v>1722.0000000000027</x:v>
      </x:c>
      <x:c r="R1091" s="1" t="str">
        <x:v>Indicative only</x:v>
      </x:c>
      <x:c r="S1091" s="1" t="n">
        <x:v>298</x:v>
      </x:c>
      <x:c r="T1091" s="1" t="n">
        <x:v>317</x:v>
      </x:c>
    </x:row>
    <x:row r="1092" ht="21" customHeight="1">
      <x:c r="A1092" s="12" t="n">
        <x:v>46265</x:v>
      </x:c>
      <x:c r="B1092" s="1" t="str">
        <x:v>Butterfly</x:v>
      </x:c>
      <x:c r="C1092" s="1" t="str">
        <x:v>call</x:v>
      </x:c>
      <x:c r="D1092" s="11" t="n">
        <x:v>6200</x:v>
      </x:c>
      <x:c r="E1092" s="11" t="n">
        <x:v>6400</x:v>
      </x:c>
      <x:c r="F1092" s="11" t="n">
        <x:v>6600</x:v>
      </x:c>
      <x:c r="G1092" s="11" t="n">
        <x:f>'Option source'!B189</x:f>
        <x:v>1069</x:v>
      </x:c>
      <x:c r="H1092" s="11" t="n">
        <x:f>'Option source'!B208</x:f>
        <x:v>925</x:v>
      </x:c>
      <x:c r="I1092" s="11" t="n">
        <x:f>'Option source'!B227</x:f>
        <x:v>785.86</x:v>
      </x:c>
      <x:c r="J1092" s="11" t="n">
        <x:f>G1092-2*H1092+IF(B1092="Butterfly",I1092,0)</x:f>
        <x:v>4.860000000000014</x:v>
      </x:c>
      <x:c r="K1092" s="11" t="n">
        <x:f>ABS(E1092-D1092)</x:f>
        <x:v>200</x:v>
      </x:c>
      <x:c r="L1092" s="11" t="n">
        <x:f>K1092-J1092</x:f>
        <x:v>195.14</x:v>
      </x:c>
      <x:c r="M1092" s="11" t="n">
        <x:f>IF(B1092="Butterfly",MAX(J1092,0),IF(C1092="call","Unlimited",MAX(2*E1092-D1092+J1092,J1092,0)))</x:f>
        <x:v>4.860000000000014</x:v>
      </x:c>
      <x:c r="N1092" s="11" t="n">
        <x:f>IF(B1092="Butterfly",IF(AND(J1092&gt;0,J1092&lt;K1092),D1092+J1092,"n.a."),IF(C1092="call",IF(AND(J1092&gt;0,J1092&lt;K1092),D1092+J1092,"n.a."),IF(AND(K1092&gt;J1092,2*E1092-D1092+J1092&gt;=0),2*E1092-D1092+J1092,"n.a.")))</x:f>
        <x:v>6204.86</x:v>
      </x:c>
      <x:c r="O1092" s="11" t="n">
        <x:f>IF(B1092="Butterfly",IF(AND(J1092&gt;0,J1092&lt;K1092),F1092-J1092,"n.a."),IF(C1092="call",IF(K1092&gt;J1092,2*E1092-D1092-J1092,"n.a."),IF(AND(J1092&gt;0,J1092&lt;K1092),D1092-J1092,"n.a.")))</x:f>
        <x:v>6595.14</x:v>
      </x:c>
      <x:c r="P1092" s="19" t="n">
        <x:f>IF(AND(B1092="Butterfly",J1092&gt;0,J1092&lt;K1092),L1092/J1092,"n.a.")</x:f>
        <x:v>40.15226337448548</x:v>
      </x:c>
      <x:c r="Q1092" s="11" t="n">
        <x:f>J1092*'Model inputs'!$B$8</x:f>
        <x:v>486.00000000000136</x:v>
      </x:c>
      <x:c r="R1092" s="1" t="str">
        <x:v>Indicative only</x:v>
      </x:c>
      <x:c r="S1092" s="1" t="n">
        <x:v>184</x:v>
      </x:c>
      <x:c r="T1092" s="1" t="n">
        <x:v>203</x:v>
      </x:c>
    </x:row>
    <x:row r="1093" ht="21" customHeight="1">
      <x:c r="A1093" s="12" t="n">
        <x:v>46265</x:v>
      </x:c>
      <x:c r="B1093" s="1" t="str">
        <x:v>Butterfly</x:v>
      </x:c>
      <x:c r="C1093" s="1" t="str">
        <x:v>put</x:v>
      </x:c>
      <x:c r="D1093" s="11" t="n">
        <x:v>6200</x:v>
      </x:c>
      <x:c r="E1093" s="11" t="n">
        <x:v>6400</x:v>
      </x:c>
      <x:c r="F1093" s="11" t="n">
        <x:v>6600</x:v>
      </x:c>
      <x:c r="G1093" s="11" t="n">
        <x:f>'Option source'!B683</x:f>
        <x:v>90.19</x:v>
      </x:c>
      <x:c r="H1093" s="11" t="n">
        <x:f>'Option source'!B702</x:f>
        <x:v>137.67</x:v>
      </x:c>
      <x:c r="I1093" s="11" t="n">
        <x:f>'Option source'!B721</x:f>
        <x:v>193.67</x:v>
      </x:c>
      <x:c r="J1093" s="11" t="n">
        <x:f>G1093-2*H1093+IF(B1093="Butterfly",I1093,0)</x:f>
        <x:v>8.52000000000001</x:v>
      </x:c>
      <x:c r="K1093" s="11" t="n">
        <x:f>ABS(E1093-D1093)</x:f>
        <x:v>200</x:v>
      </x:c>
      <x:c r="L1093" s="11" t="n">
        <x:f>K1093-J1093</x:f>
        <x:v>191.48</x:v>
      </x:c>
      <x:c r="M1093" s="11" t="n">
        <x:f>IF(B1093="Butterfly",MAX(J1093,0),IF(C1093="call","Unlimited",MAX(2*E1093-D1093+J1093,J1093,0)))</x:f>
        <x:v>8.52000000000001</x:v>
      </x:c>
      <x:c r="N1093" s="11" t="n">
        <x:f>IF(B1093="Butterfly",IF(AND(J1093&gt;0,J1093&lt;K1093),D1093+J1093,"n.a."),IF(C1093="call",IF(AND(J1093&gt;0,J1093&lt;K1093),D1093+J1093,"n.a."),IF(AND(K1093&gt;J1093,2*E1093-D1093+J1093&gt;=0),2*E1093-D1093+J1093,"n.a.")))</x:f>
        <x:v>6208.52</x:v>
      </x:c>
      <x:c r="O1093" s="11" t="n">
        <x:f>IF(B1093="Butterfly",IF(AND(J1093&gt;0,J1093&lt;K1093),F1093-J1093,"n.a."),IF(C1093="call",IF(K1093&gt;J1093,2*E1093-D1093-J1093,"n.a."),IF(AND(J1093&gt;0,J1093&lt;K1093),D1093-J1093,"n.a.")))</x:f>
        <x:v>6591.48</x:v>
      </x:c>
      <x:c r="P1093" s="19" t="n">
        <x:f>IF(AND(B1093="Butterfly",J1093&gt;0,J1093&lt;K1093),L1093/J1093,"n.a.")</x:f>
        <x:v>22.47417840375584</x:v>
      </x:c>
      <x:c r="Q1093" s="11" t="n">
        <x:f>J1093*'Model inputs'!$B$8</x:f>
        <x:v>852.000000000001</x:v>
      </x:c>
      <x:c r="R1093" s="1" t="str">
        <x:v>Indicative only</x:v>
      </x:c>
      <x:c r="S1093" s="1" t="n">
        <x:v>678</x:v>
      </x:c>
      <x:c r="T1093" s="1" t="n">
        <x:v>697</x:v>
      </x:c>
    </x:row>
    <x:row r="1094" ht="21" customHeight="1">
      <x:c r="A1094" s="12" t="n">
        <x:v>46265</x:v>
      </x:c>
      <x:c r="B1094" s="1" t="str">
        <x:v>Butterfly</x:v>
      </x:c>
      <x:c r="C1094" s="1" t="str">
        <x:v>call</x:v>
      </x:c>
      <x:c r="D1094" s="11" t="n">
        <x:v>7600</x:v>
      </x:c>
      <x:c r="E1094" s="11" t="n">
        <x:v>7800</x:v>
      </x:c>
      <x:c r="F1094" s="11" t="n">
        <x:v>8000</x:v>
      </x:c>
      <x:c r="G1094" s="11" t="n">
        <x:f>'Option source'!B322</x:f>
        <x:v>290.9</x:v>
      </x:c>
      <x:c r="H1094" s="11" t="n">
        <x:f>'Option source'!B341</x:f>
        <x:v>228.38</x:v>
      </x:c>
      <x:c r="I1094" s="11" t="n">
        <x:f>'Option source'!B360</x:f>
        <x:v>178.25</x:v>
      </x:c>
      <x:c r="J1094" s="11" t="n">
        <x:f>G1094-2*H1094+IF(B1094="Butterfly",I1094,0)</x:f>
        <x:v>12.389999999999986</x:v>
      </x:c>
      <x:c r="K1094" s="11" t="n">
        <x:f>ABS(E1094-D1094)</x:f>
        <x:v>200</x:v>
      </x:c>
      <x:c r="L1094" s="11" t="n">
        <x:f>K1094-J1094</x:f>
        <x:v>187.61</x:v>
      </x:c>
      <x:c r="M1094" s="11" t="n">
        <x:f>IF(B1094="Butterfly",MAX(J1094,0),IF(C1094="call","Unlimited",MAX(2*E1094-D1094+J1094,J1094,0)))</x:f>
        <x:v>12.389999999999986</x:v>
      </x:c>
      <x:c r="N1094" s="11" t="n">
        <x:f>IF(B1094="Butterfly",IF(AND(J1094&gt;0,J1094&lt;K1094),D1094+J1094,"n.a."),IF(C1094="call",IF(AND(J1094&gt;0,J1094&lt;K1094),D1094+J1094,"n.a."),IF(AND(K1094&gt;J1094,2*E1094-D1094+J1094&gt;=0),2*E1094-D1094+J1094,"n.a.")))</x:f>
        <x:v>7612.39</x:v>
      </x:c>
      <x:c r="O1094" s="11" t="n">
        <x:f>IF(B1094="Butterfly",IF(AND(J1094&gt;0,J1094&lt;K1094),F1094-J1094,"n.a."),IF(C1094="call",IF(K1094&gt;J1094,2*E1094-D1094-J1094,"n.a."),IF(AND(J1094&gt;0,J1094&lt;K1094),D1094-J1094,"n.a.")))</x:f>
        <x:v>7987.61</x:v>
      </x:c>
      <x:c r="P1094" s="19" t="n">
        <x:f>IF(AND(B1094="Butterfly",J1094&gt;0,J1094&lt;K1094),L1094/J1094,"n.a.")</x:f>
        <x:v>15.142050040355143</x:v>
      </x:c>
      <x:c r="Q1094" s="11" t="n">
        <x:f>J1094*'Model inputs'!$B$8</x:f>
        <x:v>1238.9999999999986</x:v>
      </x:c>
      <x:c r="R1094" s="1" t="str">
        <x:v>Indicative only</x:v>
      </x:c>
      <x:c r="S1094" s="1" t="n">
        <x:v>317</x:v>
      </x:c>
      <x:c r="T1094" s="1" t="n">
        <x:v>336</x:v>
      </x:c>
    </x:row>
    <x:row r="1095" ht="21" customHeight="1">
      <x:c r="A1095" s="12" t="n">
        <x:v>46265</x:v>
      </x:c>
      <x:c r="B1095" s="1" t="str">
        <x:v>Butterfly</x:v>
      </x:c>
      <x:c r="C1095" s="1" t="str">
        <x:v>put</x:v>
      </x:c>
      <x:c r="D1095" s="11" t="n">
        <x:v>6000</x:v>
      </x:c>
      <x:c r="E1095" s="11" t="n">
        <x:v>6200</x:v>
      </x:c>
      <x:c r="F1095" s="11" t="n">
        <x:v>6400</x:v>
      </x:c>
      <x:c r="G1095" s="11" t="n">
        <x:f>'Option source'!B664</x:f>
        <x:v>61.12</x:v>
      </x:c>
      <x:c r="H1095" s="11" t="n">
        <x:f>'Option source'!B683</x:f>
        <x:v>90.19</x:v>
      </x:c>
      <x:c r="I1095" s="11" t="n">
        <x:f>'Option source'!B702</x:f>
        <x:v>137.67</x:v>
      </x:c>
      <x:c r="J1095" s="11" t="n">
        <x:f>G1095-2*H1095+IF(B1095="Butterfly",I1095,0)</x:f>
        <x:v>18.409999999999997</x:v>
      </x:c>
      <x:c r="K1095" s="11" t="n">
        <x:f>ABS(E1095-D1095)</x:f>
        <x:v>200</x:v>
      </x:c>
      <x:c r="L1095" s="11" t="n">
        <x:f>K1095-J1095</x:f>
        <x:v>181.59</x:v>
      </x:c>
      <x:c r="M1095" s="11" t="n">
        <x:f>IF(B1095="Butterfly",MAX(J1095,0),IF(C1095="call","Unlimited",MAX(2*E1095-D1095+J1095,J1095,0)))</x:f>
        <x:v>18.409999999999997</x:v>
      </x:c>
      <x:c r="N1095" s="11" t="n">
        <x:f>IF(B1095="Butterfly",IF(AND(J1095&gt;0,J1095&lt;K1095),D1095+J1095,"n.a."),IF(C1095="call",IF(AND(J1095&gt;0,J1095&lt;K1095),D1095+J1095,"n.a."),IF(AND(K1095&gt;J1095,2*E1095-D1095+J1095&gt;=0),2*E1095-D1095+J1095,"n.a.")))</x:f>
        <x:v>6018.41</x:v>
      </x:c>
      <x:c r="O1095" s="11" t="n">
        <x:f>IF(B1095="Butterfly",IF(AND(J1095&gt;0,J1095&lt;K1095),F1095-J1095,"n.a."),IF(C1095="call",IF(K1095&gt;J1095,2*E1095-D1095-J1095,"n.a."),IF(AND(J1095&gt;0,J1095&lt;K1095),D1095-J1095,"n.a.")))</x:f>
        <x:v>6381.59</x:v>
      </x:c>
      <x:c r="P1095" s="19" t="n">
        <x:f>IF(AND(B1095="Butterfly",J1095&gt;0,J1095&lt;K1095),L1095/J1095,"n.a.")</x:f>
        <x:v>9.863661053775123</x:v>
      </x:c>
      <x:c r="Q1095" s="11" t="n">
        <x:f>J1095*'Model inputs'!$B$8</x:f>
        <x:v>1840.9999999999995</x:v>
      </x:c>
      <x:c r="R1095" s="1" t="str">
        <x:v>Indicative only</x:v>
      </x:c>
      <x:c r="S1095" s="1" t="n">
        <x:v>659</x:v>
      </x:c>
      <x:c r="T1095" s="1" t="n">
        <x:v>678</x:v>
      </x:c>
    </x:row>
    <x:row r="1096" ht="21" customHeight="1">
      <x:c r="A1096" s="12" t="n">
        <x:v>46265</x:v>
      </x:c>
      <x:c r="B1096" s="1" t="str">
        <x:v>Butterfly</x:v>
      </x:c>
      <x:c r="C1096" s="1" t="str">
        <x:v>put</x:v>
      </x:c>
      <x:c r="D1096" s="11" t="n">
        <x:v>5800</x:v>
      </x:c>
      <x:c r="E1096" s="11" t="n">
        <x:v>6000</x:v>
      </x:c>
      <x:c r="F1096" s="11" t="n">
        <x:v>6200</x:v>
      </x:c>
      <x:c r="G1096" s="11" t="n">
        <x:f>'Option source'!B645</x:f>
        <x:v>36.96</x:v>
      </x:c>
      <x:c r="H1096" s="11" t="n">
        <x:f>'Option source'!B664</x:f>
        <x:v>61.12</x:v>
      </x:c>
      <x:c r="I1096" s="11" t="n">
        <x:f>'Option source'!B683</x:f>
        <x:v>90.19</x:v>
      </x:c>
      <x:c r="J1096" s="11" t="n">
        <x:f>G1096-2*H1096+IF(B1096="Butterfly",I1096,0)</x:f>
        <x:v>4.909999999999997</x:v>
      </x:c>
      <x:c r="K1096" s="11" t="n">
        <x:f>ABS(E1096-D1096)</x:f>
        <x:v>200</x:v>
      </x:c>
      <x:c r="L1096" s="11" t="n">
        <x:f>K1096-J1096</x:f>
        <x:v>195.09</x:v>
      </x:c>
      <x:c r="M1096" s="11" t="n">
        <x:f>IF(B1096="Butterfly",MAX(J1096,0),IF(C1096="call","Unlimited",MAX(2*E1096-D1096+J1096,J1096,0)))</x:f>
        <x:v>4.909999999999997</x:v>
      </x:c>
      <x:c r="N1096" s="11" t="n">
        <x:f>IF(B1096="Butterfly",IF(AND(J1096&gt;0,J1096&lt;K1096),D1096+J1096,"n.a."),IF(C1096="call",IF(AND(J1096&gt;0,J1096&lt;K1096),D1096+J1096,"n.a."),IF(AND(K1096&gt;J1096,2*E1096-D1096+J1096&gt;=0),2*E1096-D1096+J1096,"n.a.")))</x:f>
        <x:v>5804.91</x:v>
      </x:c>
      <x:c r="O1096" s="11" t="n">
        <x:f>IF(B1096="Butterfly",IF(AND(J1096&gt;0,J1096&lt;K1096),F1096-J1096,"n.a."),IF(C1096="call",IF(K1096&gt;J1096,2*E1096-D1096-J1096,"n.a."),IF(AND(J1096&gt;0,J1096&lt;K1096),D1096-J1096,"n.a.")))</x:f>
        <x:v>6195.09</x:v>
      </x:c>
      <x:c r="P1096" s="19" t="n">
        <x:f>IF(AND(B1096="Butterfly",J1096&gt;0,J1096&lt;K1096),L1096/J1096,"n.a.")</x:f>
        <x:v>39.73319755600817</x:v>
      </x:c>
      <x:c r="Q1096" s="11" t="n">
        <x:f>J1096*'Model inputs'!$B$8</x:f>
        <x:v>490.99999999999966</x:v>
      </x:c>
      <x:c r="R1096" s="1" t="str">
        <x:v>Indicative only</x:v>
      </x:c>
      <x:c r="S1096" s="1" t="n">
        <x:v>640</x:v>
      </x:c>
      <x:c r="T1096" s="1" t="n">
        <x:v>659</x:v>
      </x:c>
    </x:row>
    <x:row r="1097" ht="21" customHeight="1">
      <x:c r="A1097" s="12" t="n">
        <x:v>46265</x:v>
      </x:c>
      <x:c r="B1097" s="1" t="str">
        <x:v>Butterfly</x:v>
      </x:c>
      <x:c r="C1097" s="1" t="str">
        <x:v>put</x:v>
      </x:c>
      <x:c r="D1097" s="11" t="n">
        <x:v>5600</x:v>
      </x:c>
      <x:c r="E1097" s="11" t="n">
        <x:v>5800</x:v>
      </x:c>
      <x:c r="F1097" s="11" t="n">
        <x:v>6000</x:v>
      </x:c>
      <x:c r="G1097" s="11" t="n">
        <x:f>'Option source'!B626</x:f>
        <x:v>22.98</x:v>
      </x:c>
      <x:c r="H1097" s="11" t="n">
        <x:f>'Option source'!B645</x:f>
        <x:v>36.96</x:v>
      </x:c>
      <x:c r="I1097" s="11" t="n">
        <x:f>'Option source'!B664</x:f>
        <x:v>61.12</x:v>
      </x:c>
      <x:c r="J1097" s="11" t="n">
        <x:f>G1097-2*H1097+IF(B1097="Butterfly",I1097,0)</x:f>
        <x:v>10.18</x:v>
      </x:c>
      <x:c r="K1097" s="11" t="n">
        <x:f>ABS(E1097-D1097)</x:f>
        <x:v>200</x:v>
      </x:c>
      <x:c r="L1097" s="11" t="n">
        <x:f>K1097-J1097</x:f>
        <x:v>189.82</x:v>
      </x:c>
      <x:c r="M1097" s="11" t="n">
        <x:f>IF(B1097="Butterfly",MAX(J1097,0),IF(C1097="call","Unlimited",MAX(2*E1097-D1097+J1097,J1097,0)))</x:f>
        <x:v>10.18</x:v>
      </x:c>
      <x:c r="N1097" s="11" t="n">
        <x:f>IF(B1097="Butterfly",IF(AND(J1097&gt;0,J1097&lt;K1097),D1097+J1097,"n.a."),IF(C1097="call",IF(AND(J1097&gt;0,J1097&lt;K1097),D1097+J1097,"n.a."),IF(AND(K1097&gt;J1097,2*E1097-D1097+J1097&gt;=0),2*E1097-D1097+J1097,"n.a.")))</x:f>
        <x:v>5610.18</x:v>
      </x:c>
      <x:c r="O1097" s="11" t="n">
        <x:f>IF(B1097="Butterfly",IF(AND(J1097&gt;0,J1097&lt;K1097),F1097-J1097,"n.a."),IF(C1097="call",IF(K1097&gt;J1097,2*E1097-D1097-J1097,"n.a."),IF(AND(J1097&gt;0,J1097&lt;K1097),D1097-J1097,"n.a.")))</x:f>
        <x:v>5989.82</x:v>
      </x:c>
      <x:c r="P1097" s="19" t="n">
        <x:f>IF(AND(B1097="Butterfly",J1097&gt;0,J1097&lt;K1097),L1097/J1097,"n.a.")</x:f>
        <x:v>18.646365422396855</x:v>
      </x:c>
      <x:c r="Q1097" s="11" t="n">
        <x:f>J1097*'Model inputs'!$B$8</x:f>
        <x:v>1018</x:v>
      </x:c>
      <x:c r="R1097" s="1" t="str">
        <x:v>Indicative only</x:v>
      </x:c>
      <x:c r="S1097" s="1" t="n">
        <x:v>621</x:v>
      </x:c>
      <x:c r="T1097" s="1" t="n">
        <x:v>640</x:v>
      </x:c>
    </x:row>
    <x:row r="1098" ht="21" customHeight="1">
      <x:c r="A1098" s="12" t="n">
        <x:v>46265</x:v>
      </x:c>
      <x:c r="B1098" s="1" t="str">
        <x:v>Butterfly</x:v>
      </x:c>
      <x:c r="C1098" s="1" t="str">
        <x:v>call</x:v>
      </x:c>
      <x:c r="D1098" s="11" t="n">
        <x:v>8000</x:v>
      </x:c>
      <x:c r="E1098" s="11" t="n">
        <x:v>8300</x:v>
      </x:c>
      <x:c r="F1098" s="11" t="n">
        <x:v>8600</x:v>
      </x:c>
      <x:c r="G1098" s="11" t="n">
        <x:f>'Option source'!B360</x:f>
        <x:v>178.25</x:v>
      </x:c>
      <x:c r="H1098" s="11" t="n">
        <x:f>'Option source'!B379</x:f>
        <x:v>114.25</x:v>
      </x:c>
      <x:c r="I1098" s="11" t="n">
        <x:f>'Option source'!B398</x:f>
        <x:v>73.69</x:v>
      </x:c>
      <x:c r="J1098" s="11" t="n">
        <x:f>G1098-2*H1098+IF(B1098="Butterfly",I1098,0)</x:f>
        <x:v>23.439999999999998</x:v>
      </x:c>
      <x:c r="K1098" s="11" t="n">
        <x:f>ABS(E1098-D1098)</x:f>
        <x:v>300</x:v>
      </x:c>
      <x:c r="L1098" s="11" t="n">
        <x:f>K1098-J1098</x:f>
        <x:v>276.56</x:v>
      </x:c>
      <x:c r="M1098" s="11" t="n">
        <x:f>IF(B1098="Butterfly",MAX(J1098,0),IF(C1098="call","Unlimited",MAX(2*E1098-D1098+J1098,J1098,0)))</x:f>
        <x:v>23.439999999999998</x:v>
      </x:c>
      <x:c r="N1098" s="11" t="n">
        <x:f>IF(B1098="Butterfly",IF(AND(J1098&gt;0,J1098&lt;K1098),D1098+J1098,"n.a."),IF(C1098="call",IF(AND(J1098&gt;0,J1098&lt;K1098),D1098+J1098,"n.a."),IF(AND(K1098&gt;J1098,2*E1098-D1098+J1098&gt;=0),2*E1098-D1098+J1098,"n.a.")))</x:f>
        <x:v>8023.44</x:v>
      </x:c>
      <x:c r="O1098" s="11" t="n">
        <x:f>IF(B1098="Butterfly",IF(AND(J1098&gt;0,J1098&lt;K1098),F1098-J1098,"n.a."),IF(C1098="call",IF(K1098&gt;J1098,2*E1098-D1098-J1098,"n.a."),IF(AND(J1098&gt;0,J1098&lt;K1098),D1098-J1098,"n.a.")))</x:f>
        <x:v>8576.56</x:v>
      </x:c>
      <x:c r="P1098" s="19" t="n">
        <x:f>IF(AND(B1098="Butterfly",J1098&gt;0,J1098&lt;K1098),L1098/J1098,"n.a.")</x:f>
        <x:v>11.798634812286691</x:v>
      </x:c>
      <x:c r="Q1098" s="11" t="n">
        <x:f>J1098*'Model inputs'!$B$8</x:f>
        <x:v>2344</x:v>
      </x:c>
      <x:c r="R1098" s="1" t="str">
        <x:v>Indicative only</x:v>
      </x:c>
      <x:c r="S1098" s="1" t="n">
        <x:v>355</x:v>
      </x:c>
      <x:c r="T1098" s="1" t="n">
        <x:v>374</x:v>
      </x:c>
    </x:row>
    <x:row r="1099" ht="21" customHeight="1">
      <x:c r="A1099" s="12" t="n">
        <x:v>46265</x:v>
      </x:c>
      <x:c r="B1099" s="1" t="str">
        <x:v>Butterfly</x:v>
      </x:c>
      <x:c r="C1099" s="1" t="str">
        <x:v>put</x:v>
      </x:c>
      <x:c r="D1099" s="11" t="n">
        <x:v>5400</x:v>
      </x:c>
      <x:c r="E1099" s="11" t="n">
        <x:v>5600</x:v>
      </x:c>
      <x:c r="F1099" s="11" t="n">
        <x:v>5800</x:v>
      </x:c>
      <x:c r="G1099" s="11" t="n">
        <x:f>'Option source'!B607</x:f>
        <x:v>12.73</x:v>
      </x:c>
      <x:c r="H1099" s="11" t="n">
        <x:f>'Option source'!B626</x:f>
        <x:v>22.98</x:v>
      </x:c>
      <x:c r="I1099" s="11" t="n">
        <x:f>'Option source'!B645</x:f>
        <x:v>36.96</x:v>
      </x:c>
      <x:c r="J1099" s="11" t="n">
        <x:f>G1099-2*H1099+IF(B1099="Butterfly",I1099,0)</x:f>
        <x:v>3.729999999999997</x:v>
      </x:c>
      <x:c r="K1099" s="11" t="n">
        <x:f>ABS(E1099-D1099)</x:f>
        <x:v>200</x:v>
      </x:c>
      <x:c r="L1099" s="11" t="n">
        <x:f>K1099-J1099</x:f>
        <x:v>196.27</x:v>
      </x:c>
      <x:c r="M1099" s="11" t="n">
        <x:f>IF(B1099="Butterfly",MAX(J1099,0),IF(C1099="call","Unlimited",MAX(2*E1099-D1099+J1099,J1099,0)))</x:f>
        <x:v>3.729999999999997</x:v>
      </x:c>
      <x:c r="N1099" s="11" t="n">
        <x:f>IF(B1099="Butterfly",IF(AND(J1099&gt;0,J1099&lt;K1099),D1099+J1099,"n.a."),IF(C1099="call",IF(AND(J1099&gt;0,J1099&lt;K1099),D1099+J1099,"n.a."),IF(AND(K1099&gt;J1099,2*E1099-D1099+J1099&gt;=0),2*E1099-D1099+J1099,"n.a.")))</x:f>
        <x:v>5403.73</x:v>
      </x:c>
      <x:c r="O1099" s="11" t="n">
        <x:f>IF(B1099="Butterfly",IF(AND(J1099&gt;0,J1099&lt;K1099),F1099-J1099,"n.a."),IF(C1099="call",IF(K1099&gt;J1099,2*E1099-D1099-J1099,"n.a."),IF(AND(J1099&gt;0,J1099&lt;K1099),D1099-J1099,"n.a.")))</x:f>
        <x:v>5796.27</x:v>
      </x:c>
      <x:c r="P1099" s="19" t="n">
        <x:f>IF(AND(B1099="Butterfly",J1099&gt;0,J1099&lt;K1099),L1099/J1099,"n.a.")</x:f>
        <x:v>52.61930294906171</x:v>
      </x:c>
      <x:c r="Q1099" s="11" t="n">
        <x:f>J1099*'Model inputs'!$B$8</x:f>
        <x:v>372.99999999999966</x:v>
      </x:c>
      <x:c r="R1099" s="1" t="str">
        <x:v>Indicative only</x:v>
      </x:c>
      <x:c r="S1099" s="1" t="n">
        <x:v>602</x:v>
      </x:c>
      <x:c r="T1099" s="1" t="n">
        <x:v>621</x:v>
      </x:c>
    </x:row>
    <x:row r="1100" ht="21" customHeight="1">
      <x:c r="A1100" s="12" t="n">
        <x:v>46265</x:v>
      </x:c>
      <x:c r="B1100" s="1" t="str">
        <x:v>Butterfly</x:v>
      </x:c>
      <x:c r="C1100" s="1" t="str">
        <x:v>call</x:v>
      </x:c>
      <x:c r="D1100" s="11" t="n">
        <x:v>8300</x:v>
      </x:c>
      <x:c r="E1100" s="11" t="n">
        <x:v>8600</x:v>
      </x:c>
      <x:c r="F1100" s="11" t="n">
        <x:v>8900</x:v>
      </x:c>
      <x:c r="G1100" s="11" t="n">
        <x:f>'Option source'!B379</x:f>
        <x:v>114.25</x:v>
      </x:c>
      <x:c r="H1100" s="11" t="n">
        <x:f>'Option source'!B398</x:f>
        <x:v>73.69</x:v>
      </x:c>
      <x:c r="I1100" s="11" t="n">
        <x:f>'Option source'!B417</x:f>
        <x:v>46.66</x:v>
      </x:c>
      <x:c r="J1100" s="11" t="n">
        <x:f>G1100-2*H1100+IF(B1100="Butterfly",I1100,0)</x:f>
        <x:v>13.530000000000001</x:v>
      </x:c>
      <x:c r="K1100" s="11" t="n">
        <x:f>ABS(E1100-D1100)</x:f>
        <x:v>300</x:v>
      </x:c>
      <x:c r="L1100" s="11" t="n">
        <x:f>K1100-J1100</x:f>
        <x:v>286.47</x:v>
      </x:c>
      <x:c r="M1100" s="11" t="n">
        <x:f>IF(B1100="Butterfly",MAX(J1100,0),IF(C1100="call","Unlimited",MAX(2*E1100-D1100+J1100,J1100,0)))</x:f>
        <x:v>13.530000000000001</x:v>
      </x:c>
      <x:c r="N1100" s="11" t="n">
        <x:f>IF(B1100="Butterfly",IF(AND(J1100&gt;0,J1100&lt;K1100),D1100+J1100,"n.a."),IF(C1100="call",IF(AND(J1100&gt;0,J1100&lt;K1100),D1100+J1100,"n.a."),IF(AND(K1100&gt;J1100,2*E1100-D1100+J1100&gt;=0),2*E1100-D1100+J1100,"n.a.")))</x:f>
        <x:v>8313.53</x:v>
      </x:c>
      <x:c r="O1100" s="11" t="n">
        <x:f>IF(B1100="Butterfly",IF(AND(J1100&gt;0,J1100&lt;K1100),F1100-J1100,"n.a."),IF(C1100="call",IF(K1100&gt;J1100,2*E1100-D1100-J1100,"n.a."),IF(AND(J1100&gt;0,J1100&lt;K1100),D1100-J1100,"n.a.")))</x:f>
        <x:v>8886.47</x:v>
      </x:c>
      <x:c r="P1100" s="19" t="n">
        <x:f>IF(AND(B1100="Butterfly",J1100&gt;0,J1100&lt;K1100),L1100/J1100,"n.a.")</x:f>
        <x:v>21.172949002217294</x:v>
      </x:c>
      <x:c r="Q1100" s="11" t="n">
        <x:f>J1100*'Model inputs'!$B$8</x:f>
        <x:v>1353</x:v>
      </x:c>
      <x:c r="R1100" s="1" t="str">
        <x:v>Indicative only</x:v>
      </x:c>
      <x:c r="S1100" s="1" t="n">
        <x:v>374</x:v>
      </x:c>
      <x:c r="T1100" s="1" t="n">
        <x:v>393</x:v>
      </x:c>
    </x:row>
    <x:row r="1101" ht="21" customHeight="1">
      <x:c r="A1101" s="12" t="n">
        <x:v>46265</x:v>
      </x:c>
      <x:c r="B1101" s="1" t="str">
        <x:v>Butterfly</x:v>
      </x:c>
      <x:c r="C1101" s="1" t="str">
        <x:v>put</x:v>
      </x:c>
      <x:c r="D1101" s="11" t="n">
        <x:v>5200</x:v>
      </x:c>
      <x:c r="E1101" s="11" t="n">
        <x:v>5400</x:v>
      </x:c>
      <x:c r="F1101" s="11" t="n">
        <x:v>5600</x:v>
      </x:c>
      <x:c r="G1101" s="11" t="n">
        <x:f>'Option source'!B588</x:f>
        <x:v>7.67</x:v>
      </x:c>
      <x:c r="H1101" s="11" t="n">
        <x:f>'Option source'!B607</x:f>
        <x:v>12.73</x:v>
      </x:c>
      <x:c r="I1101" s="11" t="n">
        <x:f>'Option source'!B626</x:f>
        <x:v>22.98</x:v>
      </x:c>
      <x:c r="J1101" s="11" t="n">
        <x:f>G1101-2*H1101+IF(B1101="Butterfly",I1101,0)</x:f>
        <x:v>5.190000000000001</x:v>
      </x:c>
      <x:c r="K1101" s="11" t="n">
        <x:f>ABS(E1101-D1101)</x:f>
        <x:v>200</x:v>
      </x:c>
      <x:c r="L1101" s="11" t="n">
        <x:f>K1101-J1101</x:f>
        <x:v>194.81</x:v>
      </x:c>
      <x:c r="M1101" s="11" t="n">
        <x:f>IF(B1101="Butterfly",MAX(J1101,0),IF(C1101="call","Unlimited",MAX(2*E1101-D1101+J1101,J1101,0)))</x:f>
        <x:v>5.190000000000001</x:v>
      </x:c>
      <x:c r="N1101" s="11" t="n">
        <x:f>IF(B1101="Butterfly",IF(AND(J1101&gt;0,J1101&lt;K1101),D1101+J1101,"n.a."),IF(C1101="call",IF(AND(J1101&gt;0,J1101&lt;K1101),D1101+J1101,"n.a."),IF(AND(K1101&gt;J1101,2*E1101-D1101+J1101&gt;=0),2*E1101-D1101+J1101,"n.a.")))</x:f>
        <x:v>5205.19</x:v>
      </x:c>
      <x:c r="O1101" s="11" t="n">
        <x:f>IF(B1101="Butterfly",IF(AND(J1101&gt;0,J1101&lt;K1101),F1101-J1101,"n.a."),IF(C1101="call",IF(K1101&gt;J1101,2*E1101-D1101-J1101,"n.a."),IF(AND(J1101&gt;0,J1101&lt;K1101),D1101-J1101,"n.a.")))</x:f>
        <x:v>5594.81</x:v>
      </x:c>
      <x:c r="P1101" s="19" t="n">
        <x:f>IF(AND(B1101="Butterfly",J1101&gt;0,J1101&lt;K1101),L1101/J1101,"n.a.")</x:f>
        <x:v>37.535645472061645</x:v>
      </x:c>
      <x:c r="Q1101" s="11" t="n">
        <x:f>J1101*'Model inputs'!$B$8</x:f>
        <x:v>519.0000000000001</x:v>
      </x:c>
      <x:c r="R1101" s="1" t="str">
        <x:v>Indicative only</x:v>
      </x:c>
      <x:c r="S1101" s="1" t="n">
        <x:v>583</x:v>
      </x:c>
      <x:c r="T1101" s="1" t="n">
        <x:v>602</x:v>
      </x:c>
    </x:row>
    <x:row r="1102" ht="21" customHeight="1">
      <x:c r="A1102" s="12" t="n">
        <x:v>46265</x:v>
      </x:c>
      <x:c r="B1102" s="1" t="str">
        <x:v>Butterfly</x:v>
      </x:c>
      <x:c r="C1102" s="1" t="str">
        <x:v>put</x:v>
      </x:c>
      <x:c r="D1102" s="11" t="n">
        <x:v>5000</x:v>
      </x:c>
      <x:c r="E1102" s="11" t="n">
        <x:v>5200</x:v>
      </x:c>
      <x:c r="F1102" s="11" t="n">
        <x:v>5400</x:v>
      </x:c>
      <x:c r="G1102" s="11" t="n">
        <x:f>'Option source'!B569</x:f>
        <x:v>4.26</x:v>
      </x:c>
      <x:c r="H1102" s="11" t="n">
        <x:f>'Option source'!B588</x:f>
        <x:v>7.67</x:v>
      </x:c>
      <x:c r="I1102" s="11" t="n">
        <x:f>'Option source'!B607</x:f>
        <x:v>12.73</x:v>
      </x:c>
      <x:c r="J1102" s="11" t="n">
        <x:f>G1102-2*H1102+IF(B1102="Butterfly",I1102,0)</x:f>
        <x:v>1.6500000000000004</x:v>
      </x:c>
      <x:c r="K1102" s="11" t="n">
        <x:f>ABS(E1102-D1102)</x:f>
        <x:v>200</x:v>
      </x:c>
      <x:c r="L1102" s="11" t="n">
        <x:f>K1102-J1102</x:f>
        <x:v>198.35</x:v>
      </x:c>
      <x:c r="M1102" s="11" t="n">
        <x:f>IF(B1102="Butterfly",MAX(J1102,0),IF(C1102="call","Unlimited",MAX(2*E1102-D1102+J1102,J1102,0)))</x:f>
        <x:v>1.6500000000000004</x:v>
      </x:c>
      <x:c r="N1102" s="11" t="n">
        <x:f>IF(B1102="Butterfly",IF(AND(J1102&gt;0,J1102&lt;K1102),D1102+J1102,"n.a."),IF(C1102="call",IF(AND(J1102&gt;0,J1102&lt;K1102),D1102+J1102,"n.a."),IF(AND(K1102&gt;J1102,2*E1102-D1102+J1102&gt;=0),2*E1102-D1102+J1102,"n.a.")))</x:f>
        <x:v>5001.65</x:v>
      </x:c>
      <x:c r="O1102" s="11" t="n">
        <x:f>IF(B1102="Butterfly",IF(AND(J1102&gt;0,J1102&lt;K1102),F1102-J1102,"n.a."),IF(C1102="call",IF(K1102&gt;J1102,2*E1102-D1102-J1102,"n.a."),IF(AND(J1102&gt;0,J1102&lt;K1102),D1102-J1102,"n.a.")))</x:f>
        <x:v>5398.35</x:v>
      </x:c>
      <x:c r="P1102" s="19" t="n">
        <x:f>IF(AND(B1102="Butterfly",J1102&gt;0,J1102&lt;K1102),L1102/J1102,"n.a.")</x:f>
        <x:v>120.21212121212119</x:v>
      </x:c>
      <x:c r="Q1102" s="11" t="n">
        <x:f>J1102*'Model inputs'!$B$8</x:f>
        <x:v>165.00000000000003</x:v>
      </x:c>
      <x:c r="R1102" s="1" t="str">
        <x:v>Indicative only</x:v>
      </x:c>
      <x:c r="S1102" s="1" t="n">
        <x:v>564</x:v>
      </x:c>
      <x:c r="T1102" s="1" t="n">
        <x:v>583</x:v>
      </x:c>
    </x:row>
    <x:row r="1103" ht="21" customHeight="1">
      <x:c r="A1103" s="12" t="n">
        <x:v>46265</x:v>
      </x:c>
      <x:c r="B1103" s="1" t="str">
        <x:v>Butterfly</x:v>
      </x:c>
      <x:c r="C1103" s="1" t="str">
        <x:v>call</x:v>
      </x:c>
      <x:c r="D1103" s="11" t="n">
        <x:v>8600</x:v>
      </x:c>
      <x:c r="E1103" s="11" t="n">
        <x:v>8900</x:v>
      </x:c>
      <x:c r="F1103" s="11" t="n">
        <x:v>9200</x:v>
      </x:c>
      <x:c r="G1103" s="11" t="n">
        <x:f>'Option source'!B398</x:f>
        <x:v>73.69</x:v>
      </x:c>
      <x:c r="H1103" s="11" t="n">
        <x:f>'Option source'!B417</x:f>
        <x:v>46.66</x:v>
      </x:c>
      <x:c r="I1103" s="11" t="n">
        <x:f>'Option source'!B436</x:f>
        <x:v>29.82</x:v>
      </x:c>
      <x:c r="J1103" s="11" t="n">
        <x:f>G1103-2*H1103+IF(B1103="Butterfly",I1103,0)</x:f>
        <x:v>10.190000000000005</x:v>
      </x:c>
      <x:c r="K1103" s="11" t="n">
        <x:f>ABS(E1103-D1103)</x:f>
        <x:v>300</x:v>
      </x:c>
      <x:c r="L1103" s="11" t="n">
        <x:f>K1103-J1103</x:f>
        <x:v>289.81</x:v>
      </x:c>
      <x:c r="M1103" s="11" t="n">
        <x:f>IF(B1103="Butterfly",MAX(J1103,0),IF(C1103="call","Unlimited",MAX(2*E1103-D1103+J1103,J1103,0)))</x:f>
        <x:v>10.190000000000005</x:v>
      </x:c>
      <x:c r="N1103" s="11" t="n">
        <x:f>IF(B1103="Butterfly",IF(AND(J1103&gt;0,J1103&lt;K1103),D1103+J1103,"n.a."),IF(C1103="call",IF(AND(J1103&gt;0,J1103&lt;K1103),D1103+J1103,"n.a."),IF(AND(K1103&gt;J1103,2*E1103-D1103+J1103&gt;=0),2*E1103-D1103+J1103,"n.a.")))</x:f>
        <x:v>8610.19</x:v>
      </x:c>
      <x:c r="O1103" s="11" t="n">
        <x:f>IF(B1103="Butterfly",IF(AND(J1103&gt;0,J1103&lt;K1103),F1103-J1103,"n.a."),IF(C1103="call",IF(K1103&gt;J1103,2*E1103-D1103-J1103,"n.a."),IF(AND(J1103&gt;0,J1103&lt;K1103),D1103-J1103,"n.a.")))</x:f>
        <x:v>9189.81</x:v>
      </x:c>
      <x:c r="P1103" s="19" t="n">
        <x:f>IF(AND(B1103="Butterfly",J1103&gt;0,J1103&lt;K1103),L1103/J1103,"n.a.")</x:f>
        <x:v>28.440628066732078</x:v>
      </x:c>
      <x:c r="Q1103" s="11" t="n">
        <x:f>J1103*'Model inputs'!$B$8</x:f>
        <x:v>1019.0000000000005</x:v>
      </x:c>
      <x:c r="R1103" s="1" t="str">
        <x:v>Indicative only</x:v>
      </x:c>
      <x:c r="S1103" s="1" t="n">
        <x:v>393</x:v>
      </x:c>
      <x:c r="T1103" s="1" t="n">
        <x:v>412</x:v>
      </x:c>
    </x:row>
    <x:row r="1104" ht="21" customHeight="1">
      <x:c r="A1104" s="12" t="n">
        <x:v>46265</x:v>
      </x:c>
      <x:c r="B1104" s="1" t="str">
        <x:v>Butterfly</x:v>
      </x:c>
      <x:c r="C1104" s="1" t="str">
        <x:v>put</x:v>
      </x:c>
      <x:c r="D1104" s="11" t="n">
        <x:v>4800</x:v>
      </x:c>
      <x:c r="E1104" s="11" t="n">
        <x:v>5000</x:v>
      </x:c>
      <x:c r="F1104" s="11" t="n">
        <x:v>5200</x:v>
      </x:c>
      <x:c r="G1104" s="11" t="n">
        <x:f>'Option source'!B550</x:f>
        <x:v>2.54</x:v>
      </x:c>
      <x:c r="H1104" s="11" t="n">
        <x:f>'Option source'!B569</x:f>
        <x:v>4.26</x:v>
      </x:c>
      <x:c r="I1104" s="11" t="n">
        <x:f>'Option source'!B588</x:f>
        <x:v>7.67</x:v>
      </x:c>
      <x:c r="J1104" s="11" t="n">
        <x:f>G1104-2*H1104+IF(B1104="Butterfly",I1104,0)</x:f>
        <x:v>1.6900000000000004</x:v>
      </x:c>
      <x:c r="K1104" s="11" t="n">
        <x:f>ABS(E1104-D1104)</x:f>
        <x:v>200</x:v>
      </x:c>
      <x:c r="L1104" s="11" t="n">
        <x:f>K1104-J1104</x:f>
        <x:v>198.31</x:v>
      </x:c>
      <x:c r="M1104" s="11" t="n">
        <x:f>IF(B1104="Butterfly",MAX(J1104,0),IF(C1104="call","Unlimited",MAX(2*E1104-D1104+J1104,J1104,0)))</x:f>
        <x:v>1.6900000000000004</x:v>
      </x:c>
      <x:c r="N1104" s="11" t="n">
        <x:f>IF(B1104="Butterfly",IF(AND(J1104&gt;0,J1104&lt;K1104),D1104+J1104,"n.a."),IF(C1104="call",IF(AND(J1104&gt;0,J1104&lt;K1104),D1104+J1104,"n.a."),IF(AND(K1104&gt;J1104,2*E1104-D1104+J1104&gt;=0),2*E1104-D1104+J1104,"n.a.")))</x:f>
        <x:v>4801.69</x:v>
      </x:c>
      <x:c r="O1104" s="11" t="n">
        <x:f>IF(B1104="Butterfly",IF(AND(J1104&gt;0,J1104&lt;K1104),F1104-J1104,"n.a."),IF(C1104="call",IF(K1104&gt;J1104,2*E1104-D1104-J1104,"n.a."),IF(AND(J1104&gt;0,J1104&lt;K1104),D1104-J1104,"n.a.")))</x:f>
        <x:v>5198.31</x:v>
      </x:c>
      <x:c r="P1104" s="19" t="n">
        <x:f>IF(AND(B1104="Butterfly",J1104&gt;0,J1104&lt;K1104),L1104/J1104,"n.a.")</x:f>
        <x:v>117.34319526627216</x:v>
      </x:c>
      <x:c r="Q1104" s="11" t="n">
        <x:f>J1104*'Model inputs'!$B$8</x:f>
        <x:v>169.00000000000003</x:v>
      </x:c>
      <x:c r="R1104" s="1" t="str">
        <x:v>Indicative only</x:v>
      </x:c>
      <x:c r="S1104" s="1" t="n">
        <x:v>545</x:v>
      </x:c>
      <x:c r="T1104" s="1" t="n">
        <x:v>564</x:v>
      </x:c>
    </x:row>
    <x:row r="1105" ht="21" customHeight="1">
      <x:c r="A1105" s="12" t="n">
        <x:v>46265</x:v>
      </x:c>
      <x:c r="B1105" s="1" t="str">
        <x:v>Butterfly</x:v>
      </x:c>
      <x:c r="C1105" s="1" t="str">
        <x:v>call</x:v>
      </x:c>
      <x:c r="D1105" s="11" t="n">
        <x:v>8900</x:v>
      </x:c>
      <x:c r="E1105" s="11" t="n">
        <x:v>9200</x:v>
      </x:c>
      <x:c r="F1105" s="11" t="n">
        <x:v>9500</x:v>
      </x:c>
      <x:c r="G1105" s="11" t="n">
        <x:f>'Option source'!B417</x:f>
        <x:v>46.66</x:v>
      </x:c>
      <x:c r="H1105" s="11" t="n">
        <x:f>'Option source'!B436</x:f>
        <x:v>29.82</x:v>
      </x:c>
      <x:c r="I1105" s="11" t="n">
        <x:f>'Option source'!B455</x:f>
        <x:v>18.1</x:v>
      </x:c>
      <x:c r="J1105" s="11" t="n">
        <x:f>G1105-2*H1105+IF(B1105="Butterfly",I1105,0)</x:f>
        <x:v>5.119999999999997</x:v>
      </x:c>
      <x:c r="K1105" s="11" t="n">
        <x:f>ABS(E1105-D1105)</x:f>
        <x:v>300</x:v>
      </x:c>
      <x:c r="L1105" s="11" t="n">
        <x:f>K1105-J1105</x:f>
        <x:v>294.88</x:v>
      </x:c>
      <x:c r="M1105" s="11" t="n">
        <x:f>IF(B1105="Butterfly",MAX(J1105,0),IF(C1105="call","Unlimited",MAX(2*E1105-D1105+J1105,J1105,0)))</x:f>
        <x:v>5.119999999999997</x:v>
      </x:c>
      <x:c r="N1105" s="11" t="n">
        <x:f>IF(B1105="Butterfly",IF(AND(J1105&gt;0,J1105&lt;K1105),D1105+J1105,"n.a."),IF(C1105="call",IF(AND(J1105&gt;0,J1105&lt;K1105),D1105+J1105,"n.a."),IF(AND(K1105&gt;J1105,2*E1105-D1105+J1105&gt;=0),2*E1105-D1105+J1105,"n.a.")))</x:f>
        <x:v>8905.12</x:v>
      </x:c>
      <x:c r="O1105" s="11" t="n">
        <x:f>IF(B1105="Butterfly",IF(AND(J1105&gt;0,J1105&lt;K1105),F1105-J1105,"n.a."),IF(C1105="call",IF(K1105&gt;J1105,2*E1105-D1105-J1105,"n.a."),IF(AND(J1105&gt;0,J1105&lt;K1105),D1105-J1105,"n.a.")))</x:f>
        <x:v>9494.88</x:v>
      </x:c>
      <x:c r="P1105" s="19" t="n">
        <x:f>IF(AND(B1105="Butterfly",J1105&gt;0,J1105&lt;K1105),L1105/J1105,"n.a.")</x:f>
        <x:v>57.59375000000003</x:v>
      </x:c>
      <x:c r="Q1105" s="11" t="n">
        <x:f>J1105*'Model inputs'!$B$8</x:f>
        <x:v>511.9999999999998</x:v>
      </x:c>
      <x:c r="R1105" s="1" t="str">
        <x:v>Indicative only</x:v>
      </x:c>
      <x:c r="S1105" s="1" t="n">
        <x:v>412</x:v>
      </x:c>
      <x:c r="T1105" s="1" t="n">
        <x:v>431</x:v>
      </x:c>
    </x:row>
    <x:row r="1106" ht="21" customHeight="1">
      <x:c r="A1106" s="12" t="n">
        <x:v>46265</x:v>
      </x:c>
      <x:c r="B1106" s="1" t="str">
        <x:v>Butterfly</x:v>
      </x:c>
      <x:c r="C1106" s="1" t="str">
        <x:v>put</x:v>
      </x:c>
      <x:c r="D1106" s="11" t="n">
        <x:v>4600</x:v>
      </x:c>
      <x:c r="E1106" s="11" t="n">
        <x:v>4800</x:v>
      </x:c>
      <x:c r="F1106" s="11" t="n">
        <x:v>5000</x:v>
      </x:c>
      <x:c r="G1106" s="11" t="n">
        <x:f>'Option source'!B531</x:f>
        <x:v>1.8</x:v>
      </x:c>
      <x:c r="H1106" s="11" t="n">
        <x:f>'Option source'!B550</x:f>
        <x:v>2.54</x:v>
      </x:c>
      <x:c r="I1106" s="11" t="n">
        <x:f>'Option source'!B569</x:f>
        <x:v>4.26</x:v>
      </x:c>
      <x:c r="J1106" s="11" t="n">
        <x:f>G1106-2*H1106+IF(B1106="Butterfly",I1106,0)</x:f>
        <x:v>0.9799999999999995</x:v>
      </x:c>
      <x:c r="K1106" s="11" t="n">
        <x:f>ABS(E1106-D1106)</x:f>
        <x:v>200</x:v>
      </x:c>
      <x:c r="L1106" s="11" t="n">
        <x:f>K1106-J1106</x:f>
        <x:v>199.02</x:v>
      </x:c>
      <x:c r="M1106" s="11" t="n">
        <x:f>IF(B1106="Butterfly",MAX(J1106,0),IF(C1106="call","Unlimited",MAX(2*E1106-D1106+J1106,J1106,0)))</x:f>
        <x:v>0.9799999999999995</x:v>
      </x:c>
      <x:c r="N1106" s="11" t="n">
        <x:f>IF(B1106="Butterfly",IF(AND(J1106&gt;0,J1106&lt;K1106),D1106+J1106,"n.a."),IF(C1106="call",IF(AND(J1106&gt;0,J1106&lt;K1106),D1106+J1106,"n.a."),IF(AND(K1106&gt;J1106,2*E1106-D1106+J1106&gt;=0),2*E1106-D1106+J1106,"n.a.")))</x:f>
        <x:v>4600.98</x:v>
      </x:c>
      <x:c r="O1106" s="11" t="n">
        <x:f>IF(B1106="Butterfly",IF(AND(J1106&gt;0,J1106&lt;K1106),F1106-J1106,"n.a."),IF(C1106="call",IF(K1106&gt;J1106,2*E1106-D1106-J1106,"n.a."),IF(AND(J1106&gt;0,J1106&lt;K1106),D1106-J1106,"n.a.")))</x:f>
        <x:v>4999.02</x:v>
      </x:c>
      <x:c r="P1106" s="19" t="n">
        <x:f>IF(AND(B1106="Butterfly",J1106&gt;0,J1106&lt;K1106),L1106/J1106,"n.a.")</x:f>
        <x:v>203.08163265306132</x:v>
      </x:c>
      <x:c r="Q1106" s="11" t="n">
        <x:f>J1106*'Model inputs'!$B$8</x:f>
        <x:v>97.99999999999996</x:v>
      </x:c>
      <x:c r="R1106" s="1" t="str">
        <x:v>Indicative only</x:v>
      </x:c>
      <x:c r="S1106" s="1" t="n">
        <x:v>526</x:v>
      </x:c>
      <x:c r="T1106" s="1" t="n">
        <x:v>545</x:v>
      </x:c>
    </x:row>
    <x:row r="1107" ht="21" customHeight="1">
      <x:c r="A1107" s="12" t="n">
        <x:v>46265</x:v>
      </x:c>
      <x:c r="B1107" s="1" t="str">
        <x:v>Butterfly</x:v>
      </x:c>
      <x:c r="C1107" s="1" t="str">
        <x:v>put</x:v>
      </x:c>
      <x:c r="D1107" s="11" t="n">
        <x:v>4400</x:v>
      </x:c>
      <x:c r="E1107" s="11" t="n">
        <x:v>4600</x:v>
      </x:c>
      <x:c r="F1107" s="11" t="n">
        <x:v>4800</x:v>
      </x:c>
      <x:c r="G1107" s="11" t="n">
        <x:f>'Option source'!B512</x:f>
        <x:v>1.18</x:v>
      </x:c>
      <x:c r="H1107" s="11" t="n">
        <x:f>'Option source'!B531</x:f>
        <x:v>1.8</x:v>
      </x:c>
      <x:c r="I1107" s="11" t="n">
        <x:f>'Option source'!B550</x:f>
        <x:v>2.54</x:v>
      </x:c>
      <x:c r="J1107" s="11" t="n">
        <x:f>G1107-2*H1107+IF(B1107="Butterfly",I1107,0)</x:f>
        <x:v>0.1200000000000001</x:v>
      </x:c>
      <x:c r="K1107" s="11" t="n">
        <x:f>ABS(E1107-D1107)</x:f>
        <x:v>200</x:v>
      </x:c>
      <x:c r="L1107" s="11" t="n">
        <x:f>K1107-J1107</x:f>
        <x:v>199.88</x:v>
      </x:c>
      <x:c r="M1107" s="11" t="n">
        <x:f>IF(B1107="Butterfly",MAX(J1107,0),IF(C1107="call","Unlimited",MAX(2*E1107-D1107+J1107,J1107,0)))</x:f>
        <x:v>0.1200000000000001</x:v>
      </x:c>
      <x:c r="N1107" s="11" t="n">
        <x:f>IF(B1107="Butterfly",IF(AND(J1107&gt;0,J1107&lt;K1107),D1107+J1107,"n.a."),IF(C1107="call",IF(AND(J1107&gt;0,J1107&lt;K1107),D1107+J1107,"n.a."),IF(AND(K1107&gt;J1107,2*E1107-D1107+J1107&gt;=0),2*E1107-D1107+J1107,"n.a.")))</x:f>
        <x:v>4400.12</x:v>
      </x:c>
      <x:c r="O1107" s="11" t="n">
        <x:f>IF(B1107="Butterfly",IF(AND(J1107&gt;0,J1107&lt;K1107),F1107-J1107,"n.a."),IF(C1107="call",IF(K1107&gt;J1107,2*E1107-D1107-J1107,"n.a."),IF(AND(J1107&gt;0,J1107&lt;K1107),D1107-J1107,"n.a.")))</x:f>
        <x:v>4799.88</x:v>
      </x:c>
      <x:c r="P1107" s="19" t="n">
        <x:f>IF(AND(B1107="Butterfly",J1107&gt;0,J1107&lt;K1107),L1107/J1107,"n.a.")</x:f>
        <x:v>1665.6666666666652</x:v>
      </x:c>
      <x:c r="Q1107" s="11" t="n">
        <x:f>J1107*'Model inputs'!$B$8</x:f>
        <x:v>12.00000000000001</x:v>
      </x:c>
      <x:c r="R1107" s="1" t="str">
        <x:v>Indicative only</x:v>
      </x:c>
      <x:c r="S1107" s="1" t="n">
        <x:v>507</x:v>
      </x:c>
      <x:c r="T1107" s="1" t="n">
        <x:v>526</x:v>
      </x:c>
    </x:row>
    <x:row r="1108" ht="21" customHeight="1">
      <x:c r="A1108" s="12" t="n">
        <x:v>46265</x:v>
      </x:c>
      <x:c r="B1108" s="1" t="str">
        <x:v>Butterfly</x:v>
      </x:c>
      <x:c r="C1108" s="1" t="str">
        <x:v>put</x:v>
      </x:c>
      <x:c r="D1108" s="11" t="n">
        <x:v>4200</x:v>
      </x:c>
      <x:c r="E1108" s="11" t="n">
        <x:v>4400</x:v>
      </x:c>
      <x:c r="F1108" s="11" t="n">
        <x:v>4600</x:v>
      </x:c>
      <x:c r="G1108" s="11" t="n">
        <x:f>'Option source'!B493</x:f>
        <x:v>0.9</x:v>
      </x:c>
      <x:c r="H1108" s="11" t="n">
        <x:f>'Option source'!B512</x:f>
        <x:v>1.18</x:v>
      </x:c>
      <x:c r="I1108" s="11" t="n">
        <x:f>'Option source'!B531</x:f>
        <x:v>1.8</x:v>
      </x:c>
      <x:c r="J1108" s="11" t="n">
        <x:f>G1108-2*H1108+IF(B1108="Butterfly",I1108,0)</x:f>
        <x:v>0.3400000000000001</x:v>
      </x:c>
      <x:c r="K1108" s="11" t="n">
        <x:f>ABS(E1108-D1108)</x:f>
        <x:v>200</x:v>
      </x:c>
      <x:c r="L1108" s="11" t="n">
        <x:f>K1108-J1108</x:f>
        <x:v>199.66</x:v>
      </x:c>
      <x:c r="M1108" s="11" t="n">
        <x:f>IF(B1108="Butterfly",MAX(J1108,0),IF(C1108="call","Unlimited",MAX(2*E1108-D1108+J1108,J1108,0)))</x:f>
        <x:v>0.3400000000000001</x:v>
      </x:c>
      <x:c r="N1108" s="11" t="n">
        <x:f>IF(B1108="Butterfly",IF(AND(J1108&gt;0,J1108&lt;K1108),D1108+J1108,"n.a."),IF(C1108="call",IF(AND(J1108&gt;0,J1108&lt;K1108),D1108+J1108,"n.a."),IF(AND(K1108&gt;J1108,2*E1108-D1108+J1108&gt;=0),2*E1108-D1108+J1108,"n.a.")))</x:f>
        <x:v>4200.34</x:v>
      </x:c>
      <x:c r="O1108" s="11" t="n">
        <x:f>IF(B1108="Butterfly",IF(AND(J1108&gt;0,J1108&lt;K1108),F1108-J1108,"n.a."),IF(C1108="call",IF(K1108&gt;J1108,2*E1108-D1108-J1108,"n.a."),IF(AND(J1108&gt;0,J1108&lt;K1108),D1108-J1108,"n.a.")))</x:f>
        <x:v>4599.66</x:v>
      </x:c>
      <x:c r="P1108" s="19" t="n">
        <x:f>IF(AND(B1108="Butterfly",J1108&gt;0,J1108&lt;K1108),L1108/J1108,"n.a.")</x:f>
        <x:v>587.235294117647</x:v>
      </x:c>
      <x:c r="Q1108" s="11" t="n">
        <x:f>J1108*'Model inputs'!$B$8</x:f>
        <x:v>34.00000000000001</x:v>
      </x:c>
      <x:c r="R1108" s="1" t="str">
        <x:v>Indicative only</x:v>
      </x:c>
      <x:c r="S1108" s="1" t="n">
        <x:v>488</x:v>
      </x:c>
      <x:c r="T1108" s="1" t="n">
        <x:v>507</x:v>
      </x:c>
    </x:row>
    <x:row r="1109" ht="21" customHeight="1">
      <x:c r="A1109" s="12" t="n">
        <x:v>46265</x:v>
      </x:c>
      <x:c r="B1109" s="1" t="str">
        <x:v>Butterfly</x:v>
      </x:c>
      <x:c r="C1109" s="1" t="str">
        <x:v>put</x:v>
      </x:c>
      <x:c r="D1109" s="11" t="n">
        <x:v>7400</x:v>
      </x:c>
      <x:c r="E1109" s="11" t="n">
        <x:v>7600</x:v>
      </x:c>
      <x:c r="F1109" s="11" t="n">
        <x:v>7800</x:v>
      </x:c>
      <x:c r="G1109" s="11" t="n">
        <x:f>'Option source'!B797</x:f>
        <x:v>560.79</x:v>
      </x:c>
      <x:c r="H1109" s="11" t="n">
        <x:f>'Option source'!B816</x:f>
        <x:v>677.61</x:v>
      </x:c>
      <x:c r="I1109" s="11" t="n">
        <x:f>'Option source'!B835</x:f>
        <x:v>790.81</x:v>
      </x:c>
      <x:c r="J1109" s="11" t="n">
        <x:f>G1109-2*H1109+IF(B1109="Butterfly",I1109,0)</x:f>
        <x:v>-3.6200000000001182</x:v>
      </x:c>
      <x:c r="K1109" s="11" t="n">
        <x:f>ABS(E1109-D1109)</x:f>
        <x:v>200</x:v>
      </x:c>
      <x:c r="L1109" s="11" t="n">
        <x:f>K1109-J1109</x:f>
        <x:v>203.62000000000012</x:v>
      </x:c>
      <x:c r="M1109" s="11" t="n">
        <x:f>IF(B1109="Butterfly",MAX(J1109,0),IF(C1109="call","Unlimited",MAX(2*E1109-D1109+J1109,J1109,0)))</x:f>
        <x:v>0</x:v>
      </x:c>
      <x:c r="N1109" s="11" t="str">
        <x:f>IF(B1109="Butterfly",IF(AND(J1109&gt;0,J1109&lt;K1109),D1109+J1109,"n.a."),IF(C1109="call",IF(AND(J1109&gt;0,J1109&lt;K1109),D1109+J1109,"n.a."),IF(AND(K1109&gt;J1109,2*E1109-D1109+J1109&gt;=0),2*E1109-D1109+J1109,"n.a.")))</x:f>
        <x:v>n.a.</x:v>
      </x:c>
      <x:c r="O1109" s="11" t="str">
        <x:f>IF(B1109="Butterfly",IF(AND(J1109&gt;0,J1109&lt;K1109),F1109-J1109,"n.a."),IF(C1109="call",IF(K1109&gt;J1109,2*E1109-D1109-J1109,"n.a."),IF(AND(J1109&gt;0,J1109&lt;K1109),D1109-J1109,"n.a.")))</x:f>
        <x:v>n.a.</x:v>
      </x:c>
      <x:c r="P1109" s="19" t="str">
        <x:f>IF(AND(B1109="Butterfly",J1109&gt;0,J1109&lt;K1109),L1109/J1109,"n.a.")</x:f>
        <x:v>n.a.</x:v>
      </x:c>
      <x:c r="Q1109" s="11" t="n">
        <x:f>J1109*'Model inputs'!$B$8</x:f>
        <x:v>-362.0000000000118</x:v>
      </x:c>
      <x:c r="R1109" s="1" t="str">
        <x:v>Outside standard debit bounds</x:v>
      </x:c>
      <x:c r="S1109" s="1" t="n">
        <x:v>792</x:v>
      </x:c>
      <x:c r="T1109" s="1" t="n">
        <x:v>811</x:v>
      </x:c>
    </x:row>
    <x:row r="1110" ht="21" customHeight="1">
      <x:c r="A1110" s="12" t="n">
        <x:v>46265</x:v>
      </x:c>
      <x:c r="B1110" s="1" t="str">
        <x:v>Butterfly</x:v>
      </x:c>
      <x:c r="C1110" s="1" t="str">
        <x:v>put</x:v>
      </x:c>
      <x:c r="D1110" s="11" t="n">
        <x:v>7600</x:v>
      </x:c>
      <x:c r="E1110" s="11" t="n">
        <x:v>7800</x:v>
      </x:c>
      <x:c r="F1110" s="11" t="n">
        <x:v>8000</x:v>
      </x:c>
      <x:c r="G1110" s="11" t="n">
        <x:f>'Option source'!B816</x:f>
        <x:v>677.61</x:v>
      </x:c>
      <x:c r="H1110" s="11" t="n">
        <x:f>'Option source'!B835</x:f>
        <x:v>790.81</x:v>
      </x:c>
      <x:c r="I1110" s="11" t="n">
        <x:f>'Option source'!B854</x:f>
        <x:v>950</x:v>
      </x:c>
      <x:c r="J1110" s="11" t="n">
        <x:f>G1110-2*H1110+IF(B1110="Butterfly",I1110,0)</x:f>
        <x:v>45.99000000000012</x:v>
      </x:c>
      <x:c r="K1110" s="11" t="n">
        <x:f>ABS(E1110-D1110)</x:f>
        <x:v>200</x:v>
      </x:c>
      <x:c r="L1110" s="11" t="n">
        <x:f>K1110-J1110</x:f>
        <x:v>154.00999999999988</x:v>
      </x:c>
      <x:c r="M1110" s="11" t="n">
        <x:f>IF(B1110="Butterfly",MAX(J1110,0),IF(C1110="call","Unlimited",MAX(2*E1110-D1110+J1110,J1110,0)))</x:f>
        <x:v>45.99000000000012</x:v>
      </x:c>
      <x:c r="N1110" s="11" t="n">
        <x:f>IF(B1110="Butterfly",IF(AND(J1110&gt;0,J1110&lt;K1110),D1110+J1110,"n.a."),IF(C1110="call",IF(AND(J1110&gt;0,J1110&lt;K1110),D1110+J1110,"n.a."),IF(AND(K1110&gt;J1110,2*E1110-D1110+J1110&gt;=0),2*E1110-D1110+J1110,"n.a.")))</x:f>
        <x:v>7645.99</x:v>
      </x:c>
      <x:c r="O1110" s="11" t="n">
        <x:f>IF(B1110="Butterfly",IF(AND(J1110&gt;0,J1110&lt;K1110),F1110-J1110,"n.a."),IF(C1110="call",IF(K1110&gt;J1110,2*E1110-D1110-J1110,"n.a."),IF(AND(J1110&gt;0,J1110&lt;K1110),D1110-J1110,"n.a.")))</x:f>
        <x:v>7954.01</x:v>
      </x:c>
      <x:c r="P1110" s="19" t="n">
        <x:f>IF(AND(B1110="Butterfly",J1110&gt;0,J1110&lt;K1110),L1110/J1110,"n.a.")</x:f>
        <x:v>3.3487714720591315</x:v>
      </x:c>
      <x:c r="Q1110" s="11" t="n">
        <x:f>J1110*'Model inputs'!$B$8</x:f>
        <x:v>4599.000000000013</x:v>
      </x:c>
      <x:c r="R1110" s="1" t="str">
        <x:v>Flagged leg data</x:v>
      </x:c>
      <x:c r="S1110" s="1" t="n">
        <x:v>811</x:v>
      </x:c>
      <x:c r="T1110" s="1" t="n">
        <x:v>830</x:v>
      </x:c>
    </x:row>
    <x:row r="1111" ht="21" customHeight="1">
      <x:c r="A1111" s="12" t="n">
        <x:v>46265</x:v>
      </x:c>
      <x:c r="B1111" s="1" t="str">
        <x:v>Butterfly</x:v>
      </x:c>
      <x:c r="C1111" s="1" t="str">
        <x:v>call</x:v>
      </x:c>
      <x:c r="D1111" s="11" t="n">
        <x:v>6000</x:v>
      </x:c>
      <x:c r="E1111" s="11" t="n">
        <x:v>6200</x:v>
      </x:c>
      <x:c r="F1111" s="11" t="n">
        <x:v>6400</x:v>
      </x:c>
      <x:c r="G1111" s="11" t="n">
        <x:f>'Option source'!B170</x:f>
        <x:v>1200</x:v>
      </x:c>
      <x:c r="H1111" s="11" t="n">
        <x:f>'Option source'!B189</x:f>
        <x:v>1069</x:v>
      </x:c>
      <x:c r="I1111" s="11" t="n">
        <x:f>'Option source'!B208</x:f>
        <x:v>925</x:v>
      </x:c>
      <x:c r="J1111" s="11" t="n">
        <x:f>G1111-2*H1111+IF(B1111="Butterfly",I1111,0)</x:f>
        <x:v>-13</x:v>
      </x:c>
      <x:c r="K1111" s="11" t="n">
        <x:f>ABS(E1111-D1111)</x:f>
        <x:v>200</x:v>
      </x:c>
      <x:c r="L1111" s="11" t="n">
        <x:f>K1111-J1111</x:f>
        <x:v>213</x:v>
      </x:c>
      <x:c r="M1111" s="11" t="n">
        <x:f>IF(B1111="Butterfly",MAX(J1111,0),IF(C1111="call","Unlimited",MAX(2*E1111-D1111+J1111,J1111,0)))</x:f>
        <x:v>0</x:v>
      </x:c>
      <x:c r="N1111" s="11" t="str">
        <x:f>IF(B1111="Butterfly",IF(AND(J1111&gt;0,J1111&lt;K1111),D1111+J1111,"n.a."),IF(C1111="call",IF(AND(J1111&gt;0,J1111&lt;K1111),D1111+J1111,"n.a."),IF(AND(K1111&gt;J1111,2*E1111-D1111+J1111&gt;=0),2*E1111-D1111+J1111,"n.a.")))</x:f>
        <x:v>n.a.</x:v>
      </x:c>
      <x:c r="O1111" s="11" t="str">
        <x:f>IF(B1111="Butterfly",IF(AND(J1111&gt;0,J1111&lt;K1111),F1111-J1111,"n.a."),IF(C1111="call",IF(K1111&gt;J1111,2*E1111-D1111-J1111,"n.a."),IF(AND(J1111&gt;0,J1111&lt;K1111),D1111-J1111,"n.a.")))</x:f>
        <x:v>n.a.</x:v>
      </x:c>
      <x:c r="P1111" s="19" t="str">
        <x:f>IF(AND(B1111="Butterfly",J1111&gt;0,J1111&lt;K1111),L1111/J1111,"n.a.")</x:f>
        <x:v>n.a.</x:v>
      </x:c>
      <x:c r="Q1111" s="11" t="n">
        <x:f>J1111*'Model inputs'!$B$8</x:f>
        <x:v>-1300</x:v>
      </x:c>
      <x:c r="R1111" s="1" t="str">
        <x:v>Outside standard debit bounds</x:v>
      </x:c>
      <x:c r="S1111" s="1" t="n">
        <x:v>165</x:v>
      </x:c>
      <x:c r="T1111" s="1" t="n">
        <x:v>184</x:v>
      </x:c>
    </x:row>
    <x:row r="1112" ht="21" customHeight="1">
      <x:c r="A1112" s="12" t="n">
        <x:v>46265</x:v>
      </x:c>
      <x:c r="B1112" s="1" t="str">
        <x:v>Butterfly</x:v>
      </x:c>
      <x:c r="C1112" s="1" t="str">
        <x:v>put</x:v>
      </x:c>
      <x:c r="D1112" s="11" t="n">
        <x:v>8000</x:v>
      </x:c>
      <x:c r="E1112" s="11" t="n">
        <x:v>8300</x:v>
      </x:c>
      <x:c r="F1112" s="11" t="n">
        <x:v>8600</x:v>
      </x:c>
      <x:c r="G1112" s="11" t="n">
        <x:f>'Option source'!B854</x:f>
        <x:v>950</x:v>
      </x:c>
      <x:c r="H1112" s="11" t="n">
        <x:f>'Option source'!B873</x:f>
        <x:v>1260</x:v>
      </x:c>
      <x:c r="I1112" s="11" t="n">
        <x:f>'Option source'!B892</x:f>
        <x:v>1650</x:v>
      </x:c>
      <x:c r="J1112" s="11" t="n">
        <x:f>G1112-2*H1112+IF(B1112="Butterfly",I1112,0)</x:f>
        <x:v>80</x:v>
      </x:c>
      <x:c r="K1112" s="11" t="n">
        <x:f>ABS(E1112-D1112)</x:f>
        <x:v>300</x:v>
      </x:c>
      <x:c r="L1112" s="11" t="n">
        <x:f>K1112-J1112</x:f>
        <x:v>220</x:v>
      </x:c>
      <x:c r="M1112" s="11" t="n">
        <x:f>IF(B1112="Butterfly",MAX(J1112,0),IF(C1112="call","Unlimited",MAX(2*E1112-D1112+J1112,J1112,0)))</x:f>
        <x:v>80</x:v>
      </x:c>
      <x:c r="N1112" s="11" t="n">
        <x:f>IF(B1112="Butterfly",IF(AND(J1112&gt;0,J1112&lt;K1112),D1112+J1112,"n.a."),IF(C1112="call",IF(AND(J1112&gt;0,J1112&lt;K1112),D1112+J1112,"n.a."),IF(AND(K1112&gt;J1112,2*E1112-D1112+J1112&gt;=0),2*E1112-D1112+J1112,"n.a.")))</x:f>
        <x:v>8080</x:v>
      </x:c>
      <x:c r="O1112" s="11" t="n">
        <x:f>IF(B1112="Butterfly",IF(AND(J1112&gt;0,J1112&lt;K1112),F1112-J1112,"n.a."),IF(C1112="call",IF(K1112&gt;J1112,2*E1112-D1112-J1112,"n.a."),IF(AND(J1112&gt;0,J1112&lt;K1112),D1112-J1112,"n.a.")))</x:f>
        <x:v>8520</x:v>
      </x:c>
      <x:c r="P1112" s="19" t="n">
        <x:f>IF(AND(B1112="Butterfly",J1112&gt;0,J1112&lt;K1112),L1112/J1112,"n.a.")</x:f>
        <x:v>2.75</x:v>
      </x:c>
      <x:c r="Q1112" s="11" t="n">
        <x:f>J1112*'Model inputs'!$B$8</x:f>
        <x:v>8000</x:v>
      </x:c>
      <x:c r="R1112" s="1" t="str">
        <x:v>Flagged leg data</x:v>
      </x:c>
      <x:c r="S1112" s="1" t="n">
        <x:v>849</x:v>
      </x:c>
      <x:c r="T1112" s="1" t="n">
        <x:v>868</x:v>
      </x:c>
    </x:row>
    <x:row r="1113" ht="21" customHeight="1">
      <x:c r="A1113" s="12" t="n">
        <x:v>46265</x:v>
      </x:c>
      <x:c r="B1113" s="1" t="str">
        <x:v>Butterfly</x:v>
      </x:c>
      <x:c r="C1113" s="1" t="str">
        <x:v>put</x:v>
      </x:c>
      <x:c r="D1113" s="11" t="n">
        <x:v>8300</x:v>
      </x:c>
      <x:c r="E1113" s="11" t="n">
        <x:v>8600</x:v>
      </x:c>
      <x:c r="F1113" s="11" t="n">
        <x:v>8900</x:v>
      </x:c>
      <x:c r="G1113" s="11" t="n">
        <x:f>'Option source'!B873</x:f>
        <x:v>1260</x:v>
      </x:c>
      <x:c r="H1113" s="11" t="n">
        <x:f>'Option source'!B892</x:f>
        <x:v>1650</x:v>
      </x:c>
      <x:c r="I1113" s="11" t="n">
        <x:f>'Option source'!B907</x:f>
        <x:v>2022.5</x:v>
      </x:c>
      <x:c r="J1113" s="11" t="n">
        <x:f>G1113-2*H1113+IF(B1113="Butterfly",I1113,0)</x:f>
        <x:v>-17.5</x:v>
      </x:c>
      <x:c r="K1113" s="11" t="n">
        <x:f>ABS(E1113-D1113)</x:f>
        <x:v>300</x:v>
      </x:c>
      <x:c r="L1113" s="11" t="n">
        <x:f>K1113-J1113</x:f>
        <x:v>317.5</x:v>
      </x:c>
      <x:c r="M1113" s="11" t="n">
        <x:f>IF(B1113="Butterfly",MAX(J1113,0),IF(C1113="call","Unlimited",MAX(2*E1113-D1113+J1113,J1113,0)))</x:f>
        <x:v>0</x:v>
      </x:c>
      <x:c r="N1113" s="11" t="str">
        <x:f>IF(B1113="Butterfly",IF(AND(J1113&gt;0,J1113&lt;K1113),D1113+J1113,"n.a."),IF(C1113="call",IF(AND(J1113&gt;0,J1113&lt;K1113),D1113+J1113,"n.a."),IF(AND(K1113&gt;J1113,2*E1113-D1113+J1113&gt;=0),2*E1113-D1113+J1113,"n.a.")))</x:f>
        <x:v>n.a.</x:v>
      </x:c>
      <x:c r="O1113" s="11" t="str">
        <x:f>IF(B1113="Butterfly",IF(AND(J1113&gt;0,J1113&lt;K1113),F1113-J1113,"n.a."),IF(C1113="call",IF(K1113&gt;J1113,2*E1113-D1113-J1113,"n.a."),IF(AND(J1113&gt;0,J1113&lt;K1113),D1113-J1113,"n.a.")))</x:f>
        <x:v>n.a.</x:v>
      </x:c>
      <x:c r="P1113" s="19" t="str">
        <x:f>IF(AND(B1113="Butterfly",J1113&gt;0,J1113&lt;K1113),L1113/J1113,"n.a.")</x:f>
        <x:v>n.a.</x:v>
      </x:c>
      <x:c r="Q1113" s="11" t="n">
        <x:f>J1113*'Model inputs'!$B$8</x:f>
        <x:v>-1750</x:v>
      </x:c>
      <x:c r="R1113" s="1" t="str">
        <x:v>Outside standard debit bounds</x:v>
      </x:c>
      <x:c r="S1113" s="1" t="n">
        <x:v>868</x:v>
      </x:c>
      <x:c r="T1113" s="1" t="n">
        <x:v>887</x:v>
      </x:c>
    </x:row>
    <x:row r="1114" ht="21" customHeight="1">
      <x:c r="A1114" s="12" t="n">
        <x:v>46265</x:v>
      </x:c>
      <x:c r="B1114" s="1" t="str">
        <x:v>Butterfly</x:v>
      </x:c>
      <x:c r="C1114" s="1" t="str">
        <x:v>call</x:v>
      </x:c>
      <x:c r="D1114" s="11" t="n">
        <x:v>5200</x:v>
      </x:c>
      <x:c r="E1114" s="11" t="n">
        <x:v>5400</x:v>
      </x:c>
      <x:c r="F1114" s="11" t="n">
        <x:v>5600</x:v>
      </x:c>
      <x:c r="G1114" s="11" t="n">
        <x:f>'Option source'!B104</x:f>
        <x:v>1677.12</x:v>
      </x:c>
      <x:c r="H1114" s="11" t="n">
        <x:f>'Option source'!B123</x:f>
        <x:v>1812</x:v>
      </x:c>
      <x:c r="I1114" s="11" t="n">
        <x:f>'Option source'!B141</x:f>
        <x:v>1311.48</x:v>
      </x:c>
      <x:c r="J1114" s="11" t="n">
        <x:f>G1114-2*H1114+IF(B1114="Butterfly",I1114,0)</x:f>
        <x:v>-635.4000000000001</x:v>
      </x:c>
      <x:c r="K1114" s="11" t="n">
        <x:f>ABS(E1114-D1114)</x:f>
        <x:v>200</x:v>
      </x:c>
      <x:c r="L1114" s="11" t="n">
        <x:f>K1114-J1114</x:f>
        <x:v>835.4000000000001</x:v>
      </x:c>
      <x:c r="M1114" s="11" t="n">
        <x:f>IF(B1114="Butterfly",MAX(J1114,0),IF(C1114="call","Unlimited",MAX(2*E1114-D1114+J1114,J1114,0)))</x:f>
        <x:v>0</x:v>
      </x:c>
      <x:c r="N1114" s="11" t="str">
        <x:f>IF(B1114="Butterfly",IF(AND(J1114&gt;0,J1114&lt;K1114),D1114+J1114,"n.a."),IF(C1114="call",IF(AND(J1114&gt;0,J1114&lt;K1114),D1114+J1114,"n.a."),IF(AND(K1114&gt;J1114,2*E1114-D1114+J1114&gt;=0),2*E1114-D1114+J1114,"n.a.")))</x:f>
        <x:v>n.a.</x:v>
      </x:c>
      <x:c r="O1114" s="11" t="str">
        <x:f>IF(B1114="Butterfly",IF(AND(J1114&gt;0,J1114&lt;K1114),F1114-J1114,"n.a."),IF(C1114="call",IF(K1114&gt;J1114,2*E1114-D1114-J1114,"n.a."),IF(AND(J1114&gt;0,J1114&lt;K1114),D1114-J1114,"n.a.")))</x:f>
        <x:v>n.a.</x:v>
      </x:c>
      <x:c r="P1114" s="19" t="str">
        <x:f>IF(AND(B1114="Butterfly",J1114&gt;0,J1114&lt;K1114),L1114/J1114,"n.a.")</x:f>
        <x:v>n.a.</x:v>
      </x:c>
      <x:c r="Q1114" s="11" t="n">
        <x:f>J1114*'Model inputs'!$B$8</x:f>
        <x:v>-63540.00000000001</x:v>
      </x:c>
      <x:c r="R1114" s="1" t="str">
        <x:v>Outside standard debit bounds</x:v>
      </x:c>
      <x:c r="S1114" s="1" t="n">
        <x:v>99</x:v>
      </x:c>
      <x:c r="T1114" s="1" t="n">
        <x:v>118</x:v>
      </x:c>
    </x:row>
    <x:row r="1115" ht="21" customHeight="1">
      <x:c r="A1115" s="12" t="n">
        <x:v>46265</x:v>
      </x:c>
      <x:c r="B1115" s="1" t="str">
        <x:v>Butterfly</x:v>
      </x:c>
      <x:c r="C1115" s="1" t="str">
        <x:v>call</x:v>
      </x:c>
      <x:c r="D1115" s="11" t="n">
        <x:v>5000</x:v>
      </x:c>
      <x:c r="E1115" s="11" t="n">
        <x:v>5200</x:v>
      </x:c>
      <x:c r="F1115" s="11" t="n">
        <x:v>5400</x:v>
      </x:c>
      <x:c r="G1115" s="11" t="n">
        <x:f>'Option source'!B85</x:f>
        <x:v>1997.87</x:v>
      </x:c>
      <x:c r="H1115" s="11" t="n">
        <x:f>'Option source'!B104</x:f>
        <x:v>1677.12</x:v>
      </x:c>
      <x:c r="I1115" s="11" t="n">
        <x:f>'Option source'!B123</x:f>
        <x:v>1812</x:v>
      </x:c>
      <x:c r="J1115" s="11" t="n">
        <x:f>G1115-2*H1115+IF(B1115="Butterfly",I1115,0)</x:f>
        <x:v>455.6300000000001</x:v>
      </x:c>
      <x:c r="K1115" s="11" t="n">
        <x:f>ABS(E1115-D1115)</x:f>
        <x:v>200</x:v>
      </x:c>
      <x:c r="L1115" s="11" t="n">
        <x:f>K1115-J1115</x:f>
        <x:v>-255.6300000000001</x:v>
      </x:c>
      <x:c r="M1115" s="11" t="n">
        <x:f>IF(B1115="Butterfly",MAX(J1115,0),IF(C1115="call","Unlimited",MAX(2*E1115-D1115+J1115,J1115,0)))</x:f>
        <x:v>455.6300000000001</x:v>
      </x:c>
      <x:c r="N1115" s="11" t="str">
        <x:f>IF(B1115="Butterfly",IF(AND(J1115&gt;0,J1115&lt;K1115),D1115+J1115,"n.a."),IF(C1115="call",IF(AND(J1115&gt;0,J1115&lt;K1115),D1115+J1115,"n.a."),IF(AND(K1115&gt;J1115,2*E1115-D1115+J1115&gt;=0),2*E1115-D1115+J1115,"n.a.")))</x:f>
        <x:v>n.a.</x:v>
      </x:c>
      <x:c r="O1115" s="11" t="str">
        <x:f>IF(B1115="Butterfly",IF(AND(J1115&gt;0,J1115&lt;K1115),F1115-J1115,"n.a."),IF(C1115="call",IF(K1115&gt;J1115,2*E1115-D1115-J1115,"n.a."),IF(AND(J1115&gt;0,J1115&lt;K1115),D1115-J1115,"n.a.")))</x:f>
        <x:v>n.a.</x:v>
      </x:c>
      <x:c r="P1115" s="19" t="str">
        <x:f>IF(AND(B1115="Butterfly",J1115&gt;0,J1115&lt;K1115),L1115/J1115,"n.a.")</x:f>
        <x:v>n.a.</x:v>
      </x:c>
      <x:c r="Q1115" s="11" t="n">
        <x:f>J1115*'Model inputs'!$B$8</x:f>
        <x:v>45563.000000000015</x:v>
      </x:c>
      <x:c r="R1115" s="1" t="str">
        <x:v>Outside standard debit bounds</x:v>
      </x:c>
      <x:c r="S1115" s="1" t="n">
        <x:v>80</x:v>
      </x:c>
      <x:c r="T1115" s="1" t="n">
        <x:v>99</x:v>
      </x:c>
    </x:row>
    <x:row r="1116" ht="21" customHeight="1">
      <x:c r="A1116" s="12" t="n">
        <x:v>46265</x:v>
      </x:c>
      <x:c r="B1116" s="1" t="str">
        <x:v>Butterfly</x:v>
      </x:c>
      <x:c r="C1116" s="1" t="str">
        <x:v>call</x:v>
      </x:c>
      <x:c r="D1116" s="11" t="n">
        <x:v>4800</x:v>
      </x:c>
      <x:c r="E1116" s="11" t="n">
        <x:v>5000</x:v>
      </x:c>
      <x:c r="F1116" s="11" t="n">
        <x:v>5200</x:v>
      </x:c>
      <x:c r="G1116" s="11" t="n">
        <x:f>'Option source'!B68</x:f>
        <x:v>2050</x:v>
      </x:c>
      <x:c r="H1116" s="11" t="n">
        <x:f>'Option source'!B85</x:f>
        <x:v>1997.87</x:v>
      </x:c>
      <x:c r="I1116" s="11" t="n">
        <x:f>'Option source'!B104</x:f>
        <x:v>1677.12</x:v>
      </x:c>
      <x:c r="J1116" s="11" t="n">
        <x:f>G1116-2*H1116+IF(B1116="Butterfly",I1116,0)</x:f>
        <x:v>-268.6199999999999</x:v>
      </x:c>
      <x:c r="K1116" s="11" t="n">
        <x:f>ABS(E1116-D1116)</x:f>
        <x:v>200</x:v>
      </x:c>
      <x:c r="L1116" s="11" t="n">
        <x:f>K1116-J1116</x:f>
        <x:v>468.6199999999999</x:v>
      </x:c>
      <x:c r="M1116" s="11" t="n">
        <x:f>IF(B1116="Butterfly",MAX(J1116,0),IF(C1116="call","Unlimited",MAX(2*E1116-D1116+J1116,J1116,0)))</x:f>
        <x:v>0</x:v>
      </x:c>
      <x:c r="N1116" s="11" t="str">
        <x:f>IF(B1116="Butterfly",IF(AND(J1116&gt;0,J1116&lt;K1116),D1116+J1116,"n.a."),IF(C1116="call",IF(AND(J1116&gt;0,J1116&lt;K1116),D1116+J1116,"n.a."),IF(AND(K1116&gt;J1116,2*E1116-D1116+J1116&gt;=0),2*E1116-D1116+J1116,"n.a.")))</x:f>
        <x:v>n.a.</x:v>
      </x:c>
      <x:c r="O1116" s="11" t="str">
        <x:f>IF(B1116="Butterfly",IF(AND(J1116&gt;0,J1116&lt;K1116),F1116-J1116,"n.a."),IF(C1116="call",IF(K1116&gt;J1116,2*E1116-D1116-J1116,"n.a."),IF(AND(J1116&gt;0,J1116&lt;K1116),D1116-J1116,"n.a.")))</x:f>
        <x:v>n.a.</x:v>
      </x:c>
      <x:c r="P1116" s="19" t="str">
        <x:f>IF(AND(B1116="Butterfly",J1116&gt;0,J1116&lt;K1116),L1116/J1116,"n.a.")</x:f>
        <x:v>n.a.</x:v>
      </x:c>
      <x:c r="Q1116" s="11" t="n">
        <x:f>J1116*'Model inputs'!$B$8</x:f>
        <x:v>-26861.99999999999</x:v>
      </x:c>
      <x:c r="R1116" s="1" t="str">
        <x:v>Outside standard debit bounds</x:v>
      </x:c>
      <x:c r="S1116" s="1" t="n">
        <x:v>63</x:v>
      </x:c>
      <x:c r="T1116" s="1" t="n">
        <x:v>80</x:v>
      </x:c>
    </x:row>
    <x:row r="1117" ht="21" customHeight="1">
      <x:c r="A1117" s="12" t="n">
        <x:v>46265</x:v>
      </x:c>
      <x:c r="B1117" s="1" t="str">
        <x:v>Butterfly</x:v>
      </x:c>
      <x:c r="C1117" s="1" t="str">
        <x:v>call</x:v>
      </x:c>
      <x:c r="D1117" s="11" t="n">
        <x:v>4600</x:v>
      </x:c>
      <x:c r="E1117" s="11" t="n">
        <x:v>4800</x:v>
      </x:c>
      <x:c r="F1117" s="11" t="n">
        <x:v>5000</x:v>
      </x:c>
      <x:c r="G1117" s="11" t="n">
        <x:f>'Option source'!B51</x:f>
        <x:v>2384.72</x:v>
      </x:c>
      <x:c r="H1117" s="11" t="n">
        <x:f>'Option source'!B68</x:f>
        <x:v>2050</x:v>
      </x:c>
      <x:c r="I1117" s="11" t="n">
        <x:f>'Option source'!B85</x:f>
        <x:v>1997.87</x:v>
      </x:c>
      <x:c r="J1117" s="11" t="n">
        <x:f>G1117-2*H1117+IF(B1117="Butterfly",I1117,0)</x:f>
        <x:v>282.5899999999997</x:v>
      </x:c>
      <x:c r="K1117" s="11" t="n">
        <x:f>ABS(E1117-D1117)</x:f>
        <x:v>200</x:v>
      </x:c>
      <x:c r="L1117" s="11" t="n">
        <x:f>K1117-J1117</x:f>
        <x:v>-82.58999999999969</x:v>
      </x:c>
      <x:c r="M1117" s="11" t="n">
        <x:f>IF(B1117="Butterfly",MAX(J1117,0),IF(C1117="call","Unlimited",MAX(2*E1117-D1117+J1117,J1117,0)))</x:f>
        <x:v>282.5899999999997</x:v>
      </x:c>
      <x:c r="N1117" s="11" t="str">
        <x:f>IF(B1117="Butterfly",IF(AND(J1117&gt;0,J1117&lt;K1117),D1117+J1117,"n.a."),IF(C1117="call",IF(AND(J1117&gt;0,J1117&lt;K1117),D1117+J1117,"n.a."),IF(AND(K1117&gt;J1117,2*E1117-D1117+J1117&gt;=0),2*E1117-D1117+J1117,"n.a.")))</x:f>
        <x:v>n.a.</x:v>
      </x:c>
      <x:c r="O1117" s="11" t="str">
        <x:f>IF(B1117="Butterfly",IF(AND(J1117&gt;0,J1117&lt;K1117),F1117-J1117,"n.a."),IF(C1117="call",IF(K1117&gt;J1117,2*E1117-D1117-J1117,"n.a."),IF(AND(J1117&gt;0,J1117&lt;K1117),D1117-J1117,"n.a.")))</x:f>
        <x:v>n.a.</x:v>
      </x:c>
      <x:c r="P1117" s="19" t="str">
        <x:f>IF(AND(B1117="Butterfly",J1117&gt;0,J1117&lt;K1117),L1117/J1117,"n.a.")</x:f>
        <x:v>n.a.</x:v>
      </x:c>
      <x:c r="Q1117" s="11" t="n">
        <x:f>J1117*'Model inputs'!$B$8</x:f>
        <x:v>28258.99999999997</x:v>
      </x:c>
      <x:c r="R1117" s="1" t="str">
        <x:v>Outside standard debit bounds</x:v>
      </x:c>
      <x:c r="S1117" s="1" t="n">
        <x:v>46</x:v>
      </x:c>
      <x:c r="T1117" s="1" t="n">
        <x:v>63</x:v>
      </x:c>
    </x:row>
    <x:row r="1118" ht="21" customHeight="1">
      <x:c r="A1118" s="12" t="n">
        <x:v>46265</x:v>
      </x:c>
      <x:c r="B1118" s="1" t="str">
        <x:v>Butterfly</x:v>
      </x:c>
      <x:c r="C1118" s="1" t="str">
        <x:v>call</x:v>
      </x:c>
      <x:c r="D1118" s="11" t="n">
        <x:v>4400</x:v>
      </x:c>
      <x:c r="E1118" s="11" t="n">
        <x:v>4600</x:v>
      </x:c>
      <x:c r="F1118" s="11" t="n">
        <x:v>4800</x:v>
      </x:c>
      <x:c r="G1118" s="11" t="n">
        <x:f>'Option source'!B32</x:f>
        <x:v>2429.97</x:v>
      </x:c>
      <x:c r="H1118" s="11" t="n">
        <x:f>'Option source'!B51</x:f>
        <x:v>2384.72</x:v>
      </x:c>
      <x:c r="I1118" s="11" t="n">
        <x:f>'Option source'!B68</x:f>
        <x:v>2050</x:v>
      </x:c>
      <x:c r="J1118" s="11" t="n">
        <x:f>G1118-2*H1118+IF(B1118="Butterfly",I1118,0)</x:f>
        <x:v>-289.4699999999998</x:v>
      </x:c>
      <x:c r="K1118" s="11" t="n">
        <x:f>ABS(E1118-D1118)</x:f>
        <x:v>200</x:v>
      </x:c>
      <x:c r="L1118" s="11" t="n">
        <x:f>K1118-J1118</x:f>
        <x:v>489.4699999999998</x:v>
      </x:c>
      <x:c r="M1118" s="11" t="n">
        <x:f>IF(B1118="Butterfly",MAX(J1118,0),IF(C1118="call","Unlimited",MAX(2*E1118-D1118+J1118,J1118,0)))</x:f>
        <x:v>0</x:v>
      </x:c>
      <x:c r="N1118" s="11" t="str">
        <x:f>IF(B1118="Butterfly",IF(AND(J1118&gt;0,J1118&lt;K1118),D1118+J1118,"n.a."),IF(C1118="call",IF(AND(J1118&gt;0,J1118&lt;K1118),D1118+J1118,"n.a."),IF(AND(K1118&gt;J1118,2*E1118-D1118+J1118&gt;=0),2*E1118-D1118+J1118,"n.a.")))</x:f>
        <x:v>n.a.</x:v>
      </x:c>
      <x:c r="O1118" s="11" t="str">
        <x:f>IF(B1118="Butterfly",IF(AND(J1118&gt;0,J1118&lt;K1118),F1118-J1118,"n.a."),IF(C1118="call",IF(K1118&gt;J1118,2*E1118-D1118-J1118,"n.a."),IF(AND(J1118&gt;0,J1118&lt;K1118),D1118-J1118,"n.a.")))</x:f>
        <x:v>n.a.</x:v>
      </x:c>
      <x:c r="P1118" s="19" t="str">
        <x:f>IF(AND(B1118="Butterfly",J1118&gt;0,J1118&lt;K1118),L1118/J1118,"n.a.")</x:f>
        <x:v>n.a.</x:v>
      </x:c>
      <x:c r="Q1118" s="11" t="n">
        <x:f>J1118*'Model inputs'!$B$8</x:f>
        <x:v>-28946.999999999978</x:v>
      </x:c>
      <x:c r="R1118" s="1" t="str">
        <x:v>Outside standard debit bounds</x:v>
      </x:c>
      <x:c r="S1118" s="1" t="n">
        <x:v>27</x:v>
      </x:c>
      <x:c r="T1118" s="1" t="n">
        <x:v>46</x:v>
      </x:c>
    </x:row>
    <x:row r="1119" ht="21" customHeight="1">
      <x:c r="A1119" s="12" t="n">
        <x:v>46265</x:v>
      </x:c>
      <x:c r="B1119" s="1" t="str">
        <x:v>Butterfly</x:v>
      </x:c>
      <x:c r="C1119" s="1" t="str">
        <x:v>call</x:v>
      </x:c>
      <x:c r="D1119" s="11" t="n">
        <x:v>4200</x:v>
      </x:c>
      <x:c r="E1119" s="11" t="n">
        <x:v>4400</x:v>
      </x:c>
      <x:c r="F1119" s="11" t="n">
        <x:v>4600</x:v>
      </x:c>
      <x:c r="G1119" s="11" t="n">
        <x:f>'Option source'!B13</x:f>
        <x:v>2933.39</x:v>
      </x:c>
      <x:c r="H1119" s="11" t="n">
        <x:f>'Option source'!B32</x:f>
        <x:v>2429.97</x:v>
      </x:c>
      <x:c r="I1119" s="11" t="n">
        <x:f>'Option source'!B51</x:f>
        <x:v>2384.72</x:v>
      </x:c>
      <x:c r="J1119" s="11" t="n">
        <x:f>G1119-2*H1119+IF(B1119="Butterfly",I1119,0)</x:f>
        <x:v>458.1700000000001</x:v>
      </x:c>
      <x:c r="K1119" s="11" t="n">
        <x:f>ABS(E1119-D1119)</x:f>
        <x:v>200</x:v>
      </x:c>
      <x:c r="L1119" s="11" t="n">
        <x:f>K1119-J1119</x:f>
        <x:v>-258.1700000000001</x:v>
      </x:c>
      <x:c r="M1119" s="11" t="n">
        <x:f>IF(B1119="Butterfly",MAX(J1119,0),IF(C1119="call","Unlimited",MAX(2*E1119-D1119+J1119,J1119,0)))</x:f>
        <x:v>458.1700000000001</x:v>
      </x:c>
      <x:c r="N1119" s="11" t="str">
        <x:f>IF(B1119="Butterfly",IF(AND(J1119&gt;0,J1119&lt;K1119),D1119+J1119,"n.a."),IF(C1119="call",IF(AND(J1119&gt;0,J1119&lt;K1119),D1119+J1119,"n.a."),IF(AND(K1119&gt;J1119,2*E1119-D1119+J1119&gt;=0),2*E1119-D1119+J1119,"n.a.")))</x:f>
        <x:v>n.a.</x:v>
      </x:c>
      <x:c r="O1119" s="11" t="str">
        <x:f>IF(B1119="Butterfly",IF(AND(J1119&gt;0,J1119&lt;K1119),F1119-J1119,"n.a."),IF(C1119="call",IF(K1119&gt;J1119,2*E1119-D1119-J1119,"n.a."),IF(AND(J1119&gt;0,J1119&lt;K1119),D1119-J1119,"n.a.")))</x:f>
        <x:v>n.a.</x:v>
      </x:c>
      <x:c r="P1119" s="19" t="str">
        <x:f>IF(AND(B1119="Butterfly",J1119&gt;0,J1119&lt;K1119),L1119/J1119,"n.a.")</x:f>
        <x:v>n.a.</x:v>
      </x:c>
      <x:c r="Q1119" s="11" t="n">
        <x:f>J1119*'Model inputs'!$B$8</x:f>
        <x:v>45817.00000000001</x:v>
      </x:c>
      <x:c r="R1119" s="1" t="str">
        <x:v>Outside standard debit bounds</x:v>
      </x:c>
      <x:c r="S1119" s="1" t="n">
        <x:v>8</x:v>
      </x:c>
      <x:c r="T1119" s="1" t="n">
        <x:v>27</x:v>
      </x:c>
    </x:row>
    <x:row r="1120" ht="21" customHeight="1">
      <x:c r="A1120" s="12" t="n">
        <x:v>46265</x:v>
      </x:c>
      <x:c r="B1120" s="1" t="str">
        <x:v>1x2 ratio</x:v>
      </x:c>
      <x:c r="C1120" s="1" t="str">
        <x:v>call</x:v>
      </x:c>
      <x:c r="D1120" s="11" t="n">
        <x:v>6800</x:v>
      </x:c>
      <x:c r="E1120" s="11" t="n">
        <x:v>7000</x:v>
      </x:c>
      <x:c r="F1120" s="11"/>
      <x:c r="G1120" s="11" t="n">
        <x:f>'Option source'!B246</x:f>
        <x:v>661.02</x:v>
      </x:c>
      <x:c r="H1120" s="11" t="n">
        <x:f>'Option source'!B265</x:f>
        <x:v>552.7</x:v>
      </x:c>
      <x:c r="I1120" s="11"/>
      <x:c r="J1120" s="11" t="n">
        <x:f>G1120-2*H1120+IF(B1120="Butterfly",I1120,0)</x:f>
        <x:v>-444.3800000000001</x:v>
      </x:c>
      <x:c r="K1120" s="11" t="n">
        <x:f>ABS(E1120-D1120)</x:f>
        <x:v>200</x:v>
      </x:c>
      <x:c r="L1120" s="11" t="n">
        <x:f>K1120-J1120</x:f>
        <x:v>644.3800000000001</x:v>
      </x:c>
      <x:c r="M1120" s="11" t="str">
        <x:f>IF(B1120="Butterfly",MAX(J1120,0),IF(C1120="call","Unlimited",MAX(2*E1120-D1120+J1120,J1120,0)))</x:f>
        <x:v>Unlimited</x:v>
      </x:c>
      <x:c r="N1120" s="11" t="str">
        <x:f>IF(B1120="Butterfly",IF(AND(J1120&gt;0,J1120&lt;K1120),D1120+J1120,"n.a."),IF(C1120="call",IF(AND(J1120&gt;0,J1120&lt;K1120),D1120+J1120,"n.a."),IF(AND(K1120&gt;J1120,2*E1120-D1120+J1120&gt;=0),2*E1120-D1120+J1120,"n.a.")))</x:f>
        <x:v>n.a.</x:v>
      </x:c>
      <x:c r="O1120" s="11" t="n">
        <x:f>IF(B1120="Butterfly",IF(AND(J1120&gt;0,J1120&lt;K1120),F1120-J1120,"n.a."),IF(C1120="call",IF(K1120&gt;J1120,2*E1120-D1120-J1120,"n.a."),IF(AND(J1120&gt;0,J1120&lt;K1120),D1120-J1120,"n.a.")))</x:f>
        <x:v>7644.38</x:v>
      </x:c>
      <x:c r="P1120" s="19" t="str">
        <x:f>IF(AND(B1120="Butterfly",J1120&gt;0,J1120&lt;K1120),L1120/J1120,"n.a.")</x:f>
        <x:v>n.a.</x:v>
      </x:c>
      <x:c r="Q1120" s="11" t="n">
        <x:f>J1120*'Model inputs'!$B$8</x:f>
        <x:v>-44438.000000000015</x:v>
      </x:c>
      <x:c r="R1120" s="1" t="str">
        <x:v>Indicative only</x:v>
      </x:c>
      <x:c r="S1120" s="1" t="n">
        <x:v>241</x:v>
      </x:c>
      <x:c r="T1120" s="1" t="n">
        <x:v>260</x:v>
      </x:c>
    </x:row>
    <x:row r="1121" ht="21" customHeight="1">
      <x:c r="A1121" s="12" t="n">
        <x:v>46265</x:v>
      </x:c>
      <x:c r="B1121" s="1" t="str">
        <x:v>1x2 ratio</x:v>
      </x:c>
      <x:c r="C1121" s="1" t="str">
        <x:v>put</x:v>
      </x:c>
      <x:c r="D1121" s="11" t="n">
        <x:v>7200</x:v>
      </x:c>
      <x:c r="E1121" s="11" t="n">
        <x:v>7000</x:v>
      </x:c>
      <x:c r="F1121" s="11"/>
      <x:c r="G1121" s="11" t="n">
        <x:f>'Option source'!B778</x:f>
        <x:v>447.89</x:v>
      </x:c>
      <x:c r="H1121" s="11" t="n">
        <x:f>'Option source'!B759</x:f>
        <x:v>346.09</x:v>
      </x:c>
      <x:c r="I1121" s="11"/>
      <x:c r="J1121" s="11" t="n">
        <x:f>G1121-2*H1121+IF(B1121="Butterfly",I1121,0)</x:f>
        <x:v>-244.28999999999996</x:v>
      </x:c>
      <x:c r="K1121" s="11" t="n">
        <x:f>ABS(E1121-D1121)</x:f>
        <x:v>200</x:v>
      </x:c>
      <x:c r="L1121" s="11" t="n">
        <x:f>K1121-J1121</x:f>
        <x:v>444.28999999999996</x:v>
      </x:c>
      <x:c r="M1121" s="11" t="n">
        <x:f>IF(B1121="Butterfly",MAX(J1121,0),IF(C1121="call","Unlimited",MAX(2*E1121-D1121+J1121,J1121,0)))</x:f>
        <x:v>6555.71</x:v>
      </x:c>
      <x:c r="N1121" s="11" t="n">
        <x:f>IF(B1121="Butterfly",IF(AND(J1121&gt;0,J1121&lt;K1121),D1121+J1121,"n.a."),IF(C1121="call",IF(AND(J1121&gt;0,J1121&lt;K1121),D1121+J1121,"n.a."),IF(AND(K1121&gt;J1121,2*E1121-D1121+J1121&gt;=0),2*E1121-D1121+J1121,"n.a.")))</x:f>
        <x:v>6555.71</x:v>
      </x:c>
      <x:c r="O1121" s="11" t="str">
        <x:f>IF(B1121="Butterfly",IF(AND(J1121&gt;0,J1121&lt;K1121),F1121-J1121,"n.a."),IF(C1121="call",IF(K1121&gt;J1121,2*E1121-D1121-J1121,"n.a."),IF(AND(J1121&gt;0,J1121&lt;K1121),D1121-J1121,"n.a.")))</x:f>
        <x:v>n.a.</x:v>
      </x:c>
      <x:c r="P1121" s="19" t="str">
        <x:f>IF(AND(B1121="Butterfly",J1121&gt;0,J1121&lt;K1121),L1121/J1121,"n.a.")</x:f>
        <x:v>n.a.</x:v>
      </x:c>
      <x:c r="Q1121" s="11" t="n">
        <x:f>J1121*'Model inputs'!$B$8</x:f>
        <x:v>-24428.999999999996</x:v>
      </x:c>
      <x:c r="R1121" s="1" t="str">
        <x:v>Indicative only</x:v>
      </x:c>
      <x:c r="S1121" s="1" t="n">
        <x:v>773</x:v>
      </x:c>
      <x:c r="T1121" s="1" t="n">
        <x:v>754</x:v>
      </x:c>
    </x:row>
    <x:row r="1122" ht="21" customHeight="1">
      <x:c r="A1122" s="12" t="n">
        <x:v>46265</x:v>
      </x:c>
      <x:c r="B1122" s="1" t="str">
        <x:v>1x2 ratio</x:v>
      </x:c>
      <x:c r="C1122" s="1" t="str">
        <x:v>call</x:v>
      </x:c>
      <x:c r="D1122" s="11" t="n">
        <x:v>7000</x:v>
      </x:c>
      <x:c r="E1122" s="11" t="n">
        <x:v>7200</x:v>
      </x:c>
      <x:c r="F1122" s="11"/>
      <x:c r="G1122" s="11" t="n">
        <x:f>'Option source'!B265</x:f>
        <x:v>552.7</x:v>
      </x:c>
      <x:c r="H1122" s="11" t="n">
        <x:f>'Option source'!B284</x:f>
        <x:v>453.57</x:v>
      </x:c>
      <x:c r="I1122" s="11"/>
      <x:c r="J1122" s="11" t="n">
        <x:f>G1122-2*H1122+IF(B1122="Butterfly",I1122,0)</x:f>
        <x:v>-354.43999999999994</x:v>
      </x:c>
      <x:c r="K1122" s="11" t="n">
        <x:f>ABS(E1122-D1122)</x:f>
        <x:v>200</x:v>
      </x:c>
      <x:c r="L1122" s="11" t="n">
        <x:f>K1122-J1122</x:f>
        <x:v>554.4399999999999</x:v>
      </x:c>
      <x:c r="M1122" s="11" t="str">
        <x:f>IF(B1122="Butterfly",MAX(J1122,0),IF(C1122="call","Unlimited",MAX(2*E1122-D1122+J1122,J1122,0)))</x:f>
        <x:v>Unlimited</x:v>
      </x:c>
      <x:c r="N1122" s="11" t="str">
        <x:f>IF(B1122="Butterfly",IF(AND(J1122&gt;0,J1122&lt;K1122),D1122+J1122,"n.a."),IF(C1122="call",IF(AND(J1122&gt;0,J1122&lt;K1122),D1122+J1122,"n.a."),IF(AND(K1122&gt;J1122,2*E1122-D1122+J1122&gt;=0),2*E1122-D1122+J1122,"n.a.")))</x:f>
        <x:v>n.a.</x:v>
      </x:c>
      <x:c r="O1122" s="11" t="n">
        <x:f>IF(B1122="Butterfly",IF(AND(J1122&gt;0,J1122&lt;K1122),F1122-J1122,"n.a."),IF(C1122="call",IF(K1122&gt;J1122,2*E1122-D1122-J1122,"n.a."),IF(AND(J1122&gt;0,J1122&lt;K1122),D1122-J1122,"n.a.")))</x:f>
        <x:v>7754.44</x:v>
      </x:c>
      <x:c r="P1122" s="19" t="str">
        <x:f>IF(AND(B1122="Butterfly",J1122&gt;0,J1122&lt;K1122),L1122/J1122,"n.a.")</x:f>
        <x:v>n.a.</x:v>
      </x:c>
      <x:c r="Q1122" s="11" t="n">
        <x:f>J1122*'Model inputs'!$B$8</x:f>
        <x:v>-35443.99999999999</x:v>
      </x:c>
      <x:c r="R1122" s="1" t="str">
        <x:v>Indicative only</x:v>
      </x:c>
      <x:c r="S1122" s="1" t="n">
        <x:v>260</x:v>
      </x:c>
      <x:c r="T1122" s="1" t="n">
        <x:v>279</x:v>
      </x:c>
    </x:row>
    <x:row r="1123" ht="21" customHeight="1">
      <x:c r="A1123" s="12" t="n">
        <x:v>46265</x:v>
      </x:c>
      <x:c r="B1123" s="1" t="str">
        <x:v>1x2 ratio</x:v>
      </x:c>
      <x:c r="C1123" s="1" t="str">
        <x:v>put</x:v>
      </x:c>
      <x:c r="D1123" s="11" t="n">
        <x:v>7400</x:v>
      </x:c>
      <x:c r="E1123" s="11" t="n">
        <x:v>7200</x:v>
      </x:c>
      <x:c r="F1123" s="11"/>
      <x:c r="G1123" s="11" t="n">
        <x:f>'Option source'!B797</x:f>
        <x:v>560.79</x:v>
      </x:c>
      <x:c r="H1123" s="11" t="n">
        <x:f>'Option source'!B778</x:f>
        <x:v>447.89</x:v>
      </x:c>
      <x:c r="I1123" s="11"/>
      <x:c r="J1123" s="11" t="n">
        <x:f>G1123-2*H1123+IF(B1123="Butterfly",I1123,0)</x:f>
        <x:v>-334.99</x:v>
      </x:c>
      <x:c r="K1123" s="11" t="n">
        <x:f>ABS(E1123-D1123)</x:f>
        <x:v>200</x:v>
      </x:c>
      <x:c r="L1123" s="11" t="n">
        <x:f>K1123-J1123</x:f>
        <x:v>534.99</x:v>
      </x:c>
      <x:c r="M1123" s="11" t="n">
        <x:f>IF(B1123="Butterfly",MAX(J1123,0),IF(C1123="call","Unlimited",MAX(2*E1123-D1123+J1123,J1123,0)))</x:f>
        <x:v>6665.01</x:v>
      </x:c>
      <x:c r="N1123" s="11" t="n">
        <x:f>IF(B1123="Butterfly",IF(AND(J1123&gt;0,J1123&lt;K1123),D1123+J1123,"n.a."),IF(C1123="call",IF(AND(J1123&gt;0,J1123&lt;K1123),D1123+J1123,"n.a."),IF(AND(K1123&gt;J1123,2*E1123-D1123+J1123&gt;=0),2*E1123-D1123+J1123,"n.a.")))</x:f>
        <x:v>6665.01</x:v>
      </x:c>
      <x:c r="O1123" s="11" t="str">
        <x:f>IF(B1123="Butterfly",IF(AND(J1123&gt;0,J1123&lt;K1123),F1123-J1123,"n.a."),IF(C1123="call",IF(K1123&gt;J1123,2*E1123-D1123-J1123,"n.a."),IF(AND(J1123&gt;0,J1123&lt;K1123),D1123-J1123,"n.a.")))</x:f>
        <x:v>n.a.</x:v>
      </x:c>
      <x:c r="P1123" s="19" t="str">
        <x:f>IF(AND(B1123="Butterfly",J1123&gt;0,J1123&lt;K1123),L1123/J1123,"n.a.")</x:f>
        <x:v>n.a.</x:v>
      </x:c>
      <x:c r="Q1123" s="11" t="n">
        <x:f>J1123*'Model inputs'!$B$8</x:f>
        <x:v>-33499</x:v>
      </x:c>
      <x:c r="R1123" s="1" t="str">
        <x:v>Indicative only</x:v>
      </x:c>
      <x:c r="S1123" s="1" t="n">
        <x:v>792</x:v>
      </x:c>
      <x:c r="T1123" s="1" t="n">
        <x:v>773</x:v>
      </x:c>
    </x:row>
    <x:row r="1124" ht="21" customHeight="1">
      <x:c r="A1124" s="12" t="n">
        <x:v>46265</x:v>
      </x:c>
      <x:c r="B1124" s="1" t="str">
        <x:v>1x2 ratio</x:v>
      </x:c>
      <x:c r="C1124" s="1" t="str">
        <x:v>call</x:v>
      </x:c>
      <x:c r="D1124" s="11" t="n">
        <x:v>6600</x:v>
      </x:c>
      <x:c r="E1124" s="11" t="n">
        <x:v>6800</x:v>
      </x:c>
      <x:c r="F1124" s="11"/>
      <x:c r="G1124" s="11" t="n">
        <x:f>'Option source'!B227</x:f>
        <x:v>785.86</x:v>
      </x:c>
      <x:c r="H1124" s="11" t="n">
        <x:f>'Option source'!B246</x:f>
        <x:v>661.02</x:v>
      </x:c>
      <x:c r="I1124" s="11"/>
      <x:c r="J1124" s="11" t="n">
        <x:f>G1124-2*H1124+IF(B1124="Butterfly",I1124,0)</x:f>
        <x:v>-536.18</x:v>
      </x:c>
      <x:c r="K1124" s="11" t="n">
        <x:f>ABS(E1124-D1124)</x:f>
        <x:v>200</x:v>
      </x:c>
      <x:c r="L1124" s="11" t="n">
        <x:f>K1124-J1124</x:f>
        <x:v>736.18</x:v>
      </x:c>
      <x:c r="M1124" s="11" t="str">
        <x:f>IF(B1124="Butterfly",MAX(J1124,0),IF(C1124="call","Unlimited",MAX(2*E1124-D1124+J1124,J1124,0)))</x:f>
        <x:v>Unlimited</x:v>
      </x:c>
      <x:c r="N1124" s="11" t="str">
        <x:f>IF(B1124="Butterfly",IF(AND(J1124&gt;0,J1124&lt;K1124),D1124+J1124,"n.a."),IF(C1124="call",IF(AND(J1124&gt;0,J1124&lt;K1124),D1124+J1124,"n.a."),IF(AND(K1124&gt;J1124,2*E1124-D1124+J1124&gt;=0),2*E1124-D1124+J1124,"n.a.")))</x:f>
        <x:v>n.a.</x:v>
      </x:c>
      <x:c r="O1124" s="11" t="n">
        <x:f>IF(B1124="Butterfly",IF(AND(J1124&gt;0,J1124&lt;K1124),F1124-J1124,"n.a."),IF(C1124="call",IF(K1124&gt;J1124,2*E1124-D1124-J1124,"n.a."),IF(AND(J1124&gt;0,J1124&lt;K1124),D1124-J1124,"n.a.")))</x:f>
        <x:v>7536.18</x:v>
      </x:c>
      <x:c r="P1124" s="19" t="str">
        <x:f>IF(AND(B1124="Butterfly",J1124&gt;0,J1124&lt;K1124),L1124/J1124,"n.a.")</x:f>
        <x:v>n.a.</x:v>
      </x:c>
      <x:c r="Q1124" s="11" t="n">
        <x:f>J1124*'Model inputs'!$B$8</x:f>
        <x:v>-53617.99999999999</x:v>
      </x:c>
      <x:c r="R1124" s="1" t="str">
        <x:v>Indicative only</x:v>
      </x:c>
      <x:c r="S1124" s="1" t="n">
        <x:v>222</x:v>
      </x:c>
      <x:c r="T1124" s="1" t="n">
        <x:v>241</x:v>
      </x:c>
    </x:row>
    <x:row r="1125" ht="21" customHeight="1">
      <x:c r="A1125" s="12" t="n">
        <x:v>46265</x:v>
      </x:c>
      <x:c r="B1125" s="1" t="str">
        <x:v>1x2 ratio</x:v>
      </x:c>
      <x:c r="C1125" s="1" t="str">
        <x:v>put</x:v>
      </x:c>
      <x:c r="D1125" s="11" t="n">
        <x:v>7000</x:v>
      </x:c>
      <x:c r="E1125" s="11" t="n">
        <x:v>6800</x:v>
      </x:c>
      <x:c r="F1125" s="11"/>
      <x:c r="G1125" s="11" t="n">
        <x:f>'Option source'!B759</x:f>
        <x:v>346.09</x:v>
      </x:c>
      <x:c r="H1125" s="11" t="n">
        <x:f>'Option source'!B740</x:f>
        <x:v>262.94</x:v>
      </x:c>
      <x:c r="I1125" s="11"/>
      <x:c r="J1125" s="11" t="n">
        <x:f>G1125-2*H1125+IF(B1125="Butterfly",I1125,0)</x:f>
        <x:v>-179.79000000000002</x:v>
      </x:c>
      <x:c r="K1125" s="11" t="n">
        <x:f>ABS(E1125-D1125)</x:f>
        <x:v>200</x:v>
      </x:c>
      <x:c r="L1125" s="11" t="n">
        <x:f>K1125-J1125</x:f>
        <x:v>379.79</x:v>
      </x:c>
      <x:c r="M1125" s="11" t="n">
        <x:f>IF(B1125="Butterfly",MAX(J1125,0),IF(C1125="call","Unlimited",MAX(2*E1125-D1125+J1125,J1125,0)))</x:f>
        <x:v>6420.21</x:v>
      </x:c>
      <x:c r="N1125" s="11" t="n">
        <x:f>IF(B1125="Butterfly",IF(AND(J1125&gt;0,J1125&lt;K1125),D1125+J1125,"n.a."),IF(C1125="call",IF(AND(J1125&gt;0,J1125&lt;K1125),D1125+J1125,"n.a."),IF(AND(K1125&gt;J1125,2*E1125-D1125+J1125&gt;=0),2*E1125-D1125+J1125,"n.a.")))</x:f>
        <x:v>6420.21</x:v>
      </x:c>
      <x:c r="O1125" s="11" t="str">
        <x:f>IF(B1125="Butterfly",IF(AND(J1125&gt;0,J1125&lt;K1125),F1125-J1125,"n.a."),IF(C1125="call",IF(K1125&gt;J1125,2*E1125-D1125-J1125,"n.a."),IF(AND(J1125&gt;0,J1125&lt;K1125),D1125-J1125,"n.a.")))</x:f>
        <x:v>n.a.</x:v>
      </x:c>
      <x:c r="P1125" s="19" t="str">
        <x:f>IF(AND(B1125="Butterfly",J1125&gt;0,J1125&lt;K1125),L1125/J1125,"n.a.")</x:f>
        <x:v>n.a.</x:v>
      </x:c>
      <x:c r="Q1125" s="11" t="n">
        <x:f>J1125*'Model inputs'!$B$8</x:f>
        <x:v>-17979.000000000004</x:v>
      </x:c>
      <x:c r="R1125" s="1" t="str">
        <x:v>Indicative only</x:v>
      </x:c>
      <x:c r="S1125" s="1" t="n">
        <x:v>754</x:v>
      </x:c>
      <x:c r="T1125" s="1" t="n">
        <x:v>735</x:v>
      </x:c>
    </x:row>
    <x:row r="1126" ht="21" customHeight="1">
      <x:c r="A1126" s="12" t="n">
        <x:v>46265</x:v>
      </x:c>
      <x:c r="B1126" s="1" t="str">
        <x:v>1x2 ratio</x:v>
      </x:c>
      <x:c r="C1126" s="1" t="str">
        <x:v>call</x:v>
      </x:c>
      <x:c r="D1126" s="11" t="n">
        <x:v>7200</x:v>
      </x:c>
      <x:c r="E1126" s="11" t="n">
        <x:v>7400</x:v>
      </x:c>
      <x:c r="F1126" s="11"/>
      <x:c r="G1126" s="11" t="n">
        <x:f>'Option source'!B284</x:f>
        <x:v>453.57</x:v>
      </x:c>
      <x:c r="H1126" s="11" t="n">
        <x:f>'Option source'!B303</x:f>
        <x:v>370.64</x:v>
      </x:c>
      <x:c r="I1126" s="11"/>
      <x:c r="J1126" s="11" t="n">
        <x:f>G1126-2*H1126+IF(B1126="Butterfly",I1126,0)</x:f>
        <x:v>-287.71</x:v>
      </x:c>
      <x:c r="K1126" s="11" t="n">
        <x:f>ABS(E1126-D1126)</x:f>
        <x:v>200</x:v>
      </x:c>
      <x:c r="L1126" s="11" t="n">
        <x:f>K1126-J1126</x:f>
        <x:v>487.71</x:v>
      </x:c>
      <x:c r="M1126" s="11" t="str">
        <x:f>IF(B1126="Butterfly",MAX(J1126,0),IF(C1126="call","Unlimited",MAX(2*E1126-D1126+J1126,J1126,0)))</x:f>
        <x:v>Unlimited</x:v>
      </x:c>
      <x:c r="N1126" s="11" t="str">
        <x:f>IF(B1126="Butterfly",IF(AND(J1126&gt;0,J1126&lt;K1126),D1126+J1126,"n.a."),IF(C1126="call",IF(AND(J1126&gt;0,J1126&lt;K1126),D1126+J1126,"n.a."),IF(AND(K1126&gt;J1126,2*E1126-D1126+J1126&gt;=0),2*E1126-D1126+J1126,"n.a.")))</x:f>
        <x:v>n.a.</x:v>
      </x:c>
      <x:c r="O1126" s="11" t="n">
        <x:f>IF(B1126="Butterfly",IF(AND(J1126&gt;0,J1126&lt;K1126),F1126-J1126,"n.a."),IF(C1126="call",IF(K1126&gt;J1126,2*E1126-D1126-J1126,"n.a."),IF(AND(J1126&gt;0,J1126&lt;K1126),D1126-J1126,"n.a.")))</x:f>
        <x:v>7887.71</x:v>
      </x:c>
      <x:c r="P1126" s="19" t="str">
        <x:f>IF(AND(B1126="Butterfly",J1126&gt;0,J1126&lt;K1126),L1126/J1126,"n.a.")</x:f>
        <x:v>n.a.</x:v>
      </x:c>
      <x:c r="Q1126" s="11" t="n">
        <x:f>J1126*'Model inputs'!$B$8</x:f>
        <x:v>-28770.999999999996</x:v>
      </x:c>
      <x:c r="R1126" s="1" t="str">
        <x:v>Indicative only</x:v>
      </x:c>
      <x:c r="S1126" s="1" t="n">
        <x:v>279</x:v>
      </x:c>
      <x:c r="T1126" s="1" t="n">
        <x:v>298</x:v>
      </x:c>
    </x:row>
    <x:row r="1127" ht="21" customHeight="1">
      <x:c r="A1127" s="12" t="n">
        <x:v>46265</x:v>
      </x:c>
      <x:c r="B1127" s="1" t="str">
        <x:v>1x2 ratio</x:v>
      </x:c>
      <x:c r="C1127" s="1" t="str">
        <x:v>put</x:v>
      </x:c>
      <x:c r="D1127" s="11" t="n">
        <x:v>7600</x:v>
      </x:c>
      <x:c r="E1127" s="11" t="n">
        <x:v>7400</x:v>
      </x:c>
      <x:c r="F1127" s="11"/>
      <x:c r="G1127" s="11" t="n">
        <x:f>'Option source'!B816</x:f>
        <x:v>677.61</x:v>
      </x:c>
      <x:c r="H1127" s="11" t="n">
        <x:f>'Option source'!B797</x:f>
        <x:v>560.79</x:v>
      </x:c>
      <x:c r="I1127" s="11"/>
      <x:c r="J1127" s="11" t="n">
        <x:f>G1127-2*H1127+IF(B1127="Butterfly",I1127,0)</x:f>
        <x:v>-443.9699999999999</x:v>
      </x:c>
      <x:c r="K1127" s="11" t="n">
        <x:f>ABS(E1127-D1127)</x:f>
        <x:v>200</x:v>
      </x:c>
      <x:c r="L1127" s="11" t="n">
        <x:f>K1127-J1127</x:f>
        <x:v>643.9699999999999</x:v>
      </x:c>
      <x:c r="M1127" s="11" t="n">
        <x:f>IF(B1127="Butterfly",MAX(J1127,0),IF(C1127="call","Unlimited",MAX(2*E1127-D1127+J1127,J1127,0)))</x:f>
        <x:v>6756.03</x:v>
      </x:c>
      <x:c r="N1127" s="11" t="n">
        <x:f>IF(B1127="Butterfly",IF(AND(J1127&gt;0,J1127&lt;K1127),D1127+J1127,"n.a."),IF(C1127="call",IF(AND(J1127&gt;0,J1127&lt;K1127),D1127+J1127,"n.a."),IF(AND(K1127&gt;J1127,2*E1127-D1127+J1127&gt;=0),2*E1127-D1127+J1127,"n.a.")))</x:f>
        <x:v>6756.03</x:v>
      </x:c>
      <x:c r="O1127" s="11" t="str">
        <x:f>IF(B1127="Butterfly",IF(AND(J1127&gt;0,J1127&lt;K1127),F1127-J1127,"n.a."),IF(C1127="call",IF(K1127&gt;J1127,2*E1127-D1127-J1127,"n.a."),IF(AND(J1127&gt;0,J1127&lt;K1127),D1127-J1127,"n.a.")))</x:f>
        <x:v>n.a.</x:v>
      </x:c>
      <x:c r="P1127" s="19" t="str">
        <x:f>IF(AND(B1127="Butterfly",J1127&gt;0,J1127&lt;K1127),L1127/J1127,"n.a.")</x:f>
        <x:v>n.a.</x:v>
      </x:c>
      <x:c r="Q1127" s="11" t="n">
        <x:f>J1127*'Model inputs'!$B$8</x:f>
        <x:v>-44396.99999999999</x:v>
      </x:c>
      <x:c r="R1127" s="1" t="str">
        <x:v>Indicative only</x:v>
      </x:c>
      <x:c r="S1127" s="1" t="n">
        <x:v>811</x:v>
      </x:c>
      <x:c r="T1127" s="1" t="n">
        <x:v>792</x:v>
      </x:c>
    </x:row>
    <x:row r="1128" ht="21" customHeight="1">
      <x:c r="A1128" s="12" t="n">
        <x:v>46265</x:v>
      </x:c>
      <x:c r="B1128" s="1" t="str">
        <x:v>1x2 ratio</x:v>
      </x:c>
      <x:c r="C1128" s="1" t="str">
        <x:v>call</x:v>
      </x:c>
      <x:c r="D1128" s="11" t="n">
        <x:v>6400</x:v>
      </x:c>
      <x:c r="E1128" s="11" t="n">
        <x:v>6600</x:v>
      </x:c>
      <x:c r="F1128" s="11"/>
      <x:c r="G1128" s="11" t="n">
        <x:f>'Option source'!B208</x:f>
        <x:v>925</x:v>
      </x:c>
      <x:c r="H1128" s="11" t="n">
        <x:f>'Option source'!B227</x:f>
        <x:v>785.86</x:v>
      </x:c>
      <x:c r="I1128" s="11"/>
      <x:c r="J1128" s="11" t="n">
        <x:f>G1128-2*H1128+IF(B1128="Butterfly",I1128,0)</x:f>
        <x:v>-646.72</x:v>
      </x:c>
      <x:c r="K1128" s="11" t="n">
        <x:f>ABS(E1128-D1128)</x:f>
        <x:v>200</x:v>
      </x:c>
      <x:c r="L1128" s="11" t="n">
        <x:f>K1128-J1128</x:f>
        <x:v>846.72</x:v>
      </x:c>
      <x:c r="M1128" s="11" t="str">
        <x:f>IF(B1128="Butterfly",MAX(J1128,0),IF(C1128="call","Unlimited",MAX(2*E1128-D1128+J1128,J1128,0)))</x:f>
        <x:v>Unlimited</x:v>
      </x:c>
      <x:c r="N1128" s="11" t="str">
        <x:f>IF(B1128="Butterfly",IF(AND(J1128&gt;0,J1128&lt;K1128),D1128+J1128,"n.a."),IF(C1128="call",IF(AND(J1128&gt;0,J1128&lt;K1128),D1128+J1128,"n.a."),IF(AND(K1128&gt;J1128,2*E1128-D1128+J1128&gt;=0),2*E1128-D1128+J1128,"n.a.")))</x:f>
        <x:v>n.a.</x:v>
      </x:c>
      <x:c r="O1128" s="11" t="n">
        <x:f>IF(B1128="Butterfly",IF(AND(J1128&gt;0,J1128&lt;K1128),F1128-J1128,"n.a."),IF(C1128="call",IF(K1128&gt;J1128,2*E1128-D1128-J1128,"n.a."),IF(AND(J1128&gt;0,J1128&lt;K1128),D1128-J1128,"n.a.")))</x:f>
        <x:v>7446.72</x:v>
      </x:c>
      <x:c r="P1128" s="19" t="str">
        <x:f>IF(AND(B1128="Butterfly",J1128&gt;0,J1128&lt;K1128),L1128/J1128,"n.a.")</x:f>
        <x:v>n.a.</x:v>
      </x:c>
      <x:c r="Q1128" s="11" t="n">
        <x:f>J1128*'Model inputs'!$B$8</x:f>
        <x:v>-64672</x:v>
      </x:c>
      <x:c r="R1128" s="1" t="str">
        <x:v>Indicative only</x:v>
      </x:c>
      <x:c r="S1128" s="1" t="n">
        <x:v>203</x:v>
      </x:c>
      <x:c r="T1128" s="1" t="n">
        <x:v>222</x:v>
      </x:c>
    </x:row>
    <x:row r="1129" ht="21" customHeight="1">
      <x:c r="A1129" s="12" t="n">
        <x:v>46265</x:v>
      </x:c>
      <x:c r="B1129" s="1" t="str">
        <x:v>1x2 ratio</x:v>
      </x:c>
      <x:c r="C1129" s="1" t="str">
        <x:v>put</x:v>
      </x:c>
      <x:c r="D1129" s="11" t="n">
        <x:v>6800</x:v>
      </x:c>
      <x:c r="E1129" s="11" t="n">
        <x:v>6600</x:v>
      </x:c>
      <x:c r="F1129" s="11"/>
      <x:c r="G1129" s="11" t="n">
        <x:f>'Option source'!B740</x:f>
        <x:v>262.94</x:v>
      </x:c>
      <x:c r="H1129" s="11" t="n">
        <x:f>'Option source'!B721</x:f>
        <x:v>193.67</x:v>
      </x:c>
      <x:c r="I1129" s="11"/>
      <x:c r="J1129" s="11" t="n">
        <x:f>G1129-2*H1129+IF(B1129="Butterfly",I1129,0)</x:f>
        <x:v>-124.39999999999998</x:v>
      </x:c>
      <x:c r="K1129" s="11" t="n">
        <x:f>ABS(E1129-D1129)</x:f>
        <x:v>200</x:v>
      </x:c>
      <x:c r="L1129" s="11" t="n">
        <x:f>K1129-J1129</x:f>
        <x:v>324.4</x:v>
      </x:c>
      <x:c r="M1129" s="11" t="n">
        <x:f>IF(B1129="Butterfly",MAX(J1129,0),IF(C1129="call","Unlimited",MAX(2*E1129-D1129+J1129,J1129,0)))</x:f>
        <x:v>6275.6</x:v>
      </x:c>
      <x:c r="N1129" s="11" t="n">
        <x:f>IF(B1129="Butterfly",IF(AND(J1129&gt;0,J1129&lt;K1129),D1129+J1129,"n.a."),IF(C1129="call",IF(AND(J1129&gt;0,J1129&lt;K1129),D1129+J1129,"n.a."),IF(AND(K1129&gt;J1129,2*E1129-D1129+J1129&gt;=0),2*E1129-D1129+J1129,"n.a.")))</x:f>
        <x:v>6275.6</x:v>
      </x:c>
      <x:c r="O1129" s="11" t="str">
        <x:f>IF(B1129="Butterfly",IF(AND(J1129&gt;0,J1129&lt;K1129),F1129-J1129,"n.a."),IF(C1129="call",IF(K1129&gt;J1129,2*E1129-D1129-J1129,"n.a."),IF(AND(J1129&gt;0,J1129&lt;K1129),D1129-J1129,"n.a.")))</x:f>
        <x:v>n.a.</x:v>
      </x:c>
      <x:c r="P1129" s="19" t="str">
        <x:f>IF(AND(B1129="Butterfly",J1129&gt;0,J1129&lt;K1129),L1129/J1129,"n.a.")</x:f>
        <x:v>n.a.</x:v>
      </x:c>
      <x:c r="Q1129" s="11" t="n">
        <x:f>J1129*'Model inputs'!$B$8</x:f>
        <x:v>-12439.999999999998</x:v>
      </x:c>
      <x:c r="R1129" s="1" t="str">
        <x:v>Indicative only</x:v>
      </x:c>
      <x:c r="S1129" s="1" t="n">
        <x:v>735</x:v>
      </x:c>
      <x:c r="T1129" s="1" t="n">
        <x:v>716</x:v>
      </x:c>
    </x:row>
    <x:row r="1130" ht="21" customHeight="1">
      <x:c r="A1130" s="12" t="n">
        <x:v>46265</x:v>
      </x:c>
      <x:c r="B1130" s="1" t="str">
        <x:v>1x2 ratio</x:v>
      </x:c>
      <x:c r="C1130" s="1" t="str">
        <x:v>call</x:v>
      </x:c>
      <x:c r="D1130" s="11" t="n">
        <x:v>7400</x:v>
      </x:c>
      <x:c r="E1130" s="11" t="n">
        <x:v>7600</x:v>
      </x:c>
      <x:c r="F1130" s="11"/>
      <x:c r="G1130" s="11" t="n">
        <x:f>'Option source'!B303</x:f>
        <x:v>370.64</x:v>
      </x:c>
      <x:c r="H1130" s="11" t="n">
        <x:f>'Option source'!B322</x:f>
        <x:v>290.9</x:v>
      </x:c>
      <x:c r="I1130" s="11"/>
      <x:c r="J1130" s="11" t="n">
        <x:f>G1130-2*H1130+IF(B1130="Butterfly",I1130,0)</x:f>
        <x:v>-211.15999999999997</x:v>
      </x:c>
      <x:c r="K1130" s="11" t="n">
        <x:f>ABS(E1130-D1130)</x:f>
        <x:v>200</x:v>
      </x:c>
      <x:c r="L1130" s="11" t="n">
        <x:f>K1130-J1130</x:f>
        <x:v>411.15999999999997</x:v>
      </x:c>
      <x:c r="M1130" s="11" t="str">
        <x:f>IF(B1130="Butterfly",MAX(J1130,0),IF(C1130="call","Unlimited",MAX(2*E1130-D1130+J1130,J1130,0)))</x:f>
        <x:v>Unlimited</x:v>
      </x:c>
      <x:c r="N1130" s="11" t="str">
        <x:f>IF(B1130="Butterfly",IF(AND(J1130&gt;0,J1130&lt;K1130),D1130+J1130,"n.a."),IF(C1130="call",IF(AND(J1130&gt;0,J1130&lt;K1130),D1130+J1130,"n.a."),IF(AND(K1130&gt;J1130,2*E1130-D1130+J1130&gt;=0),2*E1130-D1130+J1130,"n.a.")))</x:f>
        <x:v>n.a.</x:v>
      </x:c>
      <x:c r="O1130" s="11" t="n">
        <x:f>IF(B1130="Butterfly",IF(AND(J1130&gt;0,J1130&lt;K1130),F1130-J1130,"n.a."),IF(C1130="call",IF(K1130&gt;J1130,2*E1130-D1130-J1130,"n.a."),IF(AND(J1130&gt;0,J1130&lt;K1130),D1130-J1130,"n.a.")))</x:f>
        <x:v>8011.16</x:v>
      </x:c>
      <x:c r="P1130" s="19" t="str">
        <x:f>IF(AND(B1130="Butterfly",J1130&gt;0,J1130&lt;K1130),L1130/J1130,"n.a.")</x:f>
        <x:v>n.a.</x:v>
      </x:c>
      <x:c r="Q1130" s="11" t="n">
        <x:f>J1130*'Model inputs'!$B$8</x:f>
        <x:v>-21115.999999999996</x:v>
      </x:c>
      <x:c r="R1130" s="1" t="str">
        <x:v>Indicative only</x:v>
      </x:c>
      <x:c r="S1130" s="1" t="n">
        <x:v>298</x:v>
      </x:c>
      <x:c r="T1130" s="1" t="n">
        <x:v>317</x:v>
      </x:c>
    </x:row>
    <x:row r="1131" ht="21" customHeight="1">
      <x:c r="A1131" s="12" t="n">
        <x:v>46265</x:v>
      </x:c>
      <x:c r="B1131" s="1" t="str">
        <x:v>1x2 ratio</x:v>
      </x:c>
      <x:c r="C1131" s="1" t="str">
        <x:v>put</x:v>
      </x:c>
      <x:c r="D1131" s="11" t="n">
        <x:v>7800</x:v>
      </x:c>
      <x:c r="E1131" s="11" t="n">
        <x:v>7600</x:v>
      </x:c>
      <x:c r="F1131" s="11"/>
      <x:c r="G1131" s="11" t="n">
        <x:f>'Option source'!B835</x:f>
        <x:v>790.81</x:v>
      </x:c>
      <x:c r="H1131" s="11" t="n">
        <x:f>'Option source'!B816</x:f>
        <x:v>677.61</x:v>
      </x:c>
      <x:c r="I1131" s="11"/>
      <x:c r="J1131" s="11" t="n">
        <x:f>G1131-2*H1131+IF(B1131="Butterfly",I1131,0)</x:f>
        <x:v>-564.4100000000001</x:v>
      </x:c>
      <x:c r="K1131" s="11" t="n">
        <x:f>ABS(E1131-D1131)</x:f>
        <x:v>200</x:v>
      </x:c>
      <x:c r="L1131" s="11" t="n">
        <x:f>K1131-J1131</x:f>
        <x:v>764.4100000000001</x:v>
      </x:c>
      <x:c r="M1131" s="11" t="n">
        <x:f>IF(B1131="Butterfly",MAX(J1131,0),IF(C1131="call","Unlimited",MAX(2*E1131-D1131+J1131,J1131,0)))</x:f>
        <x:v>6835.59</x:v>
      </x:c>
      <x:c r="N1131" s="11" t="n">
        <x:f>IF(B1131="Butterfly",IF(AND(J1131&gt;0,J1131&lt;K1131),D1131+J1131,"n.a."),IF(C1131="call",IF(AND(J1131&gt;0,J1131&lt;K1131),D1131+J1131,"n.a."),IF(AND(K1131&gt;J1131,2*E1131-D1131+J1131&gt;=0),2*E1131-D1131+J1131,"n.a.")))</x:f>
        <x:v>6835.59</x:v>
      </x:c>
      <x:c r="O1131" s="11" t="str">
        <x:f>IF(B1131="Butterfly",IF(AND(J1131&gt;0,J1131&lt;K1131),F1131-J1131,"n.a."),IF(C1131="call",IF(K1131&gt;J1131,2*E1131-D1131-J1131,"n.a."),IF(AND(J1131&gt;0,J1131&lt;K1131),D1131-J1131,"n.a.")))</x:f>
        <x:v>n.a.</x:v>
      </x:c>
      <x:c r="P1131" s="19" t="str">
        <x:f>IF(AND(B1131="Butterfly",J1131&gt;0,J1131&lt;K1131),L1131/J1131,"n.a.")</x:f>
        <x:v>n.a.</x:v>
      </x:c>
      <x:c r="Q1131" s="11" t="n">
        <x:f>J1131*'Model inputs'!$B$8</x:f>
        <x:v>-56441.00000000001</x:v>
      </x:c>
      <x:c r="R1131" s="1" t="str">
        <x:v>Indicative only</x:v>
      </x:c>
      <x:c r="S1131" s="1" t="n">
        <x:v>830</x:v>
      </x:c>
      <x:c r="T1131" s="1" t="n">
        <x:v>811</x:v>
      </x:c>
    </x:row>
    <x:row r="1132" ht="21" customHeight="1">
      <x:c r="A1132" s="12" t="n">
        <x:v>46265</x:v>
      </x:c>
      <x:c r="B1132" s="1" t="str">
        <x:v>1x2 ratio</x:v>
      </x:c>
      <x:c r="C1132" s="1" t="str">
        <x:v>call</x:v>
      </x:c>
      <x:c r="D1132" s="11" t="n">
        <x:v>6200</x:v>
      </x:c>
      <x:c r="E1132" s="11" t="n">
        <x:v>6400</x:v>
      </x:c>
      <x:c r="F1132" s="11"/>
      <x:c r="G1132" s="11" t="n">
        <x:f>'Option source'!B189</x:f>
        <x:v>1069</x:v>
      </x:c>
      <x:c r="H1132" s="11" t="n">
        <x:f>'Option source'!B208</x:f>
        <x:v>925</x:v>
      </x:c>
      <x:c r="I1132" s="11"/>
      <x:c r="J1132" s="11" t="n">
        <x:f>G1132-2*H1132+IF(B1132="Butterfly",I1132,0)</x:f>
        <x:v>-781</x:v>
      </x:c>
      <x:c r="K1132" s="11" t="n">
        <x:f>ABS(E1132-D1132)</x:f>
        <x:v>200</x:v>
      </x:c>
      <x:c r="L1132" s="11" t="n">
        <x:f>K1132-J1132</x:f>
        <x:v>981</x:v>
      </x:c>
      <x:c r="M1132" s="11" t="str">
        <x:f>IF(B1132="Butterfly",MAX(J1132,0),IF(C1132="call","Unlimited",MAX(2*E1132-D1132+J1132,J1132,0)))</x:f>
        <x:v>Unlimited</x:v>
      </x:c>
      <x:c r="N1132" s="11" t="str">
        <x:f>IF(B1132="Butterfly",IF(AND(J1132&gt;0,J1132&lt;K1132),D1132+J1132,"n.a."),IF(C1132="call",IF(AND(J1132&gt;0,J1132&lt;K1132),D1132+J1132,"n.a."),IF(AND(K1132&gt;J1132,2*E1132-D1132+J1132&gt;=0),2*E1132-D1132+J1132,"n.a.")))</x:f>
        <x:v>n.a.</x:v>
      </x:c>
      <x:c r="O1132" s="11" t="n">
        <x:f>IF(B1132="Butterfly",IF(AND(J1132&gt;0,J1132&lt;K1132),F1132-J1132,"n.a."),IF(C1132="call",IF(K1132&gt;J1132,2*E1132-D1132-J1132,"n.a."),IF(AND(J1132&gt;0,J1132&lt;K1132),D1132-J1132,"n.a.")))</x:f>
        <x:v>7381</x:v>
      </x:c>
      <x:c r="P1132" s="19" t="str">
        <x:f>IF(AND(B1132="Butterfly",J1132&gt;0,J1132&lt;K1132),L1132/J1132,"n.a.")</x:f>
        <x:v>n.a.</x:v>
      </x:c>
      <x:c r="Q1132" s="11" t="n">
        <x:f>J1132*'Model inputs'!$B$8</x:f>
        <x:v>-78100</x:v>
      </x:c>
      <x:c r="R1132" s="1" t="str">
        <x:v>Indicative only</x:v>
      </x:c>
      <x:c r="S1132" s="1" t="n">
        <x:v>184</x:v>
      </x:c>
      <x:c r="T1132" s="1" t="n">
        <x:v>203</x:v>
      </x:c>
    </x:row>
    <x:row r="1133" ht="21" customHeight="1">
      <x:c r="A1133" s="12" t="n">
        <x:v>46265</x:v>
      </x:c>
      <x:c r="B1133" s="1" t="str">
        <x:v>1x2 ratio</x:v>
      </x:c>
      <x:c r="C1133" s="1" t="str">
        <x:v>put</x:v>
      </x:c>
      <x:c r="D1133" s="11" t="n">
        <x:v>6600</x:v>
      </x:c>
      <x:c r="E1133" s="11" t="n">
        <x:v>6400</x:v>
      </x:c>
      <x:c r="F1133" s="11"/>
      <x:c r="G1133" s="11" t="n">
        <x:f>'Option source'!B721</x:f>
        <x:v>193.67</x:v>
      </x:c>
      <x:c r="H1133" s="11" t="n">
        <x:f>'Option source'!B702</x:f>
        <x:v>137.67</x:v>
      </x:c>
      <x:c r="I1133" s="11"/>
      <x:c r="J1133" s="11" t="n">
        <x:f>G1133-2*H1133+IF(B1133="Butterfly",I1133,0)</x:f>
        <x:v>-81.66999999999999</x:v>
      </x:c>
      <x:c r="K1133" s="11" t="n">
        <x:f>ABS(E1133-D1133)</x:f>
        <x:v>200</x:v>
      </x:c>
      <x:c r="L1133" s="11" t="n">
        <x:f>K1133-J1133</x:f>
        <x:v>281.66999999999996</x:v>
      </x:c>
      <x:c r="M1133" s="11" t="n">
        <x:f>IF(B1133="Butterfly",MAX(J1133,0),IF(C1133="call","Unlimited",MAX(2*E1133-D1133+J1133,J1133,0)))</x:f>
        <x:v>6118.33</x:v>
      </x:c>
      <x:c r="N1133" s="11" t="n">
        <x:f>IF(B1133="Butterfly",IF(AND(J1133&gt;0,J1133&lt;K1133),D1133+J1133,"n.a."),IF(C1133="call",IF(AND(J1133&gt;0,J1133&lt;K1133),D1133+J1133,"n.a."),IF(AND(K1133&gt;J1133,2*E1133-D1133+J1133&gt;=0),2*E1133-D1133+J1133,"n.a.")))</x:f>
        <x:v>6118.33</x:v>
      </x:c>
      <x:c r="O1133" s="11" t="str">
        <x:f>IF(B1133="Butterfly",IF(AND(J1133&gt;0,J1133&lt;K1133),F1133-J1133,"n.a."),IF(C1133="call",IF(K1133&gt;J1133,2*E1133-D1133-J1133,"n.a."),IF(AND(J1133&gt;0,J1133&lt;K1133),D1133-J1133,"n.a.")))</x:f>
        <x:v>n.a.</x:v>
      </x:c>
      <x:c r="P1133" s="19" t="str">
        <x:f>IF(AND(B1133="Butterfly",J1133&gt;0,J1133&lt;K1133),L1133/J1133,"n.a.")</x:f>
        <x:v>n.a.</x:v>
      </x:c>
      <x:c r="Q1133" s="11" t="n">
        <x:f>J1133*'Model inputs'!$B$8</x:f>
        <x:v>-8166.999999999999</x:v>
      </x:c>
      <x:c r="R1133" s="1" t="str">
        <x:v>Indicative only</x:v>
      </x:c>
      <x:c r="S1133" s="1" t="n">
        <x:v>716</x:v>
      </x:c>
      <x:c r="T1133" s="1" t="n">
        <x:v>697</x:v>
      </x:c>
    </x:row>
    <x:row r="1134" ht="21" customHeight="1">
      <x:c r="A1134" s="12" t="n">
        <x:v>46265</x:v>
      </x:c>
      <x:c r="B1134" s="1" t="str">
        <x:v>1x2 ratio</x:v>
      </x:c>
      <x:c r="C1134" s="1" t="str">
        <x:v>call</x:v>
      </x:c>
      <x:c r="D1134" s="11" t="n">
        <x:v>7600</x:v>
      </x:c>
      <x:c r="E1134" s="11" t="n">
        <x:v>7800</x:v>
      </x:c>
      <x:c r="F1134" s="11"/>
      <x:c r="G1134" s="11" t="n">
        <x:f>'Option source'!B322</x:f>
        <x:v>290.9</x:v>
      </x:c>
      <x:c r="H1134" s="11" t="n">
        <x:f>'Option source'!B341</x:f>
        <x:v>228.38</x:v>
      </x:c>
      <x:c r="I1134" s="11"/>
      <x:c r="J1134" s="11" t="n">
        <x:f>G1134-2*H1134+IF(B1134="Butterfly",I1134,0)</x:f>
        <x:v>-165.86</x:v>
      </x:c>
      <x:c r="K1134" s="11" t="n">
        <x:f>ABS(E1134-D1134)</x:f>
        <x:v>200</x:v>
      </x:c>
      <x:c r="L1134" s="11" t="n">
        <x:f>K1134-J1134</x:f>
        <x:v>365.86</x:v>
      </x:c>
      <x:c r="M1134" s="11" t="str">
        <x:f>IF(B1134="Butterfly",MAX(J1134,0),IF(C1134="call","Unlimited",MAX(2*E1134-D1134+J1134,J1134,0)))</x:f>
        <x:v>Unlimited</x:v>
      </x:c>
      <x:c r="N1134" s="11" t="str">
        <x:f>IF(B1134="Butterfly",IF(AND(J1134&gt;0,J1134&lt;K1134),D1134+J1134,"n.a."),IF(C1134="call",IF(AND(J1134&gt;0,J1134&lt;K1134),D1134+J1134,"n.a."),IF(AND(K1134&gt;J1134,2*E1134-D1134+J1134&gt;=0),2*E1134-D1134+J1134,"n.a.")))</x:f>
        <x:v>n.a.</x:v>
      </x:c>
      <x:c r="O1134" s="11" t="n">
        <x:f>IF(B1134="Butterfly",IF(AND(J1134&gt;0,J1134&lt;K1134),F1134-J1134,"n.a."),IF(C1134="call",IF(K1134&gt;J1134,2*E1134-D1134-J1134,"n.a."),IF(AND(J1134&gt;0,J1134&lt;K1134),D1134-J1134,"n.a.")))</x:f>
        <x:v>8165.86</x:v>
      </x:c>
      <x:c r="P1134" s="19" t="str">
        <x:f>IF(AND(B1134="Butterfly",J1134&gt;0,J1134&lt;K1134),L1134/J1134,"n.a.")</x:f>
        <x:v>n.a.</x:v>
      </x:c>
      <x:c r="Q1134" s="11" t="n">
        <x:f>J1134*'Model inputs'!$B$8</x:f>
        <x:v>-16586</x:v>
      </x:c>
      <x:c r="R1134" s="1" t="str">
        <x:v>Indicative only</x:v>
      </x:c>
      <x:c r="S1134" s="1" t="n">
        <x:v>317</x:v>
      </x:c>
      <x:c r="T1134" s="1" t="n">
        <x:v>336</x:v>
      </x:c>
    </x:row>
    <x:row r="1135" ht="21" customHeight="1">
      <x:c r="A1135" s="12" t="n">
        <x:v>46265</x:v>
      </x:c>
      <x:c r="B1135" s="1" t="str">
        <x:v>1x2 ratio</x:v>
      </x:c>
      <x:c r="C1135" s="1" t="str">
        <x:v>put</x:v>
      </x:c>
      <x:c r="D1135" s="11" t="n">
        <x:v>6400</x:v>
      </x:c>
      <x:c r="E1135" s="11" t="n">
        <x:v>6200</x:v>
      </x:c>
      <x:c r="F1135" s="11"/>
      <x:c r="G1135" s="11" t="n">
        <x:f>'Option source'!B702</x:f>
        <x:v>137.67</x:v>
      </x:c>
      <x:c r="H1135" s="11" t="n">
        <x:f>'Option source'!B683</x:f>
        <x:v>90.19</x:v>
      </x:c>
      <x:c r="I1135" s="11"/>
      <x:c r="J1135" s="11" t="n">
        <x:f>G1135-2*H1135+IF(B1135="Butterfly",I1135,0)</x:f>
        <x:v>-42.71000000000001</x:v>
      </x:c>
      <x:c r="K1135" s="11" t="n">
        <x:f>ABS(E1135-D1135)</x:f>
        <x:v>200</x:v>
      </x:c>
      <x:c r="L1135" s="11" t="n">
        <x:f>K1135-J1135</x:f>
        <x:v>242.71</x:v>
      </x:c>
      <x:c r="M1135" s="11" t="n">
        <x:f>IF(B1135="Butterfly",MAX(J1135,0),IF(C1135="call","Unlimited",MAX(2*E1135-D1135+J1135,J1135,0)))</x:f>
        <x:v>5957.29</x:v>
      </x:c>
      <x:c r="N1135" s="11" t="n">
        <x:f>IF(B1135="Butterfly",IF(AND(J1135&gt;0,J1135&lt;K1135),D1135+J1135,"n.a."),IF(C1135="call",IF(AND(J1135&gt;0,J1135&lt;K1135),D1135+J1135,"n.a."),IF(AND(K1135&gt;J1135,2*E1135-D1135+J1135&gt;=0),2*E1135-D1135+J1135,"n.a.")))</x:f>
        <x:v>5957.29</x:v>
      </x:c>
      <x:c r="O1135" s="11" t="str">
        <x:f>IF(B1135="Butterfly",IF(AND(J1135&gt;0,J1135&lt;K1135),F1135-J1135,"n.a."),IF(C1135="call",IF(K1135&gt;J1135,2*E1135-D1135-J1135,"n.a."),IF(AND(J1135&gt;0,J1135&lt;K1135),D1135-J1135,"n.a.")))</x:f>
        <x:v>n.a.</x:v>
      </x:c>
      <x:c r="P1135" s="19" t="str">
        <x:f>IF(AND(B1135="Butterfly",J1135&gt;0,J1135&lt;K1135),L1135/J1135,"n.a.")</x:f>
        <x:v>n.a.</x:v>
      </x:c>
      <x:c r="Q1135" s="11" t="n">
        <x:f>J1135*'Model inputs'!$B$8</x:f>
        <x:v>-4271.000000000001</x:v>
      </x:c>
      <x:c r="R1135" s="1" t="str">
        <x:v>Indicative only</x:v>
      </x:c>
      <x:c r="S1135" s="1" t="n">
        <x:v>697</x:v>
      </x:c>
      <x:c r="T1135" s="1" t="n">
        <x:v>678</x:v>
      </x:c>
    </x:row>
    <x:row r="1136" ht="21" customHeight="1">
      <x:c r="A1136" s="12" t="n">
        <x:v>46265</x:v>
      </x:c>
      <x:c r="B1136" s="1" t="str">
        <x:v>1x2 ratio</x:v>
      </x:c>
      <x:c r="C1136" s="1" t="str">
        <x:v>call</x:v>
      </x:c>
      <x:c r="D1136" s="11" t="n">
        <x:v>7800</x:v>
      </x:c>
      <x:c r="E1136" s="11" t="n">
        <x:v>8000</x:v>
      </x:c>
      <x:c r="F1136" s="11"/>
      <x:c r="G1136" s="11" t="n">
        <x:f>'Option source'!B341</x:f>
        <x:v>228.38</x:v>
      </x:c>
      <x:c r="H1136" s="11" t="n">
        <x:f>'Option source'!B360</x:f>
        <x:v>178.25</x:v>
      </x:c>
      <x:c r="I1136" s="11"/>
      <x:c r="J1136" s="11" t="n">
        <x:f>G1136-2*H1136+IF(B1136="Butterfly",I1136,0)</x:f>
        <x:v>-128.12</x:v>
      </x:c>
      <x:c r="K1136" s="11" t="n">
        <x:f>ABS(E1136-D1136)</x:f>
        <x:v>200</x:v>
      </x:c>
      <x:c r="L1136" s="11" t="n">
        <x:f>K1136-J1136</x:f>
        <x:v>328.12</x:v>
      </x:c>
      <x:c r="M1136" s="11" t="str">
        <x:f>IF(B1136="Butterfly",MAX(J1136,0),IF(C1136="call","Unlimited",MAX(2*E1136-D1136+J1136,J1136,0)))</x:f>
        <x:v>Unlimited</x:v>
      </x:c>
      <x:c r="N1136" s="11" t="str">
        <x:f>IF(B1136="Butterfly",IF(AND(J1136&gt;0,J1136&lt;K1136),D1136+J1136,"n.a."),IF(C1136="call",IF(AND(J1136&gt;0,J1136&lt;K1136),D1136+J1136,"n.a."),IF(AND(K1136&gt;J1136,2*E1136-D1136+J1136&gt;=0),2*E1136-D1136+J1136,"n.a.")))</x:f>
        <x:v>n.a.</x:v>
      </x:c>
      <x:c r="O1136" s="11" t="n">
        <x:f>IF(B1136="Butterfly",IF(AND(J1136&gt;0,J1136&lt;K1136),F1136-J1136,"n.a."),IF(C1136="call",IF(K1136&gt;J1136,2*E1136-D1136-J1136,"n.a."),IF(AND(J1136&gt;0,J1136&lt;K1136),D1136-J1136,"n.a.")))</x:f>
        <x:v>8328.12</x:v>
      </x:c>
      <x:c r="P1136" s="19" t="str">
        <x:f>IF(AND(B1136="Butterfly",J1136&gt;0,J1136&lt;K1136),L1136/J1136,"n.a.")</x:f>
        <x:v>n.a.</x:v>
      </x:c>
      <x:c r="Q1136" s="11" t="n">
        <x:f>J1136*'Model inputs'!$B$8</x:f>
        <x:v>-12812</x:v>
      </x:c>
      <x:c r="R1136" s="1" t="str">
        <x:v>Indicative only</x:v>
      </x:c>
      <x:c r="S1136" s="1" t="n">
        <x:v>336</x:v>
      </x:c>
      <x:c r="T1136" s="1" t="n">
        <x:v>355</x:v>
      </x:c>
    </x:row>
    <x:row r="1137" ht="21" customHeight="1">
      <x:c r="A1137" s="12" t="n">
        <x:v>46265</x:v>
      </x:c>
      <x:c r="B1137" s="1" t="str">
        <x:v>1x2 ratio</x:v>
      </x:c>
      <x:c r="C1137" s="1" t="str">
        <x:v>put</x:v>
      </x:c>
      <x:c r="D1137" s="11" t="n">
        <x:v>6200</x:v>
      </x:c>
      <x:c r="E1137" s="11" t="n">
        <x:v>6000</x:v>
      </x:c>
      <x:c r="F1137" s="11"/>
      <x:c r="G1137" s="11" t="n">
        <x:f>'Option source'!B683</x:f>
        <x:v>90.19</x:v>
      </x:c>
      <x:c r="H1137" s="11" t="n">
        <x:f>'Option source'!B664</x:f>
        <x:v>61.12</x:v>
      </x:c>
      <x:c r="I1137" s="11"/>
      <x:c r="J1137" s="11" t="n">
        <x:f>G1137-2*H1137+IF(B1137="Butterfly",I1137,0)</x:f>
        <x:v>-32.05</x:v>
      </x:c>
      <x:c r="K1137" s="11" t="n">
        <x:f>ABS(E1137-D1137)</x:f>
        <x:v>200</x:v>
      </x:c>
      <x:c r="L1137" s="11" t="n">
        <x:f>K1137-J1137</x:f>
        <x:v>232.05</x:v>
      </x:c>
      <x:c r="M1137" s="11" t="n">
        <x:f>IF(B1137="Butterfly",MAX(J1137,0),IF(C1137="call","Unlimited",MAX(2*E1137-D1137+J1137,J1137,0)))</x:f>
        <x:v>5767.95</x:v>
      </x:c>
      <x:c r="N1137" s="11" t="n">
        <x:f>IF(B1137="Butterfly",IF(AND(J1137&gt;0,J1137&lt;K1137),D1137+J1137,"n.a."),IF(C1137="call",IF(AND(J1137&gt;0,J1137&lt;K1137),D1137+J1137,"n.a."),IF(AND(K1137&gt;J1137,2*E1137-D1137+J1137&gt;=0),2*E1137-D1137+J1137,"n.a.")))</x:f>
        <x:v>5767.95</x:v>
      </x:c>
      <x:c r="O1137" s="11" t="str">
        <x:f>IF(B1137="Butterfly",IF(AND(J1137&gt;0,J1137&lt;K1137),F1137-J1137,"n.a."),IF(C1137="call",IF(K1137&gt;J1137,2*E1137-D1137-J1137,"n.a."),IF(AND(J1137&gt;0,J1137&lt;K1137),D1137-J1137,"n.a.")))</x:f>
        <x:v>n.a.</x:v>
      </x:c>
      <x:c r="P1137" s="19" t="str">
        <x:f>IF(AND(B1137="Butterfly",J1137&gt;0,J1137&lt;K1137),L1137/J1137,"n.a.")</x:f>
        <x:v>n.a.</x:v>
      </x:c>
      <x:c r="Q1137" s="11" t="n">
        <x:f>J1137*'Model inputs'!$B$8</x:f>
        <x:v>-3204.9999999999995</x:v>
      </x:c>
      <x:c r="R1137" s="1" t="str">
        <x:v>Indicative only</x:v>
      </x:c>
      <x:c r="S1137" s="1" t="n">
        <x:v>678</x:v>
      </x:c>
      <x:c r="T1137" s="1" t="n">
        <x:v>659</x:v>
      </x:c>
    </x:row>
    <x:row r="1138" ht="21" customHeight="1">
      <x:c r="A1138" s="12" t="n">
        <x:v>46265</x:v>
      </x:c>
      <x:c r="B1138" s="1" t="str">
        <x:v>1x2 ratio</x:v>
      </x:c>
      <x:c r="C1138" s="1" t="str">
        <x:v>put</x:v>
      </x:c>
      <x:c r="D1138" s="11" t="n">
        <x:v>6000</x:v>
      </x:c>
      <x:c r="E1138" s="11" t="n">
        <x:v>5800</x:v>
      </x:c>
      <x:c r="F1138" s="11"/>
      <x:c r="G1138" s="11" t="n">
        <x:f>'Option source'!B664</x:f>
        <x:v>61.12</x:v>
      </x:c>
      <x:c r="H1138" s="11" t="n">
        <x:f>'Option source'!B645</x:f>
        <x:v>36.96</x:v>
      </x:c>
      <x:c r="I1138" s="11"/>
      <x:c r="J1138" s="11" t="n">
        <x:f>G1138-2*H1138+IF(B1138="Butterfly",I1138,0)</x:f>
        <x:v>-12.800000000000004</x:v>
      </x:c>
      <x:c r="K1138" s="11" t="n">
        <x:f>ABS(E1138-D1138)</x:f>
        <x:v>200</x:v>
      </x:c>
      <x:c r="L1138" s="11" t="n">
        <x:f>K1138-J1138</x:f>
        <x:v>212.8</x:v>
      </x:c>
      <x:c r="M1138" s="11" t="n">
        <x:f>IF(B1138="Butterfly",MAX(J1138,0),IF(C1138="call","Unlimited",MAX(2*E1138-D1138+J1138,J1138,0)))</x:f>
        <x:v>5587.2</x:v>
      </x:c>
      <x:c r="N1138" s="11" t="n">
        <x:f>IF(B1138="Butterfly",IF(AND(J1138&gt;0,J1138&lt;K1138),D1138+J1138,"n.a."),IF(C1138="call",IF(AND(J1138&gt;0,J1138&lt;K1138),D1138+J1138,"n.a."),IF(AND(K1138&gt;J1138,2*E1138-D1138+J1138&gt;=0),2*E1138-D1138+J1138,"n.a.")))</x:f>
        <x:v>5587.2</x:v>
      </x:c>
      <x:c r="O1138" s="11" t="str">
        <x:f>IF(B1138="Butterfly",IF(AND(J1138&gt;0,J1138&lt;K1138),F1138-J1138,"n.a."),IF(C1138="call",IF(K1138&gt;J1138,2*E1138-D1138-J1138,"n.a."),IF(AND(J1138&gt;0,J1138&lt;K1138),D1138-J1138,"n.a.")))</x:f>
        <x:v>n.a.</x:v>
      </x:c>
      <x:c r="P1138" s="19" t="str">
        <x:f>IF(AND(B1138="Butterfly",J1138&gt;0,J1138&lt;K1138),L1138/J1138,"n.a.")</x:f>
        <x:v>n.a.</x:v>
      </x:c>
      <x:c r="Q1138" s="11" t="n">
        <x:f>J1138*'Model inputs'!$B$8</x:f>
        <x:v>-1280.0000000000005</x:v>
      </x:c>
      <x:c r="R1138" s="1" t="str">
        <x:v>Indicative only</x:v>
      </x:c>
      <x:c r="S1138" s="1" t="n">
        <x:v>659</x:v>
      </x:c>
      <x:c r="T1138" s="1" t="n">
        <x:v>640</x:v>
      </x:c>
    </x:row>
    <x:row r="1139" ht="21" customHeight="1">
      <x:c r="A1139" s="12" t="n">
        <x:v>46265</x:v>
      </x:c>
      <x:c r="B1139" s="1" t="str">
        <x:v>1x2 ratio</x:v>
      </x:c>
      <x:c r="C1139" s="1" t="str">
        <x:v>call</x:v>
      </x:c>
      <x:c r="D1139" s="11" t="n">
        <x:v>8000</x:v>
      </x:c>
      <x:c r="E1139" s="11" t="n">
        <x:v>8300</x:v>
      </x:c>
      <x:c r="F1139" s="11"/>
      <x:c r="G1139" s="11" t="n">
        <x:f>'Option source'!B360</x:f>
        <x:v>178.25</x:v>
      </x:c>
      <x:c r="H1139" s="11" t="n">
        <x:f>'Option source'!B379</x:f>
        <x:v>114.25</x:v>
      </x:c>
      <x:c r="I1139" s="11"/>
      <x:c r="J1139" s="11" t="n">
        <x:f>G1139-2*H1139+IF(B1139="Butterfly",I1139,0)</x:f>
        <x:v>-50.25</x:v>
      </x:c>
      <x:c r="K1139" s="11" t="n">
        <x:f>ABS(E1139-D1139)</x:f>
        <x:v>300</x:v>
      </x:c>
      <x:c r="L1139" s="11" t="n">
        <x:f>K1139-J1139</x:f>
        <x:v>350.25</x:v>
      </x:c>
      <x:c r="M1139" s="11" t="str">
        <x:f>IF(B1139="Butterfly",MAX(J1139,0),IF(C1139="call","Unlimited",MAX(2*E1139-D1139+J1139,J1139,0)))</x:f>
        <x:v>Unlimited</x:v>
      </x:c>
      <x:c r="N1139" s="11" t="str">
        <x:f>IF(B1139="Butterfly",IF(AND(J1139&gt;0,J1139&lt;K1139),D1139+J1139,"n.a."),IF(C1139="call",IF(AND(J1139&gt;0,J1139&lt;K1139),D1139+J1139,"n.a."),IF(AND(K1139&gt;J1139,2*E1139-D1139+J1139&gt;=0),2*E1139-D1139+J1139,"n.a.")))</x:f>
        <x:v>n.a.</x:v>
      </x:c>
      <x:c r="O1139" s="11" t="n">
        <x:f>IF(B1139="Butterfly",IF(AND(J1139&gt;0,J1139&lt;K1139),F1139-J1139,"n.a."),IF(C1139="call",IF(K1139&gt;J1139,2*E1139-D1139-J1139,"n.a."),IF(AND(J1139&gt;0,J1139&lt;K1139),D1139-J1139,"n.a.")))</x:f>
        <x:v>8650.25</x:v>
      </x:c>
      <x:c r="P1139" s="19" t="str">
        <x:f>IF(AND(B1139="Butterfly",J1139&gt;0,J1139&lt;K1139),L1139/J1139,"n.a.")</x:f>
        <x:v>n.a.</x:v>
      </x:c>
      <x:c r="Q1139" s="11" t="n">
        <x:f>J1139*'Model inputs'!$B$8</x:f>
        <x:v>-5025</x:v>
      </x:c>
      <x:c r="R1139" s="1" t="str">
        <x:v>Indicative only</x:v>
      </x:c>
      <x:c r="S1139" s="1" t="n">
        <x:v>355</x:v>
      </x:c>
      <x:c r="T1139" s="1" t="n">
        <x:v>374</x:v>
      </x:c>
    </x:row>
    <x:row r="1140" ht="21" customHeight="1">
      <x:c r="A1140" s="12" t="n">
        <x:v>46265</x:v>
      </x:c>
      <x:c r="B1140" s="1" t="str">
        <x:v>1x2 ratio</x:v>
      </x:c>
      <x:c r="C1140" s="1" t="str">
        <x:v>put</x:v>
      </x:c>
      <x:c r="D1140" s="11" t="n">
        <x:v>5800</x:v>
      </x:c>
      <x:c r="E1140" s="11" t="n">
        <x:v>5600</x:v>
      </x:c>
      <x:c r="F1140" s="11"/>
      <x:c r="G1140" s="11" t="n">
        <x:f>'Option source'!B645</x:f>
        <x:v>36.96</x:v>
      </x:c>
      <x:c r="H1140" s="11" t="n">
        <x:f>'Option source'!B626</x:f>
        <x:v>22.98</x:v>
      </x:c>
      <x:c r="I1140" s="11"/>
      <x:c r="J1140" s="11" t="n">
        <x:f>G1140-2*H1140+IF(B1140="Butterfly",I1140,0)</x:f>
        <x:v>-9</x:v>
      </x:c>
      <x:c r="K1140" s="11" t="n">
        <x:f>ABS(E1140-D1140)</x:f>
        <x:v>200</x:v>
      </x:c>
      <x:c r="L1140" s="11" t="n">
        <x:f>K1140-J1140</x:f>
        <x:v>209</x:v>
      </x:c>
      <x:c r="M1140" s="11" t="n">
        <x:f>IF(B1140="Butterfly",MAX(J1140,0),IF(C1140="call","Unlimited",MAX(2*E1140-D1140+J1140,J1140,0)))</x:f>
        <x:v>5391</x:v>
      </x:c>
      <x:c r="N1140" s="11" t="n">
        <x:f>IF(B1140="Butterfly",IF(AND(J1140&gt;0,J1140&lt;K1140),D1140+J1140,"n.a."),IF(C1140="call",IF(AND(J1140&gt;0,J1140&lt;K1140),D1140+J1140,"n.a."),IF(AND(K1140&gt;J1140,2*E1140-D1140+J1140&gt;=0),2*E1140-D1140+J1140,"n.a.")))</x:f>
        <x:v>5391</x:v>
      </x:c>
      <x:c r="O1140" s="11" t="str">
        <x:f>IF(B1140="Butterfly",IF(AND(J1140&gt;0,J1140&lt;K1140),F1140-J1140,"n.a."),IF(C1140="call",IF(K1140&gt;J1140,2*E1140-D1140-J1140,"n.a."),IF(AND(J1140&gt;0,J1140&lt;K1140),D1140-J1140,"n.a.")))</x:f>
        <x:v>n.a.</x:v>
      </x:c>
      <x:c r="P1140" s="19" t="str">
        <x:f>IF(AND(B1140="Butterfly",J1140&gt;0,J1140&lt;K1140),L1140/J1140,"n.a.")</x:f>
        <x:v>n.a.</x:v>
      </x:c>
      <x:c r="Q1140" s="11" t="n">
        <x:f>J1140*'Model inputs'!$B$8</x:f>
        <x:v>-900</x:v>
      </x:c>
      <x:c r="R1140" s="1" t="str">
        <x:v>Indicative only</x:v>
      </x:c>
      <x:c r="S1140" s="1" t="n">
        <x:v>640</x:v>
      </x:c>
      <x:c r="T1140" s="1" t="n">
        <x:v>621</x:v>
      </x:c>
    </x:row>
    <x:row r="1141" ht="21" customHeight="1">
      <x:c r="A1141" s="12" t="n">
        <x:v>46265</x:v>
      </x:c>
      <x:c r="B1141" s="1" t="str">
        <x:v>1x2 ratio</x:v>
      </x:c>
      <x:c r="C1141" s="1" t="str">
        <x:v>call</x:v>
      </x:c>
      <x:c r="D1141" s="11" t="n">
        <x:v>8300</x:v>
      </x:c>
      <x:c r="E1141" s="11" t="n">
        <x:v>8600</x:v>
      </x:c>
      <x:c r="F1141" s="11"/>
      <x:c r="G1141" s="11" t="n">
        <x:f>'Option source'!B379</x:f>
        <x:v>114.25</x:v>
      </x:c>
      <x:c r="H1141" s="11" t="n">
        <x:f>'Option source'!B398</x:f>
        <x:v>73.69</x:v>
      </x:c>
      <x:c r="I1141" s="11"/>
      <x:c r="J1141" s="11" t="n">
        <x:f>G1141-2*H1141+IF(B1141="Butterfly",I1141,0)</x:f>
        <x:v>-33.129999999999995</x:v>
      </x:c>
      <x:c r="K1141" s="11" t="n">
        <x:f>ABS(E1141-D1141)</x:f>
        <x:v>300</x:v>
      </x:c>
      <x:c r="L1141" s="11" t="n">
        <x:f>K1141-J1141</x:f>
        <x:v>333.13</x:v>
      </x:c>
      <x:c r="M1141" s="11" t="str">
        <x:f>IF(B1141="Butterfly",MAX(J1141,0),IF(C1141="call","Unlimited",MAX(2*E1141-D1141+J1141,J1141,0)))</x:f>
        <x:v>Unlimited</x:v>
      </x:c>
      <x:c r="N1141" s="11" t="str">
        <x:f>IF(B1141="Butterfly",IF(AND(J1141&gt;0,J1141&lt;K1141),D1141+J1141,"n.a."),IF(C1141="call",IF(AND(J1141&gt;0,J1141&lt;K1141),D1141+J1141,"n.a."),IF(AND(K1141&gt;J1141,2*E1141-D1141+J1141&gt;=0),2*E1141-D1141+J1141,"n.a.")))</x:f>
        <x:v>n.a.</x:v>
      </x:c>
      <x:c r="O1141" s="11" t="n">
        <x:f>IF(B1141="Butterfly",IF(AND(J1141&gt;0,J1141&lt;K1141),F1141-J1141,"n.a."),IF(C1141="call",IF(K1141&gt;J1141,2*E1141-D1141-J1141,"n.a."),IF(AND(J1141&gt;0,J1141&lt;K1141),D1141-J1141,"n.a.")))</x:f>
        <x:v>8933.13</x:v>
      </x:c>
      <x:c r="P1141" s="19" t="str">
        <x:f>IF(AND(B1141="Butterfly",J1141&gt;0,J1141&lt;K1141),L1141/J1141,"n.a.")</x:f>
        <x:v>n.a.</x:v>
      </x:c>
      <x:c r="Q1141" s="11" t="n">
        <x:f>J1141*'Model inputs'!$B$8</x:f>
        <x:v>-3312.9999999999995</x:v>
      </x:c>
      <x:c r="R1141" s="1" t="str">
        <x:v>Indicative only</x:v>
      </x:c>
      <x:c r="S1141" s="1" t="n">
        <x:v>374</x:v>
      </x:c>
      <x:c r="T1141" s="1" t="n">
        <x:v>393</x:v>
      </x:c>
    </x:row>
    <x:row r="1142" ht="21" customHeight="1">
      <x:c r="A1142" s="12" t="n">
        <x:v>46265</x:v>
      </x:c>
      <x:c r="B1142" s="1" t="str">
        <x:v>1x2 ratio</x:v>
      </x:c>
      <x:c r="C1142" s="1" t="str">
        <x:v>put</x:v>
      </x:c>
      <x:c r="D1142" s="11" t="n">
        <x:v>5600</x:v>
      </x:c>
      <x:c r="E1142" s="11" t="n">
        <x:v>5400</x:v>
      </x:c>
      <x:c r="F1142" s="11"/>
      <x:c r="G1142" s="11" t="n">
        <x:f>'Option source'!B626</x:f>
        <x:v>22.98</x:v>
      </x:c>
      <x:c r="H1142" s="11" t="n">
        <x:f>'Option source'!B607</x:f>
        <x:v>12.73</x:v>
      </x:c>
      <x:c r="I1142" s="11"/>
      <x:c r="J1142" s="11" t="n">
        <x:f>G1142-2*H1142+IF(B1142="Butterfly",I1142,0)</x:f>
        <x:v>-2.4800000000000004</x:v>
      </x:c>
      <x:c r="K1142" s="11" t="n">
        <x:f>ABS(E1142-D1142)</x:f>
        <x:v>200</x:v>
      </x:c>
      <x:c r="L1142" s="11" t="n">
        <x:f>K1142-J1142</x:f>
        <x:v>202.48</x:v>
      </x:c>
      <x:c r="M1142" s="11" t="n">
        <x:f>IF(B1142="Butterfly",MAX(J1142,0),IF(C1142="call","Unlimited",MAX(2*E1142-D1142+J1142,J1142,0)))</x:f>
        <x:v>5197.52</x:v>
      </x:c>
      <x:c r="N1142" s="11" t="n">
        <x:f>IF(B1142="Butterfly",IF(AND(J1142&gt;0,J1142&lt;K1142),D1142+J1142,"n.a."),IF(C1142="call",IF(AND(J1142&gt;0,J1142&lt;K1142),D1142+J1142,"n.a."),IF(AND(K1142&gt;J1142,2*E1142-D1142+J1142&gt;=0),2*E1142-D1142+J1142,"n.a.")))</x:f>
        <x:v>5197.52</x:v>
      </x:c>
      <x:c r="O1142" s="11" t="str">
        <x:f>IF(B1142="Butterfly",IF(AND(J1142&gt;0,J1142&lt;K1142),F1142-J1142,"n.a."),IF(C1142="call",IF(K1142&gt;J1142,2*E1142-D1142-J1142,"n.a."),IF(AND(J1142&gt;0,J1142&lt;K1142),D1142-J1142,"n.a.")))</x:f>
        <x:v>n.a.</x:v>
      </x:c>
      <x:c r="P1142" s="19" t="str">
        <x:f>IF(AND(B1142="Butterfly",J1142&gt;0,J1142&lt;K1142),L1142/J1142,"n.a.")</x:f>
        <x:v>n.a.</x:v>
      </x:c>
      <x:c r="Q1142" s="11" t="n">
        <x:f>J1142*'Model inputs'!$B$8</x:f>
        <x:v>-248.00000000000006</x:v>
      </x:c>
      <x:c r="R1142" s="1" t="str">
        <x:v>Indicative only</x:v>
      </x:c>
      <x:c r="S1142" s="1" t="n">
        <x:v>621</x:v>
      </x:c>
      <x:c r="T1142" s="1" t="n">
        <x:v>602</x:v>
      </x:c>
    </x:row>
    <x:row r="1143" ht="21" customHeight="1">
      <x:c r="A1143" s="12" t="n">
        <x:v>46265</x:v>
      </x:c>
      <x:c r="B1143" s="1" t="str">
        <x:v>1x2 ratio</x:v>
      </x:c>
      <x:c r="C1143" s="1" t="str">
        <x:v>put</x:v>
      </x:c>
      <x:c r="D1143" s="11" t="n">
        <x:v>5400</x:v>
      </x:c>
      <x:c r="E1143" s="11" t="n">
        <x:v>5200</x:v>
      </x:c>
      <x:c r="F1143" s="11"/>
      <x:c r="G1143" s="11" t="n">
        <x:f>'Option source'!B607</x:f>
        <x:v>12.73</x:v>
      </x:c>
      <x:c r="H1143" s="11" t="n">
        <x:f>'Option source'!B588</x:f>
        <x:v>7.67</x:v>
      </x:c>
      <x:c r="I1143" s="11"/>
      <x:c r="J1143" s="11" t="n">
        <x:f>G1143-2*H1143+IF(B1143="Butterfly",I1143,0)</x:f>
        <x:v>-2.6099999999999994</x:v>
      </x:c>
      <x:c r="K1143" s="11" t="n">
        <x:f>ABS(E1143-D1143)</x:f>
        <x:v>200</x:v>
      </x:c>
      <x:c r="L1143" s="11" t="n">
        <x:f>K1143-J1143</x:f>
        <x:v>202.61</x:v>
      </x:c>
      <x:c r="M1143" s="11" t="n">
        <x:f>IF(B1143="Butterfly",MAX(J1143,0),IF(C1143="call","Unlimited",MAX(2*E1143-D1143+J1143,J1143,0)))</x:f>
        <x:v>4997.39</x:v>
      </x:c>
      <x:c r="N1143" s="11" t="n">
        <x:f>IF(B1143="Butterfly",IF(AND(J1143&gt;0,J1143&lt;K1143),D1143+J1143,"n.a."),IF(C1143="call",IF(AND(J1143&gt;0,J1143&lt;K1143),D1143+J1143,"n.a."),IF(AND(K1143&gt;J1143,2*E1143-D1143+J1143&gt;=0),2*E1143-D1143+J1143,"n.a.")))</x:f>
        <x:v>4997.39</x:v>
      </x:c>
      <x:c r="O1143" s="11" t="str">
        <x:f>IF(B1143="Butterfly",IF(AND(J1143&gt;0,J1143&lt;K1143),F1143-J1143,"n.a."),IF(C1143="call",IF(K1143&gt;J1143,2*E1143-D1143-J1143,"n.a."),IF(AND(J1143&gt;0,J1143&lt;K1143),D1143-J1143,"n.a.")))</x:f>
        <x:v>n.a.</x:v>
      </x:c>
      <x:c r="P1143" s="19" t="str">
        <x:f>IF(AND(B1143="Butterfly",J1143&gt;0,J1143&lt;K1143),L1143/J1143,"n.a.")</x:f>
        <x:v>n.a.</x:v>
      </x:c>
      <x:c r="Q1143" s="11" t="n">
        <x:f>J1143*'Model inputs'!$B$8</x:f>
        <x:v>-260.99999999999994</x:v>
      </x:c>
      <x:c r="R1143" s="1" t="str">
        <x:v>Indicative only</x:v>
      </x:c>
      <x:c r="S1143" s="1" t="n">
        <x:v>602</x:v>
      </x:c>
      <x:c r="T1143" s="1" t="n">
        <x:v>583</x:v>
      </x:c>
    </x:row>
    <x:row r="1144" ht="21" customHeight="1">
      <x:c r="A1144" s="12" t="n">
        <x:v>46265</x:v>
      </x:c>
      <x:c r="B1144" s="1" t="str">
        <x:v>1x2 ratio</x:v>
      </x:c>
      <x:c r="C1144" s="1" t="str">
        <x:v>call</x:v>
      </x:c>
      <x:c r="D1144" s="11" t="n">
        <x:v>8600</x:v>
      </x:c>
      <x:c r="E1144" s="11" t="n">
        <x:v>8900</x:v>
      </x:c>
      <x:c r="F1144" s="11"/>
      <x:c r="G1144" s="11" t="n">
        <x:f>'Option source'!B398</x:f>
        <x:v>73.69</x:v>
      </x:c>
      <x:c r="H1144" s="11" t="n">
        <x:f>'Option source'!B417</x:f>
        <x:v>46.66</x:v>
      </x:c>
      <x:c r="I1144" s="11"/>
      <x:c r="J1144" s="11" t="n">
        <x:f>G1144-2*H1144+IF(B1144="Butterfly",I1144,0)</x:f>
        <x:v>-19.629999999999995</x:v>
      </x:c>
      <x:c r="K1144" s="11" t="n">
        <x:f>ABS(E1144-D1144)</x:f>
        <x:v>300</x:v>
      </x:c>
      <x:c r="L1144" s="11" t="n">
        <x:f>K1144-J1144</x:f>
        <x:v>319.63</x:v>
      </x:c>
      <x:c r="M1144" s="11" t="str">
        <x:f>IF(B1144="Butterfly",MAX(J1144,0),IF(C1144="call","Unlimited",MAX(2*E1144-D1144+J1144,J1144,0)))</x:f>
        <x:v>Unlimited</x:v>
      </x:c>
      <x:c r="N1144" s="11" t="str">
        <x:f>IF(B1144="Butterfly",IF(AND(J1144&gt;0,J1144&lt;K1144),D1144+J1144,"n.a."),IF(C1144="call",IF(AND(J1144&gt;0,J1144&lt;K1144),D1144+J1144,"n.a."),IF(AND(K1144&gt;J1144,2*E1144-D1144+J1144&gt;=0),2*E1144-D1144+J1144,"n.a.")))</x:f>
        <x:v>n.a.</x:v>
      </x:c>
      <x:c r="O1144" s="11" t="n">
        <x:f>IF(B1144="Butterfly",IF(AND(J1144&gt;0,J1144&lt;K1144),F1144-J1144,"n.a."),IF(C1144="call",IF(K1144&gt;J1144,2*E1144-D1144-J1144,"n.a."),IF(AND(J1144&gt;0,J1144&lt;K1144),D1144-J1144,"n.a.")))</x:f>
        <x:v>9219.63</x:v>
      </x:c>
      <x:c r="P1144" s="19" t="str">
        <x:f>IF(AND(B1144="Butterfly",J1144&gt;0,J1144&lt;K1144),L1144/J1144,"n.a.")</x:f>
        <x:v>n.a.</x:v>
      </x:c>
      <x:c r="Q1144" s="11" t="n">
        <x:f>J1144*'Model inputs'!$B$8</x:f>
        <x:v>-1962.9999999999995</x:v>
      </x:c>
      <x:c r="R1144" s="1" t="str">
        <x:v>Indicative only</x:v>
      </x:c>
      <x:c r="S1144" s="1" t="n">
        <x:v>393</x:v>
      </x:c>
      <x:c r="T1144" s="1" t="n">
        <x:v>412</x:v>
      </x:c>
    </x:row>
    <x:row r="1145" ht="21" customHeight="1">
      <x:c r="A1145" s="12" t="n">
        <x:v>46265</x:v>
      </x:c>
      <x:c r="B1145" s="1" t="str">
        <x:v>1x2 ratio</x:v>
      </x:c>
      <x:c r="C1145" s="1" t="str">
        <x:v>put</x:v>
      </x:c>
      <x:c r="D1145" s="11" t="n">
        <x:v>5200</x:v>
      </x:c>
      <x:c r="E1145" s="11" t="n">
        <x:v>5000</x:v>
      </x:c>
      <x:c r="F1145" s="11"/>
      <x:c r="G1145" s="11" t="n">
        <x:f>'Option source'!B588</x:f>
        <x:v>7.67</x:v>
      </x:c>
      <x:c r="H1145" s="11" t="n">
        <x:f>'Option source'!B569</x:f>
        <x:v>4.26</x:v>
      </x:c>
      <x:c r="I1145" s="11"/>
      <x:c r="J1145" s="11" t="n">
        <x:f>G1145-2*H1145+IF(B1145="Butterfly",I1145,0)</x:f>
        <x:v>-0.8499999999999996</x:v>
      </x:c>
      <x:c r="K1145" s="11" t="n">
        <x:f>ABS(E1145-D1145)</x:f>
        <x:v>200</x:v>
      </x:c>
      <x:c r="L1145" s="11" t="n">
        <x:f>K1145-J1145</x:f>
        <x:v>200.85</x:v>
      </x:c>
      <x:c r="M1145" s="11" t="n">
        <x:f>IF(B1145="Butterfly",MAX(J1145,0),IF(C1145="call","Unlimited",MAX(2*E1145-D1145+J1145,J1145,0)))</x:f>
        <x:v>4799.15</x:v>
      </x:c>
      <x:c r="N1145" s="11" t="n">
        <x:f>IF(B1145="Butterfly",IF(AND(J1145&gt;0,J1145&lt;K1145),D1145+J1145,"n.a."),IF(C1145="call",IF(AND(J1145&gt;0,J1145&lt;K1145),D1145+J1145,"n.a."),IF(AND(K1145&gt;J1145,2*E1145-D1145+J1145&gt;=0),2*E1145-D1145+J1145,"n.a.")))</x:f>
        <x:v>4799.15</x:v>
      </x:c>
      <x:c r="O1145" s="11" t="str">
        <x:f>IF(B1145="Butterfly",IF(AND(J1145&gt;0,J1145&lt;K1145),F1145-J1145,"n.a."),IF(C1145="call",IF(K1145&gt;J1145,2*E1145-D1145-J1145,"n.a."),IF(AND(J1145&gt;0,J1145&lt;K1145),D1145-J1145,"n.a.")))</x:f>
        <x:v>n.a.</x:v>
      </x:c>
      <x:c r="P1145" s="19" t="str">
        <x:f>IF(AND(B1145="Butterfly",J1145&gt;0,J1145&lt;K1145),L1145/J1145,"n.a.")</x:f>
        <x:v>n.a.</x:v>
      </x:c>
      <x:c r="Q1145" s="11" t="n">
        <x:f>J1145*'Model inputs'!$B$8</x:f>
        <x:v>-84.99999999999997</x:v>
      </x:c>
      <x:c r="R1145" s="1" t="str">
        <x:v>Indicative only</x:v>
      </x:c>
      <x:c r="S1145" s="1" t="n">
        <x:v>583</x:v>
      </x:c>
      <x:c r="T1145" s="1" t="n">
        <x:v>564</x:v>
      </x:c>
    </x:row>
    <x:row r="1146" ht="21" customHeight="1">
      <x:c r="A1146" s="12" t="n">
        <x:v>46265</x:v>
      </x:c>
      <x:c r="B1146" s="1" t="str">
        <x:v>1x2 ratio</x:v>
      </x:c>
      <x:c r="C1146" s="1" t="str">
        <x:v>call</x:v>
      </x:c>
      <x:c r="D1146" s="11" t="n">
        <x:v>8900</x:v>
      </x:c>
      <x:c r="E1146" s="11" t="n">
        <x:v>9200</x:v>
      </x:c>
      <x:c r="F1146" s="11"/>
      <x:c r="G1146" s="11" t="n">
        <x:f>'Option source'!B417</x:f>
        <x:v>46.66</x:v>
      </x:c>
      <x:c r="H1146" s="11" t="n">
        <x:f>'Option source'!B436</x:f>
        <x:v>29.82</x:v>
      </x:c>
      <x:c r="I1146" s="11"/>
      <x:c r="J1146" s="11" t="n">
        <x:f>G1146-2*H1146+IF(B1146="Butterfly",I1146,0)</x:f>
        <x:v>-12.980000000000004</x:v>
      </x:c>
      <x:c r="K1146" s="11" t="n">
        <x:f>ABS(E1146-D1146)</x:f>
        <x:v>300</x:v>
      </x:c>
      <x:c r="L1146" s="11" t="n">
        <x:f>K1146-J1146</x:f>
        <x:v>312.98</x:v>
      </x:c>
      <x:c r="M1146" s="11" t="str">
        <x:f>IF(B1146="Butterfly",MAX(J1146,0),IF(C1146="call","Unlimited",MAX(2*E1146-D1146+J1146,J1146,0)))</x:f>
        <x:v>Unlimited</x:v>
      </x:c>
      <x:c r="N1146" s="11" t="str">
        <x:f>IF(B1146="Butterfly",IF(AND(J1146&gt;0,J1146&lt;K1146),D1146+J1146,"n.a."),IF(C1146="call",IF(AND(J1146&gt;0,J1146&lt;K1146),D1146+J1146,"n.a."),IF(AND(K1146&gt;J1146,2*E1146-D1146+J1146&gt;=0),2*E1146-D1146+J1146,"n.a.")))</x:f>
        <x:v>n.a.</x:v>
      </x:c>
      <x:c r="O1146" s="11" t="n">
        <x:f>IF(B1146="Butterfly",IF(AND(J1146&gt;0,J1146&lt;K1146),F1146-J1146,"n.a."),IF(C1146="call",IF(K1146&gt;J1146,2*E1146-D1146-J1146,"n.a."),IF(AND(J1146&gt;0,J1146&lt;K1146),D1146-J1146,"n.a.")))</x:f>
        <x:v>9512.98</x:v>
      </x:c>
      <x:c r="P1146" s="19" t="str">
        <x:f>IF(AND(B1146="Butterfly",J1146&gt;0,J1146&lt;K1146),L1146/J1146,"n.a.")</x:f>
        <x:v>n.a.</x:v>
      </x:c>
      <x:c r="Q1146" s="11" t="n">
        <x:f>J1146*'Model inputs'!$B$8</x:f>
        <x:v>-1298.0000000000005</x:v>
      </x:c>
      <x:c r="R1146" s="1" t="str">
        <x:v>Indicative only</x:v>
      </x:c>
      <x:c r="S1146" s="1" t="n">
        <x:v>412</x:v>
      </x:c>
      <x:c r="T1146" s="1" t="n">
        <x:v>431</x:v>
      </x:c>
    </x:row>
    <x:row r="1147" ht="21" customHeight="1">
      <x:c r="A1147" s="12" t="n">
        <x:v>46265</x:v>
      </x:c>
      <x:c r="B1147" s="1" t="str">
        <x:v>1x2 ratio</x:v>
      </x:c>
      <x:c r="C1147" s="1" t="str">
        <x:v>put</x:v>
      </x:c>
      <x:c r="D1147" s="11" t="n">
        <x:v>5000</x:v>
      </x:c>
      <x:c r="E1147" s="11" t="n">
        <x:v>4800</x:v>
      </x:c>
      <x:c r="F1147" s="11"/>
      <x:c r="G1147" s="11" t="n">
        <x:f>'Option source'!B569</x:f>
        <x:v>4.26</x:v>
      </x:c>
      <x:c r="H1147" s="11" t="n">
        <x:f>'Option source'!B550</x:f>
        <x:v>2.54</x:v>
      </x:c>
      <x:c r="I1147" s="11"/>
      <x:c r="J1147" s="11" t="n">
        <x:f>G1147-2*H1147+IF(B1147="Butterfly",I1147,0)</x:f>
        <x:v>-0.8200000000000003</x:v>
      </x:c>
      <x:c r="K1147" s="11" t="n">
        <x:f>ABS(E1147-D1147)</x:f>
        <x:v>200</x:v>
      </x:c>
      <x:c r="L1147" s="11" t="n">
        <x:f>K1147-J1147</x:f>
        <x:v>200.82</x:v>
      </x:c>
      <x:c r="M1147" s="11" t="n">
        <x:f>IF(B1147="Butterfly",MAX(J1147,0),IF(C1147="call","Unlimited",MAX(2*E1147-D1147+J1147,J1147,0)))</x:f>
        <x:v>4599.18</x:v>
      </x:c>
      <x:c r="N1147" s="11" t="n">
        <x:f>IF(B1147="Butterfly",IF(AND(J1147&gt;0,J1147&lt;K1147),D1147+J1147,"n.a."),IF(C1147="call",IF(AND(J1147&gt;0,J1147&lt;K1147),D1147+J1147,"n.a."),IF(AND(K1147&gt;J1147,2*E1147-D1147+J1147&gt;=0),2*E1147-D1147+J1147,"n.a.")))</x:f>
        <x:v>4599.18</x:v>
      </x:c>
      <x:c r="O1147" s="11" t="str">
        <x:f>IF(B1147="Butterfly",IF(AND(J1147&gt;0,J1147&lt;K1147),F1147-J1147,"n.a."),IF(C1147="call",IF(K1147&gt;J1147,2*E1147-D1147-J1147,"n.a."),IF(AND(J1147&gt;0,J1147&lt;K1147),D1147-J1147,"n.a.")))</x:f>
        <x:v>n.a.</x:v>
      </x:c>
      <x:c r="P1147" s="19" t="str">
        <x:f>IF(AND(B1147="Butterfly",J1147&gt;0,J1147&lt;K1147),L1147/J1147,"n.a.")</x:f>
        <x:v>n.a.</x:v>
      </x:c>
      <x:c r="Q1147" s="11" t="n">
        <x:f>J1147*'Model inputs'!$B$8</x:f>
        <x:v>-82.00000000000003</x:v>
      </x:c>
      <x:c r="R1147" s="1" t="str">
        <x:v>Indicative only</x:v>
      </x:c>
      <x:c r="S1147" s="1" t="n">
        <x:v>564</x:v>
      </x:c>
      <x:c r="T1147" s="1" t="n">
        <x:v>545</x:v>
      </x:c>
    </x:row>
    <x:row r="1148" ht="21" customHeight="1">
      <x:c r="A1148" s="12" t="n">
        <x:v>46265</x:v>
      </x:c>
      <x:c r="B1148" s="1" t="str">
        <x:v>1x2 ratio</x:v>
      </x:c>
      <x:c r="C1148" s="1" t="str">
        <x:v>put</x:v>
      </x:c>
      <x:c r="D1148" s="11" t="n">
        <x:v>4800</x:v>
      </x:c>
      <x:c r="E1148" s="11" t="n">
        <x:v>4600</x:v>
      </x:c>
      <x:c r="F1148" s="11"/>
      <x:c r="G1148" s="11" t="n">
        <x:f>'Option source'!B550</x:f>
        <x:v>2.54</x:v>
      </x:c>
      <x:c r="H1148" s="11" t="n">
        <x:f>'Option source'!B531</x:f>
        <x:v>1.8</x:v>
      </x:c>
      <x:c r="I1148" s="11"/>
      <x:c r="J1148" s="11" t="n">
        <x:f>G1148-2*H1148+IF(B1148="Butterfly",I1148,0)</x:f>
        <x:v>-1.06</x:v>
      </x:c>
      <x:c r="K1148" s="11" t="n">
        <x:f>ABS(E1148-D1148)</x:f>
        <x:v>200</x:v>
      </x:c>
      <x:c r="L1148" s="11" t="n">
        <x:f>K1148-J1148</x:f>
        <x:v>201.06</x:v>
      </x:c>
      <x:c r="M1148" s="11" t="n">
        <x:f>IF(B1148="Butterfly",MAX(J1148,0),IF(C1148="call","Unlimited",MAX(2*E1148-D1148+J1148,J1148,0)))</x:f>
        <x:v>4398.94</x:v>
      </x:c>
      <x:c r="N1148" s="11" t="n">
        <x:f>IF(B1148="Butterfly",IF(AND(J1148&gt;0,J1148&lt;K1148),D1148+J1148,"n.a."),IF(C1148="call",IF(AND(J1148&gt;0,J1148&lt;K1148),D1148+J1148,"n.a."),IF(AND(K1148&gt;J1148,2*E1148-D1148+J1148&gt;=0),2*E1148-D1148+J1148,"n.a.")))</x:f>
        <x:v>4398.94</x:v>
      </x:c>
      <x:c r="O1148" s="11" t="str">
        <x:f>IF(B1148="Butterfly",IF(AND(J1148&gt;0,J1148&lt;K1148),F1148-J1148,"n.a."),IF(C1148="call",IF(K1148&gt;J1148,2*E1148-D1148-J1148,"n.a."),IF(AND(J1148&gt;0,J1148&lt;K1148),D1148-J1148,"n.a.")))</x:f>
        <x:v>n.a.</x:v>
      </x:c>
      <x:c r="P1148" s="19" t="str">
        <x:f>IF(AND(B1148="Butterfly",J1148&gt;0,J1148&lt;K1148),L1148/J1148,"n.a.")</x:f>
        <x:v>n.a.</x:v>
      </x:c>
      <x:c r="Q1148" s="11" t="n">
        <x:f>J1148*'Model inputs'!$B$8</x:f>
        <x:v>-106</x:v>
      </x:c>
      <x:c r="R1148" s="1" t="str">
        <x:v>Indicative only</x:v>
      </x:c>
      <x:c r="S1148" s="1" t="n">
        <x:v>545</x:v>
      </x:c>
      <x:c r="T1148" s="1" t="n">
        <x:v>526</x:v>
      </x:c>
    </x:row>
    <x:row r="1149" ht="21" customHeight="1">
      <x:c r="A1149" s="12" t="n">
        <x:v>46265</x:v>
      </x:c>
      <x:c r="B1149" s="1" t="str">
        <x:v>1x2 ratio</x:v>
      </x:c>
      <x:c r="C1149" s="1" t="str">
        <x:v>call</x:v>
      </x:c>
      <x:c r="D1149" s="11" t="n">
        <x:v>9200</x:v>
      </x:c>
      <x:c r="E1149" s="11" t="n">
        <x:v>9500</x:v>
      </x:c>
      <x:c r="F1149" s="11"/>
      <x:c r="G1149" s="11" t="n">
        <x:f>'Option source'!B436</x:f>
        <x:v>29.82</x:v>
      </x:c>
      <x:c r="H1149" s="11" t="n">
        <x:f>'Option source'!B455</x:f>
        <x:v>18.1</x:v>
      </x:c>
      <x:c r="I1149" s="11"/>
      <x:c r="J1149" s="11" t="n">
        <x:f>G1149-2*H1149+IF(B1149="Butterfly",I1149,0)</x:f>
        <x:v>-6.380000000000003</x:v>
      </x:c>
      <x:c r="K1149" s="11" t="n">
        <x:f>ABS(E1149-D1149)</x:f>
        <x:v>300</x:v>
      </x:c>
      <x:c r="L1149" s="11" t="n">
        <x:f>K1149-J1149</x:f>
        <x:v>306.38</x:v>
      </x:c>
      <x:c r="M1149" s="11" t="str">
        <x:f>IF(B1149="Butterfly",MAX(J1149,0),IF(C1149="call","Unlimited",MAX(2*E1149-D1149+J1149,J1149,0)))</x:f>
        <x:v>Unlimited</x:v>
      </x:c>
      <x:c r="N1149" s="11" t="str">
        <x:f>IF(B1149="Butterfly",IF(AND(J1149&gt;0,J1149&lt;K1149),D1149+J1149,"n.a."),IF(C1149="call",IF(AND(J1149&gt;0,J1149&lt;K1149),D1149+J1149,"n.a."),IF(AND(K1149&gt;J1149,2*E1149-D1149+J1149&gt;=0),2*E1149-D1149+J1149,"n.a.")))</x:f>
        <x:v>n.a.</x:v>
      </x:c>
      <x:c r="O1149" s="11" t="n">
        <x:f>IF(B1149="Butterfly",IF(AND(J1149&gt;0,J1149&lt;K1149),F1149-J1149,"n.a."),IF(C1149="call",IF(K1149&gt;J1149,2*E1149-D1149-J1149,"n.a."),IF(AND(J1149&gt;0,J1149&lt;K1149),D1149-J1149,"n.a.")))</x:f>
        <x:v>9806.38</x:v>
      </x:c>
      <x:c r="P1149" s="19" t="str">
        <x:f>IF(AND(B1149="Butterfly",J1149&gt;0,J1149&lt;K1149),L1149/J1149,"n.a.")</x:f>
        <x:v>n.a.</x:v>
      </x:c>
      <x:c r="Q1149" s="11" t="n">
        <x:f>J1149*'Model inputs'!$B$8</x:f>
        <x:v>-638.0000000000002</x:v>
      </x:c>
      <x:c r="R1149" s="1" t="str">
        <x:v>Indicative only</x:v>
      </x:c>
      <x:c r="S1149" s="1" t="n">
        <x:v>431</x:v>
      </x:c>
      <x:c r="T1149" s="1" t="n">
        <x:v>450</x:v>
      </x:c>
    </x:row>
    <x:row r="1150" ht="21" customHeight="1">
      <x:c r="A1150" s="12" t="n">
        <x:v>46265</x:v>
      </x:c>
      <x:c r="B1150" s="1" t="str">
        <x:v>1x2 ratio</x:v>
      </x:c>
      <x:c r="C1150" s="1" t="str">
        <x:v>put</x:v>
      </x:c>
      <x:c r="D1150" s="11" t="n">
        <x:v>4600</x:v>
      </x:c>
      <x:c r="E1150" s="11" t="n">
        <x:v>4400</x:v>
      </x:c>
      <x:c r="F1150" s="11"/>
      <x:c r="G1150" s="11" t="n">
        <x:f>'Option source'!B531</x:f>
        <x:v>1.8</x:v>
      </x:c>
      <x:c r="H1150" s="11" t="n">
        <x:f>'Option source'!B512</x:f>
        <x:v>1.18</x:v>
      </x:c>
      <x:c r="I1150" s="11"/>
      <x:c r="J1150" s="11" t="n">
        <x:f>G1150-2*H1150+IF(B1150="Butterfly",I1150,0)</x:f>
        <x:v>-0.5599999999999998</x:v>
      </x:c>
      <x:c r="K1150" s="11" t="n">
        <x:f>ABS(E1150-D1150)</x:f>
        <x:v>200</x:v>
      </x:c>
      <x:c r="L1150" s="11" t="n">
        <x:f>K1150-J1150</x:f>
        <x:v>200.56</x:v>
      </x:c>
      <x:c r="M1150" s="11" t="n">
        <x:f>IF(B1150="Butterfly",MAX(J1150,0),IF(C1150="call","Unlimited",MAX(2*E1150-D1150+J1150,J1150,0)))</x:f>
        <x:v>4199.44</x:v>
      </x:c>
      <x:c r="N1150" s="11" t="n">
        <x:f>IF(B1150="Butterfly",IF(AND(J1150&gt;0,J1150&lt;K1150),D1150+J1150,"n.a."),IF(C1150="call",IF(AND(J1150&gt;0,J1150&lt;K1150),D1150+J1150,"n.a."),IF(AND(K1150&gt;J1150,2*E1150-D1150+J1150&gt;=0),2*E1150-D1150+J1150,"n.a.")))</x:f>
        <x:v>4199.44</x:v>
      </x:c>
      <x:c r="O1150" s="11" t="str">
        <x:f>IF(B1150="Butterfly",IF(AND(J1150&gt;0,J1150&lt;K1150),F1150-J1150,"n.a."),IF(C1150="call",IF(K1150&gt;J1150,2*E1150-D1150-J1150,"n.a."),IF(AND(J1150&gt;0,J1150&lt;K1150),D1150-J1150,"n.a.")))</x:f>
        <x:v>n.a.</x:v>
      </x:c>
      <x:c r="P1150" s="19" t="str">
        <x:f>IF(AND(B1150="Butterfly",J1150&gt;0,J1150&lt;K1150),L1150/J1150,"n.a.")</x:f>
        <x:v>n.a.</x:v>
      </x:c>
      <x:c r="Q1150" s="11" t="n">
        <x:f>J1150*'Model inputs'!$B$8</x:f>
        <x:v>-55.999999999999986</x:v>
      </x:c>
      <x:c r="R1150" s="1" t="str">
        <x:v>Indicative only</x:v>
      </x:c>
      <x:c r="S1150" s="1" t="n">
        <x:v>526</x:v>
      </x:c>
      <x:c r="T1150" s="1" t="n">
        <x:v>507</x:v>
      </x:c>
    </x:row>
    <x:row r="1151" ht="21" customHeight="1">
      <x:c r="A1151" s="12" t="n">
        <x:v>46265</x:v>
      </x:c>
      <x:c r="B1151" s="1" t="str">
        <x:v>1x2 ratio</x:v>
      </x:c>
      <x:c r="C1151" s="1" t="str">
        <x:v>put</x:v>
      </x:c>
      <x:c r="D1151" s="11" t="n">
        <x:v>4400</x:v>
      </x:c>
      <x:c r="E1151" s="11" t="n">
        <x:v>4200</x:v>
      </x:c>
      <x:c r="F1151" s="11"/>
      <x:c r="G1151" s="11" t="n">
        <x:f>'Option source'!B512</x:f>
        <x:v>1.18</x:v>
      </x:c>
      <x:c r="H1151" s="11" t="n">
        <x:f>'Option source'!B493</x:f>
        <x:v>0.9</x:v>
      </x:c>
      <x:c r="I1151" s="11"/>
      <x:c r="J1151" s="11" t="n">
        <x:f>G1151-2*H1151+IF(B1151="Butterfly",I1151,0)</x:f>
        <x:v>-0.6200000000000001</x:v>
      </x:c>
      <x:c r="K1151" s="11" t="n">
        <x:f>ABS(E1151-D1151)</x:f>
        <x:v>200</x:v>
      </x:c>
      <x:c r="L1151" s="11" t="n">
        <x:f>K1151-J1151</x:f>
        <x:v>200.62</x:v>
      </x:c>
      <x:c r="M1151" s="11" t="n">
        <x:f>IF(B1151="Butterfly",MAX(J1151,0),IF(C1151="call","Unlimited",MAX(2*E1151-D1151+J1151,J1151,0)))</x:f>
        <x:v>3999.38</x:v>
      </x:c>
      <x:c r="N1151" s="11" t="n">
        <x:f>IF(B1151="Butterfly",IF(AND(J1151&gt;0,J1151&lt;K1151),D1151+J1151,"n.a."),IF(C1151="call",IF(AND(J1151&gt;0,J1151&lt;K1151),D1151+J1151,"n.a."),IF(AND(K1151&gt;J1151,2*E1151-D1151+J1151&gt;=0),2*E1151-D1151+J1151,"n.a.")))</x:f>
        <x:v>3999.38</x:v>
      </x:c>
      <x:c r="O1151" s="11" t="str">
        <x:f>IF(B1151="Butterfly",IF(AND(J1151&gt;0,J1151&lt;K1151),F1151-J1151,"n.a."),IF(C1151="call",IF(K1151&gt;J1151,2*E1151-D1151-J1151,"n.a."),IF(AND(J1151&gt;0,J1151&lt;K1151),D1151-J1151,"n.a.")))</x:f>
        <x:v>n.a.</x:v>
      </x:c>
      <x:c r="P1151" s="19" t="str">
        <x:f>IF(AND(B1151="Butterfly",J1151&gt;0,J1151&lt;K1151),L1151/J1151,"n.a.")</x:f>
        <x:v>n.a.</x:v>
      </x:c>
      <x:c r="Q1151" s="11" t="n">
        <x:f>J1151*'Model inputs'!$B$8</x:f>
        <x:v>-62.000000000000014</x:v>
      </x:c>
      <x:c r="R1151" s="1" t="str">
        <x:v>Indicative only</x:v>
      </x:c>
      <x:c r="S1151" s="1" t="n">
        <x:v>507</x:v>
      </x:c>
      <x:c r="T1151" s="1" t="n">
        <x:v>488</x:v>
      </x:c>
    </x:row>
    <x:row r="1152" ht="21" customHeight="1">
      <x:c r="A1152" s="12" t="n">
        <x:v>46265</x:v>
      </x:c>
      <x:c r="B1152" s="1" t="str">
        <x:v>1x2 ratio</x:v>
      </x:c>
      <x:c r="C1152" s="1" t="str">
        <x:v>call</x:v>
      </x:c>
      <x:c r="D1152" s="11" t="n">
        <x:v>9500</x:v>
      </x:c>
      <x:c r="E1152" s="11" t="n">
        <x:v>9900</x:v>
      </x:c>
      <x:c r="F1152" s="11"/>
      <x:c r="G1152" s="11" t="n">
        <x:f>'Option source'!B455</x:f>
        <x:v>18.1</x:v>
      </x:c>
      <x:c r="H1152" s="11" t="n">
        <x:f>'Option source'!B474</x:f>
        <x:v>12.79</x:v>
      </x:c>
      <x:c r="I1152" s="11"/>
      <x:c r="J1152" s="11" t="n">
        <x:f>G1152-2*H1152+IF(B1152="Butterfly",I1152,0)</x:f>
        <x:v>-7.479999999999997</x:v>
      </x:c>
      <x:c r="K1152" s="11" t="n">
        <x:f>ABS(E1152-D1152)</x:f>
        <x:v>400</x:v>
      </x:c>
      <x:c r="L1152" s="11" t="n">
        <x:f>K1152-J1152</x:f>
        <x:v>407.48</x:v>
      </x:c>
      <x:c r="M1152" s="11" t="str">
        <x:f>IF(B1152="Butterfly",MAX(J1152,0),IF(C1152="call","Unlimited",MAX(2*E1152-D1152+J1152,J1152,0)))</x:f>
        <x:v>Unlimited</x:v>
      </x:c>
      <x:c r="N1152" s="11" t="str">
        <x:f>IF(B1152="Butterfly",IF(AND(J1152&gt;0,J1152&lt;K1152),D1152+J1152,"n.a."),IF(C1152="call",IF(AND(J1152&gt;0,J1152&lt;K1152),D1152+J1152,"n.a."),IF(AND(K1152&gt;J1152,2*E1152-D1152+J1152&gt;=0),2*E1152-D1152+J1152,"n.a.")))</x:f>
        <x:v>n.a.</x:v>
      </x:c>
      <x:c r="O1152" s="11" t="n">
        <x:f>IF(B1152="Butterfly",IF(AND(J1152&gt;0,J1152&lt;K1152),F1152-J1152,"n.a."),IF(C1152="call",IF(K1152&gt;J1152,2*E1152-D1152-J1152,"n.a."),IF(AND(J1152&gt;0,J1152&lt;K1152),D1152-J1152,"n.a.")))</x:f>
        <x:v>10307.48</x:v>
      </x:c>
      <x:c r="P1152" s="19" t="str">
        <x:f>IF(AND(B1152="Butterfly",J1152&gt;0,J1152&lt;K1152),L1152/J1152,"n.a.")</x:f>
        <x:v>n.a.</x:v>
      </x:c>
      <x:c r="Q1152" s="11" t="n">
        <x:f>J1152*'Model inputs'!$B$8</x:f>
        <x:v>-747.9999999999997</x:v>
      </x:c>
      <x:c r="R1152" s="1" t="str">
        <x:v>Indicative only</x:v>
      </x:c>
      <x:c r="S1152" s="1" t="n">
        <x:v>450</x:v>
      </x:c>
      <x:c r="T1152" s="1" t="n">
        <x:v>469</x:v>
      </x:c>
    </x:row>
    <x:row r="1153" ht="21" customHeight="1">
      <x:c r="A1153" s="12" t="n">
        <x:v>46265</x:v>
      </x:c>
      <x:c r="B1153" s="1" t="str">
        <x:v>1x2 ratio</x:v>
      </x:c>
      <x:c r="C1153" s="1" t="str">
        <x:v>put</x:v>
      </x:c>
      <x:c r="D1153" s="11" t="n">
        <x:v>8000</x:v>
      </x:c>
      <x:c r="E1153" s="11" t="n">
        <x:v>7800</x:v>
      </x:c>
      <x:c r="F1153" s="11"/>
      <x:c r="G1153" s="11" t="n">
        <x:f>'Option source'!B854</x:f>
        <x:v>950</x:v>
      </x:c>
      <x:c r="H1153" s="11" t="n">
        <x:f>'Option source'!B835</x:f>
        <x:v>790.81</x:v>
      </x:c>
      <x:c r="I1153" s="11"/>
      <x:c r="J1153" s="11" t="n">
        <x:f>G1153-2*H1153+IF(B1153="Butterfly",I1153,0)</x:f>
        <x:v>-631.6199999999999</x:v>
      </x:c>
      <x:c r="K1153" s="11" t="n">
        <x:f>ABS(E1153-D1153)</x:f>
        <x:v>200</x:v>
      </x:c>
      <x:c r="L1153" s="11" t="n">
        <x:f>K1153-J1153</x:f>
        <x:v>831.6199999999999</x:v>
      </x:c>
      <x:c r="M1153" s="11" t="n">
        <x:f>IF(B1153="Butterfly",MAX(J1153,0),IF(C1153="call","Unlimited",MAX(2*E1153-D1153+J1153,J1153,0)))</x:f>
        <x:v>6968.38</x:v>
      </x:c>
      <x:c r="N1153" s="11" t="n">
        <x:f>IF(B1153="Butterfly",IF(AND(J1153&gt;0,J1153&lt;K1153),D1153+J1153,"n.a."),IF(C1153="call",IF(AND(J1153&gt;0,J1153&lt;K1153),D1153+J1153,"n.a."),IF(AND(K1153&gt;J1153,2*E1153-D1153+J1153&gt;=0),2*E1153-D1153+J1153,"n.a.")))</x:f>
        <x:v>6968.38</x:v>
      </x:c>
      <x:c r="O1153" s="11" t="str">
        <x:f>IF(B1153="Butterfly",IF(AND(J1153&gt;0,J1153&lt;K1153),F1153-J1153,"n.a."),IF(C1153="call",IF(K1153&gt;J1153,2*E1153-D1153-J1153,"n.a."),IF(AND(J1153&gt;0,J1153&lt;K1153),D1153-J1153,"n.a.")))</x:f>
        <x:v>n.a.</x:v>
      </x:c>
      <x:c r="P1153" s="19" t="str">
        <x:f>IF(AND(B1153="Butterfly",J1153&gt;0,J1153&lt;K1153),L1153/J1153,"n.a.")</x:f>
        <x:v>n.a.</x:v>
      </x:c>
      <x:c r="Q1153" s="11" t="n">
        <x:f>J1153*'Model inputs'!$B$8</x:f>
        <x:v>-63161.999999999985</x:v>
      </x:c>
      <x:c r="R1153" s="1" t="str">
        <x:v>Flagged leg data</x:v>
      </x:c>
      <x:c r="S1153" s="1" t="n">
        <x:v>849</x:v>
      </x:c>
      <x:c r="T1153" s="1" t="n">
        <x:v>830</x:v>
      </x:c>
    </x:row>
    <x:row r="1154" ht="21" customHeight="1">
      <x:c r="A1154" s="12" t="n">
        <x:v>46265</x:v>
      </x:c>
      <x:c r="B1154" s="1" t="str">
        <x:v>1x2 ratio</x:v>
      </x:c>
      <x:c r="C1154" s="1" t="str">
        <x:v>call</x:v>
      </x:c>
      <x:c r="D1154" s="11" t="n">
        <x:v>6000</x:v>
      </x:c>
      <x:c r="E1154" s="11" t="n">
        <x:v>6200</x:v>
      </x:c>
      <x:c r="F1154" s="11"/>
      <x:c r="G1154" s="11" t="n">
        <x:f>'Option source'!B170</x:f>
        <x:v>1200</x:v>
      </x:c>
      <x:c r="H1154" s="11" t="n">
        <x:f>'Option source'!B189</x:f>
        <x:v>1069</x:v>
      </x:c>
      <x:c r="I1154" s="11"/>
      <x:c r="J1154" s="11" t="n">
        <x:f>G1154-2*H1154+IF(B1154="Butterfly",I1154,0)</x:f>
        <x:v>-938</x:v>
      </x:c>
      <x:c r="K1154" s="11" t="n">
        <x:f>ABS(E1154-D1154)</x:f>
        <x:v>200</x:v>
      </x:c>
      <x:c r="L1154" s="11" t="n">
        <x:f>K1154-J1154</x:f>
        <x:v>1138</x:v>
      </x:c>
      <x:c r="M1154" s="11" t="str">
        <x:f>IF(B1154="Butterfly",MAX(J1154,0),IF(C1154="call","Unlimited",MAX(2*E1154-D1154+J1154,J1154,0)))</x:f>
        <x:v>Unlimited</x:v>
      </x:c>
      <x:c r="N1154" s="11" t="str">
        <x:f>IF(B1154="Butterfly",IF(AND(J1154&gt;0,J1154&lt;K1154),D1154+J1154,"n.a."),IF(C1154="call",IF(AND(J1154&gt;0,J1154&lt;K1154),D1154+J1154,"n.a."),IF(AND(K1154&gt;J1154,2*E1154-D1154+J1154&gt;=0),2*E1154-D1154+J1154,"n.a.")))</x:f>
        <x:v>n.a.</x:v>
      </x:c>
      <x:c r="O1154" s="11" t="n">
        <x:f>IF(B1154="Butterfly",IF(AND(J1154&gt;0,J1154&lt;K1154),F1154-J1154,"n.a."),IF(C1154="call",IF(K1154&gt;J1154,2*E1154-D1154-J1154,"n.a."),IF(AND(J1154&gt;0,J1154&lt;K1154),D1154-J1154,"n.a.")))</x:f>
        <x:v>7338</x:v>
      </x:c>
      <x:c r="P1154" s="19" t="str">
        <x:f>IF(AND(B1154="Butterfly",J1154&gt;0,J1154&lt;K1154),L1154/J1154,"n.a.")</x:f>
        <x:v>n.a.</x:v>
      </x:c>
      <x:c r="Q1154" s="11" t="n">
        <x:f>J1154*'Model inputs'!$B$8</x:f>
        <x:v>-93800</x:v>
      </x:c>
      <x:c r="R1154" s="1" t="str">
        <x:v>Flagged leg data</x:v>
      </x:c>
      <x:c r="S1154" s="1" t="n">
        <x:v>165</x:v>
      </x:c>
      <x:c r="T1154" s="1" t="n">
        <x:v>184</x:v>
      </x:c>
    </x:row>
    <x:row r="1155" ht="21" customHeight="1">
      <x:c r="A1155" s="12" t="n">
        <x:v>46265</x:v>
      </x:c>
      <x:c r="B1155" s="1" t="str">
        <x:v>1x2 ratio</x:v>
      </x:c>
      <x:c r="C1155" s="1" t="str">
        <x:v>put</x:v>
      </x:c>
      <x:c r="D1155" s="11" t="n">
        <x:v>8300</x:v>
      </x:c>
      <x:c r="E1155" s="11" t="n">
        <x:v>8000</x:v>
      </x:c>
      <x:c r="F1155" s="11"/>
      <x:c r="G1155" s="11" t="n">
        <x:f>'Option source'!B873</x:f>
        <x:v>1260</x:v>
      </x:c>
      <x:c r="H1155" s="11" t="n">
        <x:f>'Option source'!B854</x:f>
        <x:v>950</x:v>
      </x:c>
      <x:c r="I1155" s="11"/>
      <x:c r="J1155" s="11" t="n">
        <x:f>G1155-2*H1155+IF(B1155="Butterfly",I1155,0)</x:f>
        <x:v>-640</x:v>
      </x:c>
      <x:c r="K1155" s="11" t="n">
        <x:f>ABS(E1155-D1155)</x:f>
        <x:v>300</x:v>
      </x:c>
      <x:c r="L1155" s="11" t="n">
        <x:f>K1155-J1155</x:f>
        <x:v>940</x:v>
      </x:c>
      <x:c r="M1155" s="11" t="n">
        <x:f>IF(B1155="Butterfly",MAX(J1155,0),IF(C1155="call","Unlimited",MAX(2*E1155-D1155+J1155,J1155,0)))</x:f>
        <x:v>7060</x:v>
      </x:c>
      <x:c r="N1155" s="11" t="n">
        <x:f>IF(B1155="Butterfly",IF(AND(J1155&gt;0,J1155&lt;K1155),D1155+J1155,"n.a."),IF(C1155="call",IF(AND(J1155&gt;0,J1155&lt;K1155),D1155+J1155,"n.a."),IF(AND(K1155&gt;J1155,2*E1155-D1155+J1155&gt;=0),2*E1155-D1155+J1155,"n.a.")))</x:f>
        <x:v>7060</x:v>
      </x:c>
      <x:c r="O1155" s="11" t="str">
        <x:f>IF(B1155="Butterfly",IF(AND(J1155&gt;0,J1155&lt;K1155),F1155-J1155,"n.a."),IF(C1155="call",IF(K1155&gt;J1155,2*E1155-D1155-J1155,"n.a."),IF(AND(J1155&gt;0,J1155&lt;K1155),D1155-J1155,"n.a.")))</x:f>
        <x:v>n.a.</x:v>
      </x:c>
      <x:c r="P1155" s="19" t="str">
        <x:f>IF(AND(B1155="Butterfly",J1155&gt;0,J1155&lt;K1155),L1155/J1155,"n.a.")</x:f>
        <x:v>n.a.</x:v>
      </x:c>
      <x:c r="Q1155" s="11" t="n">
        <x:f>J1155*'Model inputs'!$B$8</x:f>
        <x:v>-64000</x:v>
      </x:c>
      <x:c r="R1155" s="1" t="str">
        <x:v>Flagged leg data</x:v>
      </x:c>
      <x:c r="S1155" s="1" t="n">
        <x:v>868</x:v>
      </x:c>
      <x:c r="T1155" s="1" t="n">
        <x:v>849</x:v>
      </x:c>
    </x:row>
    <x:row r="1156" ht="21" customHeight="1">
      <x:c r="A1156" s="12" t="n">
        <x:v>46265</x:v>
      </x:c>
      <x:c r="B1156" s="1" t="str">
        <x:v>1x2 ratio</x:v>
      </x:c>
      <x:c r="C1156" s="1" t="str">
        <x:v>call</x:v>
      </x:c>
      <x:c r="D1156" s="11" t="n">
        <x:v>5600</x:v>
      </x:c>
      <x:c r="E1156" s="11" t="n">
        <x:v>6000</x:v>
      </x:c>
      <x:c r="F1156" s="11"/>
      <x:c r="G1156" s="11" t="n">
        <x:f>'Option source'!B141</x:f>
        <x:v>1311.48</x:v>
      </x:c>
      <x:c r="H1156" s="11" t="n">
        <x:f>'Option source'!B170</x:f>
        <x:v>1200</x:v>
      </x:c>
      <x:c r="I1156" s="11"/>
      <x:c r="J1156" s="11" t="n">
        <x:f>G1156-2*H1156+IF(B1156="Butterfly",I1156,0)</x:f>
        <x:v>-1088.52</x:v>
      </x:c>
      <x:c r="K1156" s="11" t="n">
        <x:f>ABS(E1156-D1156)</x:f>
        <x:v>400</x:v>
      </x:c>
      <x:c r="L1156" s="11" t="n">
        <x:f>K1156-J1156</x:f>
        <x:v>1488.52</x:v>
      </x:c>
      <x:c r="M1156" s="11" t="str">
        <x:f>IF(B1156="Butterfly",MAX(J1156,0),IF(C1156="call","Unlimited",MAX(2*E1156-D1156+J1156,J1156,0)))</x:f>
        <x:v>Unlimited</x:v>
      </x:c>
      <x:c r="N1156" s="11" t="str">
        <x:f>IF(B1156="Butterfly",IF(AND(J1156&gt;0,J1156&lt;K1156),D1156+J1156,"n.a."),IF(C1156="call",IF(AND(J1156&gt;0,J1156&lt;K1156),D1156+J1156,"n.a."),IF(AND(K1156&gt;J1156,2*E1156-D1156+J1156&gt;=0),2*E1156-D1156+J1156,"n.a.")))</x:f>
        <x:v>n.a.</x:v>
      </x:c>
      <x:c r="O1156" s="11" t="n">
        <x:f>IF(B1156="Butterfly",IF(AND(J1156&gt;0,J1156&lt;K1156),F1156-J1156,"n.a."),IF(C1156="call",IF(K1156&gt;J1156,2*E1156-D1156-J1156,"n.a."),IF(AND(J1156&gt;0,J1156&lt;K1156),D1156-J1156,"n.a.")))</x:f>
        <x:v>7488.52</x:v>
      </x:c>
      <x:c r="P1156" s="19" t="str">
        <x:f>IF(AND(B1156="Butterfly",J1156&gt;0,J1156&lt;K1156),L1156/J1156,"n.a.")</x:f>
        <x:v>n.a.</x:v>
      </x:c>
      <x:c r="Q1156" s="11" t="n">
        <x:f>J1156*'Model inputs'!$B$8</x:f>
        <x:v>-108852</x:v>
      </x:c>
      <x:c r="R1156" s="1" t="str">
        <x:v>Flagged leg data</x:v>
      </x:c>
      <x:c r="S1156" s="1" t="n">
        <x:v>136</x:v>
      </x:c>
      <x:c r="T1156" s="1" t="n">
        <x:v>165</x:v>
      </x:c>
    </x:row>
    <x:row r="1157" ht="21" customHeight="1">
      <x:c r="A1157" s="12" t="n">
        <x:v>46265</x:v>
      </x:c>
      <x:c r="B1157" s="1" t="str">
        <x:v>1x2 ratio</x:v>
      </x:c>
      <x:c r="C1157" s="1" t="str">
        <x:v>put</x:v>
      </x:c>
      <x:c r="D1157" s="11" t="n">
        <x:v>8600</x:v>
      </x:c>
      <x:c r="E1157" s="11" t="n">
        <x:v>8300</x:v>
      </x:c>
      <x:c r="F1157" s="11"/>
      <x:c r="G1157" s="11" t="n">
        <x:f>'Option source'!B892</x:f>
        <x:v>1650</x:v>
      </x:c>
      <x:c r="H1157" s="11" t="n">
        <x:f>'Option source'!B873</x:f>
        <x:v>1260</x:v>
      </x:c>
      <x:c r="I1157" s="11"/>
      <x:c r="J1157" s="11" t="n">
        <x:f>G1157-2*H1157+IF(B1157="Butterfly",I1157,0)</x:f>
        <x:v>-870</x:v>
      </x:c>
      <x:c r="K1157" s="11" t="n">
        <x:f>ABS(E1157-D1157)</x:f>
        <x:v>300</x:v>
      </x:c>
      <x:c r="L1157" s="11" t="n">
        <x:f>K1157-J1157</x:f>
        <x:v>1170</x:v>
      </x:c>
      <x:c r="M1157" s="11" t="n">
        <x:f>IF(B1157="Butterfly",MAX(J1157,0),IF(C1157="call","Unlimited",MAX(2*E1157-D1157+J1157,J1157,0)))</x:f>
        <x:v>7130</x:v>
      </x:c>
      <x:c r="N1157" s="11" t="n">
        <x:f>IF(B1157="Butterfly",IF(AND(J1157&gt;0,J1157&lt;K1157),D1157+J1157,"n.a."),IF(C1157="call",IF(AND(J1157&gt;0,J1157&lt;K1157),D1157+J1157,"n.a."),IF(AND(K1157&gt;J1157,2*E1157-D1157+J1157&gt;=0),2*E1157-D1157+J1157,"n.a.")))</x:f>
        <x:v>7130</x:v>
      </x:c>
      <x:c r="O1157" s="11" t="str">
        <x:f>IF(B1157="Butterfly",IF(AND(J1157&gt;0,J1157&lt;K1157),F1157-J1157,"n.a."),IF(C1157="call",IF(K1157&gt;J1157,2*E1157-D1157-J1157,"n.a."),IF(AND(J1157&gt;0,J1157&lt;K1157),D1157-J1157,"n.a.")))</x:f>
        <x:v>n.a.</x:v>
      </x:c>
      <x:c r="P1157" s="19" t="str">
        <x:f>IF(AND(B1157="Butterfly",J1157&gt;0,J1157&lt;K1157),L1157/J1157,"n.a.")</x:f>
        <x:v>n.a.</x:v>
      </x:c>
      <x:c r="Q1157" s="11" t="n">
        <x:f>J1157*'Model inputs'!$B$8</x:f>
        <x:v>-87000</x:v>
      </x:c>
      <x:c r="R1157" s="1" t="str">
        <x:v>Flagged leg data</x:v>
      </x:c>
      <x:c r="S1157" s="1" t="n">
        <x:v>887</x:v>
      </x:c>
      <x:c r="T1157" s="1" t="n">
        <x:v>868</x:v>
      </x:c>
    </x:row>
    <x:row r="1158" ht="21" customHeight="1">
      <x:c r="A1158" s="12" t="n">
        <x:v>46265</x:v>
      </x:c>
      <x:c r="B1158" s="1" t="str">
        <x:v>1x2 ratio</x:v>
      </x:c>
      <x:c r="C1158" s="1" t="str">
        <x:v>call</x:v>
      </x:c>
      <x:c r="D1158" s="11" t="n">
        <x:v>5400</x:v>
      </x:c>
      <x:c r="E1158" s="11" t="n">
        <x:v>5600</x:v>
      </x:c>
      <x:c r="F1158" s="11"/>
      <x:c r="G1158" s="11" t="n">
        <x:f>'Option source'!B123</x:f>
        <x:v>1812</x:v>
      </x:c>
      <x:c r="H1158" s="11" t="n">
        <x:f>'Option source'!B141</x:f>
        <x:v>1311.48</x:v>
      </x:c>
      <x:c r="I1158" s="11"/>
      <x:c r="J1158" s="11" t="n">
        <x:f>G1158-2*H1158+IF(B1158="Butterfly",I1158,0)</x:f>
        <x:v>-810.96</x:v>
      </x:c>
      <x:c r="K1158" s="11" t="n">
        <x:f>ABS(E1158-D1158)</x:f>
        <x:v>200</x:v>
      </x:c>
      <x:c r="L1158" s="11" t="n">
        <x:f>K1158-J1158</x:f>
        <x:v>1010.96</x:v>
      </x:c>
      <x:c r="M1158" s="11" t="str">
        <x:f>IF(B1158="Butterfly",MAX(J1158,0),IF(C1158="call","Unlimited",MAX(2*E1158-D1158+J1158,J1158,0)))</x:f>
        <x:v>Unlimited</x:v>
      </x:c>
      <x:c r="N1158" s="11" t="str">
        <x:f>IF(B1158="Butterfly",IF(AND(J1158&gt;0,J1158&lt;K1158),D1158+J1158,"n.a."),IF(C1158="call",IF(AND(J1158&gt;0,J1158&lt;K1158),D1158+J1158,"n.a."),IF(AND(K1158&gt;J1158,2*E1158-D1158+J1158&gt;=0),2*E1158-D1158+J1158,"n.a.")))</x:f>
        <x:v>n.a.</x:v>
      </x:c>
      <x:c r="O1158" s="11" t="n">
        <x:f>IF(B1158="Butterfly",IF(AND(J1158&gt;0,J1158&lt;K1158),F1158-J1158,"n.a."),IF(C1158="call",IF(K1158&gt;J1158,2*E1158-D1158-J1158,"n.a."),IF(AND(J1158&gt;0,J1158&lt;K1158),D1158-J1158,"n.a.")))</x:f>
        <x:v>6610.96</x:v>
      </x:c>
      <x:c r="P1158" s="19" t="str">
        <x:f>IF(AND(B1158="Butterfly",J1158&gt;0,J1158&lt;K1158),L1158/J1158,"n.a.")</x:f>
        <x:v>n.a.</x:v>
      </x:c>
      <x:c r="Q1158" s="11" t="n">
        <x:f>J1158*'Model inputs'!$B$8</x:f>
        <x:v>-81096</x:v>
      </x:c>
      <x:c r="R1158" s="1" t="str">
        <x:v>Flagged leg data</x:v>
      </x:c>
      <x:c r="S1158" s="1" t="n">
        <x:v>118</x:v>
      </x:c>
      <x:c r="T1158" s="1" t="n">
        <x:v>136</x:v>
      </x:c>
    </x:row>
    <x:row r="1159" ht="21" customHeight="1">
      <x:c r="A1159" s="12" t="n">
        <x:v>46265</x:v>
      </x:c>
      <x:c r="B1159" s="1" t="str">
        <x:v>1x2 ratio</x:v>
      </x:c>
      <x:c r="C1159" s="1" t="str">
        <x:v>put</x:v>
      </x:c>
      <x:c r="D1159" s="11" t="n">
        <x:v>8900</x:v>
      </x:c>
      <x:c r="E1159" s="11" t="n">
        <x:v>8600</x:v>
      </x:c>
      <x:c r="F1159" s="11"/>
      <x:c r="G1159" s="11" t="n">
        <x:f>'Option source'!B907</x:f>
        <x:v>2022.5</x:v>
      </x:c>
      <x:c r="H1159" s="11" t="n">
        <x:f>'Option source'!B892</x:f>
        <x:v>1650</x:v>
      </x:c>
      <x:c r="I1159" s="11"/>
      <x:c r="J1159" s="11" t="n">
        <x:f>G1159-2*H1159+IF(B1159="Butterfly",I1159,0)</x:f>
        <x:v>-1277.5</x:v>
      </x:c>
      <x:c r="K1159" s="11" t="n">
        <x:f>ABS(E1159-D1159)</x:f>
        <x:v>300</x:v>
      </x:c>
      <x:c r="L1159" s="11" t="n">
        <x:f>K1159-J1159</x:f>
        <x:v>1577.5</x:v>
      </x:c>
      <x:c r="M1159" s="11" t="n">
        <x:f>IF(B1159="Butterfly",MAX(J1159,0),IF(C1159="call","Unlimited",MAX(2*E1159-D1159+J1159,J1159,0)))</x:f>
        <x:v>7022.5</x:v>
      </x:c>
      <x:c r="N1159" s="11" t="n">
        <x:f>IF(B1159="Butterfly",IF(AND(J1159&gt;0,J1159&lt;K1159),D1159+J1159,"n.a."),IF(C1159="call",IF(AND(J1159&gt;0,J1159&lt;K1159),D1159+J1159,"n.a."),IF(AND(K1159&gt;J1159,2*E1159-D1159+J1159&gt;=0),2*E1159-D1159+J1159,"n.a.")))</x:f>
        <x:v>7022.5</x:v>
      </x:c>
      <x:c r="O1159" s="11" t="str">
        <x:f>IF(B1159="Butterfly",IF(AND(J1159&gt;0,J1159&lt;K1159),F1159-J1159,"n.a."),IF(C1159="call",IF(K1159&gt;J1159,2*E1159-D1159-J1159,"n.a."),IF(AND(J1159&gt;0,J1159&lt;K1159),D1159-J1159,"n.a.")))</x:f>
        <x:v>n.a.</x:v>
      </x:c>
      <x:c r="P1159" s="19" t="str">
        <x:f>IF(AND(B1159="Butterfly",J1159&gt;0,J1159&lt;K1159),L1159/J1159,"n.a.")</x:f>
        <x:v>n.a.</x:v>
      </x:c>
      <x:c r="Q1159" s="11" t="n">
        <x:f>J1159*'Model inputs'!$B$8</x:f>
        <x:v>-127750</x:v>
      </x:c>
      <x:c r="R1159" s="1" t="str">
        <x:v>Flagged leg data</x:v>
      </x:c>
      <x:c r="S1159" s="1" t="n">
        <x:v>902</x:v>
      </x:c>
      <x:c r="T1159" s="1" t="n">
        <x:v>887</x:v>
      </x:c>
    </x:row>
    <x:row r="1160" ht="21" customHeight="1">
      <x:c r="A1160" s="12" t="n">
        <x:v>46265</x:v>
      </x:c>
      <x:c r="B1160" s="1" t="str">
        <x:v>1x2 ratio</x:v>
      </x:c>
      <x:c r="C1160" s="1" t="str">
        <x:v>call</x:v>
      </x:c>
      <x:c r="D1160" s="11" t="n">
        <x:v>5200</x:v>
      </x:c>
      <x:c r="E1160" s="11" t="n">
        <x:v>5400</x:v>
      </x:c>
      <x:c r="F1160" s="11"/>
      <x:c r="G1160" s="11" t="n">
        <x:f>'Option source'!B104</x:f>
        <x:v>1677.12</x:v>
      </x:c>
      <x:c r="H1160" s="11" t="n">
        <x:f>'Option source'!B123</x:f>
        <x:v>1812</x:v>
      </x:c>
      <x:c r="I1160" s="11"/>
      <x:c r="J1160" s="11" t="n">
        <x:f>G1160-2*H1160+IF(B1160="Butterfly",I1160,0)</x:f>
        <x:v>-1946.88</x:v>
      </x:c>
      <x:c r="K1160" s="11" t="n">
        <x:f>ABS(E1160-D1160)</x:f>
        <x:v>200</x:v>
      </x:c>
      <x:c r="L1160" s="11" t="n">
        <x:f>K1160-J1160</x:f>
        <x:v>2146.88</x:v>
      </x:c>
      <x:c r="M1160" s="11" t="str">
        <x:f>IF(B1160="Butterfly",MAX(J1160,0),IF(C1160="call","Unlimited",MAX(2*E1160-D1160+J1160,J1160,0)))</x:f>
        <x:v>Unlimited</x:v>
      </x:c>
      <x:c r="N1160" s="11" t="str">
        <x:f>IF(B1160="Butterfly",IF(AND(J1160&gt;0,J1160&lt;K1160),D1160+J1160,"n.a."),IF(C1160="call",IF(AND(J1160&gt;0,J1160&lt;K1160),D1160+J1160,"n.a."),IF(AND(K1160&gt;J1160,2*E1160-D1160+J1160&gt;=0),2*E1160-D1160+J1160,"n.a.")))</x:f>
        <x:v>n.a.</x:v>
      </x:c>
      <x:c r="O1160" s="11" t="n">
        <x:f>IF(B1160="Butterfly",IF(AND(J1160&gt;0,J1160&lt;K1160),F1160-J1160,"n.a."),IF(C1160="call",IF(K1160&gt;J1160,2*E1160-D1160-J1160,"n.a."),IF(AND(J1160&gt;0,J1160&lt;K1160),D1160-J1160,"n.a.")))</x:f>
        <x:v>7546.88</x:v>
      </x:c>
      <x:c r="P1160" s="19" t="str">
        <x:f>IF(AND(B1160="Butterfly",J1160&gt;0,J1160&lt;K1160),L1160/J1160,"n.a.")</x:f>
        <x:v>n.a.</x:v>
      </x:c>
      <x:c r="Q1160" s="11" t="n">
        <x:f>J1160*'Model inputs'!$B$8</x:f>
        <x:v>-194688</x:v>
      </x:c>
      <x:c r="R1160" s="1" t="str">
        <x:v>Flagged leg data</x:v>
      </x:c>
      <x:c r="S1160" s="1" t="n">
        <x:v>99</x:v>
      </x:c>
      <x:c r="T1160" s="1" t="n">
        <x:v>118</x:v>
      </x:c>
    </x:row>
    <x:row r="1161" ht="21" customHeight="1">
      <x:c r="A1161" s="12" t="n">
        <x:v>46265</x:v>
      </x:c>
      <x:c r="B1161" s="1" t="str">
        <x:v>1x2 ratio</x:v>
      </x:c>
      <x:c r="C1161" s="1" t="str">
        <x:v>call</x:v>
      </x:c>
      <x:c r="D1161" s="11" t="n">
        <x:v>5000</x:v>
      </x:c>
      <x:c r="E1161" s="11" t="n">
        <x:v>5200</x:v>
      </x:c>
      <x:c r="F1161" s="11"/>
      <x:c r="G1161" s="11" t="n">
        <x:f>'Option source'!B85</x:f>
        <x:v>1997.87</x:v>
      </x:c>
      <x:c r="H1161" s="11" t="n">
        <x:f>'Option source'!B104</x:f>
        <x:v>1677.12</x:v>
      </x:c>
      <x:c r="I1161" s="11"/>
      <x:c r="J1161" s="11" t="n">
        <x:f>G1161-2*H1161+IF(B1161="Butterfly",I1161,0)</x:f>
        <x:v>-1356.37</x:v>
      </x:c>
      <x:c r="K1161" s="11" t="n">
        <x:f>ABS(E1161-D1161)</x:f>
        <x:v>200</x:v>
      </x:c>
      <x:c r="L1161" s="11" t="n">
        <x:f>K1161-J1161</x:f>
        <x:v>1556.37</x:v>
      </x:c>
      <x:c r="M1161" s="11" t="str">
        <x:f>IF(B1161="Butterfly",MAX(J1161,0),IF(C1161="call","Unlimited",MAX(2*E1161-D1161+J1161,J1161,0)))</x:f>
        <x:v>Unlimited</x:v>
      </x:c>
      <x:c r="N1161" s="11" t="str">
        <x:f>IF(B1161="Butterfly",IF(AND(J1161&gt;0,J1161&lt;K1161),D1161+J1161,"n.a."),IF(C1161="call",IF(AND(J1161&gt;0,J1161&lt;K1161),D1161+J1161,"n.a."),IF(AND(K1161&gt;J1161,2*E1161-D1161+J1161&gt;=0),2*E1161-D1161+J1161,"n.a.")))</x:f>
        <x:v>n.a.</x:v>
      </x:c>
      <x:c r="O1161" s="11" t="n">
        <x:f>IF(B1161="Butterfly",IF(AND(J1161&gt;0,J1161&lt;K1161),F1161-J1161,"n.a."),IF(C1161="call",IF(K1161&gt;J1161,2*E1161-D1161-J1161,"n.a."),IF(AND(J1161&gt;0,J1161&lt;K1161),D1161-J1161,"n.a.")))</x:f>
        <x:v>6756.37</x:v>
      </x:c>
      <x:c r="P1161" s="19" t="str">
        <x:f>IF(AND(B1161="Butterfly",J1161&gt;0,J1161&lt;K1161),L1161/J1161,"n.a.")</x:f>
        <x:v>n.a.</x:v>
      </x:c>
      <x:c r="Q1161" s="11" t="n">
        <x:f>J1161*'Model inputs'!$B$8</x:f>
        <x:v>-135637</x:v>
      </x:c>
      <x:c r="R1161" s="1" t="str">
        <x:v>Flagged leg data</x:v>
      </x:c>
      <x:c r="S1161" s="1" t="n">
        <x:v>80</x:v>
      </x:c>
      <x:c r="T1161" s="1" t="n">
        <x:v>99</x:v>
      </x:c>
    </x:row>
    <x:row r="1162" ht="21" customHeight="1">
      <x:c r="A1162" s="12" t="n">
        <x:v>46265</x:v>
      </x:c>
      <x:c r="B1162" s="1" t="str">
        <x:v>1x2 ratio</x:v>
      </x:c>
      <x:c r="C1162" s="1" t="str">
        <x:v>call</x:v>
      </x:c>
      <x:c r="D1162" s="11" t="n">
        <x:v>4800</x:v>
      </x:c>
      <x:c r="E1162" s="11" t="n">
        <x:v>5000</x:v>
      </x:c>
      <x:c r="F1162" s="11"/>
      <x:c r="G1162" s="11" t="n">
        <x:f>'Option source'!B68</x:f>
        <x:v>2050</x:v>
      </x:c>
      <x:c r="H1162" s="11" t="n">
        <x:f>'Option source'!B85</x:f>
        <x:v>1997.87</x:v>
      </x:c>
      <x:c r="I1162" s="11"/>
      <x:c r="J1162" s="11" t="n">
        <x:f>G1162-2*H1162+IF(B1162="Butterfly",I1162,0)</x:f>
        <x:v>-1945.7399999999998</x:v>
      </x:c>
      <x:c r="K1162" s="11" t="n">
        <x:f>ABS(E1162-D1162)</x:f>
        <x:v>200</x:v>
      </x:c>
      <x:c r="L1162" s="11" t="n">
        <x:f>K1162-J1162</x:f>
        <x:v>2145.74</x:v>
      </x:c>
      <x:c r="M1162" s="11" t="str">
        <x:f>IF(B1162="Butterfly",MAX(J1162,0),IF(C1162="call","Unlimited",MAX(2*E1162-D1162+J1162,J1162,0)))</x:f>
        <x:v>Unlimited</x:v>
      </x:c>
      <x:c r="N1162" s="11" t="str">
        <x:f>IF(B1162="Butterfly",IF(AND(J1162&gt;0,J1162&lt;K1162),D1162+J1162,"n.a."),IF(C1162="call",IF(AND(J1162&gt;0,J1162&lt;K1162),D1162+J1162,"n.a."),IF(AND(K1162&gt;J1162,2*E1162-D1162+J1162&gt;=0),2*E1162-D1162+J1162,"n.a.")))</x:f>
        <x:v>n.a.</x:v>
      </x:c>
      <x:c r="O1162" s="11" t="n">
        <x:f>IF(B1162="Butterfly",IF(AND(J1162&gt;0,J1162&lt;K1162),F1162-J1162,"n.a."),IF(C1162="call",IF(K1162&gt;J1162,2*E1162-D1162-J1162,"n.a."),IF(AND(J1162&gt;0,J1162&lt;K1162),D1162-J1162,"n.a.")))</x:f>
        <x:v>7145.74</x:v>
      </x:c>
      <x:c r="P1162" s="19" t="str">
        <x:f>IF(AND(B1162="Butterfly",J1162&gt;0,J1162&lt;K1162),L1162/J1162,"n.a.")</x:f>
        <x:v>n.a.</x:v>
      </x:c>
      <x:c r="Q1162" s="11" t="n">
        <x:f>J1162*'Model inputs'!$B$8</x:f>
        <x:v>-194573.99999999997</x:v>
      </x:c>
      <x:c r="R1162" s="1" t="str">
        <x:v>Flagged leg data</x:v>
      </x:c>
      <x:c r="S1162" s="1" t="n">
        <x:v>63</x:v>
      </x:c>
      <x:c r="T1162" s="1" t="n">
        <x:v>80</x:v>
      </x:c>
    </x:row>
    <x:row r="1163" ht="21" customHeight="1">
      <x:c r="A1163" s="12" t="n">
        <x:v>46265</x:v>
      </x:c>
      <x:c r="B1163" s="1" t="str">
        <x:v>1x2 ratio</x:v>
      </x:c>
      <x:c r="C1163" s="1" t="str">
        <x:v>call</x:v>
      </x:c>
      <x:c r="D1163" s="11" t="n">
        <x:v>4600</x:v>
      </x:c>
      <x:c r="E1163" s="11" t="n">
        <x:v>4800</x:v>
      </x:c>
      <x:c r="F1163" s="11"/>
      <x:c r="G1163" s="11" t="n">
        <x:f>'Option source'!B51</x:f>
        <x:v>2384.72</x:v>
      </x:c>
      <x:c r="H1163" s="11" t="n">
        <x:f>'Option source'!B68</x:f>
        <x:v>2050</x:v>
      </x:c>
      <x:c r="I1163" s="11"/>
      <x:c r="J1163" s="11" t="n">
        <x:f>G1163-2*H1163+IF(B1163="Butterfly",I1163,0)</x:f>
        <x:v>-1715.2800000000002</x:v>
      </x:c>
      <x:c r="K1163" s="11" t="n">
        <x:f>ABS(E1163-D1163)</x:f>
        <x:v>200</x:v>
      </x:c>
      <x:c r="L1163" s="11" t="n">
        <x:f>K1163-J1163</x:f>
        <x:v>1915.2800000000002</x:v>
      </x:c>
      <x:c r="M1163" s="11" t="str">
        <x:f>IF(B1163="Butterfly",MAX(J1163,0),IF(C1163="call","Unlimited",MAX(2*E1163-D1163+J1163,J1163,0)))</x:f>
        <x:v>Unlimited</x:v>
      </x:c>
      <x:c r="N1163" s="11" t="str">
        <x:f>IF(B1163="Butterfly",IF(AND(J1163&gt;0,J1163&lt;K1163),D1163+J1163,"n.a."),IF(C1163="call",IF(AND(J1163&gt;0,J1163&lt;K1163),D1163+J1163,"n.a."),IF(AND(K1163&gt;J1163,2*E1163-D1163+J1163&gt;=0),2*E1163-D1163+J1163,"n.a.")))</x:f>
        <x:v>n.a.</x:v>
      </x:c>
      <x:c r="O1163" s="11" t="n">
        <x:f>IF(B1163="Butterfly",IF(AND(J1163&gt;0,J1163&lt;K1163),F1163-J1163,"n.a."),IF(C1163="call",IF(K1163&gt;J1163,2*E1163-D1163-J1163,"n.a."),IF(AND(J1163&gt;0,J1163&lt;K1163),D1163-J1163,"n.a.")))</x:f>
        <x:v>6715.280000000001</x:v>
      </x:c>
      <x:c r="P1163" s="19" t="str">
        <x:f>IF(AND(B1163="Butterfly",J1163&gt;0,J1163&lt;K1163),L1163/J1163,"n.a.")</x:f>
        <x:v>n.a.</x:v>
      </x:c>
      <x:c r="Q1163" s="11" t="n">
        <x:f>J1163*'Model inputs'!$B$8</x:f>
        <x:v>-171528.00000000003</x:v>
      </x:c>
      <x:c r="R1163" s="1" t="str">
        <x:v>Flagged leg data</x:v>
      </x:c>
      <x:c r="S1163" s="1" t="n">
        <x:v>46</x:v>
      </x:c>
      <x:c r="T1163" s="1" t="n">
        <x:v>63</x:v>
      </x:c>
    </x:row>
    <x:row r="1164" ht="21" customHeight="1">
      <x:c r="A1164" s="12" t="n">
        <x:v>46265</x:v>
      </x:c>
      <x:c r="B1164" s="1" t="str">
        <x:v>1x2 ratio</x:v>
      </x:c>
      <x:c r="C1164" s="1" t="str">
        <x:v>call</x:v>
      </x:c>
      <x:c r="D1164" s="11" t="n">
        <x:v>4400</x:v>
      </x:c>
      <x:c r="E1164" s="11" t="n">
        <x:v>4600</x:v>
      </x:c>
      <x:c r="F1164" s="11"/>
      <x:c r="G1164" s="11" t="n">
        <x:f>'Option source'!B32</x:f>
        <x:v>2429.97</x:v>
      </x:c>
      <x:c r="H1164" s="11" t="n">
        <x:f>'Option source'!B51</x:f>
        <x:v>2384.72</x:v>
      </x:c>
      <x:c r="I1164" s="11"/>
      <x:c r="J1164" s="11" t="n">
        <x:f>G1164-2*H1164+IF(B1164="Butterfly",I1164,0)</x:f>
        <x:v>-2339.47</x:v>
      </x:c>
      <x:c r="K1164" s="11" t="n">
        <x:f>ABS(E1164-D1164)</x:f>
        <x:v>200</x:v>
      </x:c>
      <x:c r="L1164" s="11" t="n">
        <x:f>K1164-J1164</x:f>
        <x:v>2539.47</x:v>
      </x:c>
      <x:c r="M1164" s="11" t="str">
        <x:f>IF(B1164="Butterfly",MAX(J1164,0),IF(C1164="call","Unlimited",MAX(2*E1164-D1164+J1164,J1164,0)))</x:f>
        <x:v>Unlimited</x:v>
      </x:c>
      <x:c r="N1164" s="11" t="str">
        <x:f>IF(B1164="Butterfly",IF(AND(J1164&gt;0,J1164&lt;K1164),D1164+J1164,"n.a."),IF(C1164="call",IF(AND(J1164&gt;0,J1164&lt;K1164),D1164+J1164,"n.a."),IF(AND(K1164&gt;J1164,2*E1164-D1164+J1164&gt;=0),2*E1164-D1164+J1164,"n.a.")))</x:f>
        <x:v>n.a.</x:v>
      </x:c>
      <x:c r="O1164" s="11" t="n">
        <x:f>IF(B1164="Butterfly",IF(AND(J1164&gt;0,J1164&lt;K1164),F1164-J1164,"n.a."),IF(C1164="call",IF(K1164&gt;J1164,2*E1164-D1164-J1164,"n.a."),IF(AND(J1164&gt;0,J1164&lt;K1164),D1164-J1164,"n.a.")))</x:f>
        <x:v>7139.469999999999</x:v>
      </x:c>
      <x:c r="P1164" s="19" t="str">
        <x:f>IF(AND(B1164="Butterfly",J1164&gt;0,J1164&lt;K1164),L1164/J1164,"n.a.")</x:f>
        <x:v>n.a.</x:v>
      </x:c>
      <x:c r="Q1164" s="11" t="n">
        <x:f>J1164*'Model inputs'!$B$8</x:f>
        <x:v>-233946.99999999997</x:v>
      </x:c>
      <x:c r="R1164" s="1" t="str">
        <x:v>Flagged leg data</x:v>
      </x:c>
      <x:c r="S1164" s="1" t="n">
        <x:v>27</x:v>
      </x:c>
      <x:c r="T1164" s="1" t="n">
        <x:v>46</x:v>
      </x:c>
    </x:row>
    <x:row r="1165" ht="21" customHeight="1">
      <x:c r="A1165" s="12" t="n">
        <x:v>46265</x:v>
      </x:c>
      <x:c r="B1165" s="1" t="str">
        <x:v>1x2 ratio</x:v>
      </x:c>
      <x:c r="C1165" s="1" t="str">
        <x:v>call</x:v>
      </x:c>
      <x:c r="D1165" s="11" t="n">
        <x:v>4200</x:v>
      </x:c>
      <x:c r="E1165" s="11" t="n">
        <x:v>4400</x:v>
      </x:c>
      <x:c r="F1165" s="11"/>
      <x:c r="G1165" s="11" t="n">
        <x:f>'Option source'!B13</x:f>
        <x:v>2933.39</x:v>
      </x:c>
      <x:c r="H1165" s="11" t="n">
        <x:f>'Option source'!B32</x:f>
        <x:v>2429.97</x:v>
      </x:c>
      <x:c r="I1165" s="11"/>
      <x:c r="J1165" s="11" t="n">
        <x:f>G1165-2*H1165+IF(B1165="Butterfly",I1165,0)</x:f>
        <x:v>-1926.5499999999997</x:v>
      </x:c>
      <x:c r="K1165" s="11" t="n">
        <x:f>ABS(E1165-D1165)</x:f>
        <x:v>200</x:v>
      </x:c>
      <x:c r="L1165" s="11" t="n">
        <x:f>K1165-J1165</x:f>
        <x:v>2126.5499999999997</x:v>
      </x:c>
      <x:c r="M1165" s="11" t="str">
        <x:f>IF(B1165="Butterfly",MAX(J1165,0),IF(C1165="call","Unlimited",MAX(2*E1165-D1165+J1165,J1165,0)))</x:f>
        <x:v>Unlimited</x:v>
      </x:c>
      <x:c r="N1165" s="11" t="str">
        <x:f>IF(B1165="Butterfly",IF(AND(J1165&gt;0,J1165&lt;K1165),D1165+J1165,"n.a."),IF(C1165="call",IF(AND(J1165&gt;0,J1165&lt;K1165),D1165+J1165,"n.a."),IF(AND(K1165&gt;J1165,2*E1165-D1165+J1165&gt;=0),2*E1165-D1165+J1165,"n.a.")))</x:f>
        <x:v>n.a.</x:v>
      </x:c>
      <x:c r="O1165" s="11" t="n">
        <x:f>IF(B1165="Butterfly",IF(AND(J1165&gt;0,J1165&lt;K1165),F1165-J1165,"n.a."),IF(C1165="call",IF(K1165&gt;J1165,2*E1165-D1165-J1165,"n.a."),IF(AND(J1165&gt;0,J1165&lt;K1165),D1165-J1165,"n.a.")))</x:f>
        <x:v>6526.549999999999</x:v>
      </x:c>
      <x:c r="P1165" s="19" t="str">
        <x:f>IF(AND(B1165="Butterfly",J1165&gt;0,J1165&lt;K1165),L1165/J1165,"n.a.")</x:f>
        <x:v>n.a.</x:v>
      </x:c>
      <x:c r="Q1165" s="11" t="n">
        <x:f>J1165*'Model inputs'!$B$8</x:f>
        <x:v>-192654.99999999997</x:v>
      </x:c>
      <x:c r="R1165" s="1" t="str">
        <x:v>Flagged leg data</x:v>
      </x:c>
      <x:c r="S1165" s="1" t="n">
        <x:v>8</x:v>
      </x:c>
      <x:c r="T1165" s="1" t="n">
        <x:v>27</x:v>
      </x:c>
    </x:row>
    <x:row r="1166" ht="21" customHeight="1">
      <x:c r="A1166" s="12" t="n">
        <x:v>46262</x:v>
      </x:c>
      <x:c r="B1166" s="1" t="str">
        <x:v>Butterfly</x:v>
      </x:c>
      <x:c r="C1166" s="1" t="str">
        <x:v>call</x:v>
      </x:c>
      <x:c r="D1166" s="11" t="n">
        <x:v>6600</x:v>
      </x:c>
      <x:c r="E1166" s="11" t="n">
        <x:v>6800</x:v>
      </x:c>
      <x:c r="F1166" s="11" t="n">
        <x:v>7000</x:v>
      </x:c>
      <x:c r="G1166" s="11" t="n">
        <x:f>'Option source'!B226</x:f>
        <x:v>651.81</x:v>
      </x:c>
      <x:c r="H1166" s="11" t="n">
        <x:f>'Option source'!B245</x:f>
        <x:v>532.71</x:v>
      </x:c>
      <x:c r="I1166" s="11" t="n">
        <x:f>'Option source'!B264</x:f>
        <x:v>438.78</x:v>
      </x:c>
      <x:c r="J1166" s="11" t="n">
        <x:f>G1166-2*H1166+IF(B1166="Butterfly",I1166,0)</x:f>
        <x:v>25.169999999999845</x:v>
      </x:c>
      <x:c r="K1166" s="11" t="n">
        <x:f>ABS(E1166-D1166)</x:f>
        <x:v>200</x:v>
      </x:c>
      <x:c r="L1166" s="11" t="n">
        <x:f>K1166-J1166</x:f>
        <x:v>174.83000000000015</x:v>
      </x:c>
      <x:c r="M1166" s="11" t="n">
        <x:f>IF(B1166="Butterfly",MAX(J1166,0),IF(C1166="call","Unlimited",MAX(2*E1166-D1166+J1166,J1166,0)))</x:f>
        <x:v>25.169999999999845</x:v>
      </x:c>
      <x:c r="N1166" s="11" t="n">
        <x:f>IF(B1166="Butterfly",IF(AND(J1166&gt;0,J1166&lt;K1166),D1166+J1166,"n.a."),IF(C1166="call",IF(AND(J1166&gt;0,J1166&lt;K1166),D1166+J1166,"n.a."),IF(AND(K1166&gt;J1166,2*E1166-D1166+J1166&gt;=0),2*E1166-D1166+J1166,"n.a.")))</x:f>
        <x:v>6625.17</x:v>
      </x:c>
      <x:c r="O1166" s="11" t="n">
        <x:f>IF(B1166="Butterfly",IF(AND(J1166&gt;0,J1166&lt;K1166),F1166-J1166,"n.a."),IF(C1166="call",IF(K1166&gt;J1166,2*E1166-D1166-J1166,"n.a."),IF(AND(J1166&gt;0,J1166&lt;K1166),D1166-J1166,"n.a.")))</x:f>
        <x:v>6974.83</x:v>
      </x:c>
      <x:c r="P1166" s="19" t="n">
        <x:f>IF(AND(B1166="Butterfly",J1166&gt;0,J1166&lt;K1166),L1166/J1166,"n.a.")</x:f>
        <x:v>6.945967421533621</x:v>
      </x:c>
      <x:c r="Q1166" s="11" t="n">
        <x:f>J1166*'Model inputs'!$B$8</x:f>
        <x:v>2516.9999999999845</x:v>
      </x:c>
      <x:c r="R1166" s="1" t="str">
        <x:v>Indicative only</x:v>
      </x:c>
      <x:c r="S1166" s="1" t="n">
        <x:v>221</x:v>
      </x:c>
      <x:c r="T1166" s="1" t="n">
        <x:v>240</x:v>
      </x:c>
    </x:row>
    <x:row r="1167" ht="21" customHeight="1">
      <x:c r="A1167" s="12" t="n">
        <x:v>46262</x:v>
      </x:c>
      <x:c r="B1167" s="1" t="str">
        <x:v>Butterfly</x:v>
      </x:c>
      <x:c r="C1167" s="1" t="str">
        <x:v>put</x:v>
      </x:c>
      <x:c r="D1167" s="11" t="n">
        <x:v>6600</x:v>
      </x:c>
      <x:c r="E1167" s="11" t="n">
        <x:v>6800</x:v>
      </x:c>
      <x:c r="F1167" s="11" t="n">
        <x:v>7000</x:v>
      </x:c>
      <x:c r="G1167" s="11" t="n">
        <x:f>'Option source'!B720</x:f>
        <x:v>249.3</x:v>
      </x:c>
      <x:c r="H1167" s="11" t="n">
        <x:f>'Option source'!B739</x:f>
        <x:v>332.14</x:v>
      </x:c>
      <x:c r="I1167" s="11" t="n">
        <x:f>'Option source'!B758</x:f>
        <x:v>436.88</x:v>
      </x:c>
      <x:c r="J1167" s="11" t="n">
        <x:f>G1167-2*H1167+IF(B1167="Butterfly",I1167,0)</x:f>
        <x:v>21.900000000000034</x:v>
      </x:c>
      <x:c r="K1167" s="11" t="n">
        <x:f>ABS(E1167-D1167)</x:f>
        <x:v>200</x:v>
      </x:c>
      <x:c r="L1167" s="11" t="n">
        <x:f>K1167-J1167</x:f>
        <x:v>178.09999999999997</x:v>
      </x:c>
      <x:c r="M1167" s="11" t="n">
        <x:f>IF(B1167="Butterfly",MAX(J1167,0),IF(C1167="call","Unlimited",MAX(2*E1167-D1167+J1167,J1167,0)))</x:f>
        <x:v>21.900000000000034</x:v>
      </x:c>
      <x:c r="N1167" s="11" t="n">
        <x:f>IF(B1167="Butterfly",IF(AND(J1167&gt;0,J1167&lt;K1167),D1167+J1167,"n.a."),IF(C1167="call",IF(AND(J1167&gt;0,J1167&lt;K1167),D1167+J1167,"n.a."),IF(AND(K1167&gt;J1167,2*E1167-D1167+J1167&gt;=0),2*E1167-D1167+J1167,"n.a.")))</x:f>
        <x:v>6621.9</x:v>
      </x:c>
      <x:c r="O1167" s="11" t="n">
        <x:f>IF(B1167="Butterfly",IF(AND(J1167&gt;0,J1167&lt;K1167),F1167-J1167,"n.a."),IF(C1167="call",IF(K1167&gt;J1167,2*E1167-D1167-J1167,"n.a."),IF(AND(J1167&gt;0,J1167&lt;K1167),D1167-J1167,"n.a.")))</x:f>
        <x:v>6978.1</x:v>
      </x:c>
      <x:c r="P1167" s="19" t="n">
        <x:f>IF(AND(B1167="Butterfly",J1167&gt;0,J1167&lt;K1167),L1167/J1167,"n.a.")</x:f>
        <x:v>8.132420091324187</x:v>
      </x:c>
      <x:c r="Q1167" s="11" t="n">
        <x:f>J1167*'Model inputs'!$B$8</x:f>
        <x:v>2190.0000000000036</x:v>
      </x:c>
      <x:c r="R1167" s="1" t="str">
        <x:v>Indicative only</x:v>
      </x:c>
      <x:c r="S1167" s="1" t="n">
        <x:v>715</x:v>
      </x:c>
      <x:c r="T1167" s="1" t="n">
        <x:v>734</x:v>
      </x:c>
    </x:row>
    <x:row r="1168" ht="21" customHeight="1">
      <x:c r="A1168" s="12" t="n">
        <x:v>46262</x:v>
      </x:c>
      <x:c r="B1168" s="1" t="str">
        <x:v>Butterfly</x:v>
      </x:c>
      <x:c r="C1168" s="1" t="str">
        <x:v>call</x:v>
      </x:c>
      <x:c r="D1168" s="11" t="n">
        <x:v>6800</x:v>
      </x:c>
      <x:c r="E1168" s="11" t="n">
        <x:v>7000</x:v>
      </x:c>
      <x:c r="F1168" s="11" t="n">
        <x:v>7200</x:v>
      </x:c>
      <x:c r="G1168" s="11" t="n">
        <x:f>'Option source'!B245</x:f>
        <x:v>532.71</x:v>
      </x:c>
      <x:c r="H1168" s="11" t="n">
        <x:f>'Option source'!B264</x:f>
        <x:v>438.78</x:v>
      </x:c>
      <x:c r="I1168" s="11" t="n">
        <x:f>'Option source'!B283</x:f>
        <x:v>358.14</x:v>
      </x:c>
      <x:c r="J1168" s="11" t="n">
        <x:f>G1168-2*H1168+IF(B1168="Butterfly",I1168,0)</x:f>
        <x:v>13.290000000000077</x:v>
      </x:c>
      <x:c r="K1168" s="11" t="n">
        <x:f>ABS(E1168-D1168)</x:f>
        <x:v>200</x:v>
      </x:c>
      <x:c r="L1168" s="11" t="n">
        <x:f>K1168-J1168</x:f>
        <x:v>186.70999999999992</x:v>
      </x:c>
      <x:c r="M1168" s="11" t="n">
        <x:f>IF(B1168="Butterfly",MAX(J1168,0),IF(C1168="call","Unlimited",MAX(2*E1168-D1168+J1168,J1168,0)))</x:f>
        <x:v>13.290000000000077</x:v>
      </x:c>
      <x:c r="N1168" s="11" t="n">
        <x:f>IF(B1168="Butterfly",IF(AND(J1168&gt;0,J1168&lt;K1168),D1168+J1168,"n.a."),IF(C1168="call",IF(AND(J1168&gt;0,J1168&lt;K1168),D1168+J1168,"n.a."),IF(AND(K1168&gt;J1168,2*E1168-D1168+J1168&gt;=0),2*E1168-D1168+J1168,"n.a.")))</x:f>
        <x:v>6813.29</x:v>
      </x:c>
      <x:c r="O1168" s="11" t="n">
        <x:f>IF(B1168="Butterfly",IF(AND(J1168&gt;0,J1168&lt;K1168),F1168-J1168,"n.a."),IF(C1168="call",IF(K1168&gt;J1168,2*E1168-D1168-J1168,"n.a."),IF(AND(J1168&gt;0,J1168&lt;K1168),D1168-J1168,"n.a.")))</x:f>
        <x:v>7186.71</x:v>
      </x:c>
      <x:c r="P1168" s="19" t="n">
        <x:f>IF(AND(B1168="Butterfly",J1168&gt;0,J1168&lt;K1168),L1168/J1168,"n.a.")</x:f>
        <x:v>14.04890895410074</x:v>
      </x:c>
      <x:c r="Q1168" s="11" t="n">
        <x:f>J1168*'Model inputs'!$B$8</x:f>
        <x:v>1329.0000000000077</x:v>
      </x:c>
      <x:c r="R1168" s="1" t="str">
        <x:v>Indicative only</x:v>
      </x:c>
      <x:c r="S1168" s="1" t="n">
        <x:v>240</x:v>
      </x:c>
      <x:c r="T1168" s="1" t="n">
        <x:v>259</x:v>
      </x:c>
    </x:row>
    <x:row r="1169" ht="21" customHeight="1">
      <x:c r="A1169" s="12" t="n">
        <x:v>46262</x:v>
      </x:c>
      <x:c r="B1169" s="1" t="str">
        <x:v>Butterfly</x:v>
      </x:c>
      <x:c r="C1169" s="1" t="str">
        <x:v>put</x:v>
      </x:c>
      <x:c r="D1169" s="11" t="n">
        <x:v>6800</x:v>
      </x:c>
      <x:c r="E1169" s="11" t="n">
        <x:v>7000</x:v>
      </x:c>
      <x:c r="F1169" s="11" t="n">
        <x:v>7200</x:v>
      </x:c>
      <x:c r="G1169" s="11" t="n">
        <x:f>'Option source'!B739</x:f>
        <x:v>332.14</x:v>
      </x:c>
      <x:c r="H1169" s="11" t="n">
        <x:f>'Option source'!B758</x:f>
        <x:v>436.88</x:v>
      </x:c>
      <x:c r="I1169" s="11" t="n">
        <x:f>'Option source'!B777</x:f>
        <x:v>544.22</x:v>
      </x:c>
      <x:c r="J1169" s="11" t="n">
        <x:f>G1169-2*H1169+IF(B1169="Butterfly",I1169,0)</x:f>
        <x:v>2.6000000000000227</x:v>
      </x:c>
      <x:c r="K1169" s="11" t="n">
        <x:f>ABS(E1169-D1169)</x:f>
        <x:v>200</x:v>
      </x:c>
      <x:c r="L1169" s="11" t="n">
        <x:f>K1169-J1169</x:f>
        <x:v>197.39999999999998</x:v>
      </x:c>
      <x:c r="M1169" s="11" t="n">
        <x:f>IF(B1169="Butterfly",MAX(J1169,0),IF(C1169="call","Unlimited",MAX(2*E1169-D1169+J1169,J1169,0)))</x:f>
        <x:v>2.6000000000000227</x:v>
      </x:c>
      <x:c r="N1169" s="11" t="n">
        <x:f>IF(B1169="Butterfly",IF(AND(J1169&gt;0,J1169&lt;K1169),D1169+J1169,"n.a."),IF(C1169="call",IF(AND(J1169&gt;0,J1169&lt;K1169),D1169+J1169,"n.a."),IF(AND(K1169&gt;J1169,2*E1169-D1169+J1169&gt;=0),2*E1169-D1169+J1169,"n.a.")))</x:f>
        <x:v>6802.6</x:v>
      </x:c>
      <x:c r="O1169" s="11" t="n">
        <x:f>IF(B1169="Butterfly",IF(AND(J1169&gt;0,J1169&lt;K1169),F1169-J1169,"n.a."),IF(C1169="call",IF(K1169&gt;J1169,2*E1169-D1169-J1169,"n.a."),IF(AND(J1169&gt;0,J1169&lt;K1169),D1169-J1169,"n.a.")))</x:f>
        <x:v>7197.4</x:v>
      </x:c>
      <x:c r="P1169" s="19" t="n">
        <x:f>IF(AND(B1169="Butterfly",J1169&gt;0,J1169&lt;K1169),L1169/J1169,"n.a.")</x:f>
        <x:v>75.92307692307625</x:v>
      </x:c>
      <x:c r="Q1169" s="11" t="n">
        <x:f>J1169*'Model inputs'!$B$8</x:f>
        <x:v>260.0000000000023</x:v>
      </x:c>
      <x:c r="R1169" s="1" t="str">
        <x:v>Indicative only</x:v>
      </x:c>
      <x:c r="S1169" s="1" t="n">
        <x:v>734</x:v>
      </x:c>
      <x:c r="T1169" s="1" t="n">
        <x:v>753</x:v>
      </x:c>
    </x:row>
    <x:row r="1170" ht="21" customHeight="1">
      <x:c r="A1170" s="12" t="n">
        <x:v>46262</x:v>
      </x:c>
      <x:c r="B1170" s="1" t="str">
        <x:v>Butterfly</x:v>
      </x:c>
      <x:c r="C1170" s="1" t="str">
        <x:v>call</x:v>
      </x:c>
      <x:c r="D1170" s="11" t="n">
        <x:v>6400</x:v>
      </x:c>
      <x:c r="E1170" s="11" t="n">
        <x:v>6600</x:v>
      </x:c>
      <x:c r="F1170" s="11" t="n">
        <x:v>6800</x:v>
      </x:c>
      <x:c r="G1170" s="11" t="n">
        <x:f>'Option source'!B207</x:f>
        <x:v>775</x:v>
      </x:c>
      <x:c r="H1170" s="11" t="n">
        <x:f>'Option source'!B226</x:f>
        <x:v>651.81</x:v>
      </x:c>
      <x:c r="I1170" s="11" t="n">
        <x:f>'Option source'!B245</x:f>
        <x:v>532.71</x:v>
      </x:c>
      <x:c r="J1170" s="11" t="n">
        <x:f>G1170-2*H1170+IF(B1170="Butterfly",I1170,0)</x:f>
        <x:v>4.0900000000001455</x:v>
      </x:c>
      <x:c r="K1170" s="11" t="n">
        <x:f>ABS(E1170-D1170)</x:f>
        <x:v>200</x:v>
      </x:c>
      <x:c r="L1170" s="11" t="n">
        <x:f>K1170-J1170</x:f>
        <x:v>195.90999999999985</x:v>
      </x:c>
      <x:c r="M1170" s="11" t="n">
        <x:f>IF(B1170="Butterfly",MAX(J1170,0),IF(C1170="call","Unlimited",MAX(2*E1170-D1170+J1170,J1170,0)))</x:f>
        <x:v>4.0900000000001455</x:v>
      </x:c>
      <x:c r="N1170" s="11" t="n">
        <x:f>IF(B1170="Butterfly",IF(AND(J1170&gt;0,J1170&lt;K1170),D1170+J1170,"n.a."),IF(C1170="call",IF(AND(J1170&gt;0,J1170&lt;K1170),D1170+J1170,"n.a."),IF(AND(K1170&gt;J1170,2*E1170-D1170+J1170&gt;=0),2*E1170-D1170+J1170,"n.a.")))</x:f>
        <x:v>6404.09</x:v>
      </x:c>
      <x:c r="O1170" s="11" t="n">
        <x:f>IF(B1170="Butterfly",IF(AND(J1170&gt;0,J1170&lt;K1170),F1170-J1170,"n.a."),IF(C1170="call",IF(K1170&gt;J1170,2*E1170-D1170-J1170,"n.a."),IF(AND(J1170&gt;0,J1170&lt;K1170),D1170-J1170,"n.a.")))</x:f>
        <x:v>6795.91</x:v>
      </x:c>
      <x:c r="P1170" s="19" t="n">
        <x:f>IF(AND(B1170="Butterfly",J1170&gt;0,J1170&lt;K1170),L1170/J1170,"n.a.")</x:f>
        <x:v>47.89975550122075</x:v>
      </x:c>
      <x:c r="Q1170" s="11" t="n">
        <x:f>J1170*'Model inputs'!$B$8</x:f>
        <x:v>409.00000000001455</x:v>
      </x:c>
      <x:c r="R1170" s="1" t="str">
        <x:v>Indicative only</x:v>
      </x:c>
      <x:c r="S1170" s="1" t="n">
        <x:v>202</x:v>
      </x:c>
      <x:c r="T1170" s="1" t="n">
        <x:v>221</x:v>
      </x:c>
    </x:row>
    <x:row r="1171" ht="21" customHeight="1">
      <x:c r="A1171" s="12" t="n">
        <x:v>46262</x:v>
      </x:c>
      <x:c r="B1171" s="1" t="str">
        <x:v>Butterfly</x:v>
      </x:c>
      <x:c r="C1171" s="1" t="str">
        <x:v>put</x:v>
      </x:c>
      <x:c r="D1171" s="11" t="n">
        <x:v>6400</x:v>
      </x:c>
      <x:c r="E1171" s="11" t="n">
        <x:v>6600</x:v>
      </x:c>
      <x:c r="F1171" s="11" t="n">
        <x:v>6800</x:v>
      </x:c>
      <x:c r="G1171" s="11" t="n">
        <x:f>'Option source'!B701</x:f>
        <x:v>179.89</x:v>
      </x:c>
      <x:c r="H1171" s="11" t="n">
        <x:f>'Option source'!B720</x:f>
        <x:v>249.3</x:v>
      </x:c>
      <x:c r="I1171" s="11" t="n">
        <x:f>'Option source'!B739</x:f>
        <x:v>332.14</x:v>
      </x:c>
      <x:c r="J1171" s="11" t="n">
        <x:f>G1171-2*H1171+IF(B1171="Butterfly",I1171,0)</x:f>
        <x:v>13.42999999999995</x:v>
      </x:c>
      <x:c r="K1171" s="11" t="n">
        <x:f>ABS(E1171-D1171)</x:f>
        <x:v>200</x:v>
      </x:c>
      <x:c r="L1171" s="11" t="n">
        <x:f>K1171-J1171</x:f>
        <x:v>186.57000000000005</x:v>
      </x:c>
      <x:c r="M1171" s="11" t="n">
        <x:f>IF(B1171="Butterfly",MAX(J1171,0),IF(C1171="call","Unlimited",MAX(2*E1171-D1171+J1171,J1171,0)))</x:f>
        <x:v>13.42999999999995</x:v>
      </x:c>
      <x:c r="N1171" s="11" t="n">
        <x:f>IF(B1171="Butterfly",IF(AND(J1171&gt;0,J1171&lt;K1171),D1171+J1171,"n.a."),IF(C1171="call",IF(AND(J1171&gt;0,J1171&lt;K1171),D1171+J1171,"n.a."),IF(AND(K1171&gt;J1171,2*E1171-D1171+J1171&gt;=0),2*E1171-D1171+J1171,"n.a.")))</x:f>
        <x:v>6413.43</x:v>
      </x:c>
      <x:c r="O1171" s="11" t="n">
        <x:f>IF(B1171="Butterfly",IF(AND(J1171&gt;0,J1171&lt;K1171),F1171-J1171,"n.a."),IF(C1171="call",IF(K1171&gt;J1171,2*E1171-D1171-J1171,"n.a."),IF(AND(J1171&gt;0,J1171&lt;K1171),D1171-J1171,"n.a.")))</x:f>
        <x:v>6786.57</x:v>
      </x:c>
      <x:c r="P1171" s="19" t="n">
        <x:f>IF(AND(B1171="Butterfly",J1171&gt;0,J1171&lt;K1171),L1171/J1171,"n.a.")</x:f>
        <x:v>13.892032762472132</x:v>
      </x:c>
      <x:c r="Q1171" s="11" t="n">
        <x:f>J1171*'Model inputs'!$B$8</x:f>
        <x:v>1342.999999999995</x:v>
      </x:c>
      <x:c r="R1171" s="1" t="str">
        <x:v>Indicative only</x:v>
      </x:c>
      <x:c r="S1171" s="1" t="n">
        <x:v>696</x:v>
      </x:c>
      <x:c r="T1171" s="1" t="n">
        <x:v>715</x:v>
      </x:c>
    </x:row>
    <x:row r="1172" ht="21" customHeight="1">
      <x:c r="A1172" s="12" t="n">
        <x:v>46262</x:v>
      </x:c>
      <x:c r="B1172" s="1" t="str">
        <x:v>Butterfly</x:v>
      </x:c>
      <x:c r="C1172" s="1" t="str">
        <x:v>call</x:v>
      </x:c>
      <x:c r="D1172" s="11" t="n">
        <x:v>7000</x:v>
      </x:c>
      <x:c r="E1172" s="11" t="n">
        <x:v>7200</x:v>
      </x:c>
      <x:c r="F1172" s="11" t="n">
        <x:v>7400</x:v>
      </x:c>
      <x:c r="G1172" s="11" t="n">
        <x:f>'Option source'!B264</x:f>
        <x:v>438.78</x:v>
      </x:c>
      <x:c r="H1172" s="11" t="n">
        <x:f>'Option source'!B283</x:f>
        <x:v>358.14</x:v>
      </x:c>
      <x:c r="I1172" s="11" t="n">
        <x:f>'Option source'!B302</x:f>
        <x:v>280.61</x:v>
      </x:c>
      <x:c r="J1172" s="11" t="n">
        <x:f>G1172-2*H1172+IF(B1172="Butterfly",I1172,0)</x:f>
        <x:v>3.1100000000000136</x:v>
      </x:c>
      <x:c r="K1172" s="11" t="n">
        <x:f>ABS(E1172-D1172)</x:f>
        <x:v>200</x:v>
      </x:c>
      <x:c r="L1172" s="11" t="n">
        <x:f>K1172-J1172</x:f>
        <x:v>196.89</x:v>
      </x:c>
      <x:c r="M1172" s="11" t="n">
        <x:f>IF(B1172="Butterfly",MAX(J1172,0),IF(C1172="call","Unlimited",MAX(2*E1172-D1172+J1172,J1172,0)))</x:f>
        <x:v>3.1100000000000136</x:v>
      </x:c>
      <x:c r="N1172" s="11" t="n">
        <x:f>IF(B1172="Butterfly",IF(AND(J1172&gt;0,J1172&lt;K1172),D1172+J1172,"n.a."),IF(C1172="call",IF(AND(J1172&gt;0,J1172&lt;K1172),D1172+J1172,"n.a."),IF(AND(K1172&gt;J1172,2*E1172-D1172+J1172&gt;=0),2*E1172-D1172+J1172,"n.a.")))</x:f>
        <x:v>7003.11</x:v>
      </x:c>
      <x:c r="O1172" s="11" t="n">
        <x:f>IF(B1172="Butterfly",IF(AND(J1172&gt;0,J1172&lt;K1172),F1172-J1172,"n.a."),IF(C1172="call",IF(K1172&gt;J1172,2*E1172-D1172-J1172,"n.a."),IF(AND(J1172&gt;0,J1172&lt;K1172),D1172-J1172,"n.a.")))</x:f>
        <x:v>7396.89</x:v>
      </x:c>
      <x:c r="P1172" s="19" t="n">
        <x:f>IF(AND(B1172="Butterfly",J1172&gt;0,J1172&lt;K1172),L1172/J1172,"n.a.")</x:f>
        <x:v>63.30868167202544</x:v>
      </x:c>
      <x:c r="Q1172" s="11" t="n">
        <x:f>J1172*'Model inputs'!$B$8</x:f>
        <x:v>311.00000000000136</x:v>
      </x:c>
      <x:c r="R1172" s="1" t="str">
        <x:v>Indicative only</x:v>
      </x:c>
      <x:c r="S1172" s="1" t="n">
        <x:v>259</x:v>
      </x:c>
      <x:c r="T1172" s="1" t="n">
        <x:v>278</x:v>
      </x:c>
    </x:row>
    <x:row r="1173" ht="21" customHeight="1">
      <x:c r="A1173" s="12" t="n">
        <x:v>46262</x:v>
      </x:c>
      <x:c r="B1173" s="1" t="str">
        <x:v>Butterfly</x:v>
      </x:c>
      <x:c r="C1173" s="1" t="str">
        <x:v>put</x:v>
      </x:c>
      <x:c r="D1173" s="11" t="n">
        <x:v>6200</x:v>
      </x:c>
      <x:c r="E1173" s="11" t="n">
        <x:v>6400</x:v>
      </x:c>
      <x:c r="F1173" s="11" t="n">
        <x:v>6600</x:v>
      </x:c>
      <x:c r="G1173" s="11" t="n">
        <x:f>'Option source'!B682</x:f>
        <x:v>125.54</x:v>
      </x:c>
      <x:c r="H1173" s="11" t="n">
        <x:f>'Option source'!B701</x:f>
        <x:v>179.89</x:v>
      </x:c>
      <x:c r="I1173" s="11" t="n">
        <x:f>'Option source'!B720</x:f>
        <x:v>249.3</x:v>
      </x:c>
      <x:c r="J1173" s="11" t="n">
        <x:f>G1173-2*H1173+IF(B1173="Butterfly",I1173,0)</x:f>
        <x:v>15.06000000000006</x:v>
      </x:c>
      <x:c r="K1173" s="11" t="n">
        <x:f>ABS(E1173-D1173)</x:f>
        <x:v>200</x:v>
      </x:c>
      <x:c r="L1173" s="11" t="n">
        <x:f>K1173-J1173</x:f>
        <x:v>184.93999999999994</x:v>
      </x:c>
      <x:c r="M1173" s="11" t="n">
        <x:f>IF(B1173="Butterfly",MAX(J1173,0),IF(C1173="call","Unlimited",MAX(2*E1173-D1173+J1173,J1173,0)))</x:f>
        <x:v>15.06000000000006</x:v>
      </x:c>
      <x:c r="N1173" s="11" t="n">
        <x:f>IF(B1173="Butterfly",IF(AND(J1173&gt;0,J1173&lt;K1173),D1173+J1173,"n.a."),IF(C1173="call",IF(AND(J1173&gt;0,J1173&lt;K1173),D1173+J1173,"n.a."),IF(AND(K1173&gt;J1173,2*E1173-D1173+J1173&gt;=0),2*E1173-D1173+J1173,"n.a.")))</x:f>
        <x:v>6215.06</x:v>
      </x:c>
      <x:c r="O1173" s="11" t="n">
        <x:f>IF(B1173="Butterfly",IF(AND(J1173&gt;0,J1173&lt;K1173),F1173-J1173,"n.a."),IF(C1173="call",IF(K1173&gt;J1173,2*E1173-D1173-J1173,"n.a."),IF(AND(J1173&gt;0,J1173&lt;K1173),D1173-J1173,"n.a.")))</x:f>
        <x:v>6584.94</x:v>
      </x:c>
      <x:c r="P1173" s="19" t="n">
        <x:f>IF(AND(B1173="Butterfly",J1173&gt;0,J1173&lt;K1173),L1173/J1173,"n.a.")</x:f>
        <x:v>12.280212483399682</x:v>
      </x:c>
      <x:c r="Q1173" s="11" t="n">
        <x:f>J1173*'Model inputs'!$B$8</x:f>
        <x:v>1506.000000000006</x:v>
      </x:c>
      <x:c r="R1173" s="1" t="str">
        <x:v>Indicative only</x:v>
      </x:c>
      <x:c r="S1173" s="1" t="n">
        <x:v>677</x:v>
      </x:c>
      <x:c r="T1173" s="1" t="n">
        <x:v>696</x:v>
      </x:c>
    </x:row>
    <x:row r="1174" ht="21" customHeight="1">
      <x:c r="A1174" s="12" t="n">
        <x:v>46262</x:v>
      </x:c>
      <x:c r="B1174" s="1" t="str">
        <x:v>Butterfly</x:v>
      </x:c>
      <x:c r="C1174" s="1" t="str">
        <x:v>call</x:v>
      </x:c>
      <x:c r="D1174" s="11" t="n">
        <x:v>7200</x:v>
      </x:c>
      <x:c r="E1174" s="11" t="n">
        <x:v>7400</x:v>
      </x:c>
      <x:c r="F1174" s="11" t="n">
        <x:v>7600</x:v>
      </x:c>
      <x:c r="G1174" s="11" t="n">
        <x:f>'Option source'!B283</x:f>
        <x:v>358.14</x:v>
      </x:c>
      <x:c r="H1174" s="11" t="n">
        <x:f>'Option source'!B302</x:f>
        <x:v>280.61</x:v>
      </x:c>
      <x:c r="I1174" s="11" t="n">
        <x:f>'Option source'!B321</x:f>
        <x:v>220.2</x:v>
      </x:c>
      <x:c r="J1174" s="11" t="n">
        <x:f>G1174-2*H1174+IF(B1174="Butterfly",I1174,0)</x:f>
        <x:v>17.119999999999948</x:v>
      </x:c>
      <x:c r="K1174" s="11" t="n">
        <x:f>ABS(E1174-D1174)</x:f>
        <x:v>200</x:v>
      </x:c>
      <x:c r="L1174" s="11" t="n">
        <x:f>K1174-J1174</x:f>
        <x:v>182.88000000000005</x:v>
      </x:c>
      <x:c r="M1174" s="11" t="n">
        <x:f>IF(B1174="Butterfly",MAX(J1174,0),IF(C1174="call","Unlimited",MAX(2*E1174-D1174+J1174,J1174,0)))</x:f>
        <x:v>17.119999999999948</x:v>
      </x:c>
      <x:c r="N1174" s="11" t="n">
        <x:f>IF(B1174="Butterfly",IF(AND(J1174&gt;0,J1174&lt;K1174),D1174+J1174,"n.a."),IF(C1174="call",IF(AND(J1174&gt;0,J1174&lt;K1174),D1174+J1174,"n.a."),IF(AND(K1174&gt;J1174,2*E1174-D1174+J1174&gt;=0),2*E1174-D1174+J1174,"n.a.")))</x:f>
        <x:v>7217.12</x:v>
      </x:c>
      <x:c r="O1174" s="11" t="n">
        <x:f>IF(B1174="Butterfly",IF(AND(J1174&gt;0,J1174&lt;K1174),F1174-J1174,"n.a."),IF(C1174="call",IF(K1174&gt;J1174,2*E1174-D1174-J1174,"n.a."),IF(AND(J1174&gt;0,J1174&lt;K1174),D1174-J1174,"n.a.")))</x:f>
        <x:v>7582.88</x:v>
      </x:c>
      <x:c r="P1174" s="19" t="n">
        <x:f>IF(AND(B1174="Butterfly",J1174&gt;0,J1174&lt;K1174),L1174/J1174,"n.a.")</x:f>
        <x:v>10.682242990654242</x:v>
      </x:c>
      <x:c r="Q1174" s="11" t="n">
        <x:f>J1174*'Model inputs'!$B$8</x:f>
        <x:v>1711.9999999999948</x:v>
      </x:c>
      <x:c r="R1174" s="1" t="str">
        <x:v>Indicative only</x:v>
      </x:c>
      <x:c r="S1174" s="1" t="n">
        <x:v>278</x:v>
      </x:c>
      <x:c r="T1174" s="1" t="n">
        <x:v>297</x:v>
      </x:c>
    </x:row>
    <x:row r="1175" ht="21" customHeight="1">
      <x:c r="A1175" s="12" t="n">
        <x:v>46262</x:v>
      </x:c>
      <x:c r="B1175" s="1" t="str">
        <x:v>Butterfly</x:v>
      </x:c>
      <x:c r="C1175" s="1" t="str">
        <x:v>put</x:v>
      </x:c>
      <x:c r="D1175" s="11" t="n">
        <x:v>6000</x:v>
      </x:c>
      <x:c r="E1175" s="11" t="n">
        <x:v>6200</x:v>
      </x:c>
      <x:c r="F1175" s="11" t="n">
        <x:v>6400</x:v>
      </x:c>
      <x:c r="G1175" s="11" t="n">
        <x:f>'Option source'!B663</x:f>
        <x:v>83.64</x:v>
      </x:c>
      <x:c r="H1175" s="11" t="n">
        <x:f>'Option source'!B682</x:f>
        <x:v>125.54</x:v>
      </x:c>
      <x:c r="I1175" s="11" t="n">
        <x:f>'Option source'!B701</x:f>
        <x:v>179.89</x:v>
      </x:c>
      <x:c r="J1175" s="11" t="n">
        <x:f>G1175-2*H1175+IF(B1175="Butterfly",I1175,0)</x:f>
        <x:v>12.449999999999989</x:v>
      </x:c>
      <x:c r="K1175" s="11" t="n">
        <x:f>ABS(E1175-D1175)</x:f>
        <x:v>200</x:v>
      </x:c>
      <x:c r="L1175" s="11" t="n">
        <x:f>K1175-J1175</x:f>
        <x:v>187.55</x:v>
      </x:c>
      <x:c r="M1175" s="11" t="n">
        <x:f>IF(B1175="Butterfly",MAX(J1175,0),IF(C1175="call","Unlimited",MAX(2*E1175-D1175+J1175,J1175,0)))</x:f>
        <x:v>12.449999999999989</x:v>
      </x:c>
      <x:c r="N1175" s="11" t="n">
        <x:f>IF(B1175="Butterfly",IF(AND(J1175&gt;0,J1175&lt;K1175),D1175+J1175,"n.a."),IF(C1175="call",IF(AND(J1175&gt;0,J1175&lt;K1175),D1175+J1175,"n.a."),IF(AND(K1175&gt;J1175,2*E1175-D1175+J1175&gt;=0),2*E1175-D1175+J1175,"n.a.")))</x:f>
        <x:v>6012.45</x:v>
      </x:c>
      <x:c r="O1175" s="11" t="n">
        <x:f>IF(B1175="Butterfly",IF(AND(J1175&gt;0,J1175&lt;K1175),F1175-J1175,"n.a."),IF(C1175="call",IF(K1175&gt;J1175,2*E1175-D1175-J1175,"n.a."),IF(AND(J1175&gt;0,J1175&lt;K1175),D1175-J1175,"n.a.")))</x:f>
        <x:v>6387.55</x:v>
      </x:c>
      <x:c r="P1175" s="19" t="n">
        <x:f>IF(AND(B1175="Butterfly",J1175&gt;0,J1175&lt;K1175),L1175/J1175,"n.a.")</x:f>
        <x:v>15.064257028112465</x:v>
      </x:c>
      <x:c r="Q1175" s="11" t="n">
        <x:f>J1175*'Model inputs'!$B$8</x:f>
        <x:v>1244.9999999999989</x:v>
      </x:c>
      <x:c r="R1175" s="1" t="str">
        <x:v>Indicative only</x:v>
      </x:c>
      <x:c r="S1175" s="1" t="n">
        <x:v>658</x:v>
      </x:c>
      <x:c r="T1175" s="1" t="n">
        <x:v>677</x:v>
      </x:c>
    </x:row>
    <x:row r="1176" ht="21" customHeight="1">
      <x:c r="A1176" s="12" t="n">
        <x:v>46262</x:v>
      </x:c>
      <x:c r="B1176" s="1" t="str">
        <x:v>Butterfly</x:v>
      </x:c>
      <x:c r="C1176" s="1" t="str">
        <x:v>call</x:v>
      </x:c>
      <x:c r="D1176" s="11" t="n">
        <x:v>7400</x:v>
      </x:c>
      <x:c r="E1176" s="11" t="n">
        <x:v>7600</x:v>
      </x:c>
      <x:c r="F1176" s="11" t="n">
        <x:v>7800</x:v>
      </x:c>
      <x:c r="G1176" s="11" t="n">
        <x:f>'Option source'!B302</x:f>
        <x:v>280.61</x:v>
      </x:c>
      <x:c r="H1176" s="11" t="n">
        <x:f>'Option source'!B321</x:f>
        <x:v>220.2</x:v>
      </x:c>
      <x:c r="I1176" s="11" t="n">
        <x:f>'Option source'!B340</x:f>
        <x:v>169.15</x:v>
      </x:c>
      <x:c r="J1176" s="11" t="n">
        <x:f>G1176-2*H1176+IF(B1176="Butterfly",I1176,0)</x:f>
        <x:v>9.360000000000042</x:v>
      </x:c>
      <x:c r="K1176" s="11" t="n">
        <x:f>ABS(E1176-D1176)</x:f>
        <x:v>200</x:v>
      </x:c>
      <x:c r="L1176" s="11" t="n">
        <x:f>K1176-J1176</x:f>
        <x:v>190.63999999999996</x:v>
      </x:c>
      <x:c r="M1176" s="11" t="n">
        <x:f>IF(B1176="Butterfly",MAX(J1176,0),IF(C1176="call","Unlimited",MAX(2*E1176-D1176+J1176,J1176,0)))</x:f>
        <x:v>9.360000000000042</x:v>
      </x:c>
      <x:c r="N1176" s="11" t="n">
        <x:f>IF(B1176="Butterfly",IF(AND(J1176&gt;0,J1176&lt;K1176),D1176+J1176,"n.a."),IF(C1176="call",IF(AND(J1176&gt;0,J1176&lt;K1176),D1176+J1176,"n.a."),IF(AND(K1176&gt;J1176,2*E1176-D1176+J1176&gt;=0),2*E1176-D1176+J1176,"n.a.")))</x:f>
        <x:v>7409.36</x:v>
      </x:c>
      <x:c r="O1176" s="11" t="n">
        <x:f>IF(B1176="Butterfly",IF(AND(J1176&gt;0,J1176&lt;K1176),F1176-J1176,"n.a."),IF(C1176="call",IF(K1176&gt;J1176,2*E1176-D1176-J1176,"n.a."),IF(AND(J1176&gt;0,J1176&lt;K1176),D1176-J1176,"n.a.")))</x:f>
        <x:v>7790.64</x:v>
      </x:c>
      <x:c r="P1176" s="19" t="n">
        <x:f>IF(AND(B1176="Butterfly",J1176&gt;0,J1176&lt;K1176),L1176/J1176,"n.a.")</x:f>
        <x:v>20.36752136752127</x:v>
      </x:c>
      <x:c r="Q1176" s="11" t="n">
        <x:f>J1176*'Model inputs'!$B$8</x:f>
        <x:v>936.0000000000042</x:v>
      </x:c>
      <x:c r="R1176" s="1" t="str">
        <x:v>Indicative only</x:v>
      </x:c>
      <x:c r="S1176" s="1" t="n">
        <x:v>297</x:v>
      </x:c>
      <x:c r="T1176" s="1" t="n">
        <x:v>316</x:v>
      </x:c>
    </x:row>
    <x:row r="1177" ht="21" customHeight="1">
      <x:c r="A1177" s="12" t="n">
        <x:v>46262</x:v>
      </x:c>
      <x:c r="B1177" s="1" t="str">
        <x:v>Butterfly</x:v>
      </x:c>
      <x:c r="C1177" s="1" t="str">
        <x:v>put</x:v>
      </x:c>
      <x:c r="D1177" s="11" t="n">
        <x:v>5800</x:v>
      </x:c>
      <x:c r="E1177" s="11" t="n">
        <x:v>6000</x:v>
      </x:c>
      <x:c r="F1177" s="11" t="n">
        <x:v>6200</x:v>
      </x:c>
      <x:c r="G1177" s="11" t="n">
        <x:f>'Option source'!B644</x:f>
        <x:v>52.04</x:v>
      </x:c>
      <x:c r="H1177" s="11" t="n">
        <x:f>'Option source'!B663</x:f>
        <x:v>83.64</x:v>
      </x:c>
      <x:c r="I1177" s="11" t="n">
        <x:f>'Option source'!B682</x:f>
        <x:v>125.54</x:v>
      </x:c>
      <x:c r="J1177" s="11" t="n">
        <x:f>G1177-2*H1177+IF(B1177="Butterfly",I1177,0)</x:f>
        <x:v>10.299999999999997</x:v>
      </x:c>
      <x:c r="K1177" s="11" t="n">
        <x:f>ABS(E1177-D1177)</x:f>
        <x:v>200</x:v>
      </x:c>
      <x:c r="L1177" s="11" t="n">
        <x:f>K1177-J1177</x:f>
        <x:v>189.7</x:v>
      </x:c>
      <x:c r="M1177" s="11" t="n">
        <x:f>IF(B1177="Butterfly",MAX(J1177,0),IF(C1177="call","Unlimited",MAX(2*E1177-D1177+J1177,J1177,0)))</x:f>
        <x:v>10.299999999999997</x:v>
      </x:c>
      <x:c r="N1177" s="11" t="n">
        <x:f>IF(B1177="Butterfly",IF(AND(J1177&gt;0,J1177&lt;K1177),D1177+J1177,"n.a."),IF(C1177="call",IF(AND(J1177&gt;0,J1177&lt;K1177),D1177+J1177,"n.a."),IF(AND(K1177&gt;J1177,2*E1177-D1177+J1177&gt;=0),2*E1177-D1177+J1177,"n.a.")))</x:f>
        <x:v>5810.3</x:v>
      </x:c>
      <x:c r="O1177" s="11" t="n">
        <x:f>IF(B1177="Butterfly",IF(AND(J1177&gt;0,J1177&lt;K1177),F1177-J1177,"n.a."),IF(C1177="call",IF(K1177&gt;J1177,2*E1177-D1177-J1177,"n.a."),IF(AND(J1177&gt;0,J1177&lt;K1177),D1177-J1177,"n.a.")))</x:f>
        <x:v>6189.7</x:v>
      </x:c>
      <x:c r="P1177" s="19" t="n">
        <x:f>IF(AND(B1177="Butterfly",J1177&gt;0,J1177&lt;K1177),L1177/J1177,"n.a.")</x:f>
        <x:v>18.417475728155345</x:v>
      </x:c>
      <x:c r="Q1177" s="11" t="n">
        <x:f>J1177*'Model inputs'!$B$8</x:f>
        <x:v>1029.9999999999998</x:v>
      </x:c>
      <x:c r="R1177" s="1" t="str">
        <x:v>Indicative only</x:v>
      </x:c>
      <x:c r="S1177" s="1" t="n">
        <x:v>639</x:v>
      </x:c>
      <x:c r="T1177" s="1" t="n">
        <x:v>658</x:v>
      </x:c>
    </x:row>
    <x:row r="1178" ht="21" customHeight="1">
      <x:c r="A1178" s="12" t="n">
        <x:v>46262</x:v>
      </x:c>
      <x:c r="B1178" s="1" t="str">
        <x:v>Butterfly</x:v>
      </x:c>
      <x:c r="C1178" s="1" t="str">
        <x:v>call</x:v>
      </x:c>
      <x:c r="D1178" s="11" t="n">
        <x:v>7600</x:v>
      </x:c>
      <x:c r="E1178" s="11" t="n">
        <x:v>7800</x:v>
      </x:c>
      <x:c r="F1178" s="11" t="n">
        <x:v>8000</x:v>
      </x:c>
      <x:c r="G1178" s="11" t="n">
        <x:f>'Option source'!B321</x:f>
        <x:v>220.2</x:v>
      </x:c>
      <x:c r="H1178" s="11" t="n">
        <x:f>'Option source'!B340</x:f>
        <x:v>169.15</x:v>
      </x:c>
      <x:c r="I1178" s="11" t="n">
        <x:f>'Option source'!B359</x:f>
        <x:v>129.19</x:v>
      </x:c>
      <x:c r="J1178" s="11" t="n">
        <x:f>G1178-2*H1178+IF(B1178="Butterfly",I1178,0)</x:f>
        <x:v>11.089999999999975</x:v>
      </x:c>
      <x:c r="K1178" s="11" t="n">
        <x:f>ABS(E1178-D1178)</x:f>
        <x:v>200</x:v>
      </x:c>
      <x:c r="L1178" s="11" t="n">
        <x:f>K1178-J1178</x:f>
        <x:v>188.91000000000003</x:v>
      </x:c>
      <x:c r="M1178" s="11" t="n">
        <x:f>IF(B1178="Butterfly",MAX(J1178,0),IF(C1178="call","Unlimited",MAX(2*E1178-D1178+J1178,J1178,0)))</x:f>
        <x:v>11.089999999999975</x:v>
      </x:c>
      <x:c r="N1178" s="11" t="n">
        <x:f>IF(B1178="Butterfly",IF(AND(J1178&gt;0,J1178&lt;K1178),D1178+J1178,"n.a."),IF(C1178="call",IF(AND(J1178&gt;0,J1178&lt;K1178),D1178+J1178,"n.a."),IF(AND(K1178&gt;J1178,2*E1178-D1178+J1178&gt;=0),2*E1178-D1178+J1178,"n.a.")))</x:f>
        <x:v>7611.09</x:v>
      </x:c>
      <x:c r="O1178" s="11" t="n">
        <x:f>IF(B1178="Butterfly",IF(AND(J1178&gt;0,J1178&lt;K1178),F1178-J1178,"n.a."),IF(C1178="call",IF(K1178&gt;J1178,2*E1178-D1178-J1178,"n.a."),IF(AND(J1178&gt;0,J1178&lt;K1178),D1178-J1178,"n.a.")))</x:f>
        <x:v>7988.91</x:v>
      </x:c>
      <x:c r="P1178" s="19" t="n">
        <x:f>IF(AND(B1178="Butterfly",J1178&gt;0,J1178&lt;K1178),L1178/J1178,"n.a.")</x:f>
        <x:v>17.034265103697066</x:v>
      </x:c>
      <x:c r="Q1178" s="11" t="n">
        <x:f>J1178*'Model inputs'!$B$8</x:f>
        <x:v>1108.9999999999975</x:v>
      </x:c>
      <x:c r="R1178" s="1" t="str">
        <x:v>Indicative only</x:v>
      </x:c>
      <x:c r="S1178" s="1" t="n">
        <x:v>316</x:v>
      </x:c>
      <x:c r="T1178" s="1" t="n">
        <x:v>335</x:v>
      </x:c>
    </x:row>
    <x:row r="1179" ht="21" customHeight="1">
      <x:c r="A1179" s="12" t="n">
        <x:v>46262</x:v>
      </x:c>
      <x:c r="B1179" s="1" t="str">
        <x:v>Butterfly</x:v>
      </x:c>
      <x:c r="C1179" s="1" t="str">
        <x:v>put</x:v>
      </x:c>
      <x:c r="D1179" s="11" t="n">
        <x:v>5600</x:v>
      </x:c>
      <x:c r="E1179" s="11" t="n">
        <x:v>5800</x:v>
      </x:c>
      <x:c r="F1179" s="11" t="n">
        <x:v>6000</x:v>
      </x:c>
      <x:c r="G1179" s="11" t="n">
        <x:f>'Option source'!B625</x:f>
        <x:v>32.76</x:v>
      </x:c>
      <x:c r="H1179" s="11" t="n">
        <x:f>'Option source'!B644</x:f>
        <x:v>52.04</x:v>
      </x:c>
      <x:c r="I1179" s="11" t="n">
        <x:f>'Option source'!B663</x:f>
        <x:v>83.64</x:v>
      </x:c>
      <x:c r="J1179" s="11" t="n">
        <x:f>G1179-2*H1179+IF(B1179="Butterfly",I1179,0)</x:f>
        <x:v>12.320000000000007</x:v>
      </x:c>
      <x:c r="K1179" s="11" t="n">
        <x:f>ABS(E1179-D1179)</x:f>
        <x:v>200</x:v>
      </x:c>
      <x:c r="L1179" s="11" t="n">
        <x:f>K1179-J1179</x:f>
        <x:v>187.68</x:v>
      </x:c>
      <x:c r="M1179" s="11" t="n">
        <x:f>IF(B1179="Butterfly",MAX(J1179,0),IF(C1179="call","Unlimited",MAX(2*E1179-D1179+J1179,J1179,0)))</x:f>
        <x:v>12.320000000000007</x:v>
      </x:c>
      <x:c r="N1179" s="11" t="n">
        <x:f>IF(B1179="Butterfly",IF(AND(J1179&gt;0,J1179&lt;K1179),D1179+J1179,"n.a."),IF(C1179="call",IF(AND(J1179&gt;0,J1179&lt;K1179),D1179+J1179,"n.a."),IF(AND(K1179&gt;J1179,2*E1179-D1179+J1179&gt;=0),2*E1179-D1179+J1179,"n.a.")))</x:f>
        <x:v>5612.32</x:v>
      </x:c>
      <x:c r="O1179" s="11" t="n">
        <x:f>IF(B1179="Butterfly",IF(AND(J1179&gt;0,J1179&lt;K1179),F1179-J1179,"n.a."),IF(C1179="call",IF(K1179&gt;J1179,2*E1179-D1179-J1179,"n.a."),IF(AND(J1179&gt;0,J1179&lt;K1179),D1179-J1179,"n.a.")))</x:f>
        <x:v>5987.68</x:v>
      </x:c>
      <x:c r="P1179" s="19" t="n">
        <x:f>IF(AND(B1179="Butterfly",J1179&gt;0,J1179&lt;K1179),L1179/J1179,"n.a.")</x:f>
        <x:v>15.233766233766225</x:v>
      </x:c>
      <x:c r="Q1179" s="11" t="n">
        <x:f>J1179*'Model inputs'!$B$8</x:f>
        <x:v>1232.0000000000007</x:v>
      </x:c>
      <x:c r="R1179" s="1" t="str">
        <x:v>Indicative only</x:v>
      </x:c>
      <x:c r="S1179" s="1" t="n">
        <x:v>620</x:v>
      </x:c>
      <x:c r="T1179" s="1" t="n">
        <x:v>639</x:v>
      </x:c>
    </x:row>
    <x:row r="1180" ht="21" customHeight="1">
      <x:c r="A1180" s="12" t="n">
        <x:v>46262</x:v>
      </x:c>
      <x:c r="B1180" s="1" t="str">
        <x:v>Butterfly</x:v>
      </x:c>
      <x:c r="C1180" s="1" t="str">
        <x:v>put</x:v>
      </x:c>
      <x:c r="D1180" s="11" t="n">
        <x:v>5400</x:v>
      </x:c>
      <x:c r="E1180" s="11" t="n">
        <x:v>5600</x:v>
      </x:c>
      <x:c r="F1180" s="11" t="n">
        <x:v>5800</x:v>
      </x:c>
      <x:c r="G1180" s="11" t="n">
        <x:f>'Option source'!B606</x:f>
        <x:v>18.4</x:v>
      </x:c>
      <x:c r="H1180" s="11" t="n">
        <x:f>'Option source'!B625</x:f>
        <x:v>32.76</x:v>
      </x:c>
      <x:c r="I1180" s="11" t="n">
        <x:f>'Option source'!B644</x:f>
        <x:v>52.04</x:v>
      </x:c>
      <x:c r="J1180" s="11" t="n">
        <x:f>G1180-2*H1180+IF(B1180="Butterfly",I1180,0)</x:f>
        <x:v>4.920000000000002</x:v>
      </x:c>
      <x:c r="K1180" s="11" t="n">
        <x:f>ABS(E1180-D1180)</x:f>
        <x:v>200</x:v>
      </x:c>
      <x:c r="L1180" s="11" t="n">
        <x:f>K1180-J1180</x:f>
        <x:v>195.07999999999998</x:v>
      </x:c>
      <x:c r="M1180" s="11" t="n">
        <x:f>IF(B1180="Butterfly",MAX(J1180,0),IF(C1180="call","Unlimited",MAX(2*E1180-D1180+J1180,J1180,0)))</x:f>
        <x:v>4.920000000000002</x:v>
      </x:c>
      <x:c r="N1180" s="11" t="n">
        <x:f>IF(B1180="Butterfly",IF(AND(J1180&gt;0,J1180&lt;K1180),D1180+J1180,"n.a."),IF(C1180="call",IF(AND(J1180&gt;0,J1180&lt;K1180),D1180+J1180,"n.a."),IF(AND(K1180&gt;J1180,2*E1180-D1180+J1180&gt;=0),2*E1180-D1180+J1180,"n.a.")))</x:f>
        <x:v>5404.92</x:v>
      </x:c>
      <x:c r="O1180" s="11" t="n">
        <x:f>IF(B1180="Butterfly",IF(AND(J1180&gt;0,J1180&lt;K1180),F1180-J1180,"n.a."),IF(C1180="call",IF(K1180&gt;J1180,2*E1180-D1180-J1180,"n.a."),IF(AND(J1180&gt;0,J1180&lt;K1180),D1180-J1180,"n.a.")))</x:f>
        <x:v>5795.08</x:v>
      </x:c>
      <x:c r="P1180" s="19" t="n">
        <x:f>IF(AND(B1180="Butterfly",J1180&gt;0,J1180&lt;K1180),L1180/J1180,"n.a.")</x:f>
        <x:v>39.650406504065025</x:v>
      </x:c>
      <x:c r="Q1180" s="11" t="n">
        <x:f>J1180*'Model inputs'!$B$8</x:f>
        <x:v>492.00000000000017</x:v>
      </x:c>
      <x:c r="R1180" s="1" t="str">
        <x:v>Indicative only</x:v>
      </x:c>
      <x:c r="S1180" s="1" t="n">
        <x:v>601</x:v>
      </x:c>
      <x:c r="T1180" s="1" t="n">
        <x:v>620</x:v>
      </x:c>
    </x:row>
    <x:row r="1181" ht="21" customHeight="1">
      <x:c r="A1181" s="12" t="n">
        <x:v>46262</x:v>
      </x:c>
      <x:c r="B1181" s="1" t="str">
        <x:v>Butterfly</x:v>
      </x:c>
      <x:c r="C1181" s="1" t="str">
        <x:v>put</x:v>
      </x:c>
      <x:c r="D1181" s="11" t="n">
        <x:v>5200</x:v>
      </x:c>
      <x:c r="E1181" s="11" t="n">
        <x:v>5400</x:v>
      </x:c>
      <x:c r="F1181" s="11" t="n">
        <x:v>5600</x:v>
      </x:c>
      <x:c r="G1181" s="11" t="n">
        <x:f>'Option source'!B587</x:f>
        <x:v>11.53</x:v>
      </x:c>
      <x:c r="H1181" s="11" t="n">
        <x:f>'Option source'!B606</x:f>
        <x:v>18.4</x:v>
      </x:c>
      <x:c r="I1181" s="11" t="n">
        <x:f>'Option source'!B625</x:f>
        <x:v>32.76</x:v>
      </x:c>
      <x:c r="J1181" s="11" t="n">
        <x:f>G1181-2*H1181+IF(B1181="Butterfly",I1181,0)</x:f>
        <x:v>7.490000000000002</x:v>
      </x:c>
      <x:c r="K1181" s="11" t="n">
        <x:f>ABS(E1181-D1181)</x:f>
        <x:v>200</x:v>
      </x:c>
      <x:c r="L1181" s="11" t="n">
        <x:f>K1181-J1181</x:f>
        <x:v>192.51</x:v>
      </x:c>
      <x:c r="M1181" s="11" t="n">
        <x:f>IF(B1181="Butterfly",MAX(J1181,0),IF(C1181="call","Unlimited",MAX(2*E1181-D1181+J1181,J1181,0)))</x:f>
        <x:v>7.490000000000002</x:v>
      </x:c>
      <x:c r="N1181" s="11" t="n">
        <x:f>IF(B1181="Butterfly",IF(AND(J1181&gt;0,J1181&lt;K1181),D1181+J1181,"n.a."),IF(C1181="call",IF(AND(J1181&gt;0,J1181&lt;K1181),D1181+J1181,"n.a."),IF(AND(K1181&gt;J1181,2*E1181-D1181+J1181&gt;=0),2*E1181-D1181+J1181,"n.a.")))</x:f>
        <x:v>5207.49</x:v>
      </x:c>
      <x:c r="O1181" s="11" t="n">
        <x:f>IF(B1181="Butterfly",IF(AND(J1181&gt;0,J1181&lt;K1181),F1181-J1181,"n.a."),IF(C1181="call",IF(K1181&gt;J1181,2*E1181-D1181-J1181,"n.a."),IF(AND(J1181&gt;0,J1181&lt;K1181),D1181-J1181,"n.a.")))</x:f>
        <x:v>5592.51</x:v>
      </x:c>
      <x:c r="P1181" s="19" t="n">
        <x:f>IF(AND(B1181="Butterfly",J1181&gt;0,J1181&lt;K1181),L1181/J1181,"n.a.")</x:f>
        <x:v>25.702269692923892</x:v>
      </x:c>
      <x:c r="Q1181" s="11" t="n">
        <x:f>J1181*'Model inputs'!$B$8</x:f>
        <x:v>749.0000000000002</x:v>
      </x:c>
      <x:c r="R1181" s="1" t="str">
        <x:v>Indicative only</x:v>
      </x:c>
      <x:c r="S1181" s="1" t="n">
        <x:v>582</x:v>
      </x:c>
      <x:c r="T1181" s="1" t="n">
        <x:v>601</x:v>
      </x:c>
    </x:row>
    <x:row r="1182" ht="21" customHeight="1">
      <x:c r="A1182" s="12" t="n">
        <x:v>46262</x:v>
      </x:c>
      <x:c r="B1182" s="1" t="str">
        <x:v>Butterfly</x:v>
      </x:c>
      <x:c r="C1182" s="1" t="str">
        <x:v>call</x:v>
      </x:c>
      <x:c r="D1182" s="11" t="n">
        <x:v>8000</x:v>
      </x:c>
      <x:c r="E1182" s="11" t="n">
        <x:v>8300</x:v>
      </x:c>
      <x:c r="F1182" s="11" t="n">
        <x:v>8600</x:v>
      </x:c>
      <x:c r="G1182" s="11" t="n">
        <x:f>'Option source'!B359</x:f>
        <x:v>129.19</x:v>
      </x:c>
      <x:c r="H1182" s="11" t="n">
        <x:f>'Option source'!B378</x:f>
        <x:v>86.22</x:v>
      </x:c>
      <x:c r="I1182" s="11" t="n">
        <x:f>'Option source'!B397</x:f>
        <x:v>55.3</x:v>
      </x:c>
      <x:c r="J1182" s="11" t="n">
        <x:f>G1182-2*H1182+IF(B1182="Butterfly",I1182,0)</x:f>
        <x:v>12.049999999999997</x:v>
      </x:c>
      <x:c r="K1182" s="11" t="n">
        <x:f>ABS(E1182-D1182)</x:f>
        <x:v>300</x:v>
      </x:c>
      <x:c r="L1182" s="11" t="n">
        <x:f>K1182-J1182</x:f>
        <x:v>287.95</x:v>
      </x:c>
      <x:c r="M1182" s="11" t="n">
        <x:f>IF(B1182="Butterfly",MAX(J1182,0),IF(C1182="call","Unlimited",MAX(2*E1182-D1182+J1182,J1182,0)))</x:f>
        <x:v>12.049999999999997</x:v>
      </x:c>
      <x:c r="N1182" s="11" t="n">
        <x:f>IF(B1182="Butterfly",IF(AND(J1182&gt;0,J1182&lt;K1182),D1182+J1182,"n.a."),IF(C1182="call",IF(AND(J1182&gt;0,J1182&lt;K1182),D1182+J1182,"n.a."),IF(AND(K1182&gt;J1182,2*E1182-D1182+J1182&gt;=0),2*E1182-D1182+J1182,"n.a.")))</x:f>
        <x:v>8012.05</x:v>
      </x:c>
      <x:c r="O1182" s="11" t="n">
        <x:f>IF(B1182="Butterfly",IF(AND(J1182&gt;0,J1182&lt;K1182),F1182-J1182,"n.a."),IF(C1182="call",IF(K1182&gt;J1182,2*E1182-D1182-J1182,"n.a."),IF(AND(J1182&gt;0,J1182&lt;K1182),D1182-J1182,"n.a.")))</x:f>
        <x:v>8587.95</x:v>
      </x:c>
      <x:c r="P1182" s="19" t="n">
        <x:f>IF(AND(B1182="Butterfly",J1182&gt;0,J1182&lt;K1182),L1182/J1182,"n.a.")</x:f>
        <x:v>23.89626556016598</x:v>
      </x:c>
      <x:c r="Q1182" s="11" t="n">
        <x:f>J1182*'Model inputs'!$B$8</x:f>
        <x:v>1204.9999999999998</x:v>
      </x:c>
      <x:c r="R1182" s="1" t="str">
        <x:v>Indicative only</x:v>
      </x:c>
      <x:c r="S1182" s="1" t="n">
        <x:v>354</x:v>
      </x:c>
      <x:c r="T1182" s="1" t="n">
        <x:v>373</x:v>
      </x:c>
    </x:row>
    <x:row r="1183" ht="21" customHeight="1">
      <x:c r="A1183" s="12" t="n">
        <x:v>46262</x:v>
      </x:c>
      <x:c r="B1183" s="1" t="str">
        <x:v>Butterfly</x:v>
      </x:c>
      <x:c r="C1183" s="1" t="str">
        <x:v>put</x:v>
      </x:c>
      <x:c r="D1183" s="11" t="n">
        <x:v>5000</x:v>
      </x:c>
      <x:c r="E1183" s="11" t="n">
        <x:v>5200</x:v>
      </x:c>
      <x:c r="F1183" s="11" t="n">
        <x:v>5400</x:v>
      </x:c>
      <x:c r="G1183" s="11" t="n">
        <x:f>'Option source'!B568</x:f>
        <x:v>6.09</x:v>
      </x:c>
      <x:c r="H1183" s="11" t="n">
        <x:f>'Option source'!B587</x:f>
        <x:v>11.53</x:v>
      </x:c>
      <x:c r="I1183" s="11" t="n">
        <x:f>'Option source'!B606</x:f>
        <x:v>18.4</x:v>
      </x:c>
      <x:c r="J1183" s="11" t="n">
        <x:f>G1183-2*H1183+IF(B1183="Butterfly",I1183,0)</x:f>
        <x:v>1.4299999999999997</x:v>
      </x:c>
      <x:c r="K1183" s="11" t="n">
        <x:f>ABS(E1183-D1183)</x:f>
        <x:v>200</x:v>
      </x:c>
      <x:c r="L1183" s="11" t="n">
        <x:f>K1183-J1183</x:f>
        <x:v>198.57</x:v>
      </x:c>
      <x:c r="M1183" s="11" t="n">
        <x:f>IF(B1183="Butterfly",MAX(J1183,0),IF(C1183="call","Unlimited",MAX(2*E1183-D1183+J1183,J1183,0)))</x:f>
        <x:v>1.4299999999999997</x:v>
      </x:c>
      <x:c r="N1183" s="11" t="n">
        <x:f>IF(B1183="Butterfly",IF(AND(J1183&gt;0,J1183&lt;K1183),D1183+J1183,"n.a."),IF(C1183="call",IF(AND(J1183&gt;0,J1183&lt;K1183),D1183+J1183,"n.a."),IF(AND(K1183&gt;J1183,2*E1183-D1183+J1183&gt;=0),2*E1183-D1183+J1183,"n.a.")))</x:f>
        <x:v>5001.43</x:v>
      </x:c>
      <x:c r="O1183" s="11" t="n">
        <x:f>IF(B1183="Butterfly",IF(AND(J1183&gt;0,J1183&lt;K1183),F1183-J1183,"n.a."),IF(C1183="call",IF(K1183&gt;J1183,2*E1183-D1183-J1183,"n.a."),IF(AND(J1183&gt;0,J1183&lt;K1183),D1183-J1183,"n.a.")))</x:f>
        <x:v>5398.57</x:v>
      </x:c>
      <x:c r="P1183" s="19" t="n">
        <x:f>IF(AND(B1183="Butterfly",J1183&gt;0,J1183&lt;K1183),L1183/J1183,"n.a.")</x:f>
        <x:v>138.8601398601399</x:v>
      </x:c>
      <x:c r="Q1183" s="11" t="n">
        <x:f>J1183*'Model inputs'!$B$8</x:f>
        <x:v>142.99999999999997</x:v>
      </x:c>
      <x:c r="R1183" s="1" t="str">
        <x:v>Indicative only</x:v>
      </x:c>
      <x:c r="S1183" s="1" t="n">
        <x:v>563</x:v>
      </x:c>
      <x:c r="T1183" s="1" t="n">
        <x:v>582</x:v>
      </x:c>
    </x:row>
    <x:row r="1184" ht="21" customHeight="1">
      <x:c r="A1184" s="12" t="n">
        <x:v>46262</x:v>
      </x:c>
      <x:c r="B1184" s="1" t="str">
        <x:v>Butterfly</x:v>
      </x:c>
      <x:c r="C1184" s="1" t="str">
        <x:v>call</x:v>
      </x:c>
      <x:c r="D1184" s="11" t="n">
        <x:v>8300</x:v>
      </x:c>
      <x:c r="E1184" s="11" t="n">
        <x:v>8600</x:v>
      </x:c>
      <x:c r="F1184" s="11" t="n">
        <x:v>8900</x:v>
      </x:c>
      <x:c r="G1184" s="11" t="n">
        <x:f>'Option source'!B378</x:f>
        <x:v>86.22</x:v>
      </x:c>
      <x:c r="H1184" s="11" t="n">
        <x:f>'Option source'!B397</x:f>
        <x:v>55.3</x:v>
      </x:c>
      <x:c r="I1184" s="11" t="n">
        <x:f>'Option source'!B416</x:f>
        <x:v>36.23</x:v>
      </x:c>
      <x:c r="J1184" s="11" t="n">
        <x:f>G1184-2*H1184+IF(B1184="Butterfly",I1184,0)</x:f>
        <x:v>11.850000000000001</x:v>
      </x:c>
      <x:c r="K1184" s="11" t="n">
        <x:f>ABS(E1184-D1184)</x:f>
        <x:v>300</x:v>
      </x:c>
      <x:c r="L1184" s="11" t="n">
        <x:f>K1184-J1184</x:f>
        <x:v>288.15</x:v>
      </x:c>
      <x:c r="M1184" s="11" t="n">
        <x:f>IF(B1184="Butterfly",MAX(J1184,0),IF(C1184="call","Unlimited",MAX(2*E1184-D1184+J1184,J1184,0)))</x:f>
        <x:v>11.850000000000001</x:v>
      </x:c>
      <x:c r="N1184" s="11" t="n">
        <x:f>IF(B1184="Butterfly",IF(AND(J1184&gt;0,J1184&lt;K1184),D1184+J1184,"n.a."),IF(C1184="call",IF(AND(J1184&gt;0,J1184&lt;K1184),D1184+J1184,"n.a."),IF(AND(K1184&gt;J1184,2*E1184-D1184+J1184&gt;=0),2*E1184-D1184+J1184,"n.a.")))</x:f>
        <x:v>8311.85</x:v>
      </x:c>
      <x:c r="O1184" s="11" t="n">
        <x:f>IF(B1184="Butterfly",IF(AND(J1184&gt;0,J1184&lt;K1184),F1184-J1184,"n.a."),IF(C1184="call",IF(K1184&gt;J1184,2*E1184-D1184-J1184,"n.a."),IF(AND(J1184&gt;0,J1184&lt;K1184),D1184-J1184,"n.a.")))</x:f>
        <x:v>8888.15</x:v>
      </x:c>
      <x:c r="P1184" s="19" t="n">
        <x:f>IF(AND(B1184="Butterfly",J1184&gt;0,J1184&lt;K1184),L1184/J1184,"n.a.")</x:f>
        <x:v>24.316455696202528</x:v>
      </x:c>
      <x:c r="Q1184" s="11" t="n">
        <x:f>J1184*'Model inputs'!$B$8</x:f>
        <x:v>1185.0000000000002</x:v>
      </x:c>
      <x:c r="R1184" s="1" t="str">
        <x:v>Indicative only</x:v>
      </x:c>
      <x:c r="S1184" s="1" t="n">
        <x:v>373</x:v>
      </x:c>
      <x:c r="T1184" s="1" t="n">
        <x:v>392</x:v>
      </x:c>
    </x:row>
    <x:row r="1185" ht="21" customHeight="1">
      <x:c r="A1185" s="12" t="n">
        <x:v>46262</x:v>
      </x:c>
      <x:c r="B1185" s="1" t="str">
        <x:v>Butterfly</x:v>
      </x:c>
      <x:c r="C1185" s="1" t="str">
        <x:v>put</x:v>
      </x:c>
      <x:c r="D1185" s="11" t="n">
        <x:v>4800</x:v>
      </x:c>
      <x:c r="E1185" s="11" t="n">
        <x:v>5000</x:v>
      </x:c>
      <x:c r="F1185" s="11" t="n">
        <x:v>5200</x:v>
      </x:c>
      <x:c r="G1185" s="11" t="n">
        <x:f>'Option source'!B549</x:f>
        <x:v>4.38</x:v>
      </x:c>
      <x:c r="H1185" s="11" t="n">
        <x:f>'Option source'!B568</x:f>
        <x:v>6.09</x:v>
      </x:c>
      <x:c r="I1185" s="11" t="n">
        <x:f>'Option source'!B587</x:f>
        <x:v>11.53</x:v>
      </x:c>
      <x:c r="J1185" s="11" t="n">
        <x:f>G1185-2*H1185+IF(B1185="Butterfly",I1185,0)</x:f>
        <x:v>3.7299999999999995</x:v>
      </x:c>
      <x:c r="K1185" s="11" t="n">
        <x:f>ABS(E1185-D1185)</x:f>
        <x:v>200</x:v>
      </x:c>
      <x:c r="L1185" s="11" t="n">
        <x:f>K1185-J1185</x:f>
        <x:v>196.27</x:v>
      </x:c>
      <x:c r="M1185" s="11" t="n">
        <x:f>IF(B1185="Butterfly",MAX(J1185,0),IF(C1185="call","Unlimited",MAX(2*E1185-D1185+J1185,J1185,0)))</x:f>
        <x:v>3.7299999999999995</x:v>
      </x:c>
      <x:c r="N1185" s="11" t="n">
        <x:f>IF(B1185="Butterfly",IF(AND(J1185&gt;0,J1185&lt;K1185),D1185+J1185,"n.a."),IF(C1185="call",IF(AND(J1185&gt;0,J1185&lt;K1185),D1185+J1185,"n.a."),IF(AND(K1185&gt;J1185,2*E1185-D1185+J1185&gt;=0),2*E1185-D1185+J1185,"n.a.")))</x:f>
        <x:v>4803.73</x:v>
      </x:c>
      <x:c r="O1185" s="11" t="n">
        <x:f>IF(B1185="Butterfly",IF(AND(J1185&gt;0,J1185&lt;K1185),F1185-J1185,"n.a."),IF(C1185="call",IF(K1185&gt;J1185,2*E1185-D1185-J1185,"n.a."),IF(AND(J1185&gt;0,J1185&lt;K1185),D1185-J1185,"n.a.")))</x:f>
        <x:v>5196.27</x:v>
      </x:c>
      <x:c r="P1185" s="19" t="n">
        <x:f>IF(AND(B1185="Butterfly",J1185&gt;0,J1185&lt;K1185),L1185/J1185,"n.a.")</x:f>
        <x:v>52.61930294906167</x:v>
      </x:c>
      <x:c r="Q1185" s="11" t="n">
        <x:f>J1185*'Model inputs'!$B$8</x:f>
        <x:v>372.99999999999994</x:v>
      </x:c>
      <x:c r="R1185" s="1" t="str">
        <x:v>Indicative only</x:v>
      </x:c>
      <x:c r="S1185" s="1" t="n">
        <x:v>544</x:v>
      </x:c>
      <x:c r="T1185" s="1" t="n">
        <x:v>563</x:v>
      </x:c>
    </x:row>
    <x:row r="1186" ht="21" customHeight="1">
      <x:c r="A1186" s="12" t="n">
        <x:v>46262</x:v>
      </x:c>
      <x:c r="B1186" s="1" t="str">
        <x:v>Butterfly</x:v>
      </x:c>
      <x:c r="C1186" s="1" t="str">
        <x:v>put</x:v>
      </x:c>
      <x:c r="D1186" s="11" t="n">
        <x:v>4600</x:v>
      </x:c>
      <x:c r="E1186" s="11" t="n">
        <x:v>4800</x:v>
      </x:c>
      <x:c r="F1186" s="11" t="n">
        <x:v>5000</x:v>
      </x:c>
      <x:c r="G1186" s="11" t="n">
        <x:f>'Option source'!B530</x:f>
        <x:v>3.3</x:v>
      </x:c>
      <x:c r="H1186" s="11" t="n">
        <x:f>'Option source'!B549</x:f>
        <x:v>4.38</x:v>
      </x:c>
      <x:c r="I1186" s="11" t="n">
        <x:f>'Option source'!B568</x:f>
        <x:v>6.09</x:v>
      </x:c>
      <x:c r="J1186" s="11" t="n">
        <x:f>G1186-2*H1186+IF(B1186="Butterfly",I1186,0)</x:f>
        <x:v>0.6299999999999999</x:v>
      </x:c>
      <x:c r="K1186" s="11" t="n">
        <x:f>ABS(E1186-D1186)</x:f>
        <x:v>200</x:v>
      </x:c>
      <x:c r="L1186" s="11" t="n">
        <x:f>K1186-J1186</x:f>
        <x:v>199.37</x:v>
      </x:c>
      <x:c r="M1186" s="11" t="n">
        <x:f>IF(B1186="Butterfly",MAX(J1186,0),IF(C1186="call","Unlimited",MAX(2*E1186-D1186+J1186,J1186,0)))</x:f>
        <x:v>0.6299999999999999</x:v>
      </x:c>
      <x:c r="N1186" s="11" t="n">
        <x:f>IF(B1186="Butterfly",IF(AND(J1186&gt;0,J1186&lt;K1186),D1186+J1186,"n.a."),IF(C1186="call",IF(AND(J1186&gt;0,J1186&lt;K1186),D1186+J1186,"n.a."),IF(AND(K1186&gt;J1186,2*E1186-D1186+J1186&gt;=0),2*E1186-D1186+J1186,"n.a.")))</x:f>
        <x:v>4600.63</x:v>
      </x:c>
      <x:c r="O1186" s="11" t="n">
        <x:f>IF(B1186="Butterfly",IF(AND(J1186&gt;0,J1186&lt;K1186),F1186-J1186,"n.a."),IF(C1186="call",IF(K1186&gt;J1186,2*E1186-D1186-J1186,"n.a."),IF(AND(J1186&gt;0,J1186&lt;K1186),D1186-J1186,"n.a.")))</x:f>
        <x:v>4999.37</x:v>
      </x:c>
      <x:c r="P1186" s="19" t="n">
        <x:f>IF(AND(B1186="Butterfly",J1186&gt;0,J1186&lt;K1186),L1186/J1186,"n.a.")</x:f>
        <x:v>316.4603174603175</x:v>
      </x:c>
      <x:c r="Q1186" s="11" t="n">
        <x:f>J1186*'Model inputs'!$B$8</x:f>
        <x:v>62.999999999999986</x:v>
      </x:c>
      <x:c r="R1186" s="1" t="str">
        <x:v>Indicative only</x:v>
      </x:c>
      <x:c r="S1186" s="1" t="n">
        <x:v>525</x:v>
      </x:c>
      <x:c r="T1186" s="1" t="n">
        <x:v>544</x:v>
      </x:c>
    </x:row>
    <x:row r="1187" ht="21" customHeight="1">
      <x:c r="A1187" s="12" t="n">
        <x:v>46262</x:v>
      </x:c>
      <x:c r="B1187" s="1" t="str">
        <x:v>Butterfly</x:v>
      </x:c>
      <x:c r="C1187" s="1" t="str">
        <x:v>call</x:v>
      </x:c>
      <x:c r="D1187" s="11" t="n">
        <x:v>8600</x:v>
      </x:c>
      <x:c r="E1187" s="11" t="n">
        <x:v>8900</x:v>
      </x:c>
      <x:c r="F1187" s="11" t="n">
        <x:v>9200</x:v>
      </x:c>
      <x:c r="G1187" s="11" t="n">
        <x:f>'Option source'!B397</x:f>
        <x:v>55.3</x:v>
      </x:c>
      <x:c r="H1187" s="11" t="n">
        <x:f>'Option source'!B416</x:f>
        <x:v>36.23</x:v>
      </x:c>
      <x:c r="I1187" s="11" t="n">
        <x:f>'Option source'!B435</x:f>
        <x:v>23.01</x:v>
      </x:c>
      <x:c r="J1187" s="11" t="n">
        <x:f>G1187-2*H1187+IF(B1187="Butterfly",I1187,0)</x:f>
        <x:v>5.850000000000005</x:v>
      </x:c>
      <x:c r="K1187" s="11" t="n">
        <x:f>ABS(E1187-D1187)</x:f>
        <x:v>300</x:v>
      </x:c>
      <x:c r="L1187" s="11" t="n">
        <x:f>K1187-J1187</x:f>
        <x:v>294.15</x:v>
      </x:c>
      <x:c r="M1187" s="11" t="n">
        <x:f>IF(B1187="Butterfly",MAX(J1187,0),IF(C1187="call","Unlimited",MAX(2*E1187-D1187+J1187,J1187,0)))</x:f>
        <x:v>5.850000000000005</x:v>
      </x:c>
      <x:c r="N1187" s="11" t="n">
        <x:f>IF(B1187="Butterfly",IF(AND(J1187&gt;0,J1187&lt;K1187),D1187+J1187,"n.a."),IF(C1187="call",IF(AND(J1187&gt;0,J1187&lt;K1187),D1187+J1187,"n.a."),IF(AND(K1187&gt;J1187,2*E1187-D1187+J1187&gt;=0),2*E1187-D1187+J1187,"n.a.")))</x:f>
        <x:v>8605.85</x:v>
      </x:c>
      <x:c r="O1187" s="11" t="n">
        <x:f>IF(B1187="Butterfly",IF(AND(J1187&gt;0,J1187&lt;K1187),F1187-J1187,"n.a."),IF(C1187="call",IF(K1187&gt;J1187,2*E1187-D1187-J1187,"n.a."),IF(AND(J1187&gt;0,J1187&lt;K1187),D1187-J1187,"n.a.")))</x:f>
        <x:v>9194.15</x:v>
      </x:c>
      <x:c r="P1187" s="19" t="n">
        <x:f>IF(AND(B1187="Butterfly",J1187&gt;0,J1187&lt;K1187),L1187/J1187,"n.a.")</x:f>
        <x:v>50.282051282051235</x:v>
      </x:c>
      <x:c r="Q1187" s="11" t="n">
        <x:f>J1187*'Model inputs'!$B$8</x:f>
        <x:v>585.0000000000005</x:v>
      </x:c>
      <x:c r="R1187" s="1" t="str">
        <x:v>Indicative only</x:v>
      </x:c>
      <x:c r="S1187" s="1" t="n">
        <x:v>392</x:v>
      </x:c>
      <x:c r="T1187" s="1" t="n">
        <x:v>411</x:v>
      </x:c>
    </x:row>
    <x:row r="1188" ht="21" customHeight="1">
      <x:c r="A1188" s="12" t="n">
        <x:v>46262</x:v>
      </x:c>
      <x:c r="B1188" s="1" t="str">
        <x:v>Butterfly</x:v>
      </x:c>
      <x:c r="C1188" s="1" t="str">
        <x:v>call</x:v>
      </x:c>
      <x:c r="D1188" s="11" t="n">
        <x:v>8900</x:v>
      </x:c>
      <x:c r="E1188" s="11" t="n">
        <x:v>9200</x:v>
      </x:c>
      <x:c r="F1188" s="11" t="n">
        <x:v>9500</x:v>
      </x:c>
      <x:c r="G1188" s="11" t="n">
        <x:f>'Option source'!B416</x:f>
        <x:v>36.23</x:v>
      </x:c>
      <x:c r="H1188" s="11" t="n">
        <x:f>'Option source'!B435</x:f>
        <x:v>23.01</x:v>
      </x:c>
      <x:c r="I1188" s="11" t="n">
        <x:f>'Option source'!B454</x:f>
        <x:v>15.03</x:v>
      </x:c>
      <x:c r="J1188" s="11" t="n">
        <x:f>G1188-2*H1188+IF(B1188="Butterfly",I1188,0)</x:f>
        <x:v>5.239999999999993</x:v>
      </x:c>
      <x:c r="K1188" s="11" t="n">
        <x:f>ABS(E1188-D1188)</x:f>
        <x:v>300</x:v>
      </x:c>
      <x:c r="L1188" s="11" t="n">
        <x:f>K1188-J1188</x:f>
        <x:v>294.76</x:v>
      </x:c>
      <x:c r="M1188" s="11" t="n">
        <x:f>IF(B1188="Butterfly",MAX(J1188,0),IF(C1188="call","Unlimited",MAX(2*E1188-D1188+J1188,J1188,0)))</x:f>
        <x:v>5.239999999999993</x:v>
      </x:c>
      <x:c r="N1188" s="11" t="n">
        <x:f>IF(B1188="Butterfly",IF(AND(J1188&gt;0,J1188&lt;K1188),D1188+J1188,"n.a."),IF(C1188="call",IF(AND(J1188&gt;0,J1188&lt;K1188),D1188+J1188,"n.a."),IF(AND(K1188&gt;J1188,2*E1188-D1188+J1188&gt;=0),2*E1188-D1188+J1188,"n.a.")))</x:f>
        <x:v>8905.24</x:v>
      </x:c>
      <x:c r="O1188" s="11" t="n">
        <x:f>IF(B1188="Butterfly",IF(AND(J1188&gt;0,J1188&lt;K1188),F1188-J1188,"n.a."),IF(C1188="call",IF(K1188&gt;J1188,2*E1188-D1188-J1188,"n.a."),IF(AND(J1188&gt;0,J1188&lt;K1188),D1188-J1188,"n.a.")))</x:f>
        <x:v>9494.76</x:v>
      </x:c>
      <x:c r="P1188" s="19" t="n">
        <x:f>IF(AND(B1188="Butterfly",J1188&gt;0,J1188&lt;K1188),L1188/J1188,"n.a.")</x:f>
        <x:v>56.25190839694664</x:v>
      </x:c>
      <x:c r="Q1188" s="11" t="n">
        <x:f>J1188*'Model inputs'!$B$8</x:f>
        <x:v>523.9999999999993</x:v>
      </x:c>
      <x:c r="R1188" s="1" t="str">
        <x:v>Indicative only</x:v>
      </x:c>
      <x:c r="S1188" s="1" t="n">
        <x:v>411</x:v>
      </x:c>
      <x:c r="T1188" s="1" t="n">
        <x:v>430</x:v>
      </x:c>
    </x:row>
    <x:row r="1189" ht="21" customHeight="1">
      <x:c r="A1189" s="12" t="n">
        <x:v>46262</x:v>
      </x:c>
      <x:c r="B1189" s="1" t="str">
        <x:v>Butterfly</x:v>
      </x:c>
      <x:c r="C1189" s="1" t="str">
        <x:v>put</x:v>
      </x:c>
      <x:c r="D1189" s="11" t="n">
        <x:v>4200</x:v>
      </x:c>
      <x:c r="E1189" s="11" t="n">
        <x:v>4400</x:v>
      </x:c>
      <x:c r="F1189" s="11" t="n">
        <x:v>4600</x:v>
      </x:c>
      <x:c r="G1189" s="11" t="n">
        <x:f>'Option source'!B492</x:f>
        <x:v>1.74</x:v>
      </x:c>
      <x:c r="H1189" s="11" t="n">
        <x:f>'Option source'!B511</x:f>
        <x:v>1.96</x:v>
      </x:c>
      <x:c r="I1189" s="11" t="n">
        <x:f>'Option source'!B530</x:f>
        <x:v>3.3</x:v>
      </x:c>
      <x:c r="J1189" s="11" t="n">
        <x:f>G1189-2*H1189+IF(B1189="Butterfly",I1189,0)</x:f>
        <x:v>1.12</x:v>
      </x:c>
      <x:c r="K1189" s="11" t="n">
        <x:f>ABS(E1189-D1189)</x:f>
        <x:v>200</x:v>
      </x:c>
      <x:c r="L1189" s="11" t="n">
        <x:f>K1189-J1189</x:f>
        <x:v>198.88</x:v>
      </x:c>
      <x:c r="M1189" s="11" t="n">
        <x:f>IF(B1189="Butterfly",MAX(J1189,0),IF(C1189="call","Unlimited",MAX(2*E1189-D1189+J1189,J1189,0)))</x:f>
        <x:v>1.12</x:v>
      </x:c>
      <x:c r="N1189" s="11" t="n">
        <x:f>IF(B1189="Butterfly",IF(AND(J1189&gt;0,J1189&lt;K1189),D1189+J1189,"n.a."),IF(C1189="call",IF(AND(J1189&gt;0,J1189&lt;K1189),D1189+J1189,"n.a."),IF(AND(K1189&gt;J1189,2*E1189-D1189+J1189&gt;=0),2*E1189-D1189+J1189,"n.a.")))</x:f>
        <x:v>4201.12</x:v>
      </x:c>
      <x:c r="O1189" s="11" t="n">
        <x:f>IF(B1189="Butterfly",IF(AND(J1189&gt;0,J1189&lt;K1189),F1189-J1189,"n.a."),IF(C1189="call",IF(K1189&gt;J1189,2*E1189-D1189-J1189,"n.a."),IF(AND(J1189&gt;0,J1189&lt;K1189),D1189-J1189,"n.a.")))</x:f>
        <x:v>4598.88</x:v>
      </x:c>
      <x:c r="P1189" s="19" t="n">
        <x:f>IF(AND(B1189="Butterfly",J1189&gt;0,J1189&lt;K1189),L1189/J1189,"n.a.")</x:f>
        <x:v>177.57142857142856</x:v>
      </x:c>
      <x:c r="Q1189" s="11" t="n">
        <x:f>J1189*'Model inputs'!$B$8</x:f>
        <x:v>112.00000000000001</x:v>
      </x:c>
      <x:c r="R1189" s="1" t="str">
        <x:v>Indicative only</x:v>
      </x:c>
      <x:c r="S1189" s="1" t="n">
        <x:v>487</x:v>
      </x:c>
      <x:c r="T1189" s="1" t="n">
        <x:v>506</x:v>
      </x:c>
    </x:row>
    <x:row r="1190" ht="21" customHeight="1">
      <x:c r="A1190" s="12" t="n">
        <x:v>46262</x:v>
      </x:c>
      <x:c r="B1190" s="1" t="str">
        <x:v>Butterfly</x:v>
      </x:c>
      <x:c r="C1190" s="1" t="str">
        <x:v>put</x:v>
      </x:c>
      <x:c r="D1190" s="11" t="n">
        <x:v>7000</x:v>
      </x:c>
      <x:c r="E1190" s="11" t="n">
        <x:v>7200</x:v>
      </x:c>
      <x:c r="F1190" s="11" t="n">
        <x:v>7400</x:v>
      </x:c>
      <x:c r="G1190" s="11" t="n">
        <x:f>'Option source'!B758</x:f>
        <x:v>436.88</x:v>
      </x:c>
      <x:c r="H1190" s="11" t="n">
        <x:f>'Option source'!B777</x:f>
        <x:v>544.22</x:v>
      </x:c>
      <x:c r="I1190" s="11" t="n">
        <x:f>'Option source'!B796</x:f>
        <x:v>657.34</x:v>
      </x:c>
      <x:c r="J1190" s="11" t="n">
        <x:f>G1190-2*H1190+IF(B1190="Butterfly",I1190,0)</x:f>
        <x:v>5.779999999999973</x:v>
      </x:c>
      <x:c r="K1190" s="11" t="n">
        <x:f>ABS(E1190-D1190)</x:f>
        <x:v>200</x:v>
      </x:c>
      <x:c r="L1190" s="11" t="n">
        <x:f>K1190-J1190</x:f>
        <x:v>194.22000000000003</x:v>
      </x:c>
      <x:c r="M1190" s="11" t="n">
        <x:f>IF(B1190="Butterfly",MAX(J1190,0),IF(C1190="call","Unlimited",MAX(2*E1190-D1190+J1190,J1190,0)))</x:f>
        <x:v>5.779999999999973</x:v>
      </x:c>
      <x:c r="N1190" s="11" t="n">
        <x:f>IF(B1190="Butterfly",IF(AND(J1190&gt;0,J1190&lt;K1190),D1190+J1190,"n.a."),IF(C1190="call",IF(AND(J1190&gt;0,J1190&lt;K1190),D1190+J1190,"n.a."),IF(AND(K1190&gt;J1190,2*E1190-D1190+J1190&gt;=0),2*E1190-D1190+J1190,"n.a.")))</x:f>
        <x:v>7005.78</x:v>
      </x:c>
      <x:c r="O1190" s="11" t="n">
        <x:f>IF(B1190="Butterfly",IF(AND(J1190&gt;0,J1190&lt;K1190),F1190-J1190,"n.a."),IF(C1190="call",IF(K1190&gt;J1190,2*E1190-D1190-J1190,"n.a."),IF(AND(J1190&gt;0,J1190&lt;K1190),D1190-J1190,"n.a.")))</x:f>
        <x:v>7394.22</x:v>
      </x:c>
      <x:c r="P1190" s="19" t="n">
        <x:f>IF(AND(B1190="Butterfly",J1190&gt;0,J1190&lt;K1190),L1190/J1190,"n.a.")</x:f>
        <x:v>33.60207612456764</x:v>
      </x:c>
      <x:c r="Q1190" s="11" t="n">
        <x:f>J1190*'Model inputs'!$B$8</x:f>
        <x:v>577.9999999999973</x:v>
      </x:c>
      <x:c r="R1190" s="1" t="str">
        <x:v>Flagged leg data</x:v>
      </x:c>
      <x:c r="S1190" s="1" t="n">
        <x:v>753</x:v>
      </x:c>
      <x:c r="T1190" s="1" t="n">
        <x:v>772</x:v>
      </x:c>
    </x:row>
    <x:row r="1191" ht="21" customHeight="1">
      <x:c r="A1191" s="12" t="n">
        <x:v>46262</x:v>
      </x:c>
      <x:c r="B1191" s="1" t="str">
        <x:v>Butterfly</x:v>
      </x:c>
      <x:c r="C1191" s="1" t="str">
        <x:v>call</x:v>
      </x:c>
      <x:c r="D1191" s="11" t="n">
        <x:v>6200</x:v>
      </x:c>
      <x:c r="E1191" s="11" t="n">
        <x:v>6400</x:v>
      </x:c>
      <x:c r="F1191" s="11" t="n">
        <x:v>6600</x:v>
      </x:c>
      <x:c r="G1191" s="11" t="n">
        <x:f>'Option source'!B188</x:f>
        <x:v>870</x:v>
      </x:c>
      <x:c r="H1191" s="11" t="n">
        <x:f>'Option source'!B207</x:f>
        <x:v>775</x:v>
      </x:c>
      <x:c r="I1191" s="11" t="n">
        <x:f>'Option source'!B226</x:f>
        <x:v>651.81</x:v>
      </x:c>
      <x:c r="J1191" s="11" t="n">
        <x:f>G1191-2*H1191+IF(B1191="Butterfly",I1191,0)</x:f>
        <x:v>-28.190000000000055</x:v>
      </x:c>
      <x:c r="K1191" s="11" t="n">
        <x:f>ABS(E1191-D1191)</x:f>
        <x:v>200</x:v>
      </x:c>
      <x:c r="L1191" s="11" t="n">
        <x:f>K1191-J1191</x:f>
        <x:v>228.19000000000005</x:v>
      </x:c>
      <x:c r="M1191" s="11" t="n">
        <x:f>IF(B1191="Butterfly",MAX(J1191,0),IF(C1191="call","Unlimited",MAX(2*E1191-D1191+J1191,J1191,0)))</x:f>
        <x:v>0</x:v>
      </x:c>
      <x:c r="N1191" s="11" t="str">
        <x:f>IF(B1191="Butterfly",IF(AND(J1191&gt;0,J1191&lt;K1191),D1191+J1191,"n.a."),IF(C1191="call",IF(AND(J1191&gt;0,J1191&lt;K1191),D1191+J1191,"n.a."),IF(AND(K1191&gt;J1191,2*E1191-D1191+J1191&gt;=0),2*E1191-D1191+J1191,"n.a.")))</x:f>
        <x:v>n.a.</x:v>
      </x:c>
      <x:c r="O1191" s="11" t="str">
        <x:f>IF(B1191="Butterfly",IF(AND(J1191&gt;0,J1191&lt;K1191),F1191-J1191,"n.a."),IF(C1191="call",IF(K1191&gt;J1191,2*E1191-D1191-J1191,"n.a."),IF(AND(J1191&gt;0,J1191&lt;K1191),D1191-J1191,"n.a.")))</x:f>
        <x:v>n.a.</x:v>
      </x:c>
      <x:c r="P1191" s="19" t="str">
        <x:f>IF(AND(B1191="Butterfly",J1191&gt;0,J1191&lt;K1191),L1191/J1191,"n.a.")</x:f>
        <x:v>n.a.</x:v>
      </x:c>
      <x:c r="Q1191" s="11" t="n">
        <x:f>J1191*'Model inputs'!$B$8</x:f>
        <x:v>-2819.0000000000055</x:v>
      </x:c>
      <x:c r="R1191" s="1" t="str">
        <x:v>Outside standard debit bounds</x:v>
      </x:c>
      <x:c r="S1191" s="1" t="n">
        <x:v>183</x:v>
      </x:c>
      <x:c r="T1191" s="1" t="n">
        <x:v>202</x:v>
      </x:c>
    </x:row>
    <x:row r="1192" ht="21" customHeight="1">
      <x:c r="A1192" s="12" t="n">
        <x:v>46262</x:v>
      </x:c>
      <x:c r="B1192" s="1" t="str">
        <x:v>Butterfly</x:v>
      </x:c>
      <x:c r="C1192" s="1" t="str">
        <x:v>put</x:v>
      </x:c>
      <x:c r="D1192" s="11" t="n">
        <x:v>7200</x:v>
      </x:c>
      <x:c r="E1192" s="11" t="n">
        <x:v>7400</x:v>
      </x:c>
      <x:c r="F1192" s="11" t="n">
        <x:v>7600</x:v>
      </x:c>
      <x:c r="G1192" s="11" t="n">
        <x:f>'Option source'!B777</x:f>
        <x:v>544.22</x:v>
      </x:c>
      <x:c r="H1192" s="11" t="n">
        <x:f>'Option source'!B796</x:f>
        <x:v>657.34</x:v>
      </x:c>
      <x:c r="I1192" s="11" t="n">
        <x:f>'Option source'!B815</x:f>
        <x:v>811.29</x:v>
      </x:c>
      <x:c r="J1192" s="11" t="n">
        <x:f>G1192-2*H1192+IF(B1192="Butterfly",I1192,0)</x:f>
        <x:v>40.82999999999993</x:v>
      </x:c>
      <x:c r="K1192" s="11" t="n">
        <x:f>ABS(E1192-D1192)</x:f>
        <x:v>200</x:v>
      </x:c>
      <x:c r="L1192" s="11" t="n">
        <x:f>K1192-J1192</x:f>
        <x:v>159.17000000000007</x:v>
      </x:c>
      <x:c r="M1192" s="11" t="n">
        <x:f>IF(B1192="Butterfly",MAX(J1192,0),IF(C1192="call","Unlimited",MAX(2*E1192-D1192+J1192,J1192,0)))</x:f>
        <x:v>40.82999999999993</x:v>
      </x:c>
      <x:c r="N1192" s="11" t="n">
        <x:f>IF(B1192="Butterfly",IF(AND(J1192&gt;0,J1192&lt;K1192),D1192+J1192,"n.a."),IF(C1192="call",IF(AND(J1192&gt;0,J1192&lt;K1192),D1192+J1192,"n.a."),IF(AND(K1192&gt;J1192,2*E1192-D1192+J1192&gt;=0),2*E1192-D1192+J1192,"n.a.")))</x:f>
        <x:v>7240.83</x:v>
      </x:c>
      <x:c r="O1192" s="11" t="n">
        <x:f>IF(B1192="Butterfly",IF(AND(J1192&gt;0,J1192&lt;K1192),F1192-J1192,"n.a."),IF(C1192="call",IF(K1192&gt;J1192,2*E1192-D1192-J1192,"n.a."),IF(AND(J1192&gt;0,J1192&lt;K1192),D1192-J1192,"n.a.")))</x:f>
        <x:v>7559.17</x:v>
      </x:c>
      <x:c r="P1192" s="19" t="n">
        <x:f>IF(AND(B1192="Butterfly",J1192&gt;0,J1192&lt;K1192),L1192/J1192,"n.a.")</x:f>
        <x:v>3.898359049718353</x:v>
      </x:c>
      <x:c r="Q1192" s="11" t="n">
        <x:f>J1192*'Model inputs'!$B$8</x:f>
        <x:v>4082.9999999999927</x:v>
      </x:c>
      <x:c r="R1192" s="1" t="str">
        <x:v>Flagged leg data</x:v>
      </x:c>
      <x:c r="S1192" s="1" t="n">
        <x:v>772</x:v>
      </x:c>
      <x:c r="T1192" s="1" t="n">
        <x:v>791</x:v>
      </x:c>
    </x:row>
    <x:row r="1193" ht="21" customHeight="1">
      <x:c r="A1193" s="12" t="n">
        <x:v>46262</x:v>
      </x:c>
      <x:c r="B1193" s="1" t="str">
        <x:v>Butterfly</x:v>
      </x:c>
      <x:c r="C1193" s="1" t="str">
        <x:v>call</x:v>
      </x:c>
      <x:c r="D1193" s="11" t="n">
        <x:v>6000</x:v>
      </x:c>
      <x:c r="E1193" s="11" t="n">
        <x:v>6200</x:v>
      </x:c>
      <x:c r="F1193" s="11" t="n">
        <x:v>6400</x:v>
      </x:c>
      <x:c r="G1193" s="11" t="n">
        <x:f>'Option source'!B169</x:f>
        <x:v>1178.78</x:v>
      </x:c>
      <x:c r="H1193" s="11" t="n">
        <x:f>'Option source'!B188</x:f>
        <x:v>870</x:v>
      </x:c>
      <x:c r="I1193" s="11" t="n">
        <x:f>'Option source'!B207</x:f>
        <x:v>775</x:v>
      </x:c>
      <x:c r="J1193" s="11" t="n">
        <x:f>G1193-2*H1193+IF(B1193="Butterfly",I1193,0)</x:f>
        <x:v>213.77999999999997</x:v>
      </x:c>
      <x:c r="K1193" s="11" t="n">
        <x:f>ABS(E1193-D1193)</x:f>
        <x:v>200</x:v>
      </x:c>
      <x:c r="L1193" s="11" t="n">
        <x:f>K1193-J1193</x:f>
        <x:v>-13.779999999999973</x:v>
      </x:c>
      <x:c r="M1193" s="11" t="n">
        <x:f>IF(B1193="Butterfly",MAX(J1193,0),IF(C1193="call","Unlimited",MAX(2*E1193-D1193+J1193,J1193,0)))</x:f>
        <x:v>213.77999999999997</x:v>
      </x:c>
      <x:c r="N1193" s="11" t="str">
        <x:f>IF(B1193="Butterfly",IF(AND(J1193&gt;0,J1193&lt;K1193),D1193+J1193,"n.a."),IF(C1193="call",IF(AND(J1193&gt;0,J1193&lt;K1193),D1193+J1193,"n.a."),IF(AND(K1193&gt;J1193,2*E1193-D1193+J1193&gt;=0),2*E1193-D1193+J1193,"n.a.")))</x:f>
        <x:v>n.a.</x:v>
      </x:c>
      <x:c r="O1193" s="11" t="str">
        <x:f>IF(B1193="Butterfly",IF(AND(J1193&gt;0,J1193&lt;K1193),F1193-J1193,"n.a."),IF(C1193="call",IF(K1193&gt;J1193,2*E1193-D1193-J1193,"n.a."),IF(AND(J1193&gt;0,J1193&lt;K1193),D1193-J1193,"n.a.")))</x:f>
        <x:v>n.a.</x:v>
      </x:c>
      <x:c r="P1193" s="19" t="str">
        <x:f>IF(AND(B1193="Butterfly",J1193&gt;0,J1193&lt;K1193),L1193/J1193,"n.a.")</x:f>
        <x:v>n.a.</x:v>
      </x:c>
      <x:c r="Q1193" s="11" t="n">
        <x:f>J1193*'Model inputs'!$B$8</x:f>
        <x:v>21377.999999999996</x:v>
      </x:c>
      <x:c r="R1193" s="1" t="str">
        <x:v>Outside standard debit bounds</x:v>
      </x:c>
      <x:c r="S1193" s="1" t="n">
        <x:v>164</x:v>
      </x:c>
      <x:c r="T1193" s="1" t="n">
        <x:v>183</x:v>
      </x:c>
    </x:row>
    <x:row r="1194" ht="21" customHeight="1">
      <x:c r="A1194" s="12" t="n">
        <x:v>46262</x:v>
      </x:c>
      <x:c r="B1194" s="1" t="str">
        <x:v>Butterfly</x:v>
      </x:c>
      <x:c r="C1194" s="1" t="str">
        <x:v>put</x:v>
      </x:c>
      <x:c r="D1194" s="11" t="n">
        <x:v>7400</x:v>
      </x:c>
      <x:c r="E1194" s="11" t="n">
        <x:v>7600</x:v>
      </x:c>
      <x:c r="F1194" s="11" t="n">
        <x:v>7800</x:v>
      </x:c>
      <x:c r="G1194" s="11" t="n">
        <x:f>'Option source'!B796</x:f>
        <x:v>657.34</x:v>
      </x:c>
      <x:c r="H1194" s="11" t="n">
        <x:f>'Option source'!B815</x:f>
        <x:v>811.29</x:v>
      </x:c>
      <x:c r="I1194" s="11" t="n">
        <x:f>'Option source'!B834</x:f>
        <x:v>905</x:v>
      </x:c>
      <x:c r="J1194" s="11" t="n">
        <x:f>G1194-2*H1194+IF(B1194="Butterfly",I1194,0)</x:f>
        <x:v>-60.239999999999895</x:v>
      </x:c>
      <x:c r="K1194" s="11" t="n">
        <x:f>ABS(E1194-D1194)</x:f>
        <x:v>200</x:v>
      </x:c>
      <x:c r="L1194" s="11" t="n">
        <x:f>K1194-J1194</x:f>
        <x:v>260.2399999999999</x:v>
      </x:c>
      <x:c r="M1194" s="11" t="n">
        <x:f>IF(B1194="Butterfly",MAX(J1194,0),IF(C1194="call","Unlimited",MAX(2*E1194-D1194+J1194,J1194,0)))</x:f>
        <x:v>0</x:v>
      </x:c>
      <x:c r="N1194" s="11" t="str">
        <x:f>IF(B1194="Butterfly",IF(AND(J1194&gt;0,J1194&lt;K1194),D1194+J1194,"n.a."),IF(C1194="call",IF(AND(J1194&gt;0,J1194&lt;K1194),D1194+J1194,"n.a."),IF(AND(K1194&gt;J1194,2*E1194-D1194+J1194&gt;=0),2*E1194-D1194+J1194,"n.a.")))</x:f>
        <x:v>n.a.</x:v>
      </x:c>
      <x:c r="O1194" s="11" t="str">
        <x:f>IF(B1194="Butterfly",IF(AND(J1194&gt;0,J1194&lt;K1194),F1194-J1194,"n.a."),IF(C1194="call",IF(K1194&gt;J1194,2*E1194-D1194-J1194,"n.a."),IF(AND(J1194&gt;0,J1194&lt;K1194),D1194-J1194,"n.a.")))</x:f>
        <x:v>n.a.</x:v>
      </x:c>
      <x:c r="P1194" s="19" t="str">
        <x:f>IF(AND(B1194="Butterfly",J1194&gt;0,J1194&lt;K1194),L1194/J1194,"n.a.")</x:f>
        <x:v>n.a.</x:v>
      </x:c>
      <x:c r="Q1194" s="11" t="n">
        <x:f>J1194*'Model inputs'!$B$8</x:f>
        <x:v>-6023.999999999989</x:v>
      </x:c>
      <x:c r="R1194" s="1" t="str">
        <x:v>Outside standard debit bounds</x:v>
      </x:c>
      <x:c r="S1194" s="1" t="n">
        <x:v>791</x:v>
      </x:c>
      <x:c r="T1194" s="1" t="n">
        <x:v>810</x:v>
      </x:c>
    </x:row>
    <x:row r="1195" ht="21" customHeight="1">
      <x:c r="A1195" s="12" t="n">
        <x:v>46262</x:v>
      </x:c>
      <x:c r="B1195" s="1" t="str">
        <x:v>Butterfly</x:v>
      </x:c>
      <x:c r="C1195" s="1" t="str">
        <x:v>put</x:v>
      </x:c>
      <x:c r="D1195" s="11" t="n">
        <x:v>7600</x:v>
      </x:c>
      <x:c r="E1195" s="11" t="n">
        <x:v>7800</x:v>
      </x:c>
      <x:c r="F1195" s="11" t="n">
        <x:v>8000</x:v>
      </x:c>
      <x:c r="G1195" s="11" t="n">
        <x:f>'Option source'!B815</x:f>
        <x:v>811.29</x:v>
      </x:c>
      <x:c r="H1195" s="11" t="n">
        <x:f>'Option source'!B834</x:f>
        <x:v>905</x:v>
      </x:c>
      <x:c r="I1195" s="11" t="n">
        <x:f>'Option source'!B853</x:f>
        <x:v>1225</x:v>
      </x:c>
      <x:c r="J1195" s="11" t="n">
        <x:f>G1195-2*H1195+IF(B1195="Butterfly",I1195,0)</x:f>
        <x:v>226.28999999999996</x:v>
      </x:c>
      <x:c r="K1195" s="11" t="n">
        <x:f>ABS(E1195-D1195)</x:f>
        <x:v>200</x:v>
      </x:c>
      <x:c r="L1195" s="11" t="n">
        <x:f>K1195-J1195</x:f>
        <x:v>-26.289999999999964</x:v>
      </x:c>
      <x:c r="M1195" s="11" t="n">
        <x:f>IF(B1195="Butterfly",MAX(J1195,0),IF(C1195="call","Unlimited",MAX(2*E1195-D1195+J1195,J1195,0)))</x:f>
        <x:v>226.28999999999996</x:v>
      </x:c>
      <x:c r="N1195" s="11" t="str">
        <x:f>IF(B1195="Butterfly",IF(AND(J1195&gt;0,J1195&lt;K1195),D1195+J1195,"n.a."),IF(C1195="call",IF(AND(J1195&gt;0,J1195&lt;K1195),D1195+J1195,"n.a."),IF(AND(K1195&gt;J1195,2*E1195-D1195+J1195&gt;=0),2*E1195-D1195+J1195,"n.a.")))</x:f>
        <x:v>n.a.</x:v>
      </x:c>
      <x:c r="O1195" s="11" t="str">
        <x:f>IF(B1195="Butterfly",IF(AND(J1195&gt;0,J1195&lt;K1195),F1195-J1195,"n.a."),IF(C1195="call",IF(K1195&gt;J1195,2*E1195-D1195-J1195,"n.a."),IF(AND(J1195&gt;0,J1195&lt;K1195),D1195-J1195,"n.a.")))</x:f>
        <x:v>n.a.</x:v>
      </x:c>
      <x:c r="P1195" s="19" t="str">
        <x:f>IF(AND(B1195="Butterfly",J1195&gt;0,J1195&lt;K1195),L1195/J1195,"n.a.")</x:f>
        <x:v>n.a.</x:v>
      </x:c>
      <x:c r="Q1195" s="11" t="n">
        <x:f>J1195*'Model inputs'!$B$8</x:f>
        <x:v>22628.999999999996</x:v>
      </x:c>
      <x:c r="R1195" s="1" t="str">
        <x:v>Outside standard debit bounds</x:v>
      </x:c>
      <x:c r="S1195" s="1" t="n">
        <x:v>810</x:v>
      </x:c>
      <x:c r="T1195" s="1" t="n">
        <x:v>829</x:v>
      </x:c>
    </x:row>
    <x:row r="1196" ht="21" customHeight="1">
      <x:c r="A1196" s="12" t="n">
        <x:v>46262</x:v>
      </x:c>
      <x:c r="B1196" s="1" t="str">
        <x:v>Butterfly</x:v>
      </x:c>
      <x:c r="C1196" s="1" t="str">
        <x:v>call</x:v>
      </x:c>
      <x:c r="D1196" s="11" t="n">
        <x:v>5200</x:v>
      </x:c>
      <x:c r="E1196" s="11" t="n">
        <x:v>5400</x:v>
      </x:c>
      <x:c r="F1196" s="11" t="n">
        <x:v>5600</x:v>
      </x:c>
      <x:c r="G1196" s="11" t="n">
        <x:f>'Option source'!B103</x:f>
        <x:v>1677.12</x:v>
      </x:c>
      <x:c r="H1196" s="11" t="n">
        <x:f>'Option source'!B122</x:f>
        <x:v>1552.16</x:v>
      </x:c>
      <x:c r="I1196" s="11" t="n">
        <x:f>'Option source'!B140</x:f>
        <x:v>1311.48</x:v>
      </x:c>
      <x:c r="J1196" s="11" t="n">
        <x:f>G1196-2*H1196+IF(B1196="Butterfly",I1196,0)</x:f>
        <x:v>-115.72000000000025</x:v>
      </x:c>
      <x:c r="K1196" s="11" t="n">
        <x:f>ABS(E1196-D1196)</x:f>
        <x:v>200</x:v>
      </x:c>
      <x:c r="L1196" s="11" t="n">
        <x:f>K1196-J1196</x:f>
        <x:v>315.72000000000025</x:v>
      </x:c>
      <x:c r="M1196" s="11" t="n">
        <x:f>IF(B1196="Butterfly",MAX(J1196,0),IF(C1196="call","Unlimited",MAX(2*E1196-D1196+J1196,J1196,0)))</x:f>
        <x:v>0</x:v>
      </x:c>
      <x:c r="N1196" s="11" t="str">
        <x:f>IF(B1196="Butterfly",IF(AND(J1196&gt;0,J1196&lt;K1196),D1196+J1196,"n.a."),IF(C1196="call",IF(AND(J1196&gt;0,J1196&lt;K1196),D1196+J1196,"n.a."),IF(AND(K1196&gt;J1196,2*E1196-D1196+J1196&gt;=0),2*E1196-D1196+J1196,"n.a.")))</x:f>
        <x:v>n.a.</x:v>
      </x:c>
      <x:c r="O1196" s="11" t="str">
        <x:f>IF(B1196="Butterfly",IF(AND(J1196&gt;0,J1196&lt;K1196),F1196-J1196,"n.a."),IF(C1196="call",IF(K1196&gt;J1196,2*E1196-D1196-J1196,"n.a."),IF(AND(J1196&gt;0,J1196&lt;K1196),D1196-J1196,"n.a.")))</x:f>
        <x:v>n.a.</x:v>
      </x:c>
      <x:c r="P1196" s="19" t="str">
        <x:f>IF(AND(B1196="Butterfly",J1196&gt;0,J1196&lt;K1196),L1196/J1196,"n.a.")</x:f>
        <x:v>n.a.</x:v>
      </x:c>
      <x:c r="Q1196" s="11" t="n">
        <x:f>J1196*'Model inputs'!$B$8</x:f>
        <x:v>-11572.000000000025</x:v>
      </x:c>
      <x:c r="R1196" s="1" t="str">
        <x:v>Outside standard debit bounds</x:v>
      </x:c>
      <x:c r="S1196" s="1" t="n">
        <x:v>98</x:v>
      </x:c>
      <x:c r="T1196" s="1" t="n">
        <x:v>117</x:v>
      </x:c>
    </x:row>
    <x:row r="1197" ht="21" customHeight="1">
      <x:c r="A1197" s="12" t="n">
        <x:v>46262</x:v>
      </x:c>
      <x:c r="B1197" s="1" t="str">
        <x:v>Butterfly</x:v>
      </x:c>
      <x:c r="C1197" s="1" t="str">
        <x:v>put</x:v>
      </x:c>
      <x:c r="D1197" s="11" t="n">
        <x:v>8000</x:v>
      </x:c>
      <x:c r="E1197" s="11" t="n">
        <x:v>8300</x:v>
      </x:c>
      <x:c r="F1197" s="11" t="n">
        <x:v>8600</x:v>
      </x:c>
      <x:c r="G1197" s="11" t="n">
        <x:f>'Option source'!B853</x:f>
        <x:v>1225</x:v>
      </x:c>
      <x:c r="H1197" s="11" t="n">
        <x:f>'Option source'!B872</x:f>
        <x:v>1291.94</x:v>
      </x:c>
      <x:c r="I1197" s="11" t="n">
        <x:f>'Option source'!B891</x:f>
        <x:v>1850</x:v>
      </x:c>
      <x:c r="J1197" s="11" t="n">
        <x:f>G1197-2*H1197+IF(B1197="Butterfly",I1197,0)</x:f>
        <x:v>491.1199999999999</x:v>
      </x:c>
      <x:c r="K1197" s="11" t="n">
        <x:f>ABS(E1197-D1197)</x:f>
        <x:v>300</x:v>
      </x:c>
      <x:c r="L1197" s="11" t="n">
        <x:f>K1197-J1197</x:f>
        <x:v>-191.1199999999999</x:v>
      </x:c>
      <x:c r="M1197" s="11" t="n">
        <x:f>IF(B1197="Butterfly",MAX(J1197,0),IF(C1197="call","Unlimited",MAX(2*E1197-D1197+J1197,J1197,0)))</x:f>
        <x:v>491.1199999999999</x:v>
      </x:c>
      <x:c r="N1197" s="11" t="str">
        <x:f>IF(B1197="Butterfly",IF(AND(J1197&gt;0,J1197&lt;K1197),D1197+J1197,"n.a."),IF(C1197="call",IF(AND(J1197&gt;0,J1197&lt;K1197),D1197+J1197,"n.a."),IF(AND(K1197&gt;J1197,2*E1197-D1197+J1197&gt;=0),2*E1197-D1197+J1197,"n.a.")))</x:f>
        <x:v>n.a.</x:v>
      </x:c>
      <x:c r="O1197" s="11" t="str">
        <x:f>IF(B1197="Butterfly",IF(AND(J1197&gt;0,J1197&lt;K1197),F1197-J1197,"n.a."),IF(C1197="call",IF(K1197&gt;J1197,2*E1197-D1197-J1197,"n.a."),IF(AND(J1197&gt;0,J1197&lt;K1197),D1197-J1197,"n.a.")))</x:f>
        <x:v>n.a.</x:v>
      </x:c>
      <x:c r="P1197" s="19" t="str">
        <x:f>IF(AND(B1197="Butterfly",J1197&gt;0,J1197&lt;K1197),L1197/J1197,"n.a.")</x:f>
        <x:v>n.a.</x:v>
      </x:c>
      <x:c r="Q1197" s="11" t="n">
        <x:f>J1197*'Model inputs'!$B$8</x:f>
        <x:v>49111.999999999985</x:v>
      </x:c>
      <x:c r="R1197" s="1" t="str">
        <x:v>Outside standard debit bounds</x:v>
      </x:c>
      <x:c r="S1197" s="1" t="n">
        <x:v>848</x:v>
      </x:c>
      <x:c r="T1197" s="1" t="n">
        <x:v>867</x:v>
      </x:c>
    </x:row>
    <x:row r="1198" ht="21" customHeight="1">
      <x:c r="A1198" s="12" t="n">
        <x:v>46262</x:v>
      </x:c>
      <x:c r="B1198" s="1" t="str">
        <x:v>Butterfly</x:v>
      </x:c>
      <x:c r="C1198" s="1" t="str">
        <x:v>call</x:v>
      </x:c>
      <x:c r="D1198" s="11" t="n">
        <x:v>5000</x:v>
      </x:c>
      <x:c r="E1198" s="11" t="n">
        <x:v>5200</x:v>
      </x:c>
      <x:c r="F1198" s="11" t="n">
        <x:v>5400</x:v>
      </x:c>
      <x:c r="G1198" s="11" t="n">
        <x:f>'Option source'!B84</x:f>
        <x:v>1905</x:v>
      </x:c>
      <x:c r="H1198" s="11" t="n">
        <x:f>'Option source'!B103</x:f>
        <x:v>1677.12</x:v>
      </x:c>
      <x:c r="I1198" s="11" t="n">
        <x:f>'Option source'!B122</x:f>
        <x:v>1552.16</x:v>
      </x:c>
      <x:c r="J1198" s="11" t="n">
        <x:f>G1198-2*H1198+IF(B1198="Butterfly",I1198,0)</x:f>
        <x:v>102.9200000000003</x:v>
      </x:c>
      <x:c r="K1198" s="11" t="n">
        <x:f>ABS(E1198-D1198)</x:f>
        <x:v>200</x:v>
      </x:c>
      <x:c r="L1198" s="11" t="n">
        <x:f>K1198-J1198</x:f>
        <x:v>97.0799999999997</x:v>
      </x:c>
      <x:c r="M1198" s="11" t="n">
        <x:f>IF(B1198="Butterfly",MAX(J1198,0),IF(C1198="call","Unlimited",MAX(2*E1198-D1198+J1198,J1198,0)))</x:f>
        <x:v>102.9200000000003</x:v>
      </x:c>
      <x:c r="N1198" s="11" t="n">
        <x:f>IF(B1198="Butterfly",IF(AND(J1198&gt;0,J1198&lt;K1198),D1198+J1198,"n.a."),IF(C1198="call",IF(AND(J1198&gt;0,J1198&lt;K1198),D1198+J1198,"n.a."),IF(AND(K1198&gt;J1198,2*E1198-D1198+J1198&gt;=0),2*E1198-D1198+J1198,"n.a.")))</x:f>
        <x:v>5102.92</x:v>
      </x:c>
      <x:c r="O1198" s="11" t="n">
        <x:f>IF(B1198="Butterfly",IF(AND(J1198&gt;0,J1198&lt;K1198),F1198-J1198,"n.a."),IF(C1198="call",IF(K1198&gt;J1198,2*E1198-D1198-J1198,"n.a."),IF(AND(J1198&gt;0,J1198&lt;K1198),D1198-J1198,"n.a.")))</x:f>
        <x:v>5297.08</x:v>
      </x:c>
      <x:c r="P1198" s="19" t="n">
        <x:f>IF(AND(B1198="Butterfly",J1198&gt;0,J1198&lt;K1198),L1198/J1198,"n.a.")</x:f>
        <x:v>0.9432568985619842</x:v>
      </x:c>
      <x:c r="Q1198" s="11" t="n">
        <x:f>J1198*'Model inputs'!$B$8</x:f>
        <x:v>10292.00000000003</x:v>
      </x:c>
      <x:c r="R1198" s="1" t="str">
        <x:v>Flagged leg data</x:v>
      </x:c>
      <x:c r="S1198" s="1" t="n">
        <x:v>79</x:v>
      </x:c>
      <x:c r="T1198" s="1" t="n">
        <x:v>98</x:v>
      </x:c>
    </x:row>
    <x:row r="1199" ht="21" customHeight="1">
      <x:c r="A1199" s="12" t="n">
        <x:v>46262</x:v>
      </x:c>
      <x:c r="B1199" s="1" t="str">
        <x:v>Butterfly</x:v>
      </x:c>
      <x:c r="C1199" s="1" t="str">
        <x:v>put</x:v>
      </x:c>
      <x:c r="D1199" s="11" t="n">
        <x:v>8300</x:v>
      </x:c>
      <x:c r="E1199" s="11" t="n">
        <x:v>8600</x:v>
      </x:c>
      <x:c r="F1199" s="11" t="n">
        <x:v>8900</x:v>
      </x:c>
      <x:c r="G1199" s="11" t="n">
        <x:f>'Option source'!B872</x:f>
        <x:v>1291.94</x:v>
      </x:c>
      <x:c r="H1199" s="11" t="n">
        <x:f>'Option source'!B891</x:f>
        <x:v>1850</x:v>
      </x:c>
      <x:c r="I1199" s="11" t="n">
        <x:f>'Option source'!B906</x:f>
        <x:v>2022.5</x:v>
      </x:c>
      <x:c r="J1199" s="11" t="n">
        <x:f>G1199-2*H1199+IF(B1199="Butterfly",I1199,0)</x:f>
        <x:v>-385.55999999999995</x:v>
      </x:c>
      <x:c r="K1199" s="11" t="n">
        <x:f>ABS(E1199-D1199)</x:f>
        <x:v>300</x:v>
      </x:c>
      <x:c r="L1199" s="11" t="n">
        <x:f>K1199-J1199</x:f>
        <x:v>685.56</x:v>
      </x:c>
      <x:c r="M1199" s="11" t="n">
        <x:f>IF(B1199="Butterfly",MAX(J1199,0),IF(C1199="call","Unlimited",MAX(2*E1199-D1199+J1199,J1199,0)))</x:f>
        <x:v>0</x:v>
      </x:c>
      <x:c r="N1199" s="11" t="str">
        <x:f>IF(B1199="Butterfly",IF(AND(J1199&gt;0,J1199&lt;K1199),D1199+J1199,"n.a."),IF(C1199="call",IF(AND(J1199&gt;0,J1199&lt;K1199),D1199+J1199,"n.a."),IF(AND(K1199&gt;J1199,2*E1199-D1199+J1199&gt;=0),2*E1199-D1199+J1199,"n.a.")))</x:f>
        <x:v>n.a.</x:v>
      </x:c>
      <x:c r="O1199" s="11" t="str">
        <x:f>IF(B1199="Butterfly",IF(AND(J1199&gt;0,J1199&lt;K1199),F1199-J1199,"n.a."),IF(C1199="call",IF(K1199&gt;J1199,2*E1199-D1199-J1199,"n.a."),IF(AND(J1199&gt;0,J1199&lt;K1199),D1199-J1199,"n.a.")))</x:f>
        <x:v>n.a.</x:v>
      </x:c>
      <x:c r="P1199" s="19" t="str">
        <x:f>IF(AND(B1199="Butterfly",J1199&gt;0,J1199&lt;K1199),L1199/J1199,"n.a.")</x:f>
        <x:v>n.a.</x:v>
      </x:c>
      <x:c r="Q1199" s="11" t="n">
        <x:f>J1199*'Model inputs'!$B$8</x:f>
        <x:v>-38555.99999999999</x:v>
      </x:c>
      <x:c r="R1199" s="1" t="str">
        <x:v>Outside standard debit bounds</x:v>
      </x:c>
      <x:c r="S1199" s="1" t="n">
        <x:v>867</x:v>
      </x:c>
      <x:c r="T1199" s="1" t="n">
        <x:v>886</x:v>
      </x:c>
    </x:row>
    <x:row r="1200" ht="21" customHeight="1">
      <x:c r="A1200" s="12" t="n">
        <x:v>46262</x:v>
      </x:c>
      <x:c r="B1200" s="1" t="str">
        <x:v>Butterfly</x:v>
      </x:c>
      <x:c r="C1200" s="1" t="str">
        <x:v>call</x:v>
      </x:c>
      <x:c r="D1200" s="11" t="n">
        <x:v>4800</x:v>
      </x:c>
      <x:c r="E1200" s="11" t="n">
        <x:v>5000</x:v>
      </x:c>
      <x:c r="F1200" s="11" t="n">
        <x:v>5200</x:v>
      </x:c>
      <x:c r="G1200" s="11" t="n">
        <x:f>'Option source'!B67</x:f>
        <x:v>2050</x:v>
      </x:c>
      <x:c r="H1200" s="11" t="n">
        <x:f>'Option source'!B84</x:f>
        <x:v>1905</x:v>
      </x:c>
      <x:c r="I1200" s="11" t="n">
        <x:f>'Option source'!B103</x:f>
        <x:v>1677.12</x:v>
      </x:c>
      <x:c r="J1200" s="11" t="n">
        <x:f>G1200-2*H1200+IF(B1200="Butterfly",I1200,0)</x:f>
        <x:v>-82.88000000000011</x:v>
      </x:c>
      <x:c r="K1200" s="11" t="n">
        <x:f>ABS(E1200-D1200)</x:f>
        <x:v>200</x:v>
      </x:c>
      <x:c r="L1200" s="11" t="n">
        <x:f>K1200-J1200</x:f>
        <x:v>282.8800000000001</x:v>
      </x:c>
      <x:c r="M1200" s="11" t="n">
        <x:f>IF(B1200="Butterfly",MAX(J1200,0),IF(C1200="call","Unlimited",MAX(2*E1200-D1200+J1200,J1200,0)))</x:f>
        <x:v>0</x:v>
      </x:c>
      <x:c r="N1200" s="11" t="str">
        <x:f>IF(B1200="Butterfly",IF(AND(J1200&gt;0,J1200&lt;K1200),D1200+J1200,"n.a."),IF(C1200="call",IF(AND(J1200&gt;0,J1200&lt;K1200),D1200+J1200,"n.a."),IF(AND(K1200&gt;J1200,2*E1200-D1200+J1200&gt;=0),2*E1200-D1200+J1200,"n.a.")))</x:f>
        <x:v>n.a.</x:v>
      </x:c>
      <x:c r="O1200" s="11" t="str">
        <x:f>IF(B1200="Butterfly",IF(AND(J1200&gt;0,J1200&lt;K1200),F1200-J1200,"n.a."),IF(C1200="call",IF(K1200&gt;J1200,2*E1200-D1200-J1200,"n.a."),IF(AND(J1200&gt;0,J1200&lt;K1200),D1200-J1200,"n.a.")))</x:f>
        <x:v>n.a.</x:v>
      </x:c>
      <x:c r="P1200" s="19" t="str">
        <x:f>IF(AND(B1200="Butterfly",J1200&gt;0,J1200&lt;K1200),L1200/J1200,"n.a.")</x:f>
        <x:v>n.a.</x:v>
      </x:c>
      <x:c r="Q1200" s="11" t="n">
        <x:f>J1200*'Model inputs'!$B$8</x:f>
        <x:v>-8288.000000000011</x:v>
      </x:c>
      <x:c r="R1200" s="1" t="str">
        <x:v>Outside standard debit bounds</x:v>
      </x:c>
      <x:c r="S1200" s="1" t="n">
        <x:v>62</x:v>
      </x:c>
      <x:c r="T1200" s="1" t="n">
        <x:v>79</x:v>
      </x:c>
    </x:row>
    <x:row r="1201" ht="21" customHeight="1">
      <x:c r="A1201" s="12" t="n">
        <x:v>46262</x:v>
      </x:c>
      <x:c r="B1201" s="1" t="str">
        <x:v>Butterfly</x:v>
      </x:c>
      <x:c r="C1201" s="1" t="str">
        <x:v>call</x:v>
      </x:c>
      <x:c r="D1201" s="11" t="n">
        <x:v>4600</x:v>
      </x:c>
      <x:c r="E1201" s="11" t="n">
        <x:v>4800</x:v>
      </x:c>
      <x:c r="F1201" s="11" t="n">
        <x:v>5000</x:v>
      </x:c>
      <x:c r="G1201" s="11" t="n">
        <x:f>'Option source'!B50</x:f>
        <x:v>2400.31</x:v>
      </x:c>
      <x:c r="H1201" s="11" t="n">
        <x:f>'Option source'!B67</x:f>
        <x:v>2050</x:v>
      </x:c>
      <x:c r="I1201" s="11" t="n">
        <x:f>'Option source'!B84</x:f>
        <x:v>1905</x:v>
      </x:c>
      <x:c r="J1201" s="11" t="n">
        <x:f>G1201-2*H1201+IF(B1201="Butterfly",I1201,0)</x:f>
        <x:v>205.30999999999995</x:v>
      </x:c>
      <x:c r="K1201" s="11" t="n">
        <x:f>ABS(E1201-D1201)</x:f>
        <x:v>200</x:v>
      </x:c>
      <x:c r="L1201" s="11" t="n">
        <x:f>K1201-J1201</x:f>
        <x:v>-5.309999999999945</x:v>
      </x:c>
      <x:c r="M1201" s="11" t="n">
        <x:f>IF(B1201="Butterfly",MAX(J1201,0),IF(C1201="call","Unlimited",MAX(2*E1201-D1201+J1201,J1201,0)))</x:f>
        <x:v>205.30999999999995</x:v>
      </x:c>
      <x:c r="N1201" s="11" t="str">
        <x:f>IF(B1201="Butterfly",IF(AND(J1201&gt;0,J1201&lt;K1201),D1201+J1201,"n.a."),IF(C1201="call",IF(AND(J1201&gt;0,J1201&lt;K1201),D1201+J1201,"n.a."),IF(AND(K1201&gt;J1201,2*E1201-D1201+J1201&gt;=0),2*E1201-D1201+J1201,"n.a.")))</x:f>
        <x:v>n.a.</x:v>
      </x:c>
      <x:c r="O1201" s="11" t="str">
        <x:f>IF(B1201="Butterfly",IF(AND(J1201&gt;0,J1201&lt;K1201),F1201-J1201,"n.a."),IF(C1201="call",IF(K1201&gt;J1201,2*E1201-D1201-J1201,"n.a."),IF(AND(J1201&gt;0,J1201&lt;K1201),D1201-J1201,"n.a.")))</x:f>
        <x:v>n.a.</x:v>
      </x:c>
      <x:c r="P1201" s="19" t="str">
        <x:f>IF(AND(B1201="Butterfly",J1201&gt;0,J1201&lt;K1201),L1201/J1201,"n.a.")</x:f>
        <x:v>n.a.</x:v>
      </x:c>
      <x:c r="Q1201" s="11" t="n">
        <x:f>J1201*'Model inputs'!$B$8</x:f>
        <x:v>20530.999999999993</x:v>
      </x:c>
      <x:c r="R1201" s="1" t="str">
        <x:v>Outside standard debit bounds</x:v>
      </x:c>
      <x:c r="S1201" s="1" t="n">
        <x:v>45</x:v>
      </x:c>
      <x:c r="T1201" s="1" t="n">
        <x:v>62</x:v>
      </x:c>
    </x:row>
    <x:row r="1202" ht="21" customHeight="1">
      <x:c r="A1202" s="12" t="n">
        <x:v>46262</x:v>
      </x:c>
      <x:c r="B1202" s="1" t="str">
        <x:v>Butterfly</x:v>
      </x:c>
      <x:c r="C1202" s="1" t="str">
        <x:v>call</x:v>
      </x:c>
      <x:c r="D1202" s="11" t="n">
        <x:v>4400</x:v>
      </x:c>
      <x:c r="E1202" s="11" t="n">
        <x:v>4600</x:v>
      </x:c>
      <x:c r="F1202" s="11" t="n">
        <x:v>4800</x:v>
      </x:c>
      <x:c r="G1202" s="11" t="n">
        <x:f>'Option source'!B31</x:f>
        <x:v>2429.97</x:v>
      </x:c>
      <x:c r="H1202" s="11" t="n">
        <x:f>'Option source'!B50</x:f>
        <x:v>2400.31</x:v>
      </x:c>
      <x:c r="I1202" s="11" t="n">
        <x:f>'Option source'!B67</x:f>
        <x:v>2050</x:v>
      </x:c>
      <x:c r="J1202" s="11" t="n">
        <x:f>G1202-2*H1202+IF(B1202="Butterfly",I1202,0)</x:f>
        <x:v>-320.6500000000001</x:v>
      </x:c>
      <x:c r="K1202" s="11" t="n">
        <x:f>ABS(E1202-D1202)</x:f>
        <x:v>200</x:v>
      </x:c>
      <x:c r="L1202" s="11" t="n">
        <x:f>K1202-J1202</x:f>
        <x:v>520.6500000000001</x:v>
      </x:c>
      <x:c r="M1202" s="11" t="n">
        <x:f>IF(B1202="Butterfly",MAX(J1202,0),IF(C1202="call","Unlimited",MAX(2*E1202-D1202+J1202,J1202,0)))</x:f>
        <x:v>0</x:v>
      </x:c>
      <x:c r="N1202" s="11" t="str">
        <x:f>IF(B1202="Butterfly",IF(AND(J1202&gt;0,J1202&lt;K1202),D1202+J1202,"n.a."),IF(C1202="call",IF(AND(J1202&gt;0,J1202&lt;K1202),D1202+J1202,"n.a."),IF(AND(K1202&gt;J1202,2*E1202-D1202+J1202&gt;=0),2*E1202-D1202+J1202,"n.a.")))</x:f>
        <x:v>n.a.</x:v>
      </x:c>
      <x:c r="O1202" s="11" t="str">
        <x:f>IF(B1202="Butterfly",IF(AND(J1202&gt;0,J1202&lt;K1202),F1202-J1202,"n.a."),IF(C1202="call",IF(K1202&gt;J1202,2*E1202-D1202-J1202,"n.a."),IF(AND(J1202&gt;0,J1202&lt;K1202),D1202-J1202,"n.a.")))</x:f>
        <x:v>n.a.</x:v>
      </x:c>
      <x:c r="P1202" s="19" t="str">
        <x:f>IF(AND(B1202="Butterfly",J1202&gt;0,J1202&lt;K1202),L1202/J1202,"n.a.")</x:f>
        <x:v>n.a.</x:v>
      </x:c>
      <x:c r="Q1202" s="11" t="n">
        <x:f>J1202*'Model inputs'!$B$8</x:f>
        <x:v>-32065.000000000007</x:v>
      </x:c>
      <x:c r="R1202" s="1" t="str">
        <x:v>Outside standard debit bounds</x:v>
      </x:c>
      <x:c r="S1202" s="1" t="n">
        <x:v>26</x:v>
      </x:c>
      <x:c r="T1202" s="1" t="n">
        <x:v>45</x:v>
      </x:c>
    </x:row>
    <x:row r="1203" ht="21" customHeight="1">
      <x:c r="A1203" s="12" t="n">
        <x:v>46262</x:v>
      </x:c>
      <x:c r="B1203" s="1" t="str">
        <x:v>Butterfly</x:v>
      </x:c>
      <x:c r="C1203" s="1" t="str">
        <x:v>put</x:v>
      </x:c>
      <x:c r="D1203" s="11" t="n">
        <x:v>4400</x:v>
      </x:c>
      <x:c r="E1203" s="11" t="n">
        <x:v>4600</x:v>
      </x:c>
      <x:c r="F1203" s="11" t="n">
        <x:v>4800</x:v>
      </x:c>
      <x:c r="G1203" s="11" t="n">
        <x:f>'Option source'!B511</x:f>
        <x:v>1.96</x:v>
      </x:c>
      <x:c r="H1203" s="11" t="n">
        <x:f>'Option source'!B530</x:f>
        <x:v>3.3</x:v>
      </x:c>
      <x:c r="I1203" s="11" t="n">
        <x:f>'Option source'!B549</x:f>
        <x:v>4.38</x:v>
      </x:c>
      <x:c r="J1203" s="11" t="n">
        <x:f>G1203-2*H1203+IF(B1203="Butterfly",I1203,0)</x:f>
        <x:v>-0.2599999999999998</x:v>
      </x:c>
      <x:c r="K1203" s="11" t="n">
        <x:f>ABS(E1203-D1203)</x:f>
        <x:v>200</x:v>
      </x:c>
      <x:c r="L1203" s="11" t="n">
        <x:f>K1203-J1203</x:f>
        <x:v>200.26</x:v>
      </x:c>
      <x:c r="M1203" s="11" t="n">
        <x:f>IF(B1203="Butterfly",MAX(J1203,0),IF(C1203="call","Unlimited",MAX(2*E1203-D1203+J1203,J1203,0)))</x:f>
        <x:v>0</x:v>
      </x:c>
      <x:c r="N1203" s="11" t="str">
        <x:f>IF(B1203="Butterfly",IF(AND(J1203&gt;0,J1203&lt;K1203),D1203+J1203,"n.a."),IF(C1203="call",IF(AND(J1203&gt;0,J1203&lt;K1203),D1203+J1203,"n.a."),IF(AND(K1203&gt;J1203,2*E1203-D1203+J1203&gt;=0),2*E1203-D1203+J1203,"n.a.")))</x:f>
        <x:v>n.a.</x:v>
      </x:c>
      <x:c r="O1203" s="11" t="str">
        <x:f>IF(B1203="Butterfly",IF(AND(J1203&gt;0,J1203&lt;K1203),F1203-J1203,"n.a."),IF(C1203="call",IF(K1203&gt;J1203,2*E1203-D1203-J1203,"n.a."),IF(AND(J1203&gt;0,J1203&lt;K1203),D1203-J1203,"n.a.")))</x:f>
        <x:v>n.a.</x:v>
      </x:c>
      <x:c r="P1203" s="19" t="str">
        <x:f>IF(AND(B1203="Butterfly",J1203&gt;0,J1203&lt;K1203),L1203/J1203,"n.a.")</x:f>
        <x:v>n.a.</x:v>
      </x:c>
      <x:c r="Q1203" s="11" t="n">
        <x:f>J1203*'Model inputs'!$B$8</x:f>
        <x:v>-25.99999999999998</x:v>
      </x:c>
      <x:c r="R1203" s="1" t="str">
        <x:v>Outside standard debit bounds</x:v>
      </x:c>
      <x:c r="S1203" s="1" t="n">
        <x:v>506</x:v>
      </x:c>
      <x:c r="T1203" s="1" t="n">
        <x:v>525</x:v>
      </x:c>
    </x:row>
    <x:row r="1204" ht="21" customHeight="1">
      <x:c r="A1204" s="12" t="n">
        <x:v>46262</x:v>
      </x:c>
      <x:c r="B1204" s="1" t="str">
        <x:v>Butterfly</x:v>
      </x:c>
      <x:c r="C1204" s="1" t="str">
        <x:v>call</x:v>
      </x:c>
      <x:c r="D1204" s="11" t="n">
        <x:v>4200</x:v>
      </x:c>
      <x:c r="E1204" s="11" t="n">
        <x:v>4400</x:v>
      </x:c>
      <x:c r="F1204" s="11" t="n">
        <x:v>4600</x:v>
      </x:c>
      <x:c r="G1204" s="11" t="n">
        <x:f>'Option source'!B12</x:f>
        <x:v>2666.16</x:v>
      </x:c>
      <x:c r="H1204" s="11" t="n">
        <x:f>'Option source'!B31</x:f>
        <x:v>2429.97</x:v>
      </x:c>
      <x:c r="I1204" s="11" t="n">
        <x:f>'Option source'!B50</x:f>
        <x:v>2400.31</x:v>
      </x:c>
      <x:c r="J1204" s="11" t="n">
        <x:f>G1204-2*H1204+IF(B1204="Butterfly",I1204,0)</x:f>
        <x:v>206.5300000000002</x:v>
      </x:c>
      <x:c r="K1204" s="11" t="n">
        <x:f>ABS(E1204-D1204)</x:f>
        <x:v>200</x:v>
      </x:c>
      <x:c r="L1204" s="11" t="n">
        <x:f>K1204-J1204</x:f>
        <x:v>-6.5300000000002</x:v>
      </x:c>
      <x:c r="M1204" s="11" t="n">
        <x:f>IF(B1204="Butterfly",MAX(J1204,0),IF(C1204="call","Unlimited",MAX(2*E1204-D1204+J1204,J1204,0)))</x:f>
        <x:v>206.5300000000002</x:v>
      </x:c>
      <x:c r="N1204" s="11" t="str">
        <x:f>IF(B1204="Butterfly",IF(AND(J1204&gt;0,J1204&lt;K1204),D1204+J1204,"n.a."),IF(C1204="call",IF(AND(J1204&gt;0,J1204&lt;K1204),D1204+J1204,"n.a."),IF(AND(K1204&gt;J1204,2*E1204-D1204+J1204&gt;=0),2*E1204-D1204+J1204,"n.a.")))</x:f>
        <x:v>n.a.</x:v>
      </x:c>
      <x:c r="O1204" s="11" t="str">
        <x:f>IF(B1204="Butterfly",IF(AND(J1204&gt;0,J1204&lt;K1204),F1204-J1204,"n.a."),IF(C1204="call",IF(K1204&gt;J1204,2*E1204-D1204-J1204,"n.a."),IF(AND(J1204&gt;0,J1204&lt;K1204),D1204-J1204,"n.a.")))</x:f>
        <x:v>n.a.</x:v>
      </x:c>
      <x:c r="P1204" s="19" t="str">
        <x:f>IF(AND(B1204="Butterfly",J1204&gt;0,J1204&lt;K1204),L1204/J1204,"n.a.")</x:f>
        <x:v>n.a.</x:v>
      </x:c>
      <x:c r="Q1204" s="11" t="n">
        <x:f>J1204*'Model inputs'!$B$8</x:f>
        <x:v>20653.000000000022</x:v>
      </x:c>
      <x:c r="R1204" s="1" t="str">
        <x:v>Outside standard debit bounds</x:v>
      </x:c>
      <x:c r="S1204" s="1" t="n">
        <x:v>7</x:v>
      </x:c>
      <x:c r="T1204" s="1" t="n">
        <x:v>26</x:v>
      </x:c>
    </x:row>
    <x:row r="1205" ht="21" customHeight="1">
      <x:c r="A1205" s="12" t="n">
        <x:v>46262</x:v>
      </x:c>
      <x:c r="B1205" s="1" t="str">
        <x:v>1x2 ratio</x:v>
      </x:c>
      <x:c r="C1205" s="1" t="str">
        <x:v>call</x:v>
      </x:c>
      <x:c r="D1205" s="11" t="n">
        <x:v>6600</x:v>
      </x:c>
      <x:c r="E1205" s="11" t="n">
        <x:v>6800</x:v>
      </x:c>
      <x:c r="F1205" s="11"/>
      <x:c r="G1205" s="11" t="n">
        <x:f>'Option source'!B226</x:f>
        <x:v>651.81</x:v>
      </x:c>
      <x:c r="H1205" s="11" t="n">
        <x:f>'Option source'!B245</x:f>
        <x:v>532.71</x:v>
      </x:c>
      <x:c r="I1205" s="11"/>
      <x:c r="J1205" s="11" t="n">
        <x:f>G1205-2*H1205+IF(B1205="Butterfly",I1205,0)</x:f>
        <x:v>-413.6100000000001</x:v>
      </x:c>
      <x:c r="K1205" s="11" t="n">
        <x:f>ABS(E1205-D1205)</x:f>
        <x:v>200</x:v>
      </x:c>
      <x:c r="L1205" s="11" t="n">
        <x:f>K1205-J1205</x:f>
        <x:v>613.6100000000001</x:v>
      </x:c>
      <x:c r="M1205" s="11" t="str">
        <x:f>IF(B1205="Butterfly",MAX(J1205,0),IF(C1205="call","Unlimited",MAX(2*E1205-D1205+J1205,J1205,0)))</x:f>
        <x:v>Unlimited</x:v>
      </x:c>
      <x:c r="N1205" s="11" t="str">
        <x:f>IF(B1205="Butterfly",IF(AND(J1205&gt;0,J1205&lt;K1205),D1205+J1205,"n.a."),IF(C1205="call",IF(AND(J1205&gt;0,J1205&lt;K1205),D1205+J1205,"n.a."),IF(AND(K1205&gt;J1205,2*E1205-D1205+J1205&gt;=0),2*E1205-D1205+J1205,"n.a.")))</x:f>
        <x:v>n.a.</x:v>
      </x:c>
      <x:c r="O1205" s="11" t="n">
        <x:f>IF(B1205="Butterfly",IF(AND(J1205&gt;0,J1205&lt;K1205),F1205-J1205,"n.a."),IF(C1205="call",IF(K1205&gt;J1205,2*E1205-D1205-J1205,"n.a."),IF(AND(J1205&gt;0,J1205&lt;K1205),D1205-J1205,"n.a.")))</x:f>
        <x:v>7413.610000000001</x:v>
      </x:c>
      <x:c r="P1205" s="19" t="str">
        <x:f>IF(AND(B1205="Butterfly",J1205&gt;0,J1205&lt;K1205),L1205/J1205,"n.a.")</x:f>
        <x:v>n.a.</x:v>
      </x:c>
      <x:c r="Q1205" s="11" t="n">
        <x:f>J1205*'Model inputs'!$B$8</x:f>
        <x:v>-41361.000000000015</x:v>
      </x:c>
      <x:c r="R1205" s="1" t="str">
        <x:v>Indicative only</x:v>
      </x:c>
      <x:c r="S1205" s="1" t="n">
        <x:v>221</x:v>
      </x:c>
      <x:c r="T1205" s="1" t="n">
        <x:v>240</x:v>
      </x:c>
    </x:row>
    <x:row r="1206" ht="21" customHeight="1">
      <x:c r="A1206" s="12" t="n">
        <x:v>46262</x:v>
      </x:c>
      <x:c r="B1206" s="1" t="str">
        <x:v>1x2 ratio</x:v>
      </x:c>
      <x:c r="C1206" s="1" t="str">
        <x:v>put</x:v>
      </x:c>
      <x:c r="D1206" s="11" t="n">
        <x:v>7000</x:v>
      </x:c>
      <x:c r="E1206" s="11" t="n">
        <x:v>6800</x:v>
      </x:c>
      <x:c r="F1206" s="11"/>
      <x:c r="G1206" s="11" t="n">
        <x:f>'Option source'!B758</x:f>
        <x:v>436.88</x:v>
      </x:c>
      <x:c r="H1206" s="11" t="n">
        <x:f>'Option source'!B739</x:f>
        <x:v>332.14</x:v>
      </x:c>
      <x:c r="I1206" s="11"/>
      <x:c r="J1206" s="11" t="n">
        <x:f>G1206-2*H1206+IF(B1206="Butterfly",I1206,0)</x:f>
        <x:v>-227.39999999999998</x:v>
      </x:c>
      <x:c r="K1206" s="11" t="n">
        <x:f>ABS(E1206-D1206)</x:f>
        <x:v>200</x:v>
      </x:c>
      <x:c r="L1206" s="11" t="n">
        <x:f>K1206-J1206</x:f>
        <x:v>427.4</x:v>
      </x:c>
      <x:c r="M1206" s="11" t="n">
        <x:f>IF(B1206="Butterfly",MAX(J1206,0),IF(C1206="call","Unlimited",MAX(2*E1206-D1206+J1206,J1206,0)))</x:f>
        <x:v>6372.6</x:v>
      </x:c>
      <x:c r="N1206" s="11" t="n">
        <x:f>IF(B1206="Butterfly",IF(AND(J1206&gt;0,J1206&lt;K1206),D1206+J1206,"n.a."),IF(C1206="call",IF(AND(J1206&gt;0,J1206&lt;K1206),D1206+J1206,"n.a."),IF(AND(K1206&gt;J1206,2*E1206-D1206+J1206&gt;=0),2*E1206-D1206+J1206,"n.a.")))</x:f>
        <x:v>6372.6</x:v>
      </x:c>
      <x:c r="O1206" s="11" t="str">
        <x:f>IF(B1206="Butterfly",IF(AND(J1206&gt;0,J1206&lt;K1206),F1206-J1206,"n.a."),IF(C1206="call",IF(K1206&gt;J1206,2*E1206-D1206-J1206,"n.a."),IF(AND(J1206&gt;0,J1206&lt;K1206),D1206-J1206,"n.a.")))</x:f>
        <x:v>n.a.</x:v>
      </x:c>
      <x:c r="P1206" s="19" t="str">
        <x:f>IF(AND(B1206="Butterfly",J1206&gt;0,J1206&lt;K1206),L1206/J1206,"n.a.")</x:f>
        <x:v>n.a.</x:v>
      </x:c>
      <x:c r="Q1206" s="11" t="n">
        <x:f>J1206*'Model inputs'!$B$8</x:f>
        <x:v>-22739.999999999996</x:v>
      </x:c>
      <x:c r="R1206" s="1" t="str">
        <x:v>Indicative only</x:v>
      </x:c>
      <x:c r="S1206" s="1" t="n">
        <x:v>753</x:v>
      </x:c>
      <x:c r="T1206" s="1" t="n">
        <x:v>734</x:v>
      </x:c>
    </x:row>
    <x:row r="1207" ht="21" customHeight="1">
      <x:c r="A1207" s="12" t="n">
        <x:v>46262</x:v>
      </x:c>
      <x:c r="B1207" s="1" t="str">
        <x:v>1x2 ratio</x:v>
      </x:c>
      <x:c r="C1207" s="1" t="str">
        <x:v>call</x:v>
      </x:c>
      <x:c r="D1207" s="11" t="n">
        <x:v>6800</x:v>
      </x:c>
      <x:c r="E1207" s="11" t="n">
        <x:v>7000</x:v>
      </x:c>
      <x:c r="F1207" s="11"/>
      <x:c r="G1207" s="11" t="n">
        <x:f>'Option source'!B245</x:f>
        <x:v>532.71</x:v>
      </x:c>
      <x:c r="H1207" s="11" t="n">
        <x:f>'Option source'!B264</x:f>
        <x:v>438.78</x:v>
      </x:c>
      <x:c r="I1207" s="11"/>
      <x:c r="J1207" s="11" t="n">
        <x:f>G1207-2*H1207+IF(B1207="Butterfly",I1207,0)</x:f>
        <x:v>-344.8499999999999</x:v>
      </x:c>
      <x:c r="K1207" s="11" t="n">
        <x:f>ABS(E1207-D1207)</x:f>
        <x:v>200</x:v>
      </x:c>
      <x:c r="L1207" s="11" t="n">
        <x:f>K1207-J1207</x:f>
        <x:v>544.8499999999999</x:v>
      </x:c>
      <x:c r="M1207" s="11" t="str">
        <x:f>IF(B1207="Butterfly",MAX(J1207,0),IF(C1207="call","Unlimited",MAX(2*E1207-D1207+J1207,J1207,0)))</x:f>
        <x:v>Unlimited</x:v>
      </x:c>
      <x:c r="N1207" s="11" t="str">
        <x:f>IF(B1207="Butterfly",IF(AND(J1207&gt;0,J1207&lt;K1207),D1207+J1207,"n.a."),IF(C1207="call",IF(AND(J1207&gt;0,J1207&lt;K1207),D1207+J1207,"n.a."),IF(AND(K1207&gt;J1207,2*E1207-D1207+J1207&gt;=0),2*E1207-D1207+J1207,"n.a.")))</x:f>
        <x:v>n.a.</x:v>
      </x:c>
      <x:c r="O1207" s="11" t="n">
        <x:f>IF(B1207="Butterfly",IF(AND(J1207&gt;0,J1207&lt;K1207),F1207-J1207,"n.a."),IF(C1207="call",IF(K1207&gt;J1207,2*E1207-D1207-J1207,"n.a."),IF(AND(J1207&gt;0,J1207&lt;K1207),D1207-J1207,"n.a.")))</x:f>
        <x:v>7544.85</x:v>
      </x:c>
      <x:c r="P1207" s="19" t="str">
        <x:f>IF(AND(B1207="Butterfly",J1207&gt;0,J1207&lt;K1207),L1207/J1207,"n.a.")</x:f>
        <x:v>n.a.</x:v>
      </x:c>
      <x:c r="Q1207" s="11" t="n">
        <x:f>J1207*'Model inputs'!$B$8</x:f>
        <x:v>-34484.99999999999</x:v>
      </x:c>
      <x:c r="R1207" s="1" t="str">
        <x:v>Indicative only</x:v>
      </x:c>
      <x:c r="S1207" s="1" t="n">
        <x:v>240</x:v>
      </x:c>
      <x:c r="T1207" s="1" t="n">
        <x:v>259</x:v>
      </x:c>
    </x:row>
    <x:row r="1208" ht="21" customHeight="1">
      <x:c r="A1208" s="12" t="n">
        <x:v>46262</x:v>
      </x:c>
      <x:c r="B1208" s="1" t="str">
        <x:v>1x2 ratio</x:v>
      </x:c>
      <x:c r="C1208" s="1" t="str">
        <x:v>put</x:v>
      </x:c>
      <x:c r="D1208" s="11" t="n">
        <x:v>7200</x:v>
      </x:c>
      <x:c r="E1208" s="11" t="n">
        <x:v>7000</x:v>
      </x:c>
      <x:c r="F1208" s="11"/>
      <x:c r="G1208" s="11" t="n">
        <x:f>'Option source'!B777</x:f>
        <x:v>544.22</x:v>
      </x:c>
      <x:c r="H1208" s="11" t="n">
        <x:f>'Option source'!B758</x:f>
        <x:v>436.88</x:v>
      </x:c>
      <x:c r="I1208" s="11"/>
      <x:c r="J1208" s="11" t="n">
        <x:f>G1208-2*H1208+IF(B1208="Butterfly",I1208,0)</x:f>
        <x:v>-329.53999999999996</x:v>
      </x:c>
      <x:c r="K1208" s="11" t="n">
        <x:f>ABS(E1208-D1208)</x:f>
        <x:v>200</x:v>
      </x:c>
      <x:c r="L1208" s="11" t="n">
        <x:f>K1208-J1208</x:f>
        <x:v>529.54</x:v>
      </x:c>
      <x:c r="M1208" s="11" t="n">
        <x:f>IF(B1208="Butterfly",MAX(J1208,0),IF(C1208="call","Unlimited",MAX(2*E1208-D1208+J1208,J1208,0)))</x:f>
        <x:v>6470.46</x:v>
      </x:c>
      <x:c r="N1208" s="11" t="n">
        <x:f>IF(B1208="Butterfly",IF(AND(J1208&gt;0,J1208&lt;K1208),D1208+J1208,"n.a."),IF(C1208="call",IF(AND(J1208&gt;0,J1208&lt;K1208),D1208+J1208,"n.a."),IF(AND(K1208&gt;J1208,2*E1208-D1208+J1208&gt;=0),2*E1208-D1208+J1208,"n.a.")))</x:f>
        <x:v>6470.46</x:v>
      </x:c>
      <x:c r="O1208" s="11" t="str">
        <x:f>IF(B1208="Butterfly",IF(AND(J1208&gt;0,J1208&lt;K1208),F1208-J1208,"n.a."),IF(C1208="call",IF(K1208&gt;J1208,2*E1208-D1208-J1208,"n.a."),IF(AND(J1208&gt;0,J1208&lt;K1208),D1208-J1208,"n.a.")))</x:f>
        <x:v>n.a.</x:v>
      </x:c>
      <x:c r="P1208" s="19" t="str">
        <x:f>IF(AND(B1208="Butterfly",J1208&gt;0,J1208&lt;K1208),L1208/J1208,"n.a.")</x:f>
        <x:v>n.a.</x:v>
      </x:c>
      <x:c r="Q1208" s="11" t="n">
        <x:f>J1208*'Model inputs'!$B$8</x:f>
        <x:v>-32954</x:v>
      </x:c>
      <x:c r="R1208" s="1" t="str">
        <x:v>Indicative only</x:v>
      </x:c>
      <x:c r="S1208" s="1" t="n">
        <x:v>772</x:v>
      </x:c>
      <x:c r="T1208" s="1" t="n">
        <x:v>753</x:v>
      </x:c>
    </x:row>
    <x:row r="1209" ht="21" customHeight="1">
      <x:c r="A1209" s="12" t="n">
        <x:v>46262</x:v>
      </x:c>
      <x:c r="B1209" s="1" t="str">
        <x:v>1x2 ratio</x:v>
      </x:c>
      <x:c r="C1209" s="1" t="str">
        <x:v>call</x:v>
      </x:c>
      <x:c r="D1209" s="11" t="n">
        <x:v>6400</x:v>
      </x:c>
      <x:c r="E1209" s="11" t="n">
        <x:v>6600</x:v>
      </x:c>
      <x:c r="F1209" s="11"/>
      <x:c r="G1209" s="11" t="n">
        <x:f>'Option source'!B207</x:f>
        <x:v>775</x:v>
      </x:c>
      <x:c r="H1209" s="11" t="n">
        <x:f>'Option source'!B226</x:f>
        <x:v>651.81</x:v>
      </x:c>
      <x:c r="I1209" s="11"/>
      <x:c r="J1209" s="11" t="n">
        <x:f>G1209-2*H1209+IF(B1209="Butterfly",I1209,0)</x:f>
        <x:v>-528.6199999999999</x:v>
      </x:c>
      <x:c r="K1209" s="11" t="n">
        <x:f>ABS(E1209-D1209)</x:f>
        <x:v>200</x:v>
      </x:c>
      <x:c r="L1209" s="11" t="n">
        <x:f>K1209-J1209</x:f>
        <x:v>728.6199999999999</x:v>
      </x:c>
      <x:c r="M1209" s="11" t="str">
        <x:f>IF(B1209="Butterfly",MAX(J1209,0),IF(C1209="call","Unlimited",MAX(2*E1209-D1209+J1209,J1209,0)))</x:f>
        <x:v>Unlimited</x:v>
      </x:c>
      <x:c r="N1209" s="11" t="str">
        <x:f>IF(B1209="Butterfly",IF(AND(J1209&gt;0,J1209&lt;K1209),D1209+J1209,"n.a."),IF(C1209="call",IF(AND(J1209&gt;0,J1209&lt;K1209),D1209+J1209,"n.a."),IF(AND(K1209&gt;J1209,2*E1209-D1209+J1209&gt;=0),2*E1209-D1209+J1209,"n.a.")))</x:f>
        <x:v>n.a.</x:v>
      </x:c>
      <x:c r="O1209" s="11" t="n">
        <x:f>IF(B1209="Butterfly",IF(AND(J1209&gt;0,J1209&lt;K1209),F1209-J1209,"n.a."),IF(C1209="call",IF(K1209&gt;J1209,2*E1209-D1209-J1209,"n.a."),IF(AND(J1209&gt;0,J1209&lt;K1209),D1209-J1209,"n.a.")))</x:f>
        <x:v>7328.62</x:v>
      </x:c>
      <x:c r="P1209" s="19" t="str">
        <x:f>IF(AND(B1209="Butterfly",J1209&gt;0,J1209&lt;K1209),L1209/J1209,"n.a.")</x:f>
        <x:v>n.a.</x:v>
      </x:c>
      <x:c r="Q1209" s="11" t="n">
        <x:f>J1209*'Model inputs'!$B$8</x:f>
        <x:v>-52861.999999999985</x:v>
      </x:c>
      <x:c r="R1209" s="1" t="str">
        <x:v>Indicative only</x:v>
      </x:c>
      <x:c r="S1209" s="1" t="n">
        <x:v>202</x:v>
      </x:c>
      <x:c r="T1209" s="1" t="n">
        <x:v>221</x:v>
      </x:c>
    </x:row>
    <x:row r="1210" ht="21" customHeight="1">
      <x:c r="A1210" s="12" t="n">
        <x:v>46262</x:v>
      </x:c>
      <x:c r="B1210" s="1" t="str">
        <x:v>1x2 ratio</x:v>
      </x:c>
      <x:c r="C1210" s="1" t="str">
        <x:v>put</x:v>
      </x:c>
      <x:c r="D1210" s="11" t="n">
        <x:v>6800</x:v>
      </x:c>
      <x:c r="E1210" s="11" t="n">
        <x:v>6600</x:v>
      </x:c>
      <x:c r="F1210" s="11"/>
      <x:c r="G1210" s="11" t="n">
        <x:f>'Option source'!B739</x:f>
        <x:v>332.14</x:v>
      </x:c>
      <x:c r="H1210" s="11" t="n">
        <x:f>'Option source'!B720</x:f>
        <x:v>249.3</x:v>
      </x:c>
      <x:c r="I1210" s="11"/>
      <x:c r="J1210" s="11" t="n">
        <x:f>G1210-2*H1210+IF(B1210="Butterfly",I1210,0)</x:f>
        <x:v>-166.46000000000004</x:v>
      </x:c>
      <x:c r="K1210" s="11" t="n">
        <x:f>ABS(E1210-D1210)</x:f>
        <x:v>200</x:v>
      </x:c>
      <x:c r="L1210" s="11" t="n">
        <x:f>K1210-J1210</x:f>
        <x:v>366.46000000000004</x:v>
      </x:c>
      <x:c r="M1210" s="11" t="n">
        <x:f>IF(B1210="Butterfly",MAX(J1210,0),IF(C1210="call","Unlimited",MAX(2*E1210-D1210+J1210,J1210,0)))</x:f>
        <x:v>6233.54</x:v>
      </x:c>
      <x:c r="N1210" s="11" t="n">
        <x:f>IF(B1210="Butterfly",IF(AND(J1210&gt;0,J1210&lt;K1210),D1210+J1210,"n.a."),IF(C1210="call",IF(AND(J1210&gt;0,J1210&lt;K1210),D1210+J1210,"n.a."),IF(AND(K1210&gt;J1210,2*E1210-D1210+J1210&gt;=0),2*E1210-D1210+J1210,"n.a.")))</x:f>
        <x:v>6233.54</x:v>
      </x:c>
      <x:c r="O1210" s="11" t="str">
        <x:f>IF(B1210="Butterfly",IF(AND(J1210&gt;0,J1210&lt;K1210),F1210-J1210,"n.a."),IF(C1210="call",IF(K1210&gt;J1210,2*E1210-D1210-J1210,"n.a."),IF(AND(J1210&gt;0,J1210&lt;K1210),D1210-J1210,"n.a.")))</x:f>
        <x:v>n.a.</x:v>
      </x:c>
      <x:c r="P1210" s="19" t="str">
        <x:f>IF(AND(B1210="Butterfly",J1210&gt;0,J1210&lt;K1210),L1210/J1210,"n.a.")</x:f>
        <x:v>n.a.</x:v>
      </x:c>
      <x:c r="Q1210" s="11" t="n">
        <x:f>J1210*'Model inputs'!$B$8</x:f>
        <x:v>-16646.000000000004</x:v>
      </x:c>
      <x:c r="R1210" s="1" t="str">
        <x:v>Indicative only</x:v>
      </x:c>
      <x:c r="S1210" s="1" t="n">
        <x:v>734</x:v>
      </x:c>
      <x:c r="T1210" s="1" t="n">
        <x:v>715</x:v>
      </x:c>
    </x:row>
    <x:row r="1211" ht="21" customHeight="1">
      <x:c r="A1211" s="12" t="n">
        <x:v>46262</x:v>
      </x:c>
      <x:c r="B1211" s="1" t="str">
        <x:v>1x2 ratio</x:v>
      </x:c>
      <x:c r="C1211" s="1" t="str">
        <x:v>call</x:v>
      </x:c>
      <x:c r="D1211" s="11" t="n">
        <x:v>7000</x:v>
      </x:c>
      <x:c r="E1211" s="11" t="n">
        <x:v>7200</x:v>
      </x:c>
      <x:c r="F1211" s="11"/>
      <x:c r="G1211" s="11" t="n">
        <x:f>'Option source'!B264</x:f>
        <x:v>438.78</x:v>
      </x:c>
      <x:c r="H1211" s="11" t="n">
        <x:f>'Option source'!B283</x:f>
        <x:v>358.14</x:v>
      </x:c>
      <x:c r="I1211" s="11"/>
      <x:c r="J1211" s="11" t="n">
        <x:f>G1211-2*H1211+IF(B1211="Butterfly",I1211,0)</x:f>
        <x:v>-277.5</x:v>
      </x:c>
      <x:c r="K1211" s="11" t="n">
        <x:f>ABS(E1211-D1211)</x:f>
        <x:v>200</x:v>
      </x:c>
      <x:c r="L1211" s="11" t="n">
        <x:f>K1211-J1211</x:f>
        <x:v>477.5</x:v>
      </x:c>
      <x:c r="M1211" s="11" t="str">
        <x:f>IF(B1211="Butterfly",MAX(J1211,0),IF(C1211="call","Unlimited",MAX(2*E1211-D1211+J1211,J1211,0)))</x:f>
        <x:v>Unlimited</x:v>
      </x:c>
      <x:c r="N1211" s="11" t="str">
        <x:f>IF(B1211="Butterfly",IF(AND(J1211&gt;0,J1211&lt;K1211),D1211+J1211,"n.a."),IF(C1211="call",IF(AND(J1211&gt;0,J1211&lt;K1211),D1211+J1211,"n.a."),IF(AND(K1211&gt;J1211,2*E1211-D1211+J1211&gt;=0),2*E1211-D1211+J1211,"n.a.")))</x:f>
        <x:v>n.a.</x:v>
      </x:c>
      <x:c r="O1211" s="11" t="n">
        <x:f>IF(B1211="Butterfly",IF(AND(J1211&gt;0,J1211&lt;K1211),F1211-J1211,"n.a."),IF(C1211="call",IF(K1211&gt;J1211,2*E1211-D1211-J1211,"n.a."),IF(AND(J1211&gt;0,J1211&lt;K1211),D1211-J1211,"n.a.")))</x:f>
        <x:v>7677.5</x:v>
      </x:c>
      <x:c r="P1211" s="19" t="str">
        <x:f>IF(AND(B1211="Butterfly",J1211&gt;0,J1211&lt;K1211),L1211/J1211,"n.a.")</x:f>
        <x:v>n.a.</x:v>
      </x:c>
      <x:c r="Q1211" s="11" t="n">
        <x:f>J1211*'Model inputs'!$B$8</x:f>
        <x:v>-27750</x:v>
      </x:c>
      <x:c r="R1211" s="1" t="str">
        <x:v>Indicative only</x:v>
      </x:c>
      <x:c r="S1211" s="1" t="n">
        <x:v>259</x:v>
      </x:c>
      <x:c r="T1211" s="1" t="n">
        <x:v>278</x:v>
      </x:c>
    </x:row>
    <x:row r="1212" ht="21" customHeight="1">
      <x:c r="A1212" s="12" t="n">
        <x:v>46262</x:v>
      </x:c>
      <x:c r="B1212" s="1" t="str">
        <x:v>1x2 ratio</x:v>
      </x:c>
      <x:c r="C1212" s="1" t="str">
        <x:v>call</x:v>
      </x:c>
      <x:c r="D1212" s="11" t="n">
        <x:v>6200</x:v>
      </x:c>
      <x:c r="E1212" s="11" t="n">
        <x:v>6400</x:v>
      </x:c>
      <x:c r="F1212" s="11"/>
      <x:c r="G1212" s="11" t="n">
        <x:f>'Option source'!B188</x:f>
        <x:v>870</x:v>
      </x:c>
      <x:c r="H1212" s="11" t="n">
        <x:f>'Option source'!B207</x:f>
        <x:v>775</x:v>
      </x:c>
      <x:c r="I1212" s="11"/>
      <x:c r="J1212" s="11" t="n">
        <x:f>G1212-2*H1212+IF(B1212="Butterfly",I1212,0)</x:f>
        <x:v>-680</x:v>
      </x:c>
      <x:c r="K1212" s="11" t="n">
        <x:f>ABS(E1212-D1212)</x:f>
        <x:v>200</x:v>
      </x:c>
      <x:c r="L1212" s="11" t="n">
        <x:f>K1212-J1212</x:f>
        <x:v>880</x:v>
      </x:c>
      <x:c r="M1212" s="11" t="str">
        <x:f>IF(B1212="Butterfly",MAX(J1212,0),IF(C1212="call","Unlimited",MAX(2*E1212-D1212+J1212,J1212,0)))</x:f>
        <x:v>Unlimited</x:v>
      </x:c>
      <x:c r="N1212" s="11" t="str">
        <x:f>IF(B1212="Butterfly",IF(AND(J1212&gt;0,J1212&lt;K1212),D1212+J1212,"n.a."),IF(C1212="call",IF(AND(J1212&gt;0,J1212&lt;K1212),D1212+J1212,"n.a."),IF(AND(K1212&gt;J1212,2*E1212-D1212+J1212&gt;=0),2*E1212-D1212+J1212,"n.a.")))</x:f>
        <x:v>n.a.</x:v>
      </x:c>
      <x:c r="O1212" s="11" t="n">
        <x:f>IF(B1212="Butterfly",IF(AND(J1212&gt;0,J1212&lt;K1212),F1212-J1212,"n.a."),IF(C1212="call",IF(K1212&gt;J1212,2*E1212-D1212-J1212,"n.a."),IF(AND(J1212&gt;0,J1212&lt;K1212),D1212-J1212,"n.a.")))</x:f>
        <x:v>7280</x:v>
      </x:c>
      <x:c r="P1212" s="19" t="str">
        <x:f>IF(AND(B1212="Butterfly",J1212&gt;0,J1212&lt;K1212),L1212/J1212,"n.a.")</x:f>
        <x:v>n.a.</x:v>
      </x:c>
      <x:c r="Q1212" s="11" t="n">
        <x:f>J1212*'Model inputs'!$B$8</x:f>
        <x:v>-68000</x:v>
      </x:c>
      <x:c r="R1212" s="1" t="str">
        <x:v>Indicative only</x:v>
      </x:c>
      <x:c r="S1212" s="1" t="n">
        <x:v>183</x:v>
      </x:c>
      <x:c r="T1212" s="1" t="n">
        <x:v>202</x:v>
      </x:c>
    </x:row>
    <x:row r="1213" ht="21" customHeight="1">
      <x:c r="A1213" s="12" t="n">
        <x:v>46262</x:v>
      </x:c>
      <x:c r="B1213" s="1" t="str">
        <x:v>1x2 ratio</x:v>
      </x:c>
      <x:c r="C1213" s="1" t="str">
        <x:v>put</x:v>
      </x:c>
      <x:c r="D1213" s="11" t="n">
        <x:v>6600</x:v>
      </x:c>
      <x:c r="E1213" s="11" t="n">
        <x:v>6400</x:v>
      </x:c>
      <x:c r="F1213" s="11"/>
      <x:c r="G1213" s="11" t="n">
        <x:f>'Option source'!B720</x:f>
        <x:v>249.3</x:v>
      </x:c>
      <x:c r="H1213" s="11" t="n">
        <x:f>'Option source'!B701</x:f>
        <x:v>179.89</x:v>
      </x:c>
      <x:c r="I1213" s="11"/>
      <x:c r="J1213" s="11" t="n">
        <x:f>G1213-2*H1213+IF(B1213="Butterfly",I1213,0)</x:f>
        <x:v>-110.47999999999996</x:v>
      </x:c>
      <x:c r="K1213" s="11" t="n">
        <x:f>ABS(E1213-D1213)</x:f>
        <x:v>200</x:v>
      </x:c>
      <x:c r="L1213" s="11" t="n">
        <x:f>K1213-J1213</x:f>
        <x:v>310.47999999999996</x:v>
      </x:c>
      <x:c r="M1213" s="11" t="n">
        <x:f>IF(B1213="Butterfly",MAX(J1213,0),IF(C1213="call","Unlimited",MAX(2*E1213-D1213+J1213,J1213,0)))</x:f>
        <x:v>6089.52</x:v>
      </x:c>
      <x:c r="N1213" s="11" t="n">
        <x:f>IF(B1213="Butterfly",IF(AND(J1213&gt;0,J1213&lt;K1213),D1213+J1213,"n.a."),IF(C1213="call",IF(AND(J1213&gt;0,J1213&lt;K1213),D1213+J1213,"n.a."),IF(AND(K1213&gt;J1213,2*E1213-D1213+J1213&gt;=0),2*E1213-D1213+J1213,"n.a.")))</x:f>
        <x:v>6089.52</x:v>
      </x:c>
      <x:c r="O1213" s="11" t="str">
        <x:f>IF(B1213="Butterfly",IF(AND(J1213&gt;0,J1213&lt;K1213),F1213-J1213,"n.a."),IF(C1213="call",IF(K1213&gt;J1213,2*E1213-D1213-J1213,"n.a."),IF(AND(J1213&gt;0,J1213&lt;K1213),D1213-J1213,"n.a.")))</x:f>
        <x:v>n.a.</x:v>
      </x:c>
      <x:c r="P1213" s="19" t="str">
        <x:f>IF(AND(B1213="Butterfly",J1213&gt;0,J1213&lt;K1213),L1213/J1213,"n.a.")</x:f>
        <x:v>n.a.</x:v>
      </x:c>
      <x:c r="Q1213" s="11" t="n">
        <x:f>J1213*'Model inputs'!$B$8</x:f>
        <x:v>-11047.999999999996</x:v>
      </x:c>
      <x:c r="R1213" s="1" t="str">
        <x:v>Indicative only</x:v>
      </x:c>
      <x:c r="S1213" s="1" t="n">
        <x:v>715</x:v>
      </x:c>
      <x:c r="T1213" s="1" t="n">
        <x:v>696</x:v>
      </x:c>
    </x:row>
    <x:row r="1214" ht="21" customHeight="1">
      <x:c r="A1214" s="12" t="n">
        <x:v>46262</x:v>
      </x:c>
      <x:c r="B1214" s="1" t="str">
        <x:v>1x2 ratio</x:v>
      </x:c>
      <x:c r="C1214" s="1" t="str">
        <x:v>call</x:v>
      </x:c>
      <x:c r="D1214" s="11" t="n">
        <x:v>7200</x:v>
      </x:c>
      <x:c r="E1214" s="11" t="n">
        <x:v>7400</x:v>
      </x:c>
      <x:c r="F1214" s="11"/>
      <x:c r="G1214" s="11" t="n">
        <x:f>'Option source'!B283</x:f>
        <x:v>358.14</x:v>
      </x:c>
      <x:c r="H1214" s="11" t="n">
        <x:f>'Option source'!B302</x:f>
        <x:v>280.61</x:v>
      </x:c>
      <x:c r="I1214" s="11"/>
      <x:c r="J1214" s="11" t="n">
        <x:f>G1214-2*H1214+IF(B1214="Butterfly",I1214,0)</x:f>
        <x:v>-203.08000000000004</x:v>
      </x:c>
      <x:c r="K1214" s="11" t="n">
        <x:f>ABS(E1214-D1214)</x:f>
        <x:v>200</x:v>
      </x:c>
      <x:c r="L1214" s="11" t="n">
        <x:f>K1214-J1214</x:f>
        <x:v>403.08000000000004</x:v>
      </x:c>
      <x:c r="M1214" s="11" t="str">
        <x:f>IF(B1214="Butterfly",MAX(J1214,0),IF(C1214="call","Unlimited",MAX(2*E1214-D1214+J1214,J1214,0)))</x:f>
        <x:v>Unlimited</x:v>
      </x:c>
      <x:c r="N1214" s="11" t="str">
        <x:f>IF(B1214="Butterfly",IF(AND(J1214&gt;0,J1214&lt;K1214),D1214+J1214,"n.a."),IF(C1214="call",IF(AND(J1214&gt;0,J1214&lt;K1214),D1214+J1214,"n.a."),IF(AND(K1214&gt;J1214,2*E1214-D1214+J1214&gt;=0),2*E1214-D1214+J1214,"n.a.")))</x:f>
        <x:v>n.a.</x:v>
      </x:c>
      <x:c r="O1214" s="11" t="n">
        <x:f>IF(B1214="Butterfly",IF(AND(J1214&gt;0,J1214&lt;K1214),F1214-J1214,"n.a."),IF(C1214="call",IF(K1214&gt;J1214,2*E1214-D1214-J1214,"n.a."),IF(AND(J1214&gt;0,J1214&lt;K1214),D1214-J1214,"n.a.")))</x:f>
        <x:v>7803.08</x:v>
      </x:c>
      <x:c r="P1214" s="19" t="str">
        <x:f>IF(AND(B1214="Butterfly",J1214&gt;0,J1214&lt;K1214),L1214/J1214,"n.a.")</x:f>
        <x:v>n.a.</x:v>
      </x:c>
      <x:c r="Q1214" s="11" t="n">
        <x:f>J1214*'Model inputs'!$B$8</x:f>
        <x:v>-20308.000000000004</x:v>
      </x:c>
      <x:c r="R1214" s="1" t="str">
        <x:v>Indicative only</x:v>
      </x:c>
      <x:c r="S1214" s="1" t="n">
        <x:v>278</x:v>
      </x:c>
      <x:c r="T1214" s="1" t="n">
        <x:v>297</x:v>
      </x:c>
    </x:row>
    <x:row r="1215" ht="21" customHeight="1">
      <x:c r="A1215" s="12" t="n">
        <x:v>46262</x:v>
      </x:c>
      <x:c r="B1215" s="1" t="str">
        <x:v>1x2 ratio</x:v>
      </x:c>
      <x:c r="C1215" s="1" t="str">
        <x:v>put</x:v>
      </x:c>
      <x:c r="D1215" s="11" t="n">
        <x:v>6400</x:v>
      </x:c>
      <x:c r="E1215" s="11" t="n">
        <x:v>6200</x:v>
      </x:c>
      <x:c r="F1215" s="11"/>
      <x:c r="G1215" s="11" t="n">
        <x:f>'Option source'!B701</x:f>
        <x:v>179.89</x:v>
      </x:c>
      <x:c r="H1215" s="11" t="n">
        <x:f>'Option source'!B682</x:f>
        <x:v>125.54</x:v>
      </x:c>
      <x:c r="I1215" s="11"/>
      <x:c r="J1215" s="11" t="n">
        <x:f>G1215-2*H1215+IF(B1215="Butterfly",I1215,0)</x:f>
        <x:v>-71.19000000000003</x:v>
      </x:c>
      <x:c r="K1215" s="11" t="n">
        <x:f>ABS(E1215-D1215)</x:f>
        <x:v>200</x:v>
      </x:c>
      <x:c r="L1215" s="11" t="n">
        <x:f>K1215-J1215</x:f>
        <x:v>271.19000000000005</x:v>
      </x:c>
      <x:c r="M1215" s="11" t="n">
        <x:f>IF(B1215="Butterfly",MAX(J1215,0),IF(C1215="call","Unlimited",MAX(2*E1215-D1215+J1215,J1215,0)))</x:f>
        <x:v>5928.81</x:v>
      </x:c>
      <x:c r="N1215" s="11" t="n">
        <x:f>IF(B1215="Butterfly",IF(AND(J1215&gt;0,J1215&lt;K1215),D1215+J1215,"n.a."),IF(C1215="call",IF(AND(J1215&gt;0,J1215&lt;K1215),D1215+J1215,"n.a."),IF(AND(K1215&gt;J1215,2*E1215-D1215+J1215&gt;=0),2*E1215-D1215+J1215,"n.a.")))</x:f>
        <x:v>5928.81</x:v>
      </x:c>
      <x:c r="O1215" s="11" t="str">
        <x:f>IF(B1215="Butterfly",IF(AND(J1215&gt;0,J1215&lt;K1215),F1215-J1215,"n.a."),IF(C1215="call",IF(K1215&gt;J1215,2*E1215-D1215-J1215,"n.a."),IF(AND(J1215&gt;0,J1215&lt;K1215),D1215-J1215,"n.a.")))</x:f>
        <x:v>n.a.</x:v>
      </x:c>
      <x:c r="P1215" s="19" t="str">
        <x:f>IF(AND(B1215="Butterfly",J1215&gt;0,J1215&lt;K1215),L1215/J1215,"n.a.")</x:f>
        <x:v>n.a.</x:v>
      </x:c>
      <x:c r="Q1215" s="11" t="n">
        <x:f>J1215*'Model inputs'!$B$8</x:f>
        <x:v>-7119.000000000003</x:v>
      </x:c>
      <x:c r="R1215" s="1" t="str">
        <x:v>Indicative only</x:v>
      </x:c>
      <x:c r="S1215" s="1" t="n">
        <x:v>696</x:v>
      </x:c>
      <x:c r="T1215" s="1" t="n">
        <x:v>677</x:v>
      </x:c>
    </x:row>
    <x:row r="1216" ht="21" customHeight="1">
      <x:c r="A1216" s="12" t="n">
        <x:v>46262</x:v>
      </x:c>
      <x:c r="B1216" s="1" t="str">
        <x:v>1x2 ratio</x:v>
      </x:c>
      <x:c r="C1216" s="1" t="str">
        <x:v>call</x:v>
      </x:c>
      <x:c r="D1216" s="11" t="n">
        <x:v>7400</x:v>
      </x:c>
      <x:c r="E1216" s="11" t="n">
        <x:v>7600</x:v>
      </x:c>
      <x:c r="F1216" s="11"/>
      <x:c r="G1216" s="11" t="n">
        <x:f>'Option source'!B302</x:f>
        <x:v>280.61</x:v>
      </x:c>
      <x:c r="H1216" s="11" t="n">
        <x:f>'Option source'!B321</x:f>
        <x:v>220.2</x:v>
      </x:c>
      <x:c r="I1216" s="11"/>
      <x:c r="J1216" s="11" t="n">
        <x:f>G1216-2*H1216+IF(B1216="Butterfly",I1216,0)</x:f>
        <x:v>-159.78999999999996</x:v>
      </x:c>
      <x:c r="K1216" s="11" t="n">
        <x:f>ABS(E1216-D1216)</x:f>
        <x:v>200</x:v>
      </x:c>
      <x:c r="L1216" s="11" t="n">
        <x:f>K1216-J1216</x:f>
        <x:v>359.78999999999996</x:v>
      </x:c>
      <x:c r="M1216" s="11" t="str">
        <x:f>IF(B1216="Butterfly",MAX(J1216,0),IF(C1216="call","Unlimited",MAX(2*E1216-D1216+J1216,J1216,0)))</x:f>
        <x:v>Unlimited</x:v>
      </x:c>
      <x:c r="N1216" s="11" t="str">
        <x:f>IF(B1216="Butterfly",IF(AND(J1216&gt;0,J1216&lt;K1216),D1216+J1216,"n.a."),IF(C1216="call",IF(AND(J1216&gt;0,J1216&lt;K1216),D1216+J1216,"n.a."),IF(AND(K1216&gt;J1216,2*E1216-D1216+J1216&gt;=0),2*E1216-D1216+J1216,"n.a.")))</x:f>
        <x:v>n.a.</x:v>
      </x:c>
      <x:c r="O1216" s="11" t="n">
        <x:f>IF(B1216="Butterfly",IF(AND(J1216&gt;0,J1216&lt;K1216),F1216-J1216,"n.a."),IF(C1216="call",IF(K1216&gt;J1216,2*E1216-D1216-J1216,"n.a."),IF(AND(J1216&gt;0,J1216&lt;K1216),D1216-J1216,"n.a.")))</x:f>
        <x:v>7959.79</x:v>
      </x:c>
      <x:c r="P1216" s="19" t="str">
        <x:f>IF(AND(B1216="Butterfly",J1216&gt;0,J1216&lt;K1216),L1216/J1216,"n.a.")</x:f>
        <x:v>n.a.</x:v>
      </x:c>
      <x:c r="Q1216" s="11" t="n">
        <x:f>J1216*'Model inputs'!$B$8</x:f>
        <x:v>-15978.999999999996</x:v>
      </x:c>
      <x:c r="R1216" s="1" t="str">
        <x:v>Indicative only</x:v>
      </x:c>
      <x:c r="S1216" s="1" t="n">
        <x:v>297</x:v>
      </x:c>
      <x:c r="T1216" s="1" t="n">
        <x:v>316</x:v>
      </x:c>
    </x:row>
    <x:row r="1217" ht="21" customHeight="1">
      <x:c r="A1217" s="12" t="n">
        <x:v>46262</x:v>
      </x:c>
      <x:c r="B1217" s="1" t="str">
        <x:v>1x2 ratio</x:v>
      </x:c>
      <x:c r="C1217" s="1" t="str">
        <x:v>put</x:v>
      </x:c>
      <x:c r="D1217" s="11" t="n">
        <x:v>6200</x:v>
      </x:c>
      <x:c r="E1217" s="11" t="n">
        <x:v>6000</x:v>
      </x:c>
      <x:c r="F1217" s="11"/>
      <x:c r="G1217" s="11" t="n">
        <x:f>'Option source'!B682</x:f>
        <x:v>125.54</x:v>
      </x:c>
      <x:c r="H1217" s="11" t="n">
        <x:f>'Option source'!B663</x:f>
        <x:v>83.64</x:v>
      </x:c>
      <x:c r="I1217" s="11"/>
      <x:c r="J1217" s="11" t="n">
        <x:f>G1217-2*H1217+IF(B1217="Butterfly",I1217,0)</x:f>
        <x:v>-41.739999999999995</x:v>
      </x:c>
      <x:c r="K1217" s="11" t="n">
        <x:f>ABS(E1217-D1217)</x:f>
        <x:v>200</x:v>
      </x:c>
      <x:c r="L1217" s="11" t="n">
        <x:f>K1217-J1217</x:f>
        <x:v>241.74</x:v>
      </x:c>
      <x:c r="M1217" s="11" t="n">
        <x:f>IF(B1217="Butterfly",MAX(J1217,0),IF(C1217="call","Unlimited",MAX(2*E1217-D1217+J1217,J1217,0)))</x:f>
        <x:v>5758.26</x:v>
      </x:c>
      <x:c r="N1217" s="11" t="n">
        <x:f>IF(B1217="Butterfly",IF(AND(J1217&gt;0,J1217&lt;K1217),D1217+J1217,"n.a."),IF(C1217="call",IF(AND(J1217&gt;0,J1217&lt;K1217),D1217+J1217,"n.a."),IF(AND(K1217&gt;J1217,2*E1217-D1217+J1217&gt;=0),2*E1217-D1217+J1217,"n.a.")))</x:f>
        <x:v>5758.26</x:v>
      </x:c>
      <x:c r="O1217" s="11" t="str">
        <x:f>IF(B1217="Butterfly",IF(AND(J1217&gt;0,J1217&lt;K1217),F1217-J1217,"n.a."),IF(C1217="call",IF(K1217&gt;J1217,2*E1217-D1217-J1217,"n.a."),IF(AND(J1217&gt;0,J1217&lt;K1217),D1217-J1217,"n.a.")))</x:f>
        <x:v>n.a.</x:v>
      </x:c>
      <x:c r="P1217" s="19" t="str">
        <x:f>IF(AND(B1217="Butterfly",J1217&gt;0,J1217&lt;K1217),L1217/J1217,"n.a.")</x:f>
        <x:v>n.a.</x:v>
      </x:c>
      <x:c r="Q1217" s="11" t="n">
        <x:f>J1217*'Model inputs'!$B$8</x:f>
        <x:v>-4173.999999999999</x:v>
      </x:c>
      <x:c r="R1217" s="1" t="str">
        <x:v>Indicative only</x:v>
      </x:c>
      <x:c r="S1217" s="1" t="n">
        <x:v>677</x:v>
      </x:c>
      <x:c r="T1217" s="1" t="n">
        <x:v>658</x:v>
      </x:c>
    </x:row>
    <x:row r="1218" ht="21" customHeight="1">
      <x:c r="A1218" s="12" t="n">
        <x:v>46262</x:v>
      </x:c>
      <x:c r="B1218" s="1" t="str">
        <x:v>1x2 ratio</x:v>
      </x:c>
      <x:c r="C1218" s="1" t="str">
        <x:v>call</x:v>
      </x:c>
      <x:c r="D1218" s="11" t="n">
        <x:v>7600</x:v>
      </x:c>
      <x:c r="E1218" s="11" t="n">
        <x:v>7800</x:v>
      </x:c>
      <x:c r="F1218" s="11"/>
      <x:c r="G1218" s="11" t="n">
        <x:f>'Option source'!B321</x:f>
        <x:v>220.2</x:v>
      </x:c>
      <x:c r="H1218" s="11" t="n">
        <x:f>'Option source'!B340</x:f>
        <x:v>169.15</x:v>
      </x:c>
      <x:c r="I1218" s="11"/>
      <x:c r="J1218" s="11" t="n">
        <x:f>G1218-2*H1218+IF(B1218="Butterfly",I1218,0)</x:f>
        <x:v>-118.10000000000002</x:v>
      </x:c>
      <x:c r="K1218" s="11" t="n">
        <x:f>ABS(E1218-D1218)</x:f>
        <x:v>200</x:v>
      </x:c>
      <x:c r="L1218" s="11" t="n">
        <x:f>K1218-J1218</x:f>
        <x:v>318.1</x:v>
      </x:c>
      <x:c r="M1218" s="11" t="str">
        <x:f>IF(B1218="Butterfly",MAX(J1218,0),IF(C1218="call","Unlimited",MAX(2*E1218-D1218+J1218,J1218,0)))</x:f>
        <x:v>Unlimited</x:v>
      </x:c>
      <x:c r="N1218" s="11" t="str">
        <x:f>IF(B1218="Butterfly",IF(AND(J1218&gt;0,J1218&lt;K1218),D1218+J1218,"n.a."),IF(C1218="call",IF(AND(J1218&gt;0,J1218&lt;K1218),D1218+J1218,"n.a."),IF(AND(K1218&gt;J1218,2*E1218-D1218+J1218&gt;=0),2*E1218-D1218+J1218,"n.a.")))</x:f>
        <x:v>n.a.</x:v>
      </x:c>
      <x:c r="O1218" s="11" t="n">
        <x:f>IF(B1218="Butterfly",IF(AND(J1218&gt;0,J1218&lt;K1218),F1218-J1218,"n.a."),IF(C1218="call",IF(K1218&gt;J1218,2*E1218-D1218-J1218,"n.a."),IF(AND(J1218&gt;0,J1218&lt;K1218),D1218-J1218,"n.a.")))</x:f>
        <x:v>8118.1</x:v>
      </x:c>
      <x:c r="P1218" s="19" t="str">
        <x:f>IF(AND(B1218="Butterfly",J1218&gt;0,J1218&lt;K1218),L1218/J1218,"n.a.")</x:f>
        <x:v>n.a.</x:v>
      </x:c>
      <x:c r="Q1218" s="11" t="n">
        <x:f>J1218*'Model inputs'!$B$8</x:f>
        <x:v>-11810.000000000002</x:v>
      </x:c>
      <x:c r="R1218" s="1" t="str">
        <x:v>Indicative only</x:v>
      </x:c>
      <x:c r="S1218" s="1" t="n">
        <x:v>316</x:v>
      </x:c>
      <x:c r="T1218" s="1" t="n">
        <x:v>335</x:v>
      </x:c>
    </x:row>
    <x:row r="1219" ht="21" customHeight="1">
      <x:c r="A1219" s="12" t="n">
        <x:v>46262</x:v>
      </x:c>
      <x:c r="B1219" s="1" t="str">
        <x:v>1x2 ratio</x:v>
      </x:c>
      <x:c r="C1219" s="1" t="str">
        <x:v>put</x:v>
      </x:c>
      <x:c r="D1219" s="11" t="n">
        <x:v>6000</x:v>
      </x:c>
      <x:c r="E1219" s="11" t="n">
        <x:v>5800</x:v>
      </x:c>
      <x:c r="F1219" s="11"/>
      <x:c r="G1219" s="11" t="n">
        <x:f>'Option source'!B663</x:f>
        <x:v>83.64</x:v>
      </x:c>
      <x:c r="H1219" s="11" t="n">
        <x:f>'Option source'!B644</x:f>
        <x:v>52.04</x:v>
      </x:c>
      <x:c r="I1219" s="11"/>
      <x:c r="J1219" s="11" t="n">
        <x:f>G1219-2*H1219+IF(B1219="Butterfly",I1219,0)</x:f>
        <x:v>-20.439999999999998</x:v>
      </x:c>
      <x:c r="K1219" s="11" t="n">
        <x:f>ABS(E1219-D1219)</x:f>
        <x:v>200</x:v>
      </x:c>
      <x:c r="L1219" s="11" t="n">
        <x:f>K1219-J1219</x:f>
        <x:v>220.44</x:v>
      </x:c>
      <x:c r="M1219" s="11" t="n">
        <x:f>IF(B1219="Butterfly",MAX(J1219,0),IF(C1219="call","Unlimited",MAX(2*E1219-D1219+J1219,J1219,0)))</x:f>
        <x:v>5579.56</x:v>
      </x:c>
      <x:c r="N1219" s="11" t="n">
        <x:f>IF(B1219="Butterfly",IF(AND(J1219&gt;0,J1219&lt;K1219),D1219+J1219,"n.a."),IF(C1219="call",IF(AND(J1219&gt;0,J1219&lt;K1219),D1219+J1219,"n.a."),IF(AND(K1219&gt;J1219,2*E1219-D1219+J1219&gt;=0),2*E1219-D1219+J1219,"n.a.")))</x:f>
        <x:v>5579.56</x:v>
      </x:c>
      <x:c r="O1219" s="11" t="str">
        <x:f>IF(B1219="Butterfly",IF(AND(J1219&gt;0,J1219&lt;K1219),F1219-J1219,"n.a."),IF(C1219="call",IF(K1219&gt;J1219,2*E1219-D1219-J1219,"n.a."),IF(AND(J1219&gt;0,J1219&lt;K1219),D1219-J1219,"n.a.")))</x:f>
        <x:v>n.a.</x:v>
      </x:c>
      <x:c r="P1219" s="19" t="str">
        <x:f>IF(AND(B1219="Butterfly",J1219&gt;0,J1219&lt;K1219),L1219/J1219,"n.a.")</x:f>
        <x:v>n.a.</x:v>
      </x:c>
      <x:c r="Q1219" s="11" t="n">
        <x:f>J1219*'Model inputs'!$B$8</x:f>
        <x:v>-2043.9999999999998</x:v>
      </x:c>
      <x:c r="R1219" s="1" t="str">
        <x:v>Indicative only</x:v>
      </x:c>
      <x:c r="S1219" s="1" t="n">
        <x:v>658</x:v>
      </x:c>
      <x:c r="T1219" s="1" t="n">
        <x:v>639</x:v>
      </x:c>
    </x:row>
    <x:row r="1220" ht="21" customHeight="1">
      <x:c r="A1220" s="12" t="n">
        <x:v>46262</x:v>
      </x:c>
      <x:c r="B1220" s="1" t="str">
        <x:v>1x2 ratio</x:v>
      </x:c>
      <x:c r="C1220" s="1" t="str">
        <x:v>call</x:v>
      </x:c>
      <x:c r="D1220" s="11" t="n">
        <x:v>7800</x:v>
      </x:c>
      <x:c r="E1220" s="11" t="n">
        <x:v>8000</x:v>
      </x:c>
      <x:c r="F1220" s="11"/>
      <x:c r="G1220" s="11" t="n">
        <x:f>'Option source'!B340</x:f>
        <x:v>169.15</x:v>
      </x:c>
      <x:c r="H1220" s="11" t="n">
        <x:f>'Option source'!B359</x:f>
        <x:v>129.19</x:v>
      </x:c>
      <x:c r="I1220" s="11"/>
      <x:c r="J1220" s="11" t="n">
        <x:f>G1220-2*H1220+IF(B1220="Butterfly",I1220,0)</x:f>
        <x:v>-89.22999999999999</x:v>
      </x:c>
      <x:c r="K1220" s="11" t="n">
        <x:f>ABS(E1220-D1220)</x:f>
        <x:v>200</x:v>
      </x:c>
      <x:c r="L1220" s="11" t="n">
        <x:f>K1220-J1220</x:f>
        <x:v>289.23</x:v>
      </x:c>
      <x:c r="M1220" s="11" t="str">
        <x:f>IF(B1220="Butterfly",MAX(J1220,0),IF(C1220="call","Unlimited",MAX(2*E1220-D1220+J1220,J1220,0)))</x:f>
        <x:v>Unlimited</x:v>
      </x:c>
      <x:c r="N1220" s="11" t="str">
        <x:f>IF(B1220="Butterfly",IF(AND(J1220&gt;0,J1220&lt;K1220),D1220+J1220,"n.a."),IF(C1220="call",IF(AND(J1220&gt;0,J1220&lt;K1220),D1220+J1220,"n.a."),IF(AND(K1220&gt;J1220,2*E1220-D1220+J1220&gt;=0),2*E1220-D1220+J1220,"n.a.")))</x:f>
        <x:v>n.a.</x:v>
      </x:c>
      <x:c r="O1220" s="11" t="n">
        <x:f>IF(B1220="Butterfly",IF(AND(J1220&gt;0,J1220&lt;K1220),F1220-J1220,"n.a."),IF(C1220="call",IF(K1220&gt;J1220,2*E1220-D1220-J1220,"n.a."),IF(AND(J1220&gt;0,J1220&lt;K1220),D1220-J1220,"n.a.")))</x:f>
        <x:v>8289.23</x:v>
      </x:c>
      <x:c r="P1220" s="19" t="str">
        <x:f>IF(AND(B1220="Butterfly",J1220&gt;0,J1220&lt;K1220),L1220/J1220,"n.a.")</x:f>
        <x:v>n.a.</x:v>
      </x:c>
      <x:c r="Q1220" s="11" t="n">
        <x:f>J1220*'Model inputs'!$B$8</x:f>
        <x:v>-8922.999999999998</x:v>
      </x:c>
      <x:c r="R1220" s="1" t="str">
        <x:v>Indicative only</x:v>
      </x:c>
      <x:c r="S1220" s="1" t="n">
        <x:v>335</x:v>
      </x:c>
      <x:c r="T1220" s="1" t="n">
        <x:v>354</x:v>
      </x:c>
    </x:row>
    <x:row r="1221" ht="21" customHeight="1">
      <x:c r="A1221" s="12" t="n">
        <x:v>46262</x:v>
      </x:c>
      <x:c r="B1221" s="1" t="str">
        <x:v>1x2 ratio</x:v>
      </x:c>
      <x:c r="C1221" s="1" t="str">
        <x:v>put</x:v>
      </x:c>
      <x:c r="D1221" s="11" t="n">
        <x:v>5800</x:v>
      </x:c>
      <x:c r="E1221" s="11" t="n">
        <x:v>5600</x:v>
      </x:c>
      <x:c r="F1221" s="11"/>
      <x:c r="G1221" s="11" t="n">
        <x:f>'Option source'!B644</x:f>
        <x:v>52.04</x:v>
      </x:c>
      <x:c r="H1221" s="11" t="n">
        <x:f>'Option source'!B625</x:f>
        <x:v>32.76</x:v>
      </x:c>
      <x:c r="I1221" s="11"/>
      <x:c r="J1221" s="11" t="n">
        <x:f>G1221-2*H1221+IF(B1221="Butterfly",I1221,0)</x:f>
        <x:v>-13.479999999999997</x:v>
      </x:c>
      <x:c r="K1221" s="11" t="n">
        <x:f>ABS(E1221-D1221)</x:f>
        <x:v>200</x:v>
      </x:c>
      <x:c r="L1221" s="11" t="n">
        <x:f>K1221-J1221</x:f>
        <x:v>213.48</x:v>
      </x:c>
      <x:c r="M1221" s="11" t="n">
        <x:f>IF(B1221="Butterfly",MAX(J1221,0),IF(C1221="call","Unlimited",MAX(2*E1221-D1221+J1221,J1221,0)))</x:f>
        <x:v>5386.52</x:v>
      </x:c>
      <x:c r="N1221" s="11" t="n">
        <x:f>IF(B1221="Butterfly",IF(AND(J1221&gt;0,J1221&lt;K1221),D1221+J1221,"n.a."),IF(C1221="call",IF(AND(J1221&gt;0,J1221&lt;K1221),D1221+J1221,"n.a."),IF(AND(K1221&gt;J1221,2*E1221-D1221+J1221&gt;=0),2*E1221-D1221+J1221,"n.a.")))</x:f>
        <x:v>5386.52</x:v>
      </x:c>
      <x:c r="O1221" s="11" t="str">
        <x:f>IF(B1221="Butterfly",IF(AND(J1221&gt;0,J1221&lt;K1221),F1221-J1221,"n.a."),IF(C1221="call",IF(K1221&gt;J1221,2*E1221-D1221-J1221,"n.a."),IF(AND(J1221&gt;0,J1221&lt;K1221),D1221-J1221,"n.a.")))</x:f>
        <x:v>n.a.</x:v>
      </x:c>
      <x:c r="P1221" s="19" t="str">
        <x:f>IF(AND(B1221="Butterfly",J1221&gt;0,J1221&lt;K1221),L1221/J1221,"n.a.")</x:f>
        <x:v>n.a.</x:v>
      </x:c>
      <x:c r="Q1221" s="11" t="n">
        <x:f>J1221*'Model inputs'!$B$8</x:f>
        <x:v>-1347.9999999999998</x:v>
      </x:c>
      <x:c r="R1221" s="1" t="str">
        <x:v>Indicative only</x:v>
      </x:c>
      <x:c r="S1221" s="1" t="n">
        <x:v>639</x:v>
      </x:c>
      <x:c r="T1221" s="1" t="n">
        <x:v>620</x:v>
      </x:c>
    </x:row>
    <x:row r="1222" ht="21" customHeight="1">
      <x:c r="A1222" s="12" t="n">
        <x:v>46262</x:v>
      </x:c>
      <x:c r="B1222" s="1" t="str">
        <x:v>1x2 ratio</x:v>
      </x:c>
      <x:c r="C1222" s="1" t="str">
        <x:v>put</x:v>
      </x:c>
      <x:c r="D1222" s="11" t="n">
        <x:v>5600</x:v>
      </x:c>
      <x:c r="E1222" s="11" t="n">
        <x:v>5400</x:v>
      </x:c>
      <x:c r="F1222" s="11"/>
      <x:c r="G1222" s="11" t="n">
        <x:f>'Option source'!B625</x:f>
        <x:v>32.76</x:v>
      </x:c>
      <x:c r="H1222" s="11" t="n">
        <x:f>'Option source'!B606</x:f>
        <x:v>18.4</x:v>
      </x:c>
      <x:c r="I1222" s="11"/>
      <x:c r="J1222" s="11" t="n">
        <x:f>G1222-2*H1222+IF(B1222="Butterfly",I1222,0)</x:f>
        <x:v>-4.039999999999999</x:v>
      </x:c>
      <x:c r="K1222" s="11" t="n">
        <x:f>ABS(E1222-D1222)</x:f>
        <x:v>200</x:v>
      </x:c>
      <x:c r="L1222" s="11" t="n">
        <x:f>K1222-J1222</x:f>
        <x:v>204.04</x:v>
      </x:c>
      <x:c r="M1222" s="11" t="n">
        <x:f>IF(B1222="Butterfly",MAX(J1222,0),IF(C1222="call","Unlimited",MAX(2*E1222-D1222+J1222,J1222,0)))</x:f>
        <x:v>5195.96</x:v>
      </x:c>
      <x:c r="N1222" s="11" t="n">
        <x:f>IF(B1222="Butterfly",IF(AND(J1222&gt;0,J1222&lt;K1222),D1222+J1222,"n.a."),IF(C1222="call",IF(AND(J1222&gt;0,J1222&lt;K1222),D1222+J1222,"n.a."),IF(AND(K1222&gt;J1222,2*E1222-D1222+J1222&gt;=0),2*E1222-D1222+J1222,"n.a.")))</x:f>
        <x:v>5195.96</x:v>
      </x:c>
      <x:c r="O1222" s="11" t="str">
        <x:f>IF(B1222="Butterfly",IF(AND(J1222&gt;0,J1222&lt;K1222),F1222-J1222,"n.a."),IF(C1222="call",IF(K1222&gt;J1222,2*E1222-D1222-J1222,"n.a."),IF(AND(J1222&gt;0,J1222&lt;K1222),D1222-J1222,"n.a.")))</x:f>
        <x:v>n.a.</x:v>
      </x:c>
      <x:c r="P1222" s="19" t="str">
        <x:f>IF(AND(B1222="Butterfly",J1222&gt;0,J1222&lt;K1222),L1222/J1222,"n.a.")</x:f>
        <x:v>n.a.</x:v>
      </x:c>
      <x:c r="Q1222" s="11" t="n">
        <x:f>J1222*'Model inputs'!$B$8</x:f>
        <x:v>-403.9999999999999</x:v>
      </x:c>
      <x:c r="R1222" s="1" t="str">
        <x:v>Indicative only</x:v>
      </x:c>
      <x:c r="S1222" s="1" t="n">
        <x:v>620</x:v>
      </x:c>
      <x:c r="T1222" s="1" t="n">
        <x:v>601</x:v>
      </x:c>
    </x:row>
    <x:row r="1223" ht="21" customHeight="1">
      <x:c r="A1223" s="12" t="n">
        <x:v>46262</x:v>
      </x:c>
      <x:c r="B1223" s="1" t="str">
        <x:v>1x2 ratio</x:v>
      </x:c>
      <x:c r="C1223" s="1" t="str">
        <x:v>call</x:v>
      </x:c>
      <x:c r="D1223" s="11" t="n">
        <x:v>8000</x:v>
      </x:c>
      <x:c r="E1223" s="11" t="n">
        <x:v>8300</x:v>
      </x:c>
      <x:c r="F1223" s="11"/>
      <x:c r="G1223" s="11" t="n">
        <x:f>'Option source'!B359</x:f>
        <x:v>129.19</x:v>
      </x:c>
      <x:c r="H1223" s="11" t="n">
        <x:f>'Option source'!B378</x:f>
        <x:v>86.22</x:v>
      </x:c>
      <x:c r="I1223" s="11"/>
      <x:c r="J1223" s="11" t="n">
        <x:f>G1223-2*H1223+IF(B1223="Butterfly",I1223,0)</x:f>
        <x:v>-43.25</x:v>
      </x:c>
      <x:c r="K1223" s="11" t="n">
        <x:f>ABS(E1223-D1223)</x:f>
        <x:v>300</x:v>
      </x:c>
      <x:c r="L1223" s="11" t="n">
        <x:f>K1223-J1223</x:f>
        <x:v>343.25</x:v>
      </x:c>
      <x:c r="M1223" s="11" t="str">
        <x:f>IF(B1223="Butterfly",MAX(J1223,0),IF(C1223="call","Unlimited",MAX(2*E1223-D1223+J1223,J1223,0)))</x:f>
        <x:v>Unlimited</x:v>
      </x:c>
      <x:c r="N1223" s="11" t="str">
        <x:f>IF(B1223="Butterfly",IF(AND(J1223&gt;0,J1223&lt;K1223),D1223+J1223,"n.a."),IF(C1223="call",IF(AND(J1223&gt;0,J1223&lt;K1223),D1223+J1223,"n.a."),IF(AND(K1223&gt;J1223,2*E1223-D1223+J1223&gt;=0),2*E1223-D1223+J1223,"n.a.")))</x:f>
        <x:v>n.a.</x:v>
      </x:c>
      <x:c r="O1223" s="11" t="n">
        <x:f>IF(B1223="Butterfly",IF(AND(J1223&gt;0,J1223&lt;K1223),F1223-J1223,"n.a."),IF(C1223="call",IF(K1223&gt;J1223,2*E1223-D1223-J1223,"n.a."),IF(AND(J1223&gt;0,J1223&lt;K1223),D1223-J1223,"n.a.")))</x:f>
        <x:v>8643.25</x:v>
      </x:c>
      <x:c r="P1223" s="19" t="str">
        <x:f>IF(AND(B1223="Butterfly",J1223&gt;0,J1223&lt;K1223),L1223/J1223,"n.a.")</x:f>
        <x:v>n.a.</x:v>
      </x:c>
      <x:c r="Q1223" s="11" t="n">
        <x:f>J1223*'Model inputs'!$B$8</x:f>
        <x:v>-4325</x:v>
      </x:c>
      <x:c r="R1223" s="1" t="str">
        <x:v>Indicative only</x:v>
      </x:c>
      <x:c r="S1223" s="1" t="n">
        <x:v>354</x:v>
      </x:c>
      <x:c r="T1223" s="1" t="n">
        <x:v>373</x:v>
      </x:c>
    </x:row>
    <x:row r="1224" ht="21" customHeight="1">
      <x:c r="A1224" s="12" t="n">
        <x:v>46262</x:v>
      </x:c>
      <x:c r="B1224" s="1" t="str">
        <x:v>1x2 ratio</x:v>
      </x:c>
      <x:c r="C1224" s="1" t="str">
        <x:v>put</x:v>
      </x:c>
      <x:c r="D1224" s="11" t="n">
        <x:v>5400</x:v>
      </x:c>
      <x:c r="E1224" s="11" t="n">
        <x:v>5200</x:v>
      </x:c>
      <x:c r="F1224" s="11"/>
      <x:c r="G1224" s="11" t="n">
        <x:f>'Option source'!B606</x:f>
        <x:v>18.4</x:v>
      </x:c>
      <x:c r="H1224" s="11" t="n">
        <x:f>'Option source'!B587</x:f>
        <x:v>11.53</x:v>
      </x:c>
      <x:c r="I1224" s="11"/>
      <x:c r="J1224" s="11" t="n">
        <x:f>G1224-2*H1224+IF(B1224="Butterfly",I1224,0)</x:f>
        <x:v>-4.66</x:v>
      </x:c>
      <x:c r="K1224" s="11" t="n">
        <x:f>ABS(E1224-D1224)</x:f>
        <x:v>200</x:v>
      </x:c>
      <x:c r="L1224" s="11" t="n">
        <x:f>K1224-J1224</x:f>
        <x:v>204.66</x:v>
      </x:c>
      <x:c r="M1224" s="11" t="n">
        <x:f>IF(B1224="Butterfly",MAX(J1224,0),IF(C1224="call","Unlimited",MAX(2*E1224-D1224+J1224,J1224,0)))</x:f>
        <x:v>4995.34</x:v>
      </x:c>
      <x:c r="N1224" s="11" t="n">
        <x:f>IF(B1224="Butterfly",IF(AND(J1224&gt;0,J1224&lt;K1224),D1224+J1224,"n.a."),IF(C1224="call",IF(AND(J1224&gt;0,J1224&lt;K1224),D1224+J1224,"n.a."),IF(AND(K1224&gt;J1224,2*E1224-D1224+J1224&gt;=0),2*E1224-D1224+J1224,"n.a.")))</x:f>
        <x:v>4995.34</x:v>
      </x:c>
      <x:c r="O1224" s="11" t="str">
        <x:f>IF(B1224="Butterfly",IF(AND(J1224&gt;0,J1224&lt;K1224),F1224-J1224,"n.a."),IF(C1224="call",IF(K1224&gt;J1224,2*E1224-D1224-J1224,"n.a."),IF(AND(J1224&gt;0,J1224&lt;K1224),D1224-J1224,"n.a.")))</x:f>
        <x:v>n.a.</x:v>
      </x:c>
      <x:c r="P1224" s="19" t="str">
        <x:f>IF(AND(B1224="Butterfly",J1224&gt;0,J1224&lt;K1224),L1224/J1224,"n.a.")</x:f>
        <x:v>n.a.</x:v>
      </x:c>
      <x:c r="Q1224" s="11" t="n">
        <x:f>J1224*'Model inputs'!$B$8</x:f>
        <x:v>-466</x:v>
      </x:c>
      <x:c r="R1224" s="1" t="str">
        <x:v>Indicative only</x:v>
      </x:c>
      <x:c r="S1224" s="1" t="n">
        <x:v>601</x:v>
      </x:c>
      <x:c r="T1224" s="1" t="n">
        <x:v>582</x:v>
      </x:c>
    </x:row>
    <x:row r="1225" ht="21" customHeight="1">
      <x:c r="A1225" s="12" t="n">
        <x:v>46262</x:v>
      </x:c>
      <x:c r="B1225" s="1" t="str">
        <x:v>1x2 ratio</x:v>
      </x:c>
      <x:c r="C1225" s="1" t="str">
        <x:v>call</x:v>
      </x:c>
      <x:c r="D1225" s="11" t="n">
        <x:v>8300</x:v>
      </x:c>
      <x:c r="E1225" s="11" t="n">
        <x:v>8600</x:v>
      </x:c>
      <x:c r="F1225" s="11"/>
      <x:c r="G1225" s="11" t="n">
        <x:f>'Option source'!B378</x:f>
        <x:v>86.22</x:v>
      </x:c>
      <x:c r="H1225" s="11" t="n">
        <x:f>'Option source'!B397</x:f>
        <x:v>55.3</x:v>
      </x:c>
      <x:c r="I1225" s="11"/>
      <x:c r="J1225" s="11" t="n">
        <x:f>G1225-2*H1225+IF(B1225="Butterfly",I1225,0)</x:f>
        <x:v>-24.379999999999995</x:v>
      </x:c>
      <x:c r="K1225" s="11" t="n">
        <x:f>ABS(E1225-D1225)</x:f>
        <x:v>300</x:v>
      </x:c>
      <x:c r="L1225" s="11" t="n">
        <x:f>K1225-J1225</x:f>
        <x:v>324.38</x:v>
      </x:c>
      <x:c r="M1225" s="11" t="str">
        <x:f>IF(B1225="Butterfly",MAX(J1225,0),IF(C1225="call","Unlimited",MAX(2*E1225-D1225+J1225,J1225,0)))</x:f>
        <x:v>Unlimited</x:v>
      </x:c>
      <x:c r="N1225" s="11" t="str">
        <x:f>IF(B1225="Butterfly",IF(AND(J1225&gt;0,J1225&lt;K1225),D1225+J1225,"n.a."),IF(C1225="call",IF(AND(J1225&gt;0,J1225&lt;K1225),D1225+J1225,"n.a."),IF(AND(K1225&gt;J1225,2*E1225-D1225+J1225&gt;=0),2*E1225-D1225+J1225,"n.a.")))</x:f>
        <x:v>n.a.</x:v>
      </x:c>
      <x:c r="O1225" s="11" t="n">
        <x:f>IF(B1225="Butterfly",IF(AND(J1225&gt;0,J1225&lt;K1225),F1225-J1225,"n.a."),IF(C1225="call",IF(K1225&gt;J1225,2*E1225-D1225-J1225,"n.a."),IF(AND(J1225&gt;0,J1225&lt;K1225),D1225-J1225,"n.a.")))</x:f>
        <x:v>8924.38</x:v>
      </x:c>
      <x:c r="P1225" s="19" t="str">
        <x:f>IF(AND(B1225="Butterfly",J1225&gt;0,J1225&lt;K1225),L1225/J1225,"n.a.")</x:f>
        <x:v>n.a.</x:v>
      </x:c>
      <x:c r="Q1225" s="11" t="n">
        <x:f>J1225*'Model inputs'!$B$8</x:f>
        <x:v>-2437.9999999999995</x:v>
      </x:c>
      <x:c r="R1225" s="1" t="str">
        <x:v>Indicative only</x:v>
      </x:c>
      <x:c r="S1225" s="1" t="n">
        <x:v>373</x:v>
      </x:c>
      <x:c r="T1225" s="1" t="n">
        <x:v>392</x:v>
      </x:c>
    </x:row>
    <x:row r="1226" ht="21" customHeight="1">
      <x:c r="A1226" s="12" t="n">
        <x:v>46262</x:v>
      </x:c>
      <x:c r="B1226" s="1" t="str">
        <x:v>1x2 ratio</x:v>
      </x:c>
      <x:c r="C1226" s="1" t="str">
        <x:v>put</x:v>
      </x:c>
      <x:c r="D1226" s="11" t="n">
        <x:v>5200</x:v>
      </x:c>
      <x:c r="E1226" s="11" t="n">
        <x:v>5000</x:v>
      </x:c>
      <x:c r="F1226" s="11"/>
      <x:c r="G1226" s="11" t="n">
        <x:f>'Option source'!B587</x:f>
        <x:v>11.53</x:v>
      </x:c>
      <x:c r="H1226" s="11" t="n">
        <x:f>'Option source'!B568</x:f>
        <x:v>6.09</x:v>
      </x:c>
      <x:c r="I1226" s="11"/>
      <x:c r="J1226" s="11" t="n">
        <x:f>G1226-2*H1226+IF(B1226="Butterfly",I1226,0)</x:f>
        <x:v>-0.6500000000000004</x:v>
      </x:c>
      <x:c r="K1226" s="11" t="n">
        <x:f>ABS(E1226-D1226)</x:f>
        <x:v>200</x:v>
      </x:c>
      <x:c r="L1226" s="11" t="n">
        <x:f>K1226-J1226</x:f>
        <x:v>200.65</x:v>
      </x:c>
      <x:c r="M1226" s="11" t="n">
        <x:f>IF(B1226="Butterfly",MAX(J1226,0),IF(C1226="call","Unlimited",MAX(2*E1226-D1226+J1226,J1226,0)))</x:f>
        <x:v>4799.35</x:v>
      </x:c>
      <x:c r="N1226" s="11" t="n">
        <x:f>IF(B1226="Butterfly",IF(AND(J1226&gt;0,J1226&lt;K1226),D1226+J1226,"n.a."),IF(C1226="call",IF(AND(J1226&gt;0,J1226&lt;K1226),D1226+J1226,"n.a."),IF(AND(K1226&gt;J1226,2*E1226-D1226+J1226&gt;=0),2*E1226-D1226+J1226,"n.a.")))</x:f>
        <x:v>4799.35</x:v>
      </x:c>
      <x:c r="O1226" s="11" t="str">
        <x:f>IF(B1226="Butterfly",IF(AND(J1226&gt;0,J1226&lt;K1226),F1226-J1226,"n.a."),IF(C1226="call",IF(K1226&gt;J1226,2*E1226-D1226-J1226,"n.a."),IF(AND(J1226&gt;0,J1226&lt;K1226),D1226-J1226,"n.a.")))</x:f>
        <x:v>n.a.</x:v>
      </x:c>
      <x:c r="P1226" s="19" t="str">
        <x:f>IF(AND(B1226="Butterfly",J1226&gt;0,J1226&lt;K1226),L1226/J1226,"n.a.")</x:f>
        <x:v>n.a.</x:v>
      </x:c>
      <x:c r="Q1226" s="11" t="n">
        <x:f>J1226*'Model inputs'!$B$8</x:f>
        <x:v>-65.00000000000003</x:v>
      </x:c>
      <x:c r="R1226" s="1" t="str">
        <x:v>Indicative only</x:v>
      </x:c>
      <x:c r="S1226" s="1" t="n">
        <x:v>582</x:v>
      </x:c>
      <x:c r="T1226" s="1" t="n">
        <x:v>563</x:v>
      </x:c>
    </x:row>
    <x:row r="1227" ht="21" customHeight="1">
      <x:c r="A1227" s="12" t="n">
        <x:v>46262</x:v>
      </x:c>
      <x:c r="B1227" s="1" t="str">
        <x:v>1x2 ratio</x:v>
      </x:c>
      <x:c r="C1227" s="1" t="str">
        <x:v>put</x:v>
      </x:c>
      <x:c r="D1227" s="11" t="n">
        <x:v>5000</x:v>
      </x:c>
      <x:c r="E1227" s="11" t="n">
        <x:v>4800</x:v>
      </x:c>
      <x:c r="F1227" s="11"/>
      <x:c r="G1227" s="11" t="n">
        <x:f>'Option source'!B568</x:f>
        <x:v>6.09</x:v>
      </x:c>
      <x:c r="H1227" s="11" t="n">
        <x:f>'Option source'!B549</x:f>
        <x:v>4.38</x:v>
      </x:c>
      <x:c r="I1227" s="11"/>
      <x:c r="J1227" s="11" t="n">
        <x:f>G1227-2*H1227+IF(B1227="Butterfly",I1227,0)</x:f>
        <x:v>-2.67</x:v>
      </x:c>
      <x:c r="K1227" s="11" t="n">
        <x:f>ABS(E1227-D1227)</x:f>
        <x:v>200</x:v>
      </x:c>
      <x:c r="L1227" s="11" t="n">
        <x:f>K1227-J1227</x:f>
        <x:v>202.67</x:v>
      </x:c>
      <x:c r="M1227" s="11" t="n">
        <x:f>IF(B1227="Butterfly",MAX(J1227,0),IF(C1227="call","Unlimited",MAX(2*E1227-D1227+J1227,J1227,0)))</x:f>
        <x:v>4597.33</x:v>
      </x:c>
      <x:c r="N1227" s="11" t="n">
        <x:f>IF(B1227="Butterfly",IF(AND(J1227&gt;0,J1227&lt;K1227),D1227+J1227,"n.a."),IF(C1227="call",IF(AND(J1227&gt;0,J1227&lt;K1227),D1227+J1227,"n.a."),IF(AND(K1227&gt;J1227,2*E1227-D1227+J1227&gt;=0),2*E1227-D1227+J1227,"n.a.")))</x:f>
        <x:v>4597.33</x:v>
      </x:c>
      <x:c r="O1227" s="11" t="str">
        <x:f>IF(B1227="Butterfly",IF(AND(J1227&gt;0,J1227&lt;K1227),F1227-J1227,"n.a."),IF(C1227="call",IF(K1227&gt;J1227,2*E1227-D1227-J1227,"n.a."),IF(AND(J1227&gt;0,J1227&lt;K1227),D1227-J1227,"n.a.")))</x:f>
        <x:v>n.a.</x:v>
      </x:c>
      <x:c r="P1227" s="19" t="str">
        <x:f>IF(AND(B1227="Butterfly",J1227&gt;0,J1227&lt;K1227),L1227/J1227,"n.a.")</x:f>
        <x:v>n.a.</x:v>
      </x:c>
      <x:c r="Q1227" s="11" t="n">
        <x:f>J1227*'Model inputs'!$B$8</x:f>
        <x:v>-267</x:v>
      </x:c>
      <x:c r="R1227" s="1" t="str">
        <x:v>Indicative only</x:v>
      </x:c>
      <x:c r="S1227" s="1" t="n">
        <x:v>563</x:v>
      </x:c>
      <x:c r="T1227" s="1" t="n">
        <x:v>544</x:v>
      </x:c>
    </x:row>
    <x:row r="1228" ht="21" customHeight="1">
      <x:c r="A1228" s="12" t="n">
        <x:v>46262</x:v>
      </x:c>
      <x:c r="B1228" s="1" t="str">
        <x:v>1x2 ratio</x:v>
      </x:c>
      <x:c r="C1228" s="1" t="str">
        <x:v>call</x:v>
      </x:c>
      <x:c r="D1228" s="11" t="n">
        <x:v>8600</x:v>
      </x:c>
      <x:c r="E1228" s="11" t="n">
        <x:v>8900</x:v>
      </x:c>
      <x:c r="F1228" s="11"/>
      <x:c r="G1228" s="11" t="n">
        <x:f>'Option source'!B397</x:f>
        <x:v>55.3</x:v>
      </x:c>
      <x:c r="H1228" s="11" t="n">
        <x:f>'Option source'!B416</x:f>
        <x:v>36.23</x:v>
      </x:c>
      <x:c r="I1228" s="11"/>
      <x:c r="J1228" s="11" t="n">
        <x:f>G1228-2*H1228+IF(B1228="Butterfly",I1228,0)</x:f>
        <x:v>-17.159999999999997</x:v>
      </x:c>
      <x:c r="K1228" s="11" t="n">
        <x:f>ABS(E1228-D1228)</x:f>
        <x:v>300</x:v>
      </x:c>
      <x:c r="L1228" s="11" t="n">
        <x:f>K1228-J1228</x:f>
        <x:v>317.15999999999997</x:v>
      </x:c>
      <x:c r="M1228" s="11" t="str">
        <x:f>IF(B1228="Butterfly",MAX(J1228,0),IF(C1228="call","Unlimited",MAX(2*E1228-D1228+J1228,J1228,0)))</x:f>
        <x:v>Unlimited</x:v>
      </x:c>
      <x:c r="N1228" s="11" t="str">
        <x:f>IF(B1228="Butterfly",IF(AND(J1228&gt;0,J1228&lt;K1228),D1228+J1228,"n.a."),IF(C1228="call",IF(AND(J1228&gt;0,J1228&lt;K1228),D1228+J1228,"n.a."),IF(AND(K1228&gt;J1228,2*E1228-D1228+J1228&gt;=0),2*E1228-D1228+J1228,"n.a.")))</x:f>
        <x:v>n.a.</x:v>
      </x:c>
      <x:c r="O1228" s="11" t="n">
        <x:f>IF(B1228="Butterfly",IF(AND(J1228&gt;0,J1228&lt;K1228),F1228-J1228,"n.a."),IF(C1228="call",IF(K1228&gt;J1228,2*E1228-D1228-J1228,"n.a."),IF(AND(J1228&gt;0,J1228&lt;K1228),D1228-J1228,"n.a.")))</x:f>
        <x:v>9217.16</x:v>
      </x:c>
      <x:c r="P1228" s="19" t="str">
        <x:f>IF(AND(B1228="Butterfly",J1228&gt;0,J1228&lt;K1228),L1228/J1228,"n.a.")</x:f>
        <x:v>n.a.</x:v>
      </x:c>
      <x:c r="Q1228" s="11" t="n">
        <x:f>J1228*'Model inputs'!$B$8</x:f>
        <x:v>-1715.9999999999995</x:v>
      </x:c>
      <x:c r="R1228" s="1" t="str">
        <x:v>Indicative only</x:v>
      </x:c>
      <x:c r="S1228" s="1" t="n">
        <x:v>392</x:v>
      </x:c>
      <x:c r="T1228" s="1" t="n">
        <x:v>411</x:v>
      </x:c>
    </x:row>
    <x:row r="1229" ht="21" customHeight="1">
      <x:c r="A1229" s="12" t="n">
        <x:v>46262</x:v>
      </x:c>
      <x:c r="B1229" s="1" t="str">
        <x:v>1x2 ratio</x:v>
      </x:c>
      <x:c r="C1229" s="1" t="str">
        <x:v>put</x:v>
      </x:c>
      <x:c r="D1229" s="11" t="n">
        <x:v>4800</x:v>
      </x:c>
      <x:c r="E1229" s="11" t="n">
        <x:v>4600</x:v>
      </x:c>
      <x:c r="F1229" s="11"/>
      <x:c r="G1229" s="11" t="n">
        <x:f>'Option source'!B549</x:f>
        <x:v>4.38</x:v>
      </x:c>
      <x:c r="H1229" s="11" t="n">
        <x:f>'Option source'!B530</x:f>
        <x:v>3.3</x:v>
      </x:c>
      <x:c r="I1229" s="11"/>
      <x:c r="J1229" s="11" t="n">
        <x:f>G1229-2*H1229+IF(B1229="Butterfly",I1229,0)</x:f>
        <x:v>-2.2199999999999998</x:v>
      </x:c>
      <x:c r="K1229" s="11" t="n">
        <x:f>ABS(E1229-D1229)</x:f>
        <x:v>200</x:v>
      </x:c>
      <x:c r="L1229" s="11" t="n">
        <x:f>K1229-J1229</x:f>
        <x:v>202.22</x:v>
      </x:c>
      <x:c r="M1229" s="11" t="n">
        <x:f>IF(B1229="Butterfly",MAX(J1229,0),IF(C1229="call","Unlimited",MAX(2*E1229-D1229+J1229,J1229,0)))</x:f>
        <x:v>4397.78</x:v>
      </x:c>
      <x:c r="N1229" s="11" t="n">
        <x:f>IF(B1229="Butterfly",IF(AND(J1229&gt;0,J1229&lt;K1229),D1229+J1229,"n.a."),IF(C1229="call",IF(AND(J1229&gt;0,J1229&lt;K1229),D1229+J1229,"n.a."),IF(AND(K1229&gt;J1229,2*E1229-D1229+J1229&gt;=0),2*E1229-D1229+J1229,"n.a.")))</x:f>
        <x:v>4397.78</x:v>
      </x:c>
      <x:c r="O1229" s="11" t="str">
        <x:f>IF(B1229="Butterfly",IF(AND(J1229&gt;0,J1229&lt;K1229),F1229-J1229,"n.a."),IF(C1229="call",IF(K1229&gt;J1229,2*E1229-D1229-J1229,"n.a."),IF(AND(J1229&gt;0,J1229&lt;K1229),D1229-J1229,"n.a.")))</x:f>
        <x:v>n.a.</x:v>
      </x:c>
      <x:c r="P1229" s="19" t="str">
        <x:f>IF(AND(B1229="Butterfly",J1229&gt;0,J1229&lt;K1229),L1229/J1229,"n.a.")</x:f>
        <x:v>n.a.</x:v>
      </x:c>
      <x:c r="Q1229" s="11" t="n">
        <x:f>J1229*'Model inputs'!$B$8</x:f>
        <x:v>-221.99999999999997</x:v>
      </x:c>
      <x:c r="R1229" s="1" t="str">
        <x:v>Indicative only</x:v>
      </x:c>
      <x:c r="S1229" s="1" t="n">
        <x:v>544</x:v>
      </x:c>
      <x:c r="T1229" s="1" t="n">
        <x:v>525</x:v>
      </x:c>
    </x:row>
    <x:row r="1230" ht="21" customHeight="1">
      <x:c r="A1230" s="12" t="n">
        <x:v>46262</x:v>
      </x:c>
      <x:c r="B1230" s="1" t="str">
        <x:v>1x2 ratio</x:v>
      </x:c>
      <x:c r="C1230" s="1" t="str">
        <x:v>call</x:v>
      </x:c>
      <x:c r="D1230" s="11" t="n">
        <x:v>8900</x:v>
      </x:c>
      <x:c r="E1230" s="11" t="n">
        <x:v>9200</x:v>
      </x:c>
      <x:c r="F1230" s="11"/>
      <x:c r="G1230" s="11" t="n">
        <x:f>'Option source'!B416</x:f>
        <x:v>36.23</x:v>
      </x:c>
      <x:c r="H1230" s="11" t="n">
        <x:f>'Option source'!B435</x:f>
        <x:v>23.01</x:v>
      </x:c>
      <x:c r="I1230" s="11"/>
      <x:c r="J1230" s="11" t="n">
        <x:f>G1230-2*H1230+IF(B1230="Butterfly",I1230,0)</x:f>
        <x:v>-9.790000000000006</x:v>
      </x:c>
      <x:c r="K1230" s="11" t="n">
        <x:f>ABS(E1230-D1230)</x:f>
        <x:v>300</x:v>
      </x:c>
      <x:c r="L1230" s="11" t="n">
        <x:f>K1230-J1230</x:f>
        <x:v>309.79</x:v>
      </x:c>
      <x:c r="M1230" s="11" t="str">
        <x:f>IF(B1230="Butterfly",MAX(J1230,0),IF(C1230="call","Unlimited",MAX(2*E1230-D1230+J1230,J1230,0)))</x:f>
        <x:v>Unlimited</x:v>
      </x:c>
      <x:c r="N1230" s="11" t="str">
        <x:f>IF(B1230="Butterfly",IF(AND(J1230&gt;0,J1230&lt;K1230),D1230+J1230,"n.a."),IF(C1230="call",IF(AND(J1230&gt;0,J1230&lt;K1230),D1230+J1230,"n.a."),IF(AND(K1230&gt;J1230,2*E1230-D1230+J1230&gt;=0),2*E1230-D1230+J1230,"n.a.")))</x:f>
        <x:v>n.a.</x:v>
      </x:c>
      <x:c r="O1230" s="11" t="n">
        <x:f>IF(B1230="Butterfly",IF(AND(J1230&gt;0,J1230&lt;K1230),F1230-J1230,"n.a."),IF(C1230="call",IF(K1230&gt;J1230,2*E1230-D1230-J1230,"n.a."),IF(AND(J1230&gt;0,J1230&lt;K1230),D1230-J1230,"n.a.")))</x:f>
        <x:v>9509.79</x:v>
      </x:c>
      <x:c r="P1230" s="19" t="str">
        <x:f>IF(AND(B1230="Butterfly",J1230&gt;0,J1230&lt;K1230),L1230/J1230,"n.a.")</x:f>
        <x:v>n.a.</x:v>
      </x:c>
      <x:c r="Q1230" s="11" t="n">
        <x:f>J1230*'Model inputs'!$B$8</x:f>
        <x:v>-979.0000000000007</x:v>
      </x:c>
      <x:c r="R1230" s="1" t="str">
        <x:v>Indicative only</x:v>
      </x:c>
      <x:c r="S1230" s="1" t="n">
        <x:v>411</x:v>
      </x:c>
      <x:c r="T1230" s="1" t="n">
        <x:v>430</x:v>
      </x:c>
    </x:row>
    <x:row r="1231" ht="21" customHeight="1">
      <x:c r="A1231" s="12" t="n">
        <x:v>46262</x:v>
      </x:c>
      <x:c r="B1231" s="1" t="str">
        <x:v>1x2 ratio</x:v>
      </x:c>
      <x:c r="C1231" s="1" t="str">
        <x:v>put</x:v>
      </x:c>
      <x:c r="D1231" s="11" t="n">
        <x:v>4600</x:v>
      </x:c>
      <x:c r="E1231" s="11" t="n">
        <x:v>4400</x:v>
      </x:c>
      <x:c r="F1231" s="11"/>
      <x:c r="G1231" s="11" t="n">
        <x:f>'Option source'!B530</x:f>
        <x:v>3.3</x:v>
      </x:c>
      <x:c r="H1231" s="11" t="n">
        <x:f>'Option source'!B511</x:f>
        <x:v>1.96</x:v>
      </x:c>
      <x:c r="I1231" s="11"/>
      <x:c r="J1231" s="11" t="n">
        <x:f>G1231-2*H1231+IF(B1231="Butterfly",I1231,0)</x:f>
        <x:v>-0.6200000000000001</x:v>
      </x:c>
      <x:c r="K1231" s="11" t="n">
        <x:f>ABS(E1231-D1231)</x:f>
        <x:v>200</x:v>
      </x:c>
      <x:c r="L1231" s="11" t="n">
        <x:f>K1231-J1231</x:f>
        <x:v>200.62</x:v>
      </x:c>
      <x:c r="M1231" s="11" t="n">
        <x:f>IF(B1231="Butterfly",MAX(J1231,0),IF(C1231="call","Unlimited",MAX(2*E1231-D1231+J1231,J1231,0)))</x:f>
        <x:v>4199.38</x:v>
      </x:c>
      <x:c r="N1231" s="11" t="n">
        <x:f>IF(B1231="Butterfly",IF(AND(J1231&gt;0,J1231&lt;K1231),D1231+J1231,"n.a."),IF(C1231="call",IF(AND(J1231&gt;0,J1231&lt;K1231),D1231+J1231,"n.a."),IF(AND(K1231&gt;J1231,2*E1231-D1231+J1231&gt;=0),2*E1231-D1231+J1231,"n.a.")))</x:f>
        <x:v>4199.38</x:v>
      </x:c>
      <x:c r="O1231" s="11" t="str">
        <x:f>IF(B1231="Butterfly",IF(AND(J1231&gt;0,J1231&lt;K1231),F1231-J1231,"n.a."),IF(C1231="call",IF(K1231&gt;J1231,2*E1231-D1231-J1231,"n.a."),IF(AND(J1231&gt;0,J1231&lt;K1231),D1231-J1231,"n.a.")))</x:f>
        <x:v>n.a.</x:v>
      </x:c>
      <x:c r="P1231" s="19" t="str">
        <x:f>IF(AND(B1231="Butterfly",J1231&gt;0,J1231&lt;K1231),L1231/J1231,"n.a.")</x:f>
        <x:v>n.a.</x:v>
      </x:c>
      <x:c r="Q1231" s="11" t="n">
        <x:f>J1231*'Model inputs'!$B$8</x:f>
        <x:v>-62.000000000000014</x:v>
      </x:c>
      <x:c r="R1231" s="1" t="str">
        <x:v>Indicative only</x:v>
      </x:c>
      <x:c r="S1231" s="1" t="n">
        <x:v>525</x:v>
      </x:c>
      <x:c r="T1231" s="1" t="n">
        <x:v>506</x:v>
      </x:c>
    </x:row>
    <x:row r="1232" ht="21" customHeight="1">
      <x:c r="A1232" s="12" t="n">
        <x:v>46262</x:v>
      </x:c>
      <x:c r="B1232" s="1" t="str">
        <x:v>1x2 ratio</x:v>
      </x:c>
      <x:c r="C1232" s="1" t="str">
        <x:v>put</x:v>
      </x:c>
      <x:c r="D1232" s="11" t="n">
        <x:v>4400</x:v>
      </x:c>
      <x:c r="E1232" s="11" t="n">
        <x:v>4200</x:v>
      </x:c>
      <x:c r="F1232" s="11"/>
      <x:c r="G1232" s="11" t="n">
        <x:f>'Option source'!B511</x:f>
        <x:v>1.96</x:v>
      </x:c>
      <x:c r="H1232" s="11" t="n">
        <x:f>'Option source'!B492</x:f>
        <x:v>1.74</x:v>
      </x:c>
      <x:c r="I1232" s="11"/>
      <x:c r="J1232" s="11" t="n">
        <x:f>G1232-2*H1232+IF(B1232="Butterfly",I1232,0)</x:f>
        <x:v>-1.52</x:v>
      </x:c>
      <x:c r="K1232" s="11" t="n">
        <x:f>ABS(E1232-D1232)</x:f>
        <x:v>200</x:v>
      </x:c>
      <x:c r="L1232" s="11" t="n">
        <x:f>K1232-J1232</x:f>
        <x:v>201.52</x:v>
      </x:c>
      <x:c r="M1232" s="11" t="n">
        <x:f>IF(B1232="Butterfly",MAX(J1232,0),IF(C1232="call","Unlimited",MAX(2*E1232-D1232+J1232,J1232,0)))</x:f>
        <x:v>3998.48</x:v>
      </x:c>
      <x:c r="N1232" s="11" t="n">
        <x:f>IF(B1232="Butterfly",IF(AND(J1232&gt;0,J1232&lt;K1232),D1232+J1232,"n.a."),IF(C1232="call",IF(AND(J1232&gt;0,J1232&lt;K1232),D1232+J1232,"n.a."),IF(AND(K1232&gt;J1232,2*E1232-D1232+J1232&gt;=0),2*E1232-D1232+J1232,"n.a.")))</x:f>
        <x:v>3998.48</x:v>
      </x:c>
      <x:c r="O1232" s="11" t="str">
        <x:f>IF(B1232="Butterfly",IF(AND(J1232&gt;0,J1232&lt;K1232),F1232-J1232,"n.a."),IF(C1232="call",IF(K1232&gt;J1232,2*E1232-D1232-J1232,"n.a."),IF(AND(J1232&gt;0,J1232&lt;K1232),D1232-J1232,"n.a.")))</x:f>
        <x:v>n.a.</x:v>
      </x:c>
      <x:c r="P1232" s="19" t="str">
        <x:f>IF(AND(B1232="Butterfly",J1232&gt;0,J1232&lt;K1232),L1232/J1232,"n.a.")</x:f>
        <x:v>n.a.</x:v>
      </x:c>
      <x:c r="Q1232" s="11" t="n">
        <x:f>J1232*'Model inputs'!$B$8</x:f>
        <x:v>-152</x:v>
      </x:c>
      <x:c r="R1232" s="1" t="str">
        <x:v>Indicative only</x:v>
      </x:c>
      <x:c r="S1232" s="1" t="n">
        <x:v>506</x:v>
      </x:c>
      <x:c r="T1232" s="1" t="n">
        <x:v>487</x:v>
      </x:c>
    </x:row>
    <x:row r="1233" ht="21" customHeight="1">
      <x:c r="A1233" s="12" t="n">
        <x:v>46262</x:v>
      </x:c>
      <x:c r="B1233" s="1" t="str">
        <x:v>1x2 ratio</x:v>
      </x:c>
      <x:c r="C1233" s="1" t="str">
        <x:v>call</x:v>
      </x:c>
      <x:c r="D1233" s="11" t="n">
        <x:v>9200</x:v>
      </x:c>
      <x:c r="E1233" s="11" t="n">
        <x:v>9500</x:v>
      </x:c>
      <x:c r="F1233" s="11"/>
      <x:c r="G1233" s="11" t="n">
        <x:f>'Option source'!B435</x:f>
        <x:v>23.01</x:v>
      </x:c>
      <x:c r="H1233" s="11" t="n">
        <x:f>'Option source'!B454</x:f>
        <x:v>15.03</x:v>
      </x:c>
      <x:c r="I1233" s="11"/>
      <x:c r="J1233" s="11" t="n">
        <x:f>G1233-2*H1233+IF(B1233="Butterfly",I1233,0)</x:f>
        <x:v>-7.049999999999997</x:v>
      </x:c>
      <x:c r="K1233" s="11" t="n">
        <x:f>ABS(E1233-D1233)</x:f>
        <x:v>300</x:v>
      </x:c>
      <x:c r="L1233" s="11" t="n">
        <x:f>K1233-J1233</x:f>
        <x:v>307.05</x:v>
      </x:c>
      <x:c r="M1233" s="11" t="str">
        <x:f>IF(B1233="Butterfly",MAX(J1233,0),IF(C1233="call","Unlimited",MAX(2*E1233-D1233+J1233,J1233,0)))</x:f>
        <x:v>Unlimited</x:v>
      </x:c>
      <x:c r="N1233" s="11" t="str">
        <x:f>IF(B1233="Butterfly",IF(AND(J1233&gt;0,J1233&lt;K1233),D1233+J1233,"n.a."),IF(C1233="call",IF(AND(J1233&gt;0,J1233&lt;K1233),D1233+J1233,"n.a."),IF(AND(K1233&gt;J1233,2*E1233-D1233+J1233&gt;=0),2*E1233-D1233+J1233,"n.a.")))</x:f>
        <x:v>n.a.</x:v>
      </x:c>
      <x:c r="O1233" s="11" t="n">
        <x:f>IF(B1233="Butterfly",IF(AND(J1233&gt;0,J1233&lt;K1233),F1233-J1233,"n.a."),IF(C1233="call",IF(K1233&gt;J1233,2*E1233-D1233-J1233,"n.a."),IF(AND(J1233&gt;0,J1233&lt;K1233),D1233-J1233,"n.a.")))</x:f>
        <x:v>9807.05</x:v>
      </x:c>
      <x:c r="P1233" s="19" t="str">
        <x:f>IF(AND(B1233="Butterfly",J1233&gt;0,J1233&lt;K1233),L1233/J1233,"n.a.")</x:f>
        <x:v>n.a.</x:v>
      </x:c>
      <x:c r="Q1233" s="11" t="n">
        <x:f>J1233*'Model inputs'!$B$8</x:f>
        <x:v>-704.9999999999998</x:v>
      </x:c>
      <x:c r="R1233" s="1" t="str">
        <x:v>Indicative only</x:v>
      </x:c>
      <x:c r="S1233" s="1" t="n">
        <x:v>430</x:v>
      </x:c>
      <x:c r="T1233" s="1" t="n">
        <x:v>449</x:v>
      </x:c>
    </x:row>
    <x:row r="1234" ht="21" customHeight="1">
      <x:c r="A1234" s="12" t="n">
        <x:v>46262</x:v>
      </x:c>
      <x:c r="B1234" s="1" t="str">
        <x:v>1x2 ratio</x:v>
      </x:c>
      <x:c r="C1234" s="1" t="str">
        <x:v>call</x:v>
      </x:c>
      <x:c r="D1234" s="11" t="n">
        <x:v>9500</x:v>
      </x:c>
      <x:c r="E1234" s="11" t="n">
        <x:v>9900</x:v>
      </x:c>
      <x:c r="F1234" s="11"/>
      <x:c r="G1234" s="11" t="n">
        <x:f>'Option source'!B454</x:f>
        <x:v>15.03</x:v>
      </x:c>
      <x:c r="H1234" s="11" t="n">
        <x:f>'Option source'!B473</x:f>
        <x:v>10</x:v>
      </x:c>
      <x:c r="I1234" s="11"/>
      <x:c r="J1234" s="11" t="n">
        <x:f>G1234-2*H1234+IF(B1234="Butterfly",I1234,0)</x:f>
        <x:v>-4.970000000000001</x:v>
      </x:c>
      <x:c r="K1234" s="11" t="n">
        <x:f>ABS(E1234-D1234)</x:f>
        <x:v>400</x:v>
      </x:c>
      <x:c r="L1234" s="11" t="n">
        <x:f>K1234-J1234</x:f>
        <x:v>404.97</x:v>
      </x:c>
      <x:c r="M1234" s="11" t="str">
        <x:f>IF(B1234="Butterfly",MAX(J1234,0),IF(C1234="call","Unlimited",MAX(2*E1234-D1234+J1234,J1234,0)))</x:f>
        <x:v>Unlimited</x:v>
      </x:c>
      <x:c r="N1234" s="11" t="str">
        <x:f>IF(B1234="Butterfly",IF(AND(J1234&gt;0,J1234&lt;K1234),D1234+J1234,"n.a."),IF(C1234="call",IF(AND(J1234&gt;0,J1234&lt;K1234),D1234+J1234,"n.a."),IF(AND(K1234&gt;J1234,2*E1234-D1234+J1234&gt;=0),2*E1234-D1234+J1234,"n.a.")))</x:f>
        <x:v>n.a.</x:v>
      </x:c>
      <x:c r="O1234" s="11" t="n">
        <x:f>IF(B1234="Butterfly",IF(AND(J1234&gt;0,J1234&lt;K1234),F1234-J1234,"n.a."),IF(C1234="call",IF(K1234&gt;J1234,2*E1234-D1234-J1234,"n.a."),IF(AND(J1234&gt;0,J1234&lt;K1234),D1234-J1234,"n.a.")))</x:f>
        <x:v>10304.97</x:v>
      </x:c>
      <x:c r="P1234" s="19" t="str">
        <x:f>IF(AND(B1234="Butterfly",J1234&gt;0,J1234&lt;K1234),L1234/J1234,"n.a.")</x:f>
        <x:v>n.a.</x:v>
      </x:c>
      <x:c r="Q1234" s="11" t="n">
        <x:f>J1234*'Model inputs'!$B$8</x:f>
        <x:v>-497.00000000000006</x:v>
      </x:c>
      <x:c r="R1234" s="1" t="str">
        <x:v>Indicative only</x:v>
      </x:c>
      <x:c r="S1234" s="1" t="n">
        <x:v>449</x:v>
      </x:c>
      <x:c r="T1234" s="1" t="n">
        <x:v>468</x:v>
      </x:c>
    </x:row>
    <x:row r="1235" ht="21" customHeight="1">
      <x:c r="A1235" s="12" t="n">
        <x:v>46262</x:v>
      </x:c>
      <x:c r="B1235" s="1" t="str">
        <x:v>1x2 ratio</x:v>
      </x:c>
      <x:c r="C1235" s="1" t="str">
        <x:v>put</x:v>
      </x:c>
      <x:c r="D1235" s="11" t="n">
        <x:v>7400</x:v>
      </x:c>
      <x:c r="E1235" s="11" t="n">
        <x:v>7200</x:v>
      </x:c>
      <x:c r="F1235" s="11"/>
      <x:c r="G1235" s="11" t="n">
        <x:f>'Option source'!B796</x:f>
        <x:v>657.34</x:v>
      </x:c>
      <x:c r="H1235" s="11" t="n">
        <x:f>'Option source'!B777</x:f>
        <x:v>544.22</x:v>
      </x:c>
      <x:c r="I1235" s="11"/>
      <x:c r="J1235" s="11" t="n">
        <x:f>G1235-2*H1235+IF(B1235="Butterfly",I1235,0)</x:f>
        <x:v>-431.1</x:v>
      </x:c>
      <x:c r="K1235" s="11" t="n">
        <x:f>ABS(E1235-D1235)</x:f>
        <x:v>200</x:v>
      </x:c>
      <x:c r="L1235" s="11" t="n">
        <x:f>K1235-J1235</x:f>
        <x:v>631.1</x:v>
      </x:c>
      <x:c r="M1235" s="11" t="n">
        <x:f>IF(B1235="Butterfly",MAX(J1235,0),IF(C1235="call","Unlimited",MAX(2*E1235-D1235+J1235,J1235,0)))</x:f>
        <x:v>6568.9</x:v>
      </x:c>
      <x:c r="N1235" s="11" t="n">
        <x:f>IF(B1235="Butterfly",IF(AND(J1235&gt;0,J1235&lt;K1235),D1235+J1235,"n.a."),IF(C1235="call",IF(AND(J1235&gt;0,J1235&lt;K1235),D1235+J1235,"n.a."),IF(AND(K1235&gt;J1235,2*E1235-D1235+J1235&gt;=0),2*E1235-D1235+J1235,"n.a.")))</x:f>
        <x:v>6568.9</x:v>
      </x:c>
      <x:c r="O1235" s="11" t="str">
        <x:f>IF(B1235="Butterfly",IF(AND(J1235&gt;0,J1235&lt;K1235),F1235-J1235,"n.a."),IF(C1235="call",IF(K1235&gt;J1235,2*E1235-D1235-J1235,"n.a."),IF(AND(J1235&gt;0,J1235&lt;K1235),D1235-J1235,"n.a.")))</x:f>
        <x:v>n.a.</x:v>
      </x:c>
      <x:c r="P1235" s="19" t="str">
        <x:f>IF(AND(B1235="Butterfly",J1235&gt;0,J1235&lt;K1235),L1235/J1235,"n.a.")</x:f>
        <x:v>n.a.</x:v>
      </x:c>
      <x:c r="Q1235" s="11" t="n">
        <x:f>J1235*'Model inputs'!$B$8</x:f>
        <x:v>-43110</x:v>
      </x:c>
      <x:c r="R1235" s="1" t="str">
        <x:v>Flagged leg data</x:v>
      </x:c>
      <x:c r="S1235" s="1" t="n">
        <x:v>791</x:v>
      </x:c>
      <x:c r="T1235" s="1" t="n">
        <x:v>772</x:v>
      </x:c>
    </x:row>
    <x:row r="1236" ht="21" customHeight="1">
      <x:c r="A1236" s="12" t="n">
        <x:v>46262</x:v>
      </x:c>
      <x:c r="B1236" s="1" t="str">
        <x:v>1x2 ratio</x:v>
      </x:c>
      <x:c r="C1236" s="1" t="str">
        <x:v>put</x:v>
      </x:c>
      <x:c r="D1236" s="11" t="n">
        <x:v>7600</x:v>
      </x:c>
      <x:c r="E1236" s="11" t="n">
        <x:v>7400</x:v>
      </x:c>
      <x:c r="F1236" s="11"/>
      <x:c r="G1236" s="11" t="n">
        <x:f>'Option source'!B815</x:f>
        <x:v>811.29</x:v>
      </x:c>
      <x:c r="H1236" s="11" t="n">
        <x:f>'Option source'!B796</x:f>
        <x:v>657.34</x:v>
      </x:c>
      <x:c r="I1236" s="11"/>
      <x:c r="J1236" s="11" t="n">
        <x:f>G1236-2*H1236+IF(B1236="Butterfly",I1236,0)</x:f>
        <x:v>-503.3900000000001</x:v>
      </x:c>
      <x:c r="K1236" s="11" t="n">
        <x:f>ABS(E1236-D1236)</x:f>
        <x:v>200</x:v>
      </x:c>
      <x:c r="L1236" s="11" t="n">
        <x:f>K1236-J1236</x:f>
        <x:v>703.3900000000001</x:v>
      </x:c>
      <x:c r="M1236" s="11" t="n">
        <x:f>IF(B1236="Butterfly",MAX(J1236,0),IF(C1236="call","Unlimited",MAX(2*E1236-D1236+J1236,J1236,0)))</x:f>
        <x:v>6696.61</x:v>
      </x:c>
      <x:c r="N1236" s="11" t="n">
        <x:f>IF(B1236="Butterfly",IF(AND(J1236&gt;0,J1236&lt;K1236),D1236+J1236,"n.a."),IF(C1236="call",IF(AND(J1236&gt;0,J1236&lt;K1236),D1236+J1236,"n.a."),IF(AND(K1236&gt;J1236,2*E1236-D1236+J1236&gt;=0),2*E1236-D1236+J1236,"n.a.")))</x:f>
        <x:v>6696.61</x:v>
      </x:c>
      <x:c r="O1236" s="11" t="str">
        <x:f>IF(B1236="Butterfly",IF(AND(J1236&gt;0,J1236&lt;K1236),F1236-J1236,"n.a."),IF(C1236="call",IF(K1236&gt;J1236,2*E1236-D1236-J1236,"n.a."),IF(AND(J1236&gt;0,J1236&lt;K1236),D1236-J1236,"n.a.")))</x:f>
        <x:v>n.a.</x:v>
      </x:c>
      <x:c r="P1236" s="19" t="str">
        <x:f>IF(AND(B1236="Butterfly",J1236&gt;0,J1236&lt;K1236),L1236/J1236,"n.a.")</x:f>
        <x:v>n.a.</x:v>
      </x:c>
      <x:c r="Q1236" s="11" t="n">
        <x:f>J1236*'Model inputs'!$B$8</x:f>
        <x:v>-50339.00000000001</x:v>
      </x:c>
      <x:c r="R1236" s="1" t="str">
        <x:v>Flagged leg data</x:v>
      </x:c>
      <x:c r="S1236" s="1" t="n">
        <x:v>810</x:v>
      </x:c>
      <x:c r="T1236" s="1" t="n">
        <x:v>791</x:v>
      </x:c>
    </x:row>
    <x:row r="1237" ht="21" customHeight="1">
      <x:c r="A1237" s="12" t="n">
        <x:v>46262</x:v>
      </x:c>
      <x:c r="B1237" s="1" t="str">
        <x:v>1x2 ratio</x:v>
      </x:c>
      <x:c r="C1237" s="1" t="str">
        <x:v>call</x:v>
      </x:c>
      <x:c r="D1237" s="11" t="n">
        <x:v>6000</x:v>
      </x:c>
      <x:c r="E1237" s="11" t="n">
        <x:v>6200</x:v>
      </x:c>
      <x:c r="F1237" s="11"/>
      <x:c r="G1237" s="11" t="n">
        <x:f>'Option source'!B169</x:f>
        <x:v>1178.78</x:v>
      </x:c>
      <x:c r="H1237" s="11" t="n">
        <x:f>'Option source'!B188</x:f>
        <x:v>870</x:v>
      </x:c>
      <x:c r="I1237" s="11"/>
      <x:c r="J1237" s="11" t="n">
        <x:f>G1237-2*H1237+IF(B1237="Butterfly",I1237,0)</x:f>
        <x:v>-561.22</x:v>
      </x:c>
      <x:c r="K1237" s="11" t="n">
        <x:f>ABS(E1237-D1237)</x:f>
        <x:v>200</x:v>
      </x:c>
      <x:c r="L1237" s="11" t="n">
        <x:f>K1237-J1237</x:f>
        <x:v>761.22</x:v>
      </x:c>
      <x:c r="M1237" s="11" t="str">
        <x:f>IF(B1237="Butterfly",MAX(J1237,0),IF(C1237="call","Unlimited",MAX(2*E1237-D1237+J1237,J1237,0)))</x:f>
        <x:v>Unlimited</x:v>
      </x:c>
      <x:c r="N1237" s="11" t="str">
        <x:f>IF(B1237="Butterfly",IF(AND(J1237&gt;0,J1237&lt;K1237),D1237+J1237,"n.a."),IF(C1237="call",IF(AND(J1237&gt;0,J1237&lt;K1237),D1237+J1237,"n.a."),IF(AND(K1237&gt;J1237,2*E1237-D1237+J1237&gt;=0),2*E1237-D1237+J1237,"n.a.")))</x:f>
        <x:v>n.a.</x:v>
      </x:c>
      <x:c r="O1237" s="11" t="n">
        <x:f>IF(B1237="Butterfly",IF(AND(J1237&gt;0,J1237&lt;K1237),F1237-J1237,"n.a."),IF(C1237="call",IF(K1237&gt;J1237,2*E1237-D1237-J1237,"n.a."),IF(AND(J1237&gt;0,J1237&lt;K1237),D1237-J1237,"n.a.")))</x:f>
        <x:v>6961.22</x:v>
      </x:c>
      <x:c r="P1237" s="19" t="str">
        <x:f>IF(AND(B1237="Butterfly",J1237&gt;0,J1237&lt;K1237),L1237/J1237,"n.a.")</x:f>
        <x:v>n.a.</x:v>
      </x:c>
      <x:c r="Q1237" s="11" t="n">
        <x:f>J1237*'Model inputs'!$B$8</x:f>
        <x:v>-56122</x:v>
      </x:c>
      <x:c r="R1237" s="1" t="str">
        <x:v>Flagged leg data</x:v>
      </x:c>
      <x:c r="S1237" s="1" t="n">
        <x:v>164</x:v>
      </x:c>
      <x:c r="T1237" s="1" t="n">
        <x:v>183</x:v>
      </x:c>
    </x:row>
    <x:row r="1238" ht="21" customHeight="1">
      <x:c r="A1238" s="12" t="n">
        <x:v>46262</x:v>
      </x:c>
      <x:c r="B1238" s="1" t="str">
        <x:v>1x2 ratio</x:v>
      </x:c>
      <x:c r="C1238" s="1" t="str">
        <x:v>put</x:v>
      </x:c>
      <x:c r="D1238" s="11" t="n">
        <x:v>7800</x:v>
      </x:c>
      <x:c r="E1238" s="11" t="n">
        <x:v>7600</x:v>
      </x:c>
      <x:c r="F1238" s="11"/>
      <x:c r="G1238" s="11" t="n">
        <x:f>'Option source'!B834</x:f>
        <x:v>905</x:v>
      </x:c>
      <x:c r="H1238" s="11" t="n">
        <x:f>'Option source'!B815</x:f>
        <x:v>811.29</x:v>
      </x:c>
      <x:c r="I1238" s="11"/>
      <x:c r="J1238" s="11" t="n">
        <x:f>G1238-2*H1238+IF(B1238="Butterfly",I1238,0)</x:f>
        <x:v>-717.5799999999999</x:v>
      </x:c>
      <x:c r="K1238" s="11" t="n">
        <x:f>ABS(E1238-D1238)</x:f>
        <x:v>200</x:v>
      </x:c>
      <x:c r="L1238" s="11" t="n">
        <x:f>K1238-J1238</x:f>
        <x:v>917.5799999999999</x:v>
      </x:c>
      <x:c r="M1238" s="11" t="n">
        <x:f>IF(B1238="Butterfly",MAX(J1238,0),IF(C1238="call","Unlimited",MAX(2*E1238-D1238+J1238,J1238,0)))</x:f>
        <x:v>6682.42</x:v>
      </x:c>
      <x:c r="N1238" s="11" t="n">
        <x:f>IF(B1238="Butterfly",IF(AND(J1238&gt;0,J1238&lt;K1238),D1238+J1238,"n.a."),IF(C1238="call",IF(AND(J1238&gt;0,J1238&lt;K1238),D1238+J1238,"n.a."),IF(AND(K1238&gt;J1238,2*E1238-D1238+J1238&gt;=0),2*E1238-D1238+J1238,"n.a.")))</x:f>
        <x:v>6682.42</x:v>
      </x:c>
      <x:c r="O1238" s="11" t="str">
        <x:f>IF(B1238="Butterfly",IF(AND(J1238&gt;0,J1238&lt;K1238),F1238-J1238,"n.a."),IF(C1238="call",IF(K1238&gt;J1238,2*E1238-D1238-J1238,"n.a."),IF(AND(J1238&gt;0,J1238&lt;K1238),D1238-J1238,"n.a.")))</x:f>
        <x:v>n.a.</x:v>
      </x:c>
      <x:c r="P1238" s="19" t="str">
        <x:f>IF(AND(B1238="Butterfly",J1238&gt;0,J1238&lt;K1238),L1238/J1238,"n.a.")</x:f>
        <x:v>n.a.</x:v>
      </x:c>
      <x:c r="Q1238" s="11" t="n">
        <x:f>J1238*'Model inputs'!$B$8</x:f>
        <x:v>-71758</x:v>
      </x:c>
      <x:c r="R1238" s="1" t="str">
        <x:v>Flagged leg data</x:v>
      </x:c>
      <x:c r="S1238" s="1" t="n">
        <x:v>829</x:v>
      </x:c>
      <x:c r="T1238" s="1" t="n">
        <x:v>810</x:v>
      </x:c>
    </x:row>
    <x:row r="1239" ht="21" customHeight="1">
      <x:c r="A1239" s="12" t="n">
        <x:v>46262</x:v>
      </x:c>
      <x:c r="B1239" s="1" t="str">
        <x:v>1x2 ratio</x:v>
      </x:c>
      <x:c r="C1239" s="1" t="str">
        <x:v>call</x:v>
      </x:c>
      <x:c r="D1239" s="11" t="n">
        <x:v>5600</x:v>
      </x:c>
      <x:c r="E1239" s="11" t="n">
        <x:v>6000</x:v>
      </x:c>
      <x:c r="F1239" s="11"/>
      <x:c r="G1239" s="11" t="n">
        <x:f>'Option source'!B140</x:f>
        <x:v>1311.48</x:v>
      </x:c>
      <x:c r="H1239" s="11" t="n">
        <x:f>'Option source'!B169</x:f>
        <x:v>1178.78</x:v>
      </x:c>
      <x:c r="I1239" s="11"/>
      <x:c r="J1239" s="11" t="n">
        <x:f>G1239-2*H1239+IF(B1239="Butterfly",I1239,0)</x:f>
        <x:v>-1046.08</x:v>
      </x:c>
      <x:c r="K1239" s="11" t="n">
        <x:f>ABS(E1239-D1239)</x:f>
        <x:v>400</x:v>
      </x:c>
      <x:c r="L1239" s="11" t="n">
        <x:f>K1239-J1239</x:f>
        <x:v>1446.08</x:v>
      </x:c>
      <x:c r="M1239" s="11" t="str">
        <x:f>IF(B1239="Butterfly",MAX(J1239,0),IF(C1239="call","Unlimited",MAX(2*E1239-D1239+J1239,J1239,0)))</x:f>
        <x:v>Unlimited</x:v>
      </x:c>
      <x:c r="N1239" s="11" t="str">
        <x:f>IF(B1239="Butterfly",IF(AND(J1239&gt;0,J1239&lt;K1239),D1239+J1239,"n.a."),IF(C1239="call",IF(AND(J1239&gt;0,J1239&lt;K1239),D1239+J1239,"n.a."),IF(AND(K1239&gt;J1239,2*E1239-D1239+J1239&gt;=0),2*E1239-D1239+J1239,"n.a.")))</x:f>
        <x:v>n.a.</x:v>
      </x:c>
      <x:c r="O1239" s="11" t="n">
        <x:f>IF(B1239="Butterfly",IF(AND(J1239&gt;0,J1239&lt;K1239),F1239-J1239,"n.a."),IF(C1239="call",IF(K1239&gt;J1239,2*E1239-D1239-J1239,"n.a."),IF(AND(J1239&gt;0,J1239&lt;K1239),D1239-J1239,"n.a.")))</x:f>
        <x:v>7446.08</x:v>
      </x:c>
      <x:c r="P1239" s="19" t="str">
        <x:f>IF(AND(B1239="Butterfly",J1239&gt;0,J1239&lt;K1239),L1239/J1239,"n.a.")</x:f>
        <x:v>n.a.</x:v>
      </x:c>
      <x:c r="Q1239" s="11" t="n">
        <x:f>J1239*'Model inputs'!$B$8</x:f>
        <x:v>-104608</x:v>
      </x:c>
      <x:c r="R1239" s="1" t="str">
        <x:v>Flagged leg data</x:v>
      </x:c>
      <x:c r="S1239" s="1" t="n">
        <x:v>135</x:v>
      </x:c>
      <x:c r="T1239" s="1" t="n">
        <x:v>164</x:v>
      </x:c>
    </x:row>
    <x:row r="1240" ht="21" customHeight="1">
      <x:c r="A1240" s="12" t="n">
        <x:v>46262</x:v>
      </x:c>
      <x:c r="B1240" s="1" t="str">
        <x:v>1x2 ratio</x:v>
      </x:c>
      <x:c r="C1240" s="1" t="str">
        <x:v>put</x:v>
      </x:c>
      <x:c r="D1240" s="11" t="n">
        <x:v>8000</x:v>
      </x:c>
      <x:c r="E1240" s="11" t="n">
        <x:v>7800</x:v>
      </x:c>
      <x:c r="F1240" s="11"/>
      <x:c r="G1240" s="11" t="n">
        <x:f>'Option source'!B853</x:f>
        <x:v>1225</x:v>
      </x:c>
      <x:c r="H1240" s="11" t="n">
        <x:f>'Option source'!B834</x:f>
        <x:v>905</x:v>
      </x:c>
      <x:c r="I1240" s="11"/>
      <x:c r="J1240" s="11" t="n">
        <x:f>G1240-2*H1240+IF(B1240="Butterfly",I1240,0)</x:f>
        <x:v>-585</x:v>
      </x:c>
      <x:c r="K1240" s="11" t="n">
        <x:f>ABS(E1240-D1240)</x:f>
        <x:v>200</x:v>
      </x:c>
      <x:c r="L1240" s="11" t="n">
        <x:f>K1240-J1240</x:f>
        <x:v>785</x:v>
      </x:c>
      <x:c r="M1240" s="11" t="n">
        <x:f>IF(B1240="Butterfly",MAX(J1240,0),IF(C1240="call","Unlimited",MAX(2*E1240-D1240+J1240,J1240,0)))</x:f>
        <x:v>7015</x:v>
      </x:c>
      <x:c r="N1240" s="11" t="n">
        <x:f>IF(B1240="Butterfly",IF(AND(J1240&gt;0,J1240&lt;K1240),D1240+J1240,"n.a."),IF(C1240="call",IF(AND(J1240&gt;0,J1240&lt;K1240),D1240+J1240,"n.a."),IF(AND(K1240&gt;J1240,2*E1240-D1240+J1240&gt;=0),2*E1240-D1240+J1240,"n.a.")))</x:f>
        <x:v>7015</x:v>
      </x:c>
      <x:c r="O1240" s="11" t="str">
        <x:f>IF(B1240="Butterfly",IF(AND(J1240&gt;0,J1240&lt;K1240),F1240-J1240,"n.a."),IF(C1240="call",IF(K1240&gt;J1240,2*E1240-D1240-J1240,"n.a."),IF(AND(J1240&gt;0,J1240&lt;K1240),D1240-J1240,"n.a.")))</x:f>
        <x:v>n.a.</x:v>
      </x:c>
      <x:c r="P1240" s="19" t="str">
        <x:f>IF(AND(B1240="Butterfly",J1240&gt;0,J1240&lt;K1240),L1240/J1240,"n.a.")</x:f>
        <x:v>n.a.</x:v>
      </x:c>
      <x:c r="Q1240" s="11" t="n">
        <x:f>J1240*'Model inputs'!$B$8</x:f>
        <x:v>-58500</x:v>
      </x:c>
      <x:c r="R1240" s="1" t="str">
        <x:v>Flagged leg data</x:v>
      </x:c>
      <x:c r="S1240" s="1" t="n">
        <x:v>848</x:v>
      </x:c>
      <x:c r="T1240" s="1" t="n">
        <x:v>829</x:v>
      </x:c>
    </x:row>
    <x:row r="1241" ht="21" customHeight="1">
      <x:c r="A1241" s="12" t="n">
        <x:v>46262</x:v>
      </x:c>
      <x:c r="B1241" s="1" t="str">
        <x:v>1x2 ratio</x:v>
      </x:c>
      <x:c r="C1241" s="1" t="str">
        <x:v>put</x:v>
      </x:c>
      <x:c r="D1241" s="11" t="n">
        <x:v>8300</x:v>
      </x:c>
      <x:c r="E1241" s="11" t="n">
        <x:v>8000</x:v>
      </x:c>
      <x:c r="F1241" s="11"/>
      <x:c r="G1241" s="11" t="n">
        <x:f>'Option source'!B872</x:f>
        <x:v>1291.94</x:v>
      </x:c>
      <x:c r="H1241" s="11" t="n">
        <x:f>'Option source'!B853</x:f>
        <x:v>1225</x:v>
      </x:c>
      <x:c r="I1241" s="11"/>
      <x:c r="J1241" s="11" t="n">
        <x:f>G1241-2*H1241+IF(B1241="Butterfly",I1241,0)</x:f>
        <x:v>-1158.06</x:v>
      </x:c>
      <x:c r="K1241" s="11" t="n">
        <x:f>ABS(E1241-D1241)</x:f>
        <x:v>300</x:v>
      </x:c>
      <x:c r="L1241" s="11" t="n">
        <x:f>K1241-J1241</x:f>
        <x:v>1458.06</x:v>
      </x:c>
      <x:c r="M1241" s="11" t="n">
        <x:f>IF(B1241="Butterfly",MAX(J1241,0),IF(C1241="call","Unlimited",MAX(2*E1241-D1241+J1241,J1241,0)))</x:f>
        <x:v>6541.9400000000005</x:v>
      </x:c>
      <x:c r="N1241" s="11" t="n">
        <x:f>IF(B1241="Butterfly",IF(AND(J1241&gt;0,J1241&lt;K1241),D1241+J1241,"n.a."),IF(C1241="call",IF(AND(J1241&gt;0,J1241&lt;K1241),D1241+J1241,"n.a."),IF(AND(K1241&gt;J1241,2*E1241-D1241+J1241&gt;=0),2*E1241-D1241+J1241,"n.a.")))</x:f>
        <x:v>6541.9400000000005</x:v>
      </x:c>
      <x:c r="O1241" s="11" t="str">
        <x:f>IF(B1241="Butterfly",IF(AND(J1241&gt;0,J1241&lt;K1241),F1241-J1241,"n.a."),IF(C1241="call",IF(K1241&gt;J1241,2*E1241-D1241-J1241,"n.a."),IF(AND(J1241&gt;0,J1241&lt;K1241),D1241-J1241,"n.a.")))</x:f>
        <x:v>n.a.</x:v>
      </x:c>
      <x:c r="P1241" s="19" t="str">
        <x:f>IF(AND(B1241="Butterfly",J1241&gt;0,J1241&lt;K1241),L1241/J1241,"n.a.")</x:f>
        <x:v>n.a.</x:v>
      </x:c>
      <x:c r="Q1241" s="11" t="n">
        <x:f>J1241*'Model inputs'!$B$8</x:f>
        <x:v>-115806</x:v>
      </x:c>
      <x:c r="R1241" s="1" t="str">
        <x:v>Flagged leg data</x:v>
      </x:c>
      <x:c r="S1241" s="1" t="n">
        <x:v>867</x:v>
      </x:c>
      <x:c r="T1241" s="1" t="n">
        <x:v>848</x:v>
      </x:c>
    </x:row>
    <x:row r="1242" ht="21" customHeight="1">
      <x:c r="A1242" s="12" t="n">
        <x:v>46262</x:v>
      </x:c>
      <x:c r="B1242" s="1" t="str">
        <x:v>1x2 ratio</x:v>
      </x:c>
      <x:c r="C1242" s="1" t="str">
        <x:v>call</x:v>
      </x:c>
      <x:c r="D1242" s="11" t="n">
        <x:v>5400</x:v>
      </x:c>
      <x:c r="E1242" s="11" t="n">
        <x:v>5600</x:v>
      </x:c>
      <x:c r="F1242" s="11"/>
      <x:c r="G1242" s="11" t="n">
        <x:f>'Option source'!B122</x:f>
        <x:v>1552.16</x:v>
      </x:c>
      <x:c r="H1242" s="11" t="n">
        <x:f>'Option source'!B140</x:f>
        <x:v>1311.48</x:v>
      </x:c>
      <x:c r="I1242" s="11"/>
      <x:c r="J1242" s="11" t="n">
        <x:f>G1242-2*H1242+IF(B1242="Butterfly",I1242,0)</x:f>
        <x:v>-1070.8</x:v>
      </x:c>
      <x:c r="K1242" s="11" t="n">
        <x:f>ABS(E1242-D1242)</x:f>
        <x:v>200</x:v>
      </x:c>
      <x:c r="L1242" s="11" t="n">
        <x:f>K1242-J1242</x:f>
        <x:v>1270.8</x:v>
      </x:c>
      <x:c r="M1242" s="11" t="str">
        <x:f>IF(B1242="Butterfly",MAX(J1242,0),IF(C1242="call","Unlimited",MAX(2*E1242-D1242+J1242,J1242,0)))</x:f>
        <x:v>Unlimited</x:v>
      </x:c>
      <x:c r="N1242" s="11" t="str">
        <x:f>IF(B1242="Butterfly",IF(AND(J1242&gt;0,J1242&lt;K1242),D1242+J1242,"n.a."),IF(C1242="call",IF(AND(J1242&gt;0,J1242&lt;K1242),D1242+J1242,"n.a."),IF(AND(K1242&gt;J1242,2*E1242-D1242+J1242&gt;=0),2*E1242-D1242+J1242,"n.a.")))</x:f>
        <x:v>n.a.</x:v>
      </x:c>
      <x:c r="O1242" s="11" t="n">
        <x:f>IF(B1242="Butterfly",IF(AND(J1242&gt;0,J1242&lt;K1242),F1242-J1242,"n.a."),IF(C1242="call",IF(K1242&gt;J1242,2*E1242-D1242-J1242,"n.a."),IF(AND(J1242&gt;0,J1242&lt;K1242),D1242-J1242,"n.a.")))</x:f>
        <x:v>6870.8</x:v>
      </x:c>
      <x:c r="P1242" s="19" t="str">
        <x:f>IF(AND(B1242="Butterfly",J1242&gt;0,J1242&lt;K1242),L1242/J1242,"n.a.")</x:f>
        <x:v>n.a.</x:v>
      </x:c>
      <x:c r="Q1242" s="11" t="n">
        <x:f>J1242*'Model inputs'!$B$8</x:f>
        <x:v>-107080</x:v>
      </x:c>
      <x:c r="R1242" s="1" t="str">
        <x:v>Flagged leg data</x:v>
      </x:c>
      <x:c r="S1242" s="1" t="n">
        <x:v>117</x:v>
      </x:c>
      <x:c r="T1242" s="1" t="n">
        <x:v>135</x:v>
      </x:c>
    </x:row>
    <x:row r="1243" ht="21" customHeight="1">
      <x:c r="A1243" s="12" t="n">
        <x:v>46262</x:v>
      </x:c>
      <x:c r="B1243" s="1" t="str">
        <x:v>1x2 ratio</x:v>
      </x:c>
      <x:c r="C1243" s="1" t="str">
        <x:v>call</x:v>
      </x:c>
      <x:c r="D1243" s="11" t="n">
        <x:v>5200</x:v>
      </x:c>
      <x:c r="E1243" s="11" t="n">
        <x:v>5400</x:v>
      </x:c>
      <x:c r="F1243" s="11"/>
      <x:c r="G1243" s="11" t="n">
        <x:f>'Option source'!B103</x:f>
        <x:v>1677.12</x:v>
      </x:c>
      <x:c r="H1243" s="11" t="n">
        <x:f>'Option source'!B122</x:f>
        <x:v>1552.16</x:v>
      </x:c>
      <x:c r="I1243" s="11"/>
      <x:c r="J1243" s="11" t="n">
        <x:f>G1243-2*H1243+IF(B1243="Butterfly",I1243,0)</x:f>
        <x:v>-1427.2000000000003</x:v>
      </x:c>
      <x:c r="K1243" s="11" t="n">
        <x:f>ABS(E1243-D1243)</x:f>
        <x:v>200</x:v>
      </x:c>
      <x:c r="L1243" s="11" t="n">
        <x:f>K1243-J1243</x:f>
        <x:v>1627.2000000000003</x:v>
      </x:c>
      <x:c r="M1243" s="11" t="str">
        <x:f>IF(B1243="Butterfly",MAX(J1243,0),IF(C1243="call","Unlimited",MAX(2*E1243-D1243+J1243,J1243,0)))</x:f>
        <x:v>Unlimited</x:v>
      </x:c>
      <x:c r="N1243" s="11" t="str">
        <x:f>IF(B1243="Butterfly",IF(AND(J1243&gt;0,J1243&lt;K1243),D1243+J1243,"n.a."),IF(C1243="call",IF(AND(J1243&gt;0,J1243&lt;K1243),D1243+J1243,"n.a."),IF(AND(K1243&gt;J1243,2*E1243-D1243+J1243&gt;=0),2*E1243-D1243+J1243,"n.a.")))</x:f>
        <x:v>n.a.</x:v>
      </x:c>
      <x:c r="O1243" s="11" t="n">
        <x:f>IF(B1243="Butterfly",IF(AND(J1243&gt;0,J1243&lt;K1243),F1243-J1243,"n.a."),IF(C1243="call",IF(K1243&gt;J1243,2*E1243-D1243-J1243,"n.a."),IF(AND(J1243&gt;0,J1243&lt;K1243),D1243-J1243,"n.a.")))</x:f>
        <x:v>7027.200000000001</x:v>
      </x:c>
      <x:c r="P1243" s="19" t="str">
        <x:f>IF(AND(B1243="Butterfly",J1243&gt;0,J1243&lt;K1243),L1243/J1243,"n.a.")</x:f>
        <x:v>n.a.</x:v>
      </x:c>
      <x:c r="Q1243" s="11" t="n">
        <x:f>J1243*'Model inputs'!$B$8</x:f>
        <x:v>-142720.00000000003</x:v>
      </x:c>
      <x:c r="R1243" s="1" t="str">
        <x:v>Flagged leg data</x:v>
      </x:c>
      <x:c r="S1243" s="1" t="n">
        <x:v>98</x:v>
      </x:c>
      <x:c r="T1243" s="1" t="n">
        <x:v>117</x:v>
      </x:c>
    </x:row>
    <x:row r="1244" ht="21" customHeight="1">
      <x:c r="A1244" s="12" t="n">
        <x:v>46262</x:v>
      </x:c>
      <x:c r="B1244" s="1" t="str">
        <x:v>1x2 ratio</x:v>
      </x:c>
      <x:c r="C1244" s="1" t="str">
        <x:v>put</x:v>
      </x:c>
      <x:c r="D1244" s="11" t="n">
        <x:v>8600</x:v>
      </x:c>
      <x:c r="E1244" s="11" t="n">
        <x:v>8300</x:v>
      </x:c>
      <x:c r="F1244" s="11"/>
      <x:c r="G1244" s="11" t="n">
        <x:f>'Option source'!B891</x:f>
        <x:v>1850</x:v>
      </x:c>
      <x:c r="H1244" s="11" t="n">
        <x:f>'Option source'!B872</x:f>
        <x:v>1291.94</x:v>
      </x:c>
      <x:c r="I1244" s="11"/>
      <x:c r="J1244" s="11" t="n">
        <x:f>G1244-2*H1244+IF(B1244="Butterfly",I1244,0)</x:f>
        <x:v>-733.8800000000001</x:v>
      </x:c>
      <x:c r="K1244" s="11" t="n">
        <x:f>ABS(E1244-D1244)</x:f>
        <x:v>300</x:v>
      </x:c>
      <x:c r="L1244" s="11" t="n">
        <x:f>K1244-J1244</x:f>
        <x:v>1033.88</x:v>
      </x:c>
      <x:c r="M1244" s="11" t="n">
        <x:f>IF(B1244="Butterfly",MAX(J1244,0),IF(C1244="call","Unlimited",MAX(2*E1244-D1244+J1244,J1244,0)))</x:f>
        <x:v>7266.12</x:v>
      </x:c>
      <x:c r="N1244" s="11" t="n">
        <x:f>IF(B1244="Butterfly",IF(AND(J1244&gt;0,J1244&lt;K1244),D1244+J1244,"n.a."),IF(C1244="call",IF(AND(J1244&gt;0,J1244&lt;K1244),D1244+J1244,"n.a."),IF(AND(K1244&gt;J1244,2*E1244-D1244+J1244&gt;=0),2*E1244-D1244+J1244,"n.a.")))</x:f>
        <x:v>7266.12</x:v>
      </x:c>
      <x:c r="O1244" s="11" t="str">
        <x:f>IF(B1244="Butterfly",IF(AND(J1244&gt;0,J1244&lt;K1244),F1244-J1244,"n.a."),IF(C1244="call",IF(K1244&gt;J1244,2*E1244-D1244-J1244,"n.a."),IF(AND(J1244&gt;0,J1244&lt;K1244),D1244-J1244,"n.a.")))</x:f>
        <x:v>n.a.</x:v>
      </x:c>
      <x:c r="P1244" s="19" t="str">
        <x:f>IF(AND(B1244="Butterfly",J1244&gt;0,J1244&lt;K1244),L1244/J1244,"n.a.")</x:f>
        <x:v>n.a.</x:v>
      </x:c>
      <x:c r="Q1244" s="11" t="n">
        <x:f>J1244*'Model inputs'!$B$8</x:f>
        <x:v>-73388.00000000001</x:v>
      </x:c>
      <x:c r="R1244" s="1" t="str">
        <x:v>Flagged leg data</x:v>
      </x:c>
      <x:c r="S1244" s="1" t="n">
        <x:v>886</x:v>
      </x:c>
      <x:c r="T1244" s="1" t="n">
        <x:v>867</x:v>
      </x:c>
    </x:row>
    <x:row r="1245" ht="21" customHeight="1">
      <x:c r="A1245" s="12" t="n">
        <x:v>46262</x:v>
      </x:c>
      <x:c r="B1245" s="1" t="str">
        <x:v>1x2 ratio</x:v>
      </x:c>
      <x:c r="C1245" s="1" t="str">
        <x:v>call</x:v>
      </x:c>
      <x:c r="D1245" s="11" t="n">
        <x:v>5000</x:v>
      </x:c>
      <x:c r="E1245" s="11" t="n">
        <x:v>5200</x:v>
      </x:c>
      <x:c r="F1245" s="11"/>
      <x:c r="G1245" s="11" t="n">
        <x:f>'Option source'!B84</x:f>
        <x:v>1905</x:v>
      </x:c>
      <x:c r="H1245" s="11" t="n">
        <x:f>'Option source'!B103</x:f>
        <x:v>1677.12</x:v>
      </x:c>
      <x:c r="I1245" s="11"/>
      <x:c r="J1245" s="11" t="n">
        <x:f>G1245-2*H1245+IF(B1245="Butterfly",I1245,0)</x:f>
        <x:v>-1449.2399999999998</x:v>
      </x:c>
      <x:c r="K1245" s="11" t="n">
        <x:f>ABS(E1245-D1245)</x:f>
        <x:v>200</x:v>
      </x:c>
      <x:c r="L1245" s="11" t="n">
        <x:f>K1245-J1245</x:f>
        <x:v>1649.2399999999998</x:v>
      </x:c>
      <x:c r="M1245" s="11" t="str">
        <x:f>IF(B1245="Butterfly",MAX(J1245,0),IF(C1245="call","Unlimited",MAX(2*E1245-D1245+J1245,J1245,0)))</x:f>
        <x:v>Unlimited</x:v>
      </x:c>
      <x:c r="N1245" s="11" t="str">
        <x:f>IF(B1245="Butterfly",IF(AND(J1245&gt;0,J1245&lt;K1245),D1245+J1245,"n.a."),IF(C1245="call",IF(AND(J1245&gt;0,J1245&lt;K1245),D1245+J1245,"n.a."),IF(AND(K1245&gt;J1245,2*E1245-D1245+J1245&gt;=0),2*E1245-D1245+J1245,"n.a.")))</x:f>
        <x:v>n.a.</x:v>
      </x:c>
      <x:c r="O1245" s="11" t="n">
        <x:f>IF(B1245="Butterfly",IF(AND(J1245&gt;0,J1245&lt;K1245),F1245-J1245,"n.a."),IF(C1245="call",IF(K1245&gt;J1245,2*E1245-D1245-J1245,"n.a."),IF(AND(J1245&gt;0,J1245&lt;K1245),D1245-J1245,"n.a.")))</x:f>
        <x:v>6849.24</x:v>
      </x:c>
      <x:c r="P1245" s="19" t="str">
        <x:f>IF(AND(B1245="Butterfly",J1245&gt;0,J1245&lt;K1245),L1245/J1245,"n.a.")</x:f>
        <x:v>n.a.</x:v>
      </x:c>
      <x:c r="Q1245" s="11" t="n">
        <x:f>J1245*'Model inputs'!$B$8</x:f>
        <x:v>-144923.99999999997</x:v>
      </x:c>
      <x:c r="R1245" s="1" t="str">
        <x:v>Flagged leg data</x:v>
      </x:c>
      <x:c r="S1245" s="1" t="n">
        <x:v>79</x:v>
      </x:c>
      <x:c r="T1245" s="1" t="n">
        <x:v>98</x:v>
      </x:c>
    </x:row>
    <x:row r="1246" ht="21" customHeight="1">
      <x:c r="A1246" s="12" t="n">
        <x:v>46262</x:v>
      </x:c>
      <x:c r="B1246" s="1" t="str">
        <x:v>1x2 ratio</x:v>
      </x:c>
      <x:c r="C1246" s="1" t="str">
        <x:v>put</x:v>
      </x:c>
      <x:c r="D1246" s="11" t="n">
        <x:v>8900</x:v>
      </x:c>
      <x:c r="E1246" s="11" t="n">
        <x:v>8600</x:v>
      </x:c>
      <x:c r="F1246" s="11"/>
      <x:c r="G1246" s="11" t="n">
        <x:f>'Option source'!B906</x:f>
        <x:v>2022.5</x:v>
      </x:c>
      <x:c r="H1246" s="11" t="n">
        <x:f>'Option source'!B891</x:f>
        <x:v>1850</x:v>
      </x:c>
      <x:c r="I1246" s="11"/>
      <x:c r="J1246" s="11" t="n">
        <x:f>G1246-2*H1246+IF(B1246="Butterfly",I1246,0)</x:f>
        <x:v>-1677.5</x:v>
      </x:c>
      <x:c r="K1246" s="11" t="n">
        <x:f>ABS(E1246-D1246)</x:f>
        <x:v>300</x:v>
      </x:c>
      <x:c r="L1246" s="11" t="n">
        <x:f>K1246-J1246</x:f>
        <x:v>1977.5</x:v>
      </x:c>
      <x:c r="M1246" s="11" t="n">
        <x:f>IF(B1246="Butterfly",MAX(J1246,0),IF(C1246="call","Unlimited",MAX(2*E1246-D1246+J1246,J1246,0)))</x:f>
        <x:v>6622.5</x:v>
      </x:c>
      <x:c r="N1246" s="11" t="n">
        <x:f>IF(B1246="Butterfly",IF(AND(J1246&gt;0,J1246&lt;K1246),D1246+J1246,"n.a."),IF(C1246="call",IF(AND(J1246&gt;0,J1246&lt;K1246),D1246+J1246,"n.a."),IF(AND(K1246&gt;J1246,2*E1246-D1246+J1246&gt;=0),2*E1246-D1246+J1246,"n.a.")))</x:f>
        <x:v>6622.5</x:v>
      </x:c>
      <x:c r="O1246" s="11" t="str">
        <x:f>IF(B1246="Butterfly",IF(AND(J1246&gt;0,J1246&lt;K1246),F1246-J1246,"n.a."),IF(C1246="call",IF(K1246&gt;J1246,2*E1246-D1246-J1246,"n.a."),IF(AND(J1246&gt;0,J1246&lt;K1246),D1246-J1246,"n.a.")))</x:f>
        <x:v>n.a.</x:v>
      </x:c>
      <x:c r="P1246" s="19" t="str">
        <x:f>IF(AND(B1246="Butterfly",J1246&gt;0,J1246&lt;K1246),L1246/J1246,"n.a.")</x:f>
        <x:v>n.a.</x:v>
      </x:c>
      <x:c r="Q1246" s="11" t="n">
        <x:f>J1246*'Model inputs'!$B$8</x:f>
        <x:v>-167750</x:v>
      </x:c>
      <x:c r="R1246" s="1" t="str">
        <x:v>Flagged leg data</x:v>
      </x:c>
      <x:c r="S1246" s="1" t="n">
        <x:v>901</x:v>
      </x:c>
      <x:c r="T1246" s="1" t="n">
        <x:v>886</x:v>
      </x:c>
    </x:row>
    <x:row r="1247" ht="21" customHeight="1">
      <x:c r="A1247" s="12" t="n">
        <x:v>46262</x:v>
      </x:c>
      <x:c r="B1247" s="1" t="str">
        <x:v>1x2 ratio</x:v>
      </x:c>
      <x:c r="C1247" s="1" t="str">
        <x:v>call</x:v>
      </x:c>
      <x:c r="D1247" s="11" t="n">
        <x:v>4800</x:v>
      </x:c>
      <x:c r="E1247" s="11" t="n">
        <x:v>5000</x:v>
      </x:c>
      <x:c r="F1247" s="11"/>
      <x:c r="G1247" s="11" t="n">
        <x:f>'Option source'!B67</x:f>
        <x:v>2050</x:v>
      </x:c>
      <x:c r="H1247" s="11" t="n">
        <x:f>'Option source'!B84</x:f>
        <x:v>1905</x:v>
      </x:c>
      <x:c r="I1247" s="11"/>
      <x:c r="J1247" s="11" t="n">
        <x:f>G1247-2*H1247+IF(B1247="Butterfly",I1247,0)</x:f>
        <x:v>-1760</x:v>
      </x:c>
      <x:c r="K1247" s="11" t="n">
        <x:f>ABS(E1247-D1247)</x:f>
        <x:v>200</x:v>
      </x:c>
      <x:c r="L1247" s="11" t="n">
        <x:f>K1247-J1247</x:f>
        <x:v>1960</x:v>
      </x:c>
      <x:c r="M1247" s="11" t="str">
        <x:f>IF(B1247="Butterfly",MAX(J1247,0),IF(C1247="call","Unlimited",MAX(2*E1247-D1247+J1247,J1247,0)))</x:f>
        <x:v>Unlimited</x:v>
      </x:c>
      <x:c r="N1247" s="11" t="str">
        <x:f>IF(B1247="Butterfly",IF(AND(J1247&gt;0,J1247&lt;K1247),D1247+J1247,"n.a."),IF(C1247="call",IF(AND(J1247&gt;0,J1247&lt;K1247),D1247+J1247,"n.a."),IF(AND(K1247&gt;J1247,2*E1247-D1247+J1247&gt;=0),2*E1247-D1247+J1247,"n.a.")))</x:f>
        <x:v>n.a.</x:v>
      </x:c>
      <x:c r="O1247" s="11" t="n">
        <x:f>IF(B1247="Butterfly",IF(AND(J1247&gt;0,J1247&lt;K1247),F1247-J1247,"n.a."),IF(C1247="call",IF(K1247&gt;J1247,2*E1247-D1247-J1247,"n.a."),IF(AND(J1247&gt;0,J1247&lt;K1247),D1247-J1247,"n.a.")))</x:f>
        <x:v>6960</x:v>
      </x:c>
      <x:c r="P1247" s="19" t="str">
        <x:f>IF(AND(B1247="Butterfly",J1247&gt;0,J1247&lt;K1247),L1247/J1247,"n.a.")</x:f>
        <x:v>n.a.</x:v>
      </x:c>
      <x:c r="Q1247" s="11" t="n">
        <x:f>J1247*'Model inputs'!$B$8</x:f>
        <x:v>-176000</x:v>
      </x:c>
      <x:c r="R1247" s="1" t="str">
        <x:v>Flagged leg data</x:v>
      </x:c>
      <x:c r="S1247" s="1" t="n">
        <x:v>62</x:v>
      </x:c>
      <x:c r="T1247" s="1" t="n">
        <x:v>79</x:v>
      </x:c>
    </x:row>
    <x:row r="1248" ht="21" customHeight="1">
      <x:c r="A1248" s="12" t="n">
        <x:v>46262</x:v>
      </x:c>
      <x:c r="B1248" s="1" t="str">
        <x:v>1x2 ratio</x:v>
      </x:c>
      <x:c r="C1248" s="1" t="str">
        <x:v>call</x:v>
      </x:c>
      <x:c r="D1248" s="11" t="n">
        <x:v>4600</x:v>
      </x:c>
      <x:c r="E1248" s="11" t="n">
        <x:v>4800</x:v>
      </x:c>
      <x:c r="F1248" s="11"/>
      <x:c r="G1248" s="11" t="n">
        <x:f>'Option source'!B50</x:f>
        <x:v>2400.31</x:v>
      </x:c>
      <x:c r="H1248" s="11" t="n">
        <x:f>'Option source'!B67</x:f>
        <x:v>2050</x:v>
      </x:c>
      <x:c r="I1248" s="11"/>
      <x:c r="J1248" s="11" t="n">
        <x:f>G1248-2*H1248+IF(B1248="Butterfly",I1248,0)</x:f>
        <x:v>-1699.69</x:v>
      </x:c>
      <x:c r="K1248" s="11" t="n">
        <x:f>ABS(E1248-D1248)</x:f>
        <x:v>200</x:v>
      </x:c>
      <x:c r="L1248" s="11" t="n">
        <x:f>K1248-J1248</x:f>
        <x:v>1899.69</x:v>
      </x:c>
      <x:c r="M1248" s="11" t="str">
        <x:f>IF(B1248="Butterfly",MAX(J1248,0),IF(C1248="call","Unlimited",MAX(2*E1248-D1248+J1248,J1248,0)))</x:f>
        <x:v>Unlimited</x:v>
      </x:c>
      <x:c r="N1248" s="11" t="str">
        <x:f>IF(B1248="Butterfly",IF(AND(J1248&gt;0,J1248&lt;K1248),D1248+J1248,"n.a."),IF(C1248="call",IF(AND(J1248&gt;0,J1248&lt;K1248),D1248+J1248,"n.a."),IF(AND(K1248&gt;J1248,2*E1248-D1248+J1248&gt;=0),2*E1248-D1248+J1248,"n.a.")))</x:f>
        <x:v>n.a.</x:v>
      </x:c>
      <x:c r="O1248" s="11" t="n">
        <x:f>IF(B1248="Butterfly",IF(AND(J1248&gt;0,J1248&lt;K1248),F1248-J1248,"n.a."),IF(C1248="call",IF(K1248&gt;J1248,2*E1248-D1248-J1248,"n.a."),IF(AND(J1248&gt;0,J1248&lt;K1248),D1248-J1248,"n.a.")))</x:f>
        <x:v>6699.6900000000005</x:v>
      </x:c>
      <x:c r="P1248" s="19" t="str">
        <x:f>IF(AND(B1248="Butterfly",J1248&gt;0,J1248&lt;K1248),L1248/J1248,"n.a.")</x:f>
        <x:v>n.a.</x:v>
      </x:c>
      <x:c r="Q1248" s="11" t="n">
        <x:f>J1248*'Model inputs'!$B$8</x:f>
        <x:v>-169969</x:v>
      </x:c>
      <x:c r="R1248" s="1" t="str">
        <x:v>Flagged leg data</x:v>
      </x:c>
      <x:c r="S1248" s="1" t="n">
        <x:v>45</x:v>
      </x:c>
      <x:c r="T1248" s="1" t="n">
        <x:v>62</x:v>
      </x:c>
    </x:row>
    <x:row r="1249" ht="21" customHeight="1">
      <x:c r="A1249" s="12" t="n">
        <x:v>46262</x:v>
      </x:c>
      <x:c r="B1249" s="1" t="str">
        <x:v>1x2 ratio</x:v>
      </x:c>
      <x:c r="C1249" s="1" t="str">
        <x:v>call</x:v>
      </x:c>
      <x:c r="D1249" s="11" t="n">
        <x:v>4400</x:v>
      </x:c>
      <x:c r="E1249" s="11" t="n">
        <x:v>4600</x:v>
      </x:c>
      <x:c r="F1249" s="11"/>
      <x:c r="G1249" s="11" t="n">
        <x:f>'Option source'!B31</x:f>
        <x:v>2429.97</x:v>
      </x:c>
      <x:c r="H1249" s="11" t="n">
        <x:f>'Option source'!B50</x:f>
        <x:v>2400.31</x:v>
      </x:c>
      <x:c r="I1249" s="11"/>
      <x:c r="J1249" s="11" t="n">
        <x:f>G1249-2*H1249+IF(B1249="Butterfly",I1249,0)</x:f>
        <x:v>-2370.65</x:v>
      </x:c>
      <x:c r="K1249" s="11" t="n">
        <x:f>ABS(E1249-D1249)</x:f>
        <x:v>200</x:v>
      </x:c>
      <x:c r="L1249" s="11" t="n">
        <x:f>K1249-J1249</x:f>
        <x:v>2570.65</x:v>
      </x:c>
      <x:c r="M1249" s="11" t="str">
        <x:f>IF(B1249="Butterfly",MAX(J1249,0),IF(C1249="call","Unlimited",MAX(2*E1249-D1249+J1249,J1249,0)))</x:f>
        <x:v>Unlimited</x:v>
      </x:c>
      <x:c r="N1249" s="11" t="str">
        <x:f>IF(B1249="Butterfly",IF(AND(J1249&gt;0,J1249&lt;K1249),D1249+J1249,"n.a."),IF(C1249="call",IF(AND(J1249&gt;0,J1249&lt;K1249),D1249+J1249,"n.a."),IF(AND(K1249&gt;J1249,2*E1249-D1249+J1249&gt;=0),2*E1249-D1249+J1249,"n.a.")))</x:f>
        <x:v>n.a.</x:v>
      </x:c>
      <x:c r="O1249" s="11" t="n">
        <x:f>IF(B1249="Butterfly",IF(AND(J1249&gt;0,J1249&lt;K1249),F1249-J1249,"n.a."),IF(C1249="call",IF(K1249&gt;J1249,2*E1249-D1249-J1249,"n.a."),IF(AND(J1249&gt;0,J1249&lt;K1249),D1249-J1249,"n.a.")))</x:f>
        <x:v>7170.65</x:v>
      </x:c>
      <x:c r="P1249" s="19" t="str">
        <x:f>IF(AND(B1249="Butterfly",J1249&gt;0,J1249&lt;K1249),L1249/J1249,"n.a.")</x:f>
        <x:v>n.a.</x:v>
      </x:c>
      <x:c r="Q1249" s="11" t="n">
        <x:f>J1249*'Model inputs'!$B$8</x:f>
        <x:v>-237065</x:v>
      </x:c>
      <x:c r="R1249" s="1" t="str">
        <x:v>Flagged leg data</x:v>
      </x:c>
      <x:c r="S1249" s="1" t="n">
        <x:v>26</x:v>
      </x:c>
      <x:c r="T1249" s="1" t="n">
        <x:v>45</x:v>
      </x:c>
    </x:row>
    <x:row r="1250" ht="21" customHeight="1">
      <x:c r="A1250" s="12" t="n">
        <x:v>46262</x:v>
      </x:c>
      <x:c r="B1250" s="1" t="str">
        <x:v>1x2 ratio</x:v>
      </x:c>
      <x:c r="C1250" s="1" t="str">
        <x:v>call</x:v>
      </x:c>
      <x:c r="D1250" s="11" t="n">
        <x:v>4200</x:v>
      </x:c>
      <x:c r="E1250" s="11" t="n">
        <x:v>4400</x:v>
      </x:c>
      <x:c r="F1250" s="11"/>
      <x:c r="G1250" s="11" t="n">
        <x:f>'Option source'!B12</x:f>
        <x:v>2666.16</x:v>
      </x:c>
      <x:c r="H1250" s="11" t="n">
        <x:f>'Option source'!B31</x:f>
        <x:v>2429.97</x:v>
      </x:c>
      <x:c r="I1250" s="11"/>
      <x:c r="J1250" s="11" t="n">
        <x:f>G1250-2*H1250+IF(B1250="Butterfly",I1250,0)</x:f>
        <x:v>-2193.7799999999997</x:v>
      </x:c>
      <x:c r="K1250" s="11" t="n">
        <x:f>ABS(E1250-D1250)</x:f>
        <x:v>200</x:v>
      </x:c>
      <x:c r="L1250" s="11" t="n">
        <x:f>K1250-J1250</x:f>
        <x:v>2393.7799999999997</x:v>
      </x:c>
      <x:c r="M1250" s="11" t="str">
        <x:f>IF(B1250="Butterfly",MAX(J1250,0),IF(C1250="call","Unlimited",MAX(2*E1250-D1250+J1250,J1250,0)))</x:f>
        <x:v>Unlimited</x:v>
      </x:c>
      <x:c r="N1250" s="11" t="str">
        <x:f>IF(B1250="Butterfly",IF(AND(J1250&gt;0,J1250&lt;K1250),D1250+J1250,"n.a."),IF(C1250="call",IF(AND(J1250&gt;0,J1250&lt;K1250),D1250+J1250,"n.a."),IF(AND(K1250&gt;J1250,2*E1250-D1250+J1250&gt;=0),2*E1250-D1250+J1250,"n.a.")))</x:f>
        <x:v>n.a.</x:v>
      </x:c>
      <x:c r="O1250" s="11" t="n">
        <x:f>IF(B1250="Butterfly",IF(AND(J1250&gt;0,J1250&lt;K1250),F1250-J1250,"n.a."),IF(C1250="call",IF(K1250&gt;J1250,2*E1250-D1250-J1250,"n.a."),IF(AND(J1250&gt;0,J1250&lt;K1250),D1250-J1250,"n.a.")))</x:f>
        <x:v>6793.78</x:v>
      </x:c>
      <x:c r="P1250" s="19" t="str">
        <x:f>IF(AND(B1250="Butterfly",J1250&gt;0,J1250&lt;K1250),L1250/J1250,"n.a.")</x:f>
        <x:v>n.a.</x:v>
      </x:c>
      <x:c r="Q1250" s="11" t="n">
        <x:f>J1250*'Model inputs'!$B$8</x:f>
        <x:v>-219377.99999999997</x:v>
      </x:c>
      <x:c r="R1250" s="1" t="str">
        <x:v>Flagged leg data</x:v>
      </x:c>
      <x:c r="S1250" s="1" t="n">
        <x:v>7</x:v>
      </x:c>
      <x:c r="T1250" s="1" t="n">
        <x:v>26</x:v>
      </x:c>
    </x:row>
    <x:row r="1251" ht="21" customHeight="1">
      <x:c r="A1251" s="12" t="n">
        <x:v>46261</x:v>
      </x:c>
      <x:c r="B1251" s="1" t="str">
        <x:v>Butterfly</x:v>
      </x:c>
      <x:c r="C1251" s="1" t="str">
        <x:v>call</x:v>
      </x:c>
      <x:c r="D1251" s="11" t="n">
        <x:v>6600</x:v>
      </x:c>
      <x:c r="E1251" s="11" t="n">
        <x:v>6800</x:v>
      </x:c>
      <x:c r="F1251" s="11" t="n">
        <x:v>7000</x:v>
      </x:c>
      <x:c r="G1251" s="11" t="n">
        <x:f>'Option source'!B225</x:f>
        <x:v>706.67</x:v>
      </x:c>
      <x:c r="H1251" s="11" t="n">
        <x:f>'Option source'!B244</x:f>
        <x:v>587.6</x:v>
      </x:c>
      <x:c r="I1251" s="11" t="n">
        <x:f>'Option source'!B263</x:f>
        <x:v>484.8</x:v>
      </x:c>
      <x:c r="J1251" s="11" t="n">
        <x:f>G1251-2*H1251+IF(B1251="Butterfly",I1251,0)</x:f>
        <x:v>16.269999999999925</x:v>
      </x:c>
      <x:c r="K1251" s="11" t="n">
        <x:f>ABS(E1251-D1251)</x:f>
        <x:v>200</x:v>
      </x:c>
      <x:c r="L1251" s="11" t="n">
        <x:f>K1251-J1251</x:f>
        <x:v>183.73000000000008</x:v>
      </x:c>
      <x:c r="M1251" s="11" t="n">
        <x:f>IF(B1251="Butterfly",MAX(J1251,0),IF(C1251="call","Unlimited",MAX(2*E1251-D1251+J1251,J1251,0)))</x:f>
        <x:v>16.269999999999925</x:v>
      </x:c>
      <x:c r="N1251" s="11" t="n">
        <x:f>IF(B1251="Butterfly",IF(AND(J1251&gt;0,J1251&lt;K1251),D1251+J1251,"n.a."),IF(C1251="call",IF(AND(J1251&gt;0,J1251&lt;K1251),D1251+J1251,"n.a."),IF(AND(K1251&gt;J1251,2*E1251-D1251+J1251&gt;=0),2*E1251-D1251+J1251,"n.a.")))</x:f>
        <x:v>6616.2699999999995</x:v>
      </x:c>
      <x:c r="O1251" s="11" t="n">
        <x:f>IF(B1251="Butterfly",IF(AND(J1251&gt;0,J1251&lt;K1251),F1251-J1251,"n.a."),IF(C1251="call",IF(K1251&gt;J1251,2*E1251-D1251-J1251,"n.a."),IF(AND(J1251&gt;0,J1251&lt;K1251),D1251-J1251,"n.a.")))</x:f>
        <x:v>6983.7300000000005</x:v>
      </x:c>
      <x:c r="P1251" s="19" t="n">
        <x:f>IF(AND(B1251="Butterfly",J1251&gt;0,J1251&lt;K1251),L1251/J1251,"n.a.")</x:f>
        <x:v>11.292562999385428</x:v>
      </x:c>
      <x:c r="Q1251" s="11" t="n">
        <x:f>J1251*'Model inputs'!$B$8</x:f>
        <x:v>1626.9999999999925</x:v>
      </x:c>
      <x:c r="R1251" s="1" t="str">
        <x:v>Indicative only</x:v>
      </x:c>
      <x:c r="S1251" s="1" t="n">
        <x:v>220</x:v>
      </x:c>
      <x:c r="T1251" s="1" t="n">
        <x:v>239</x:v>
      </x:c>
    </x:row>
    <x:row r="1252" ht="21" customHeight="1">
      <x:c r="A1252" s="12" t="n">
        <x:v>46261</x:v>
      </x:c>
      <x:c r="B1252" s="1" t="str">
        <x:v>Butterfly</x:v>
      </x:c>
      <x:c r="C1252" s="1" t="str">
        <x:v>put</x:v>
      </x:c>
      <x:c r="D1252" s="11" t="n">
        <x:v>6600</x:v>
      </x:c>
      <x:c r="E1252" s="11" t="n">
        <x:v>6800</x:v>
      </x:c>
      <x:c r="F1252" s="11" t="n">
        <x:v>7000</x:v>
      </x:c>
      <x:c r="G1252" s="11" t="n">
        <x:f>'Option source'!B719</x:f>
        <x:v>237.9</x:v>
      </x:c>
      <x:c r="H1252" s="11" t="n">
        <x:f>'Option source'!B738</x:f>
        <x:v>319.7</x:v>
      </x:c>
      <x:c r="I1252" s="11" t="n">
        <x:f>'Option source'!B757</x:f>
        <x:v>414.3</x:v>
      </x:c>
      <x:c r="J1252" s="11" t="n">
        <x:f>G1252-2*H1252+IF(B1252="Butterfly",I1252,0)</x:f>
        <x:v>12.800000000000011</x:v>
      </x:c>
      <x:c r="K1252" s="11" t="n">
        <x:f>ABS(E1252-D1252)</x:f>
        <x:v>200</x:v>
      </x:c>
      <x:c r="L1252" s="11" t="n">
        <x:f>K1252-J1252</x:f>
        <x:v>187.2</x:v>
      </x:c>
      <x:c r="M1252" s="11" t="n">
        <x:f>IF(B1252="Butterfly",MAX(J1252,0),IF(C1252="call","Unlimited",MAX(2*E1252-D1252+J1252,J1252,0)))</x:f>
        <x:v>12.800000000000011</x:v>
      </x:c>
      <x:c r="N1252" s="11" t="n">
        <x:f>IF(B1252="Butterfly",IF(AND(J1252&gt;0,J1252&lt;K1252),D1252+J1252,"n.a."),IF(C1252="call",IF(AND(J1252&gt;0,J1252&lt;K1252),D1252+J1252,"n.a."),IF(AND(K1252&gt;J1252,2*E1252-D1252+J1252&gt;=0),2*E1252-D1252+J1252,"n.a.")))</x:f>
        <x:v>6612.8</x:v>
      </x:c>
      <x:c r="O1252" s="11" t="n">
        <x:f>IF(B1252="Butterfly",IF(AND(J1252&gt;0,J1252&lt;K1252),F1252-J1252,"n.a."),IF(C1252="call",IF(K1252&gt;J1252,2*E1252-D1252-J1252,"n.a."),IF(AND(J1252&gt;0,J1252&lt;K1252),D1252-J1252,"n.a.")))</x:f>
        <x:v>6987.2</x:v>
      </x:c>
      <x:c r="P1252" s="19" t="n">
        <x:f>IF(AND(B1252="Butterfly",J1252&gt;0,J1252&lt;K1252),L1252/J1252,"n.a.")</x:f>
        <x:v>14.624999999999986</x:v>
      </x:c>
      <x:c r="Q1252" s="11" t="n">
        <x:f>J1252*'Model inputs'!$B$8</x:f>
        <x:v>1280.0000000000011</x:v>
      </x:c>
      <x:c r="R1252" s="1" t="str">
        <x:v>Indicative only</x:v>
      </x:c>
      <x:c r="S1252" s="1" t="n">
        <x:v>714</x:v>
      </x:c>
      <x:c r="T1252" s="1" t="n">
        <x:v>733</x:v>
      </x:c>
    </x:row>
    <x:row r="1253" ht="21" customHeight="1">
      <x:c r="A1253" s="12" t="n">
        <x:v>46261</x:v>
      </x:c>
      <x:c r="B1253" s="1" t="str">
        <x:v>Butterfly</x:v>
      </x:c>
      <x:c r="C1253" s="1" t="str">
        <x:v>call</x:v>
      </x:c>
      <x:c r="D1253" s="11" t="n">
        <x:v>6800</x:v>
      </x:c>
      <x:c r="E1253" s="11" t="n">
        <x:v>7000</x:v>
      </x:c>
      <x:c r="F1253" s="11" t="n">
        <x:v>7200</x:v>
      </x:c>
      <x:c r="G1253" s="11" t="n">
        <x:f>'Option source'!B244</x:f>
        <x:v>587.6</x:v>
      </x:c>
      <x:c r="H1253" s="11" t="n">
        <x:f>'Option source'!B263</x:f>
        <x:v>484.8</x:v>
      </x:c>
      <x:c r="I1253" s="11" t="n">
        <x:f>'Option source'!B282</x:f>
        <x:v>393.33</x:v>
      </x:c>
      <x:c r="J1253" s="11" t="n">
        <x:f>G1253-2*H1253+IF(B1253="Butterfly",I1253,0)</x:f>
        <x:v>11.329999999999984</x:v>
      </x:c>
      <x:c r="K1253" s="11" t="n">
        <x:f>ABS(E1253-D1253)</x:f>
        <x:v>200</x:v>
      </x:c>
      <x:c r="L1253" s="11" t="n">
        <x:f>K1253-J1253</x:f>
        <x:v>188.67000000000002</x:v>
      </x:c>
      <x:c r="M1253" s="11" t="n">
        <x:f>IF(B1253="Butterfly",MAX(J1253,0),IF(C1253="call","Unlimited",MAX(2*E1253-D1253+J1253,J1253,0)))</x:f>
        <x:v>11.329999999999984</x:v>
      </x:c>
      <x:c r="N1253" s="11" t="n">
        <x:f>IF(B1253="Butterfly",IF(AND(J1253&gt;0,J1253&lt;K1253),D1253+J1253,"n.a."),IF(C1253="call",IF(AND(J1253&gt;0,J1253&lt;K1253),D1253+J1253,"n.a."),IF(AND(K1253&gt;J1253,2*E1253-D1253+J1253&gt;=0),2*E1253-D1253+J1253,"n.a.")))</x:f>
        <x:v>6811.33</x:v>
      </x:c>
      <x:c r="O1253" s="11" t="n">
        <x:f>IF(B1253="Butterfly",IF(AND(J1253&gt;0,J1253&lt;K1253),F1253-J1253,"n.a."),IF(C1253="call",IF(K1253&gt;J1253,2*E1253-D1253-J1253,"n.a."),IF(AND(J1253&gt;0,J1253&lt;K1253),D1253-J1253,"n.a.")))</x:f>
        <x:v>7188.67</x:v>
      </x:c>
      <x:c r="P1253" s="19" t="n">
        <x:f>IF(AND(B1253="Butterfly",J1253&gt;0,J1253&lt;K1253),L1253/J1253,"n.a.")</x:f>
        <x:v>16.652250661959425</x:v>
      </x:c>
      <x:c r="Q1253" s="11" t="n">
        <x:f>J1253*'Model inputs'!$B$8</x:f>
        <x:v>1132.9999999999984</x:v>
      </x:c>
      <x:c r="R1253" s="1" t="str">
        <x:v>Indicative only</x:v>
      </x:c>
      <x:c r="S1253" s="1" t="n">
        <x:v>239</x:v>
      </x:c>
      <x:c r="T1253" s="1" t="n">
        <x:v>258</x:v>
      </x:c>
    </x:row>
    <x:row r="1254" ht="21" customHeight="1">
      <x:c r="A1254" s="12" t="n">
        <x:v>46261</x:v>
      </x:c>
      <x:c r="B1254" s="1" t="str">
        <x:v>Butterfly</x:v>
      </x:c>
      <x:c r="C1254" s="1" t="str">
        <x:v>put</x:v>
      </x:c>
      <x:c r="D1254" s="11" t="n">
        <x:v>6800</x:v>
      </x:c>
      <x:c r="E1254" s="11" t="n">
        <x:v>7000</x:v>
      </x:c>
      <x:c r="F1254" s="11" t="n">
        <x:v>7200</x:v>
      </x:c>
      <x:c r="G1254" s="11" t="n">
        <x:f>'Option source'!B738</x:f>
        <x:v>319.7</x:v>
      </x:c>
      <x:c r="H1254" s="11" t="n">
        <x:f>'Option source'!B757</x:f>
        <x:v>414.3</x:v>
      </x:c>
      <x:c r="I1254" s="11" t="n">
        <x:f>'Option source'!B776</x:f>
        <x:v>525.21</x:v>
      </x:c>
      <x:c r="J1254" s="11" t="n">
        <x:f>G1254-2*H1254+IF(B1254="Butterfly",I1254,0)</x:f>
        <x:v>16.310000000000002</x:v>
      </x:c>
      <x:c r="K1254" s="11" t="n">
        <x:f>ABS(E1254-D1254)</x:f>
        <x:v>200</x:v>
      </x:c>
      <x:c r="L1254" s="11" t="n">
        <x:f>K1254-J1254</x:f>
        <x:v>183.69</x:v>
      </x:c>
      <x:c r="M1254" s="11" t="n">
        <x:f>IF(B1254="Butterfly",MAX(J1254,0),IF(C1254="call","Unlimited",MAX(2*E1254-D1254+J1254,J1254,0)))</x:f>
        <x:v>16.310000000000002</x:v>
      </x:c>
      <x:c r="N1254" s="11" t="n">
        <x:f>IF(B1254="Butterfly",IF(AND(J1254&gt;0,J1254&lt;K1254),D1254+J1254,"n.a."),IF(C1254="call",IF(AND(J1254&gt;0,J1254&lt;K1254),D1254+J1254,"n.a."),IF(AND(K1254&gt;J1254,2*E1254-D1254+J1254&gt;=0),2*E1254-D1254+J1254,"n.a.")))</x:f>
        <x:v>6816.31</x:v>
      </x:c>
      <x:c r="O1254" s="11" t="n">
        <x:f>IF(B1254="Butterfly",IF(AND(J1254&gt;0,J1254&lt;K1254),F1254-J1254,"n.a."),IF(C1254="call",IF(K1254&gt;J1254,2*E1254-D1254-J1254,"n.a."),IF(AND(J1254&gt;0,J1254&lt;K1254),D1254-J1254,"n.a.")))</x:f>
        <x:v>7183.69</x:v>
      </x:c>
      <x:c r="P1254" s="19" t="n">
        <x:f>IF(AND(B1254="Butterfly",J1254&gt;0,J1254&lt;K1254),L1254/J1254,"n.a.")</x:f>
        <x:v>11.26241569589209</x:v>
      </x:c>
      <x:c r="Q1254" s="11" t="n">
        <x:f>J1254*'Model inputs'!$B$8</x:f>
        <x:v>1631.0000000000002</x:v>
      </x:c>
      <x:c r="R1254" s="1" t="str">
        <x:v>Indicative only</x:v>
      </x:c>
      <x:c r="S1254" s="1" t="n">
        <x:v>733</x:v>
      </x:c>
      <x:c r="T1254" s="1" t="n">
        <x:v>752</x:v>
      </x:c>
    </x:row>
    <x:row r="1255" ht="21" customHeight="1">
      <x:c r="A1255" s="12" t="n">
        <x:v>46261</x:v>
      </x:c>
      <x:c r="B1255" s="1" t="str">
        <x:v>Butterfly</x:v>
      </x:c>
      <x:c r="C1255" s="1" t="str">
        <x:v>call</x:v>
      </x:c>
      <x:c r="D1255" s="11" t="n">
        <x:v>6400</x:v>
      </x:c>
      <x:c r="E1255" s="11" t="n">
        <x:v>6600</x:v>
      </x:c>
      <x:c r="F1255" s="11" t="n">
        <x:v>6800</x:v>
      </x:c>
      <x:c r="G1255" s="11" t="n">
        <x:f>'Option source'!B206</x:f>
        <x:v>843.84</x:v>
      </x:c>
      <x:c r="H1255" s="11" t="n">
        <x:f>'Option source'!B225</x:f>
        <x:v>706.67</x:v>
      </x:c>
      <x:c r="I1255" s="11" t="n">
        <x:f>'Option source'!B244</x:f>
        <x:v>587.6</x:v>
      </x:c>
      <x:c r="J1255" s="11" t="n">
        <x:f>G1255-2*H1255+IF(B1255="Butterfly",I1255,0)</x:f>
        <x:v>18.100000000000136</x:v>
      </x:c>
      <x:c r="K1255" s="11" t="n">
        <x:f>ABS(E1255-D1255)</x:f>
        <x:v>200</x:v>
      </x:c>
      <x:c r="L1255" s="11" t="n">
        <x:f>K1255-J1255</x:f>
        <x:v>181.89999999999986</x:v>
      </x:c>
      <x:c r="M1255" s="11" t="n">
        <x:f>IF(B1255="Butterfly",MAX(J1255,0),IF(C1255="call","Unlimited",MAX(2*E1255-D1255+J1255,J1255,0)))</x:f>
        <x:v>18.100000000000136</x:v>
      </x:c>
      <x:c r="N1255" s="11" t="n">
        <x:f>IF(B1255="Butterfly",IF(AND(J1255&gt;0,J1255&lt;K1255),D1255+J1255,"n.a."),IF(C1255="call",IF(AND(J1255&gt;0,J1255&lt;K1255),D1255+J1255,"n.a."),IF(AND(K1255&gt;J1255,2*E1255-D1255+J1255&gt;=0),2*E1255-D1255+J1255,"n.a.")))</x:f>
        <x:v>6418.1</x:v>
      </x:c>
      <x:c r="O1255" s="11" t="n">
        <x:f>IF(B1255="Butterfly",IF(AND(J1255&gt;0,J1255&lt;K1255),F1255-J1255,"n.a."),IF(C1255="call",IF(K1255&gt;J1255,2*E1255-D1255-J1255,"n.a."),IF(AND(J1255&gt;0,J1255&lt;K1255),D1255-J1255,"n.a.")))</x:f>
        <x:v>6781.9</x:v>
      </x:c>
      <x:c r="P1255" s="19" t="n">
        <x:f>IF(AND(B1255="Butterfly",J1255&gt;0,J1255&lt;K1255),L1255/J1255,"n.a.")</x:f>
        <x:v>10.049723756905994</x:v>
      </x:c>
      <x:c r="Q1255" s="11" t="n">
        <x:f>J1255*'Model inputs'!$B$8</x:f>
        <x:v>1810.0000000000136</x:v>
      </x:c>
      <x:c r="R1255" s="1" t="str">
        <x:v>Indicative only</x:v>
      </x:c>
      <x:c r="S1255" s="1" t="n">
        <x:v>201</x:v>
      </x:c>
      <x:c r="T1255" s="1" t="n">
        <x:v>220</x:v>
      </x:c>
    </x:row>
    <x:row r="1256" ht="21" customHeight="1">
      <x:c r="A1256" s="12" t="n">
        <x:v>46261</x:v>
      </x:c>
      <x:c r="B1256" s="1" t="str">
        <x:v>Butterfly</x:v>
      </x:c>
      <x:c r="C1256" s="1" t="str">
        <x:v>put</x:v>
      </x:c>
      <x:c r="D1256" s="11" t="n">
        <x:v>6400</x:v>
      </x:c>
      <x:c r="E1256" s="11" t="n">
        <x:v>6600</x:v>
      </x:c>
      <x:c r="F1256" s="11" t="n">
        <x:v>6800</x:v>
      </x:c>
      <x:c r="G1256" s="11" t="n">
        <x:f>'Option source'!B700</x:f>
        <x:v>172.27</x:v>
      </x:c>
      <x:c r="H1256" s="11" t="n">
        <x:f>'Option source'!B719</x:f>
        <x:v>237.9</x:v>
      </x:c>
      <x:c r="I1256" s="11" t="n">
        <x:f>'Option source'!B738</x:f>
        <x:v>319.7</x:v>
      </x:c>
      <x:c r="J1256" s="11" t="n">
        <x:f>G1256-2*H1256+IF(B1256="Butterfly",I1256,0)</x:f>
        <x:v>16.170000000000016</x:v>
      </x:c>
      <x:c r="K1256" s="11" t="n">
        <x:f>ABS(E1256-D1256)</x:f>
        <x:v>200</x:v>
      </x:c>
      <x:c r="L1256" s="11" t="n">
        <x:f>K1256-J1256</x:f>
        <x:v>183.82999999999998</x:v>
      </x:c>
      <x:c r="M1256" s="11" t="n">
        <x:f>IF(B1256="Butterfly",MAX(J1256,0),IF(C1256="call","Unlimited",MAX(2*E1256-D1256+J1256,J1256,0)))</x:f>
        <x:v>16.170000000000016</x:v>
      </x:c>
      <x:c r="N1256" s="11" t="n">
        <x:f>IF(B1256="Butterfly",IF(AND(J1256&gt;0,J1256&lt;K1256),D1256+J1256,"n.a."),IF(C1256="call",IF(AND(J1256&gt;0,J1256&lt;K1256),D1256+J1256,"n.a."),IF(AND(K1256&gt;J1256,2*E1256-D1256+J1256&gt;=0),2*E1256-D1256+J1256,"n.a.")))</x:f>
        <x:v>6416.17</x:v>
      </x:c>
      <x:c r="O1256" s="11" t="n">
        <x:f>IF(B1256="Butterfly",IF(AND(J1256&gt;0,J1256&lt;K1256),F1256-J1256,"n.a."),IF(C1256="call",IF(K1256&gt;J1256,2*E1256-D1256-J1256,"n.a."),IF(AND(J1256&gt;0,J1256&lt;K1256),D1256-J1256,"n.a.")))</x:f>
        <x:v>6783.83</x:v>
      </x:c>
      <x:c r="P1256" s="19" t="n">
        <x:f>IF(AND(B1256="Butterfly",J1256&gt;0,J1256&lt;K1256),L1256/J1256,"n.a.")</x:f>
        <x:v>11.368583797155214</x:v>
      </x:c>
      <x:c r="Q1256" s="11" t="n">
        <x:f>J1256*'Model inputs'!$B$8</x:f>
        <x:v>1617.0000000000016</x:v>
      </x:c>
      <x:c r="R1256" s="1" t="str">
        <x:v>Indicative only</x:v>
      </x:c>
      <x:c r="S1256" s="1" t="n">
        <x:v>695</x:v>
      </x:c>
      <x:c r="T1256" s="1" t="n">
        <x:v>714</x:v>
      </x:c>
    </x:row>
    <x:row r="1257" ht="21" customHeight="1">
      <x:c r="A1257" s="12" t="n">
        <x:v>46261</x:v>
      </x:c>
      <x:c r="B1257" s="1" t="str">
        <x:v>Butterfly</x:v>
      </x:c>
      <x:c r="C1257" s="1" t="str">
        <x:v>call</x:v>
      </x:c>
      <x:c r="D1257" s="11" t="n">
        <x:v>7000</x:v>
      </x:c>
      <x:c r="E1257" s="11" t="n">
        <x:v>7200</x:v>
      </x:c>
      <x:c r="F1257" s="11" t="n">
        <x:v>7400</x:v>
      </x:c>
      <x:c r="G1257" s="11" t="n">
        <x:f>'Option source'!B263</x:f>
        <x:v>484.8</x:v>
      </x:c>
      <x:c r="H1257" s="11" t="n">
        <x:f>'Option source'!B282</x:f>
        <x:v>393.33</x:v>
      </x:c>
      <x:c r="I1257" s="11" t="n">
        <x:f>'Option source'!B301</x:f>
        <x:v>310.39</x:v>
      </x:c>
      <x:c r="J1257" s="11" t="n">
        <x:f>G1257-2*H1257+IF(B1257="Butterfly",I1257,0)</x:f>
        <x:v>8.53000000000003</x:v>
      </x:c>
      <x:c r="K1257" s="11" t="n">
        <x:f>ABS(E1257-D1257)</x:f>
        <x:v>200</x:v>
      </x:c>
      <x:c r="L1257" s="11" t="n">
        <x:f>K1257-J1257</x:f>
        <x:v>191.46999999999997</x:v>
      </x:c>
      <x:c r="M1257" s="11" t="n">
        <x:f>IF(B1257="Butterfly",MAX(J1257,0),IF(C1257="call","Unlimited",MAX(2*E1257-D1257+J1257,J1257,0)))</x:f>
        <x:v>8.53000000000003</x:v>
      </x:c>
      <x:c r="N1257" s="11" t="n">
        <x:f>IF(B1257="Butterfly",IF(AND(J1257&gt;0,J1257&lt;K1257),D1257+J1257,"n.a."),IF(C1257="call",IF(AND(J1257&gt;0,J1257&lt;K1257),D1257+J1257,"n.a."),IF(AND(K1257&gt;J1257,2*E1257-D1257+J1257&gt;=0),2*E1257-D1257+J1257,"n.a.")))</x:f>
        <x:v>7008.53</x:v>
      </x:c>
      <x:c r="O1257" s="11" t="n">
        <x:f>IF(B1257="Butterfly",IF(AND(J1257&gt;0,J1257&lt;K1257),F1257-J1257,"n.a."),IF(C1257="call",IF(K1257&gt;J1257,2*E1257-D1257-J1257,"n.a."),IF(AND(J1257&gt;0,J1257&lt;K1257),D1257-J1257,"n.a.")))</x:f>
        <x:v>7391.47</x:v>
      </x:c>
      <x:c r="P1257" s="19" t="n">
        <x:f>IF(AND(B1257="Butterfly",J1257&gt;0,J1257&lt;K1257),L1257/J1257,"n.a.")</x:f>
        <x:v>22.446658851113636</x:v>
      </x:c>
      <x:c r="Q1257" s="11" t="n">
        <x:f>J1257*'Model inputs'!$B$8</x:f>
        <x:v>853.000000000003</x:v>
      </x:c>
      <x:c r="R1257" s="1" t="str">
        <x:v>Indicative only</x:v>
      </x:c>
      <x:c r="S1257" s="1" t="n">
        <x:v>258</x:v>
      </x:c>
      <x:c r="T1257" s="1" t="n">
        <x:v>277</x:v>
      </x:c>
    </x:row>
    <x:row r="1258" ht="21" customHeight="1">
      <x:c r="A1258" s="12" t="n">
        <x:v>46261</x:v>
      </x:c>
      <x:c r="B1258" s="1" t="str">
        <x:v>Butterfly</x:v>
      </x:c>
      <x:c r="C1258" s="1" t="str">
        <x:v>call</x:v>
      </x:c>
      <x:c r="D1258" s="11" t="n">
        <x:v>6200</x:v>
      </x:c>
      <x:c r="E1258" s="11" t="n">
        <x:v>6400</x:v>
      </x:c>
      <x:c r="F1258" s="11" t="n">
        <x:v>6600</x:v>
      </x:c>
      <x:c r="G1258" s="11" t="n">
        <x:f>'Option source'!B187</x:f>
        <x:v>1000</x:v>
      </x:c>
      <x:c r="H1258" s="11" t="n">
        <x:f>'Option source'!B206</x:f>
        <x:v>843.84</x:v>
      </x:c>
      <x:c r="I1258" s="11" t="n">
        <x:f>'Option source'!B225</x:f>
        <x:v>706.67</x:v>
      </x:c>
      <x:c r="J1258" s="11" t="n">
        <x:f>G1258-2*H1258+IF(B1258="Butterfly",I1258,0)</x:f>
        <x:v>18.989999999999895</x:v>
      </x:c>
      <x:c r="K1258" s="11" t="n">
        <x:f>ABS(E1258-D1258)</x:f>
        <x:v>200</x:v>
      </x:c>
      <x:c r="L1258" s="11" t="n">
        <x:f>K1258-J1258</x:f>
        <x:v>181.0100000000001</x:v>
      </x:c>
      <x:c r="M1258" s="11" t="n">
        <x:f>IF(B1258="Butterfly",MAX(J1258,0),IF(C1258="call","Unlimited",MAX(2*E1258-D1258+J1258,J1258,0)))</x:f>
        <x:v>18.989999999999895</x:v>
      </x:c>
      <x:c r="N1258" s="11" t="n">
        <x:f>IF(B1258="Butterfly",IF(AND(J1258&gt;0,J1258&lt;K1258),D1258+J1258,"n.a."),IF(C1258="call",IF(AND(J1258&gt;0,J1258&lt;K1258),D1258+J1258,"n.a."),IF(AND(K1258&gt;J1258,2*E1258-D1258+J1258&gt;=0),2*E1258-D1258+J1258,"n.a.")))</x:f>
        <x:v>6218.99</x:v>
      </x:c>
      <x:c r="O1258" s="11" t="n">
        <x:f>IF(B1258="Butterfly",IF(AND(J1258&gt;0,J1258&lt;K1258),F1258-J1258,"n.a."),IF(C1258="call",IF(K1258&gt;J1258,2*E1258-D1258-J1258,"n.a."),IF(AND(J1258&gt;0,J1258&lt;K1258),D1258-J1258,"n.a.")))</x:f>
        <x:v>6581.01</x:v>
      </x:c>
      <x:c r="P1258" s="19" t="n">
        <x:f>IF(AND(B1258="Butterfly",J1258&gt;0,J1258&lt;K1258),L1258/J1258,"n.a.")</x:f>
        <x:v>9.531858873091158</x:v>
      </x:c>
      <x:c r="Q1258" s="11" t="n">
        <x:f>J1258*'Model inputs'!$B$8</x:f>
        <x:v>1898.9999999999895</x:v>
      </x:c>
      <x:c r="R1258" s="1" t="str">
        <x:v>Indicative only</x:v>
      </x:c>
      <x:c r="S1258" s="1" t="n">
        <x:v>182</x:v>
      </x:c>
      <x:c r="T1258" s="1" t="n">
        <x:v>201</x:v>
      </x:c>
    </x:row>
    <x:row r="1259" ht="21" customHeight="1">
      <x:c r="A1259" s="12" t="n">
        <x:v>46261</x:v>
      </x:c>
      <x:c r="B1259" s="1" t="str">
        <x:v>Butterfly</x:v>
      </x:c>
      <x:c r="C1259" s="1" t="str">
        <x:v>put</x:v>
      </x:c>
      <x:c r="D1259" s="11" t="n">
        <x:v>6200</x:v>
      </x:c>
      <x:c r="E1259" s="11" t="n">
        <x:v>6400</x:v>
      </x:c>
      <x:c r="F1259" s="11" t="n">
        <x:v>6600</x:v>
      </x:c>
      <x:c r="G1259" s="11" t="n">
        <x:f>'Option source'!B681</x:f>
        <x:v>119.95</x:v>
      </x:c>
      <x:c r="H1259" s="11" t="n">
        <x:f>'Option source'!B700</x:f>
        <x:v>172.27</x:v>
      </x:c>
      <x:c r="I1259" s="11" t="n">
        <x:f>'Option source'!B719</x:f>
        <x:v>237.9</x:v>
      </x:c>
      <x:c r="J1259" s="11" t="n">
        <x:f>G1259-2*H1259+IF(B1259="Butterfly",I1259,0)</x:f>
        <x:v>13.309999999999974</x:v>
      </x:c>
      <x:c r="K1259" s="11" t="n">
        <x:f>ABS(E1259-D1259)</x:f>
        <x:v>200</x:v>
      </x:c>
      <x:c r="L1259" s="11" t="n">
        <x:f>K1259-J1259</x:f>
        <x:v>186.69000000000003</x:v>
      </x:c>
      <x:c r="M1259" s="11" t="n">
        <x:f>IF(B1259="Butterfly",MAX(J1259,0),IF(C1259="call","Unlimited",MAX(2*E1259-D1259+J1259,J1259,0)))</x:f>
        <x:v>13.309999999999974</x:v>
      </x:c>
      <x:c r="N1259" s="11" t="n">
        <x:f>IF(B1259="Butterfly",IF(AND(J1259&gt;0,J1259&lt;K1259),D1259+J1259,"n.a."),IF(C1259="call",IF(AND(J1259&gt;0,J1259&lt;K1259),D1259+J1259,"n.a."),IF(AND(K1259&gt;J1259,2*E1259-D1259+J1259&gt;=0),2*E1259-D1259+J1259,"n.a.")))</x:f>
        <x:v>6213.31</x:v>
      </x:c>
      <x:c r="O1259" s="11" t="n">
        <x:f>IF(B1259="Butterfly",IF(AND(J1259&gt;0,J1259&lt;K1259),F1259-J1259,"n.a."),IF(C1259="call",IF(K1259&gt;J1259,2*E1259-D1259-J1259,"n.a."),IF(AND(J1259&gt;0,J1259&lt;K1259),D1259-J1259,"n.a.")))</x:f>
        <x:v>6586.69</x:v>
      </x:c>
      <x:c r="P1259" s="19" t="n">
        <x:f>IF(AND(B1259="Butterfly",J1259&gt;0,J1259&lt;K1259),L1259/J1259,"n.a.")</x:f>
        <x:v>14.026296018031585</x:v>
      </x:c>
      <x:c r="Q1259" s="11" t="n">
        <x:f>J1259*'Model inputs'!$B$8</x:f>
        <x:v>1330.9999999999973</x:v>
      </x:c>
      <x:c r="R1259" s="1" t="str">
        <x:v>Indicative only</x:v>
      </x:c>
      <x:c r="S1259" s="1" t="n">
        <x:v>676</x:v>
      </x:c>
      <x:c r="T1259" s="1" t="n">
        <x:v>695</x:v>
      </x:c>
    </x:row>
    <x:row r="1260" ht="21" customHeight="1">
      <x:c r="A1260" s="12" t="n">
        <x:v>46261</x:v>
      </x:c>
      <x:c r="B1260" s="1" t="str">
        <x:v>Butterfly</x:v>
      </x:c>
      <x:c r="C1260" s="1" t="str">
        <x:v>call</x:v>
      </x:c>
      <x:c r="D1260" s="11" t="n">
        <x:v>7200</x:v>
      </x:c>
      <x:c r="E1260" s="11" t="n">
        <x:v>7400</x:v>
      </x:c>
      <x:c r="F1260" s="11" t="n">
        <x:v>7600</x:v>
      </x:c>
      <x:c r="G1260" s="11" t="n">
        <x:f>'Option source'!B282</x:f>
        <x:v>393.33</x:v>
      </x:c>
      <x:c r="H1260" s="11" t="n">
        <x:f>'Option source'!B301</x:f>
        <x:v>310.39</x:v>
      </x:c>
      <x:c r="I1260" s="11" t="n">
        <x:f>'Option source'!B320</x:f>
        <x:v>247.62</x:v>
      </x:c>
      <x:c r="J1260" s="11" t="n">
        <x:f>G1260-2*H1260+IF(B1260="Butterfly",I1260,0)</x:f>
        <x:v>20.170000000000016</x:v>
      </x:c>
      <x:c r="K1260" s="11" t="n">
        <x:f>ABS(E1260-D1260)</x:f>
        <x:v>200</x:v>
      </x:c>
      <x:c r="L1260" s="11" t="n">
        <x:f>K1260-J1260</x:f>
        <x:v>179.82999999999998</x:v>
      </x:c>
      <x:c r="M1260" s="11" t="n">
        <x:f>IF(B1260="Butterfly",MAX(J1260,0),IF(C1260="call","Unlimited",MAX(2*E1260-D1260+J1260,J1260,0)))</x:f>
        <x:v>20.170000000000016</x:v>
      </x:c>
      <x:c r="N1260" s="11" t="n">
        <x:f>IF(B1260="Butterfly",IF(AND(J1260&gt;0,J1260&lt;K1260),D1260+J1260,"n.a."),IF(C1260="call",IF(AND(J1260&gt;0,J1260&lt;K1260),D1260+J1260,"n.a."),IF(AND(K1260&gt;J1260,2*E1260-D1260+J1260&gt;=0),2*E1260-D1260+J1260,"n.a.")))</x:f>
        <x:v>7220.17</x:v>
      </x:c>
      <x:c r="O1260" s="11" t="n">
        <x:f>IF(B1260="Butterfly",IF(AND(J1260&gt;0,J1260&lt;K1260),F1260-J1260,"n.a."),IF(C1260="call",IF(K1260&gt;J1260,2*E1260-D1260-J1260,"n.a."),IF(AND(J1260&gt;0,J1260&lt;K1260),D1260-J1260,"n.a.")))</x:f>
        <x:v>7579.83</x:v>
      </x:c>
      <x:c r="P1260" s="19" t="n">
        <x:f>IF(AND(B1260="Butterfly",J1260&gt;0,J1260&lt;K1260),L1260/J1260,"n.a.")</x:f>
        <x:v>8.915716410510651</x:v>
      </x:c>
      <x:c r="Q1260" s="11" t="n">
        <x:f>J1260*'Model inputs'!$B$8</x:f>
        <x:v>2017.0000000000016</x:v>
      </x:c>
      <x:c r="R1260" s="1" t="str">
        <x:v>Indicative only</x:v>
      </x:c>
      <x:c r="S1260" s="1" t="n">
        <x:v>277</x:v>
      </x:c>
      <x:c r="T1260" s="1" t="n">
        <x:v>296</x:v>
      </x:c>
    </x:row>
    <x:row r="1261" ht="21" customHeight="1">
      <x:c r="A1261" s="12" t="n">
        <x:v>46261</x:v>
      </x:c>
      <x:c r="B1261" s="1" t="str">
        <x:v>Butterfly</x:v>
      </x:c>
      <x:c r="C1261" s="1" t="str">
        <x:v>call</x:v>
      </x:c>
      <x:c r="D1261" s="11" t="n">
        <x:v>6000</x:v>
      </x:c>
      <x:c r="E1261" s="11" t="n">
        <x:v>6200</x:v>
      </x:c>
      <x:c r="F1261" s="11" t="n">
        <x:v>6400</x:v>
      </x:c>
      <x:c r="G1261" s="11" t="n">
        <x:f>'Option source'!B168</x:f>
        <x:v>1178.78</x:v>
      </x:c>
      <x:c r="H1261" s="11" t="n">
        <x:f>'Option source'!B187</x:f>
        <x:v>1000</x:v>
      </x:c>
      <x:c r="I1261" s="11" t="n">
        <x:f>'Option source'!B206</x:f>
        <x:v>843.84</x:v>
      </x:c>
      <x:c r="J1261" s="11" t="n">
        <x:f>G1261-2*H1261+IF(B1261="Butterfly",I1261,0)</x:f>
        <x:v>22.620000000000005</x:v>
      </x:c>
      <x:c r="K1261" s="11" t="n">
        <x:f>ABS(E1261-D1261)</x:f>
        <x:v>200</x:v>
      </x:c>
      <x:c r="L1261" s="11" t="n">
        <x:f>K1261-J1261</x:f>
        <x:v>177.38</x:v>
      </x:c>
      <x:c r="M1261" s="11" t="n">
        <x:f>IF(B1261="Butterfly",MAX(J1261,0),IF(C1261="call","Unlimited",MAX(2*E1261-D1261+J1261,J1261,0)))</x:f>
        <x:v>22.620000000000005</x:v>
      </x:c>
      <x:c r="N1261" s="11" t="n">
        <x:f>IF(B1261="Butterfly",IF(AND(J1261&gt;0,J1261&lt;K1261),D1261+J1261,"n.a."),IF(C1261="call",IF(AND(J1261&gt;0,J1261&lt;K1261),D1261+J1261,"n.a."),IF(AND(K1261&gt;J1261,2*E1261-D1261+J1261&gt;=0),2*E1261-D1261+J1261,"n.a.")))</x:f>
        <x:v>6022.62</x:v>
      </x:c>
      <x:c r="O1261" s="11" t="n">
        <x:f>IF(B1261="Butterfly",IF(AND(J1261&gt;0,J1261&lt;K1261),F1261-J1261,"n.a."),IF(C1261="call",IF(K1261&gt;J1261,2*E1261-D1261-J1261,"n.a."),IF(AND(J1261&gt;0,J1261&lt;K1261),D1261-J1261,"n.a.")))</x:f>
        <x:v>6377.38</x:v>
      </x:c>
      <x:c r="P1261" s="19" t="n">
        <x:f>IF(AND(B1261="Butterfly",J1261&gt;0,J1261&lt;K1261),L1261/J1261,"n.a.")</x:f>
        <x:v>7.8417329796640125</x:v>
      </x:c>
      <x:c r="Q1261" s="11" t="n">
        <x:f>J1261*'Model inputs'!$B$8</x:f>
        <x:v>2262.0000000000005</x:v>
      </x:c>
      <x:c r="R1261" s="1" t="str">
        <x:v>Indicative only</x:v>
      </x:c>
      <x:c r="S1261" s="1" t="n">
        <x:v>163</x:v>
      </x:c>
      <x:c r="T1261" s="1" t="n">
        <x:v>182</x:v>
      </x:c>
    </x:row>
    <x:row r="1262" ht="21" customHeight="1">
      <x:c r="A1262" s="12" t="n">
        <x:v>46261</x:v>
      </x:c>
      <x:c r="B1262" s="1" t="str">
        <x:v>Butterfly</x:v>
      </x:c>
      <x:c r="C1262" s="1" t="str">
        <x:v>put</x:v>
      </x:c>
      <x:c r="D1262" s="11" t="n">
        <x:v>6000</x:v>
      </x:c>
      <x:c r="E1262" s="11" t="n">
        <x:v>6200</x:v>
      </x:c>
      <x:c r="F1262" s="11" t="n">
        <x:v>6400</x:v>
      </x:c>
      <x:c r="G1262" s="11" t="n">
        <x:f>'Option source'!B662</x:f>
        <x:v>81.77</x:v>
      </x:c>
      <x:c r="H1262" s="11" t="n">
        <x:f>'Option source'!B681</x:f>
        <x:v>119.95</x:v>
      </x:c>
      <x:c r="I1262" s="11" t="n">
        <x:f>'Option source'!B700</x:f>
        <x:v>172.27</x:v>
      </x:c>
      <x:c r="J1262" s="11" t="n">
        <x:f>G1262-2*H1262+IF(B1262="Butterfly",I1262,0)</x:f>
        <x:v>14.140000000000015</x:v>
      </x:c>
      <x:c r="K1262" s="11" t="n">
        <x:f>ABS(E1262-D1262)</x:f>
        <x:v>200</x:v>
      </x:c>
      <x:c r="L1262" s="11" t="n">
        <x:f>K1262-J1262</x:f>
        <x:v>185.85999999999999</x:v>
      </x:c>
      <x:c r="M1262" s="11" t="n">
        <x:f>IF(B1262="Butterfly",MAX(J1262,0),IF(C1262="call","Unlimited",MAX(2*E1262-D1262+J1262,J1262,0)))</x:f>
        <x:v>14.140000000000015</x:v>
      </x:c>
      <x:c r="N1262" s="11" t="n">
        <x:f>IF(B1262="Butterfly",IF(AND(J1262&gt;0,J1262&lt;K1262),D1262+J1262,"n.a."),IF(C1262="call",IF(AND(J1262&gt;0,J1262&lt;K1262),D1262+J1262,"n.a."),IF(AND(K1262&gt;J1262,2*E1262-D1262+J1262&gt;=0),2*E1262-D1262+J1262,"n.a.")))</x:f>
        <x:v>6014.14</x:v>
      </x:c>
      <x:c r="O1262" s="11" t="n">
        <x:f>IF(B1262="Butterfly",IF(AND(J1262&gt;0,J1262&lt;K1262),F1262-J1262,"n.a."),IF(C1262="call",IF(K1262&gt;J1262,2*E1262-D1262-J1262,"n.a."),IF(AND(J1262&gt;0,J1262&lt;K1262),D1262-J1262,"n.a.")))</x:f>
        <x:v>6385.86</x:v>
      </x:c>
      <x:c r="P1262" s="19" t="n">
        <x:f>IF(AND(B1262="Butterfly",J1262&gt;0,J1262&lt;K1262),L1262/J1262,"n.a.")</x:f>
        <x:v>13.14427157001413</x:v>
      </x:c>
      <x:c r="Q1262" s="11" t="n">
        <x:f>J1262*'Model inputs'!$B$8</x:f>
        <x:v>1414.0000000000014</x:v>
      </x:c>
      <x:c r="R1262" s="1" t="str">
        <x:v>Indicative only</x:v>
      </x:c>
      <x:c r="S1262" s="1" t="n">
        <x:v>657</x:v>
      </x:c>
      <x:c r="T1262" s="1" t="n">
        <x:v>676</x:v>
      </x:c>
    </x:row>
    <x:row r="1263" ht="21" customHeight="1">
      <x:c r="A1263" s="12" t="n">
        <x:v>46261</x:v>
      </x:c>
      <x:c r="B1263" s="1" t="str">
        <x:v>Butterfly</x:v>
      </x:c>
      <x:c r="C1263" s="1" t="str">
        <x:v>call</x:v>
      </x:c>
      <x:c r="D1263" s="11" t="n">
        <x:v>7400</x:v>
      </x:c>
      <x:c r="E1263" s="11" t="n">
        <x:v>7600</x:v>
      </x:c>
      <x:c r="F1263" s="11" t="n">
        <x:v>7800</x:v>
      </x:c>
      <x:c r="G1263" s="11" t="n">
        <x:f>'Option source'!B301</x:f>
        <x:v>310.39</x:v>
      </x:c>
      <x:c r="H1263" s="11" t="n">
        <x:f>'Option source'!B320</x:f>
        <x:v>247.62</x:v>
      </x:c>
      <x:c r="I1263" s="11" t="n">
        <x:f>'Option source'!B339</x:f>
        <x:v>190.51</x:v>
      </x:c>
      <x:c r="J1263" s="11" t="n">
        <x:f>G1263-2*H1263+IF(B1263="Butterfly",I1263,0)</x:f>
        <x:v>5.659999999999968</x:v>
      </x:c>
      <x:c r="K1263" s="11" t="n">
        <x:f>ABS(E1263-D1263)</x:f>
        <x:v>200</x:v>
      </x:c>
      <x:c r="L1263" s="11" t="n">
        <x:f>K1263-J1263</x:f>
        <x:v>194.34000000000003</x:v>
      </x:c>
      <x:c r="M1263" s="11" t="n">
        <x:f>IF(B1263="Butterfly",MAX(J1263,0),IF(C1263="call","Unlimited",MAX(2*E1263-D1263+J1263,J1263,0)))</x:f>
        <x:v>5.659999999999968</x:v>
      </x:c>
      <x:c r="N1263" s="11" t="n">
        <x:f>IF(B1263="Butterfly",IF(AND(J1263&gt;0,J1263&lt;K1263),D1263+J1263,"n.a."),IF(C1263="call",IF(AND(J1263&gt;0,J1263&lt;K1263),D1263+J1263,"n.a."),IF(AND(K1263&gt;J1263,2*E1263-D1263+J1263&gt;=0),2*E1263-D1263+J1263,"n.a.")))</x:f>
        <x:v>7405.66</x:v>
      </x:c>
      <x:c r="O1263" s="11" t="n">
        <x:f>IF(B1263="Butterfly",IF(AND(J1263&gt;0,J1263&lt;K1263),F1263-J1263,"n.a."),IF(C1263="call",IF(K1263&gt;J1263,2*E1263-D1263-J1263,"n.a."),IF(AND(J1263&gt;0,J1263&lt;K1263),D1263-J1263,"n.a.")))</x:f>
        <x:v>7794.34</x:v>
      </x:c>
      <x:c r="P1263" s="19" t="n">
        <x:f>IF(AND(B1263="Butterfly",J1263&gt;0,J1263&lt;K1263),L1263/J1263,"n.a.")</x:f>
        <x:v>34.3356890459366</x:v>
      </x:c>
      <x:c r="Q1263" s="11" t="n">
        <x:f>J1263*'Model inputs'!$B$8</x:f>
        <x:v>565.9999999999968</x:v>
      </x:c>
      <x:c r="R1263" s="1" t="str">
        <x:v>Indicative only</x:v>
      </x:c>
      <x:c r="S1263" s="1" t="n">
        <x:v>296</x:v>
      </x:c>
      <x:c r="T1263" s="1" t="n">
        <x:v>315</x:v>
      </x:c>
    </x:row>
    <x:row r="1264" ht="21" customHeight="1">
      <x:c r="A1264" s="12" t="n">
        <x:v>46261</x:v>
      </x:c>
      <x:c r="B1264" s="1" t="str">
        <x:v>Butterfly</x:v>
      </x:c>
      <x:c r="C1264" s="1" t="str">
        <x:v>put</x:v>
      </x:c>
      <x:c r="D1264" s="11" t="n">
        <x:v>5800</x:v>
      </x:c>
      <x:c r="E1264" s="11" t="n">
        <x:v>6000</x:v>
      </x:c>
      <x:c r="F1264" s="11" t="n">
        <x:v>6200</x:v>
      </x:c>
      <x:c r="G1264" s="11" t="n">
        <x:f>'Option source'!B643</x:f>
        <x:v>52.63</x:v>
      </x:c>
      <x:c r="H1264" s="11" t="n">
        <x:f>'Option source'!B662</x:f>
        <x:v>81.77</x:v>
      </x:c>
      <x:c r="I1264" s="11" t="n">
        <x:f>'Option source'!B681</x:f>
        <x:v>119.95</x:v>
      </x:c>
      <x:c r="J1264" s="11" t="n">
        <x:f>G1264-2*H1264+IF(B1264="Butterfly",I1264,0)</x:f>
        <x:v>9.040000000000006</x:v>
      </x:c>
      <x:c r="K1264" s="11" t="n">
        <x:f>ABS(E1264-D1264)</x:f>
        <x:v>200</x:v>
      </x:c>
      <x:c r="L1264" s="11" t="n">
        <x:f>K1264-J1264</x:f>
        <x:v>190.95999999999998</x:v>
      </x:c>
      <x:c r="M1264" s="11" t="n">
        <x:f>IF(B1264="Butterfly",MAX(J1264,0),IF(C1264="call","Unlimited",MAX(2*E1264-D1264+J1264,J1264,0)))</x:f>
        <x:v>9.040000000000006</x:v>
      </x:c>
      <x:c r="N1264" s="11" t="n">
        <x:f>IF(B1264="Butterfly",IF(AND(J1264&gt;0,J1264&lt;K1264),D1264+J1264,"n.a."),IF(C1264="call",IF(AND(J1264&gt;0,J1264&lt;K1264),D1264+J1264,"n.a."),IF(AND(K1264&gt;J1264,2*E1264-D1264+J1264&gt;=0),2*E1264-D1264+J1264,"n.a.")))</x:f>
        <x:v>5809.04</x:v>
      </x:c>
      <x:c r="O1264" s="11" t="n">
        <x:f>IF(B1264="Butterfly",IF(AND(J1264&gt;0,J1264&lt;K1264),F1264-J1264,"n.a."),IF(C1264="call",IF(K1264&gt;J1264,2*E1264-D1264-J1264,"n.a."),IF(AND(J1264&gt;0,J1264&lt;K1264),D1264-J1264,"n.a.")))</x:f>
        <x:v>6190.96</x:v>
      </x:c>
      <x:c r="P1264" s="19" t="n">
        <x:f>IF(AND(B1264="Butterfly",J1264&gt;0,J1264&lt;K1264),L1264/J1264,"n.a.")</x:f>
        <x:v>21.123893805309716</x:v>
      </x:c>
      <x:c r="Q1264" s="11" t="n">
        <x:f>J1264*'Model inputs'!$B$8</x:f>
        <x:v>904.0000000000007</x:v>
      </x:c>
      <x:c r="R1264" s="1" t="str">
        <x:v>Indicative only</x:v>
      </x:c>
      <x:c r="S1264" s="1" t="n">
        <x:v>638</x:v>
      </x:c>
      <x:c r="T1264" s="1" t="n">
        <x:v>657</x:v>
      </x:c>
    </x:row>
    <x:row r="1265" ht="21" customHeight="1">
      <x:c r="A1265" s="12" t="n">
        <x:v>46261</x:v>
      </x:c>
      <x:c r="B1265" s="1" t="str">
        <x:v>Butterfly</x:v>
      </x:c>
      <x:c r="C1265" s="1" t="str">
        <x:v>call</x:v>
      </x:c>
      <x:c r="D1265" s="11" t="n">
        <x:v>7600</x:v>
      </x:c>
      <x:c r="E1265" s="11" t="n">
        <x:v>7800</x:v>
      </x:c>
      <x:c r="F1265" s="11" t="n">
        <x:v>8000</x:v>
      </x:c>
      <x:c r="G1265" s="11" t="n">
        <x:f>'Option source'!B320</x:f>
        <x:v>247.62</x:v>
      </x:c>
      <x:c r="H1265" s="11" t="n">
        <x:f>'Option source'!B339</x:f>
        <x:v>190.51</x:v>
      </x:c>
      <x:c r="I1265" s="11" t="n">
        <x:f>'Option source'!B358</x:f>
        <x:v>151.28</x:v>
      </x:c>
      <x:c r="J1265" s="11" t="n">
        <x:f>G1265-2*H1265+IF(B1265="Butterfly",I1265,0)</x:f>
        <x:v>17.880000000000024</x:v>
      </x:c>
      <x:c r="K1265" s="11" t="n">
        <x:f>ABS(E1265-D1265)</x:f>
        <x:v>200</x:v>
      </x:c>
      <x:c r="L1265" s="11" t="n">
        <x:f>K1265-J1265</x:f>
        <x:v>182.11999999999998</x:v>
      </x:c>
      <x:c r="M1265" s="11" t="n">
        <x:f>IF(B1265="Butterfly",MAX(J1265,0),IF(C1265="call","Unlimited",MAX(2*E1265-D1265+J1265,J1265,0)))</x:f>
        <x:v>17.880000000000024</x:v>
      </x:c>
      <x:c r="N1265" s="11" t="n">
        <x:f>IF(B1265="Butterfly",IF(AND(J1265&gt;0,J1265&lt;K1265),D1265+J1265,"n.a."),IF(C1265="call",IF(AND(J1265&gt;0,J1265&lt;K1265),D1265+J1265,"n.a."),IF(AND(K1265&gt;J1265,2*E1265-D1265+J1265&gt;=0),2*E1265-D1265+J1265,"n.a.")))</x:f>
        <x:v>7617.88</x:v>
      </x:c>
      <x:c r="O1265" s="11" t="n">
        <x:f>IF(B1265="Butterfly",IF(AND(J1265&gt;0,J1265&lt;K1265),F1265-J1265,"n.a."),IF(C1265="call",IF(K1265&gt;J1265,2*E1265-D1265-J1265,"n.a."),IF(AND(J1265&gt;0,J1265&lt;K1265),D1265-J1265,"n.a.")))</x:f>
        <x:v>7982.12</x:v>
      </x:c>
      <x:c r="P1265" s="19" t="n">
        <x:f>IF(AND(B1265="Butterfly",J1265&gt;0,J1265&lt;K1265),L1265/J1265,"n.a.")</x:f>
        <x:v>10.18568232662191</x:v>
      </x:c>
      <x:c r="Q1265" s="11" t="n">
        <x:f>J1265*'Model inputs'!$B$8</x:f>
        <x:v>1788.0000000000023</x:v>
      </x:c>
      <x:c r="R1265" s="1" t="str">
        <x:v>Indicative only</x:v>
      </x:c>
      <x:c r="S1265" s="1" t="n">
        <x:v>315</x:v>
      </x:c>
      <x:c r="T1265" s="1" t="n">
        <x:v>334</x:v>
      </x:c>
    </x:row>
    <x:row r="1266" ht="21" customHeight="1">
      <x:c r="A1266" s="12" t="n">
        <x:v>46261</x:v>
      </x:c>
      <x:c r="B1266" s="1" t="str">
        <x:v>Butterfly</x:v>
      </x:c>
      <x:c r="C1266" s="1" t="str">
        <x:v>put</x:v>
      </x:c>
      <x:c r="D1266" s="11" t="n">
        <x:v>5600</x:v>
      </x:c>
      <x:c r="E1266" s="11" t="n">
        <x:v>5800</x:v>
      </x:c>
      <x:c r="F1266" s="11" t="n">
        <x:v>6000</x:v>
      </x:c>
      <x:c r="G1266" s="11" t="n">
        <x:f>'Option source'!B624</x:f>
        <x:v>30.86</x:v>
      </x:c>
      <x:c r="H1266" s="11" t="n">
        <x:f>'Option source'!B643</x:f>
        <x:v>52.63</x:v>
      </x:c>
      <x:c r="I1266" s="11" t="n">
        <x:f>'Option source'!B662</x:f>
        <x:v>81.77</x:v>
      </x:c>
      <x:c r="J1266" s="11" t="n">
        <x:f>G1266-2*H1266+IF(B1266="Butterfly",I1266,0)</x:f>
        <x:v>7.36999999999999</x:v>
      </x:c>
      <x:c r="K1266" s="11" t="n">
        <x:f>ABS(E1266-D1266)</x:f>
        <x:v>200</x:v>
      </x:c>
      <x:c r="L1266" s="11" t="n">
        <x:f>K1266-J1266</x:f>
        <x:v>192.63</x:v>
      </x:c>
      <x:c r="M1266" s="11" t="n">
        <x:f>IF(B1266="Butterfly",MAX(J1266,0),IF(C1266="call","Unlimited",MAX(2*E1266-D1266+J1266,J1266,0)))</x:f>
        <x:v>7.36999999999999</x:v>
      </x:c>
      <x:c r="N1266" s="11" t="n">
        <x:f>IF(B1266="Butterfly",IF(AND(J1266&gt;0,J1266&lt;K1266),D1266+J1266,"n.a."),IF(C1266="call",IF(AND(J1266&gt;0,J1266&lt;K1266),D1266+J1266,"n.a."),IF(AND(K1266&gt;J1266,2*E1266-D1266+J1266&gt;=0),2*E1266-D1266+J1266,"n.a.")))</x:f>
        <x:v>5607.37</x:v>
      </x:c>
      <x:c r="O1266" s="11" t="n">
        <x:f>IF(B1266="Butterfly",IF(AND(J1266&gt;0,J1266&lt;K1266),F1266-J1266,"n.a."),IF(C1266="call",IF(K1266&gt;J1266,2*E1266-D1266-J1266,"n.a."),IF(AND(J1266&gt;0,J1266&lt;K1266),D1266-J1266,"n.a.")))</x:f>
        <x:v>5992.63</x:v>
      </x:c>
      <x:c r="P1266" s="19" t="n">
        <x:f>IF(AND(B1266="Butterfly",J1266&gt;0,J1266&lt;K1266),L1266/J1266,"n.a.")</x:f>
        <x:v>26.13704206241523</x:v>
      </x:c>
      <x:c r="Q1266" s="11" t="n">
        <x:f>J1266*'Model inputs'!$B$8</x:f>
        <x:v>736.9999999999991</x:v>
      </x:c>
      <x:c r="R1266" s="1" t="str">
        <x:v>Indicative only</x:v>
      </x:c>
      <x:c r="S1266" s="1" t="n">
        <x:v>619</x:v>
      </x:c>
      <x:c r="T1266" s="1" t="n">
        <x:v>638</x:v>
      </x:c>
    </x:row>
    <x:row r="1267" ht="21" customHeight="1">
      <x:c r="A1267" s="12" t="n">
        <x:v>46261</x:v>
      </x:c>
      <x:c r="B1267" s="1" t="str">
        <x:v>Butterfly</x:v>
      </x:c>
      <x:c r="C1267" s="1" t="str">
        <x:v>put</x:v>
      </x:c>
      <x:c r="D1267" s="11" t="n">
        <x:v>5400</x:v>
      </x:c>
      <x:c r="E1267" s="11" t="n">
        <x:v>5600</x:v>
      </x:c>
      <x:c r="F1267" s="11" t="n">
        <x:v>5800</x:v>
      </x:c>
      <x:c r="G1267" s="11" t="n">
        <x:f>'Option source'!B605</x:f>
        <x:v>18.93</x:v>
      </x:c>
      <x:c r="H1267" s="11" t="n">
        <x:f>'Option source'!B624</x:f>
        <x:v>30.86</x:v>
      </x:c>
      <x:c r="I1267" s="11" t="n">
        <x:f>'Option source'!B643</x:f>
        <x:v>52.63</x:v>
      </x:c>
      <x:c r="J1267" s="11" t="n">
        <x:f>G1267-2*H1267+IF(B1267="Butterfly",I1267,0)</x:f>
        <x:v>9.840000000000003</x:v>
      </x:c>
      <x:c r="K1267" s="11" t="n">
        <x:f>ABS(E1267-D1267)</x:f>
        <x:v>200</x:v>
      </x:c>
      <x:c r="L1267" s="11" t="n">
        <x:f>K1267-J1267</x:f>
        <x:v>190.16</x:v>
      </x:c>
      <x:c r="M1267" s="11" t="n">
        <x:f>IF(B1267="Butterfly",MAX(J1267,0),IF(C1267="call","Unlimited",MAX(2*E1267-D1267+J1267,J1267,0)))</x:f>
        <x:v>9.840000000000003</x:v>
      </x:c>
      <x:c r="N1267" s="11" t="n">
        <x:f>IF(B1267="Butterfly",IF(AND(J1267&gt;0,J1267&lt;K1267),D1267+J1267,"n.a."),IF(C1267="call",IF(AND(J1267&gt;0,J1267&lt;K1267),D1267+J1267,"n.a."),IF(AND(K1267&gt;J1267,2*E1267-D1267+J1267&gt;=0),2*E1267-D1267+J1267,"n.a.")))</x:f>
        <x:v>5409.84</x:v>
      </x:c>
      <x:c r="O1267" s="11" t="n">
        <x:f>IF(B1267="Butterfly",IF(AND(J1267&gt;0,J1267&lt;K1267),F1267-J1267,"n.a."),IF(C1267="call",IF(K1267&gt;J1267,2*E1267-D1267-J1267,"n.a."),IF(AND(J1267&gt;0,J1267&lt;K1267),D1267-J1267,"n.a.")))</x:f>
        <x:v>5790.16</x:v>
      </x:c>
      <x:c r="P1267" s="19" t="n">
        <x:f>IF(AND(B1267="Butterfly",J1267&gt;0,J1267&lt;K1267),L1267/J1267,"n.a.")</x:f>
        <x:v>19.325203252032512</x:v>
      </x:c>
      <x:c r="Q1267" s="11" t="n">
        <x:f>J1267*'Model inputs'!$B$8</x:f>
        <x:v>984.0000000000003</x:v>
      </x:c>
      <x:c r="R1267" s="1" t="str">
        <x:v>Indicative only</x:v>
      </x:c>
      <x:c r="S1267" s="1" t="n">
        <x:v>600</x:v>
      </x:c>
      <x:c r="T1267" s="1" t="n">
        <x:v>619</x:v>
      </x:c>
    </x:row>
    <x:row r="1268" ht="21" customHeight="1">
      <x:c r="A1268" s="12" t="n">
        <x:v>46261</x:v>
      </x:c>
      <x:c r="B1268" s="1" t="str">
        <x:v>Butterfly</x:v>
      </x:c>
      <x:c r="C1268" s="1" t="str">
        <x:v>call</x:v>
      </x:c>
      <x:c r="D1268" s="11" t="n">
        <x:v>8000</x:v>
      </x:c>
      <x:c r="E1268" s="11" t="n">
        <x:v>8300</x:v>
      </x:c>
      <x:c r="F1268" s="11" t="n">
        <x:v>8600</x:v>
      </x:c>
      <x:c r="G1268" s="11" t="n">
        <x:f>'Option source'!B358</x:f>
        <x:v>151.28</x:v>
      </x:c>
      <x:c r="H1268" s="11" t="n">
        <x:f>'Option source'!B377</x:f>
        <x:v>101.58</x:v>
      </x:c>
      <x:c r="I1268" s="11" t="n">
        <x:f>'Option source'!B396</x:f>
        <x:v>68.22</x:v>
      </x:c>
      <x:c r="J1268" s="11" t="n">
        <x:f>G1268-2*H1268+IF(B1268="Butterfly",I1268,0)</x:f>
        <x:v>16.340000000000003</x:v>
      </x:c>
      <x:c r="K1268" s="11" t="n">
        <x:f>ABS(E1268-D1268)</x:f>
        <x:v>300</x:v>
      </x:c>
      <x:c r="L1268" s="11" t="n">
        <x:f>K1268-J1268</x:f>
        <x:v>283.65999999999997</x:v>
      </x:c>
      <x:c r="M1268" s="11" t="n">
        <x:f>IF(B1268="Butterfly",MAX(J1268,0),IF(C1268="call","Unlimited",MAX(2*E1268-D1268+J1268,J1268,0)))</x:f>
        <x:v>16.340000000000003</x:v>
      </x:c>
      <x:c r="N1268" s="11" t="n">
        <x:f>IF(B1268="Butterfly",IF(AND(J1268&gt;0,J1268&lt;K1268),D1268+J1268,"n.a."),IF(C1268="call",IF(AND(J1268&gt;0,J1268&lt;K1268),D1268+J1268,"n.a."),IF(AND(K1268&gt;J1268,2*E1268-D1268+J1268&gt;=0),2*E1268-D1268+J1268,"n.a.")))</x:f>
        <x:v>8016.34</x:v>
      </x:c>
      <x:c r="O1268" s="11" t="n">
        <x:f>IF(B1268="Butterfly",IF(AND(J1268&gt;0,J1268&lt;K1268),F1268-J1268,"n.a."),IF(C1268="call",IF(K1268&gt;J1268,2*E1268-D1268-J1268,"n.a."),IF(AND(J1268&gt;0,J1268&lt;K1268),D1268-J1268,"n.a.")))</x:f>
        <x:v>8583.66</x:v>
      </x:c>
      <x:c r="P1268" s="19" t="n">
        <x:f>IF(AND(B1268="Butterfly",J1268&gt;0,J1268&lt;K1268),L1268/J1268,"n.a.")</x:f>
        <x:v>17.359853121175025</x:v>
      </x:c>
      <x:c r="Q1268" s="11" t="n">
        <x:f>J1268*'Model inputs'!$B$8</x:f>
        <x:v>1634.0000000000005</x:v>
      </x:c>
      <x:c r="R1268" s="1" t="str">
        <x:v>Indicative only</x:v>
      </x:c>
      <x:c r="S1268" s="1" t="n">
        <x:v>353</x:v>
      </x:c>
      <x:c r="T1268" s="1" t="n">
        <x:v>372</x:v>
      </x:c>
    </x:row>
    <x:row r="1269" ht="21" customHeight="1">
      <x:c r="A1269" s="12" t="n">
        <x:v>46261</x:v>
      </x:c>
      <x:c r="B1269" s="1" t="str">
        <x:v>Butterfly</x:v>
      </x:c>
      <x:c r="C1269" s="1" t="str">
        <x:v>put</x:v>
      </x:c>
      <x:c r="D1269" s="11" t="n">
        <x:v>5200</x:v>
      </x:c>
      <x:c r="E1269" s="11" t="n">
        <x:v>5400</x:v>
      </x:c>
      <x:c r="F1269" s="11" t="n">
        <x:v>5600</x:v>
      </x:c>
      <x:c r="G1269" s="11" t="n">
        <x:f>'Option source'!B586</x:f>
        <x:v>12.17</x:v>
      </x:c>
      <x:c r="H1269" s="11" t="n">
        <x:f>'Option source'!B605</x:f>
        <x:v>18.93</x:v>
      </x:c>
      <x:c r="I1269" s="11" t="n">
        <x:f>'Option source'!B624</x:f>
        <x:v>30.86</x:v>
      </x:c>
      <x:c r="J1269" s="11" t="n">
        <x:f>G1269-2*H1269+IF(B1269="Butterfly",I1269,0)</x:f>
        <x:v>5.170000000000002</x:v>
      </x:c>
      <x:c r="K1269" s="11" t="n">
        <x:f>ABS(E1269-D1269)</x:f>
        <x:v>200</x:v>
      </x:c>
      <x:c r="L1269" s="11" t="n">
        <x:f>K1269-J1269</x:f>
        <x:v>194.82999999999998</x:v>
      </x:c>
      <x:c r="M1269" s="11" t="n">
        <x:f>IF(B1269="Butterfly",MAX(J1269,0),IF(C1269="call","Unlimited",MAX(2*E1269-D1269+J1269,J1269,0)))</x:f>
        <x:v>5.170000000000002</x:v>
      </x:c>
      <x:c r="N1269" s="11" t="n">
        <x:f>IF(B1269="Butterfly",IF(AND(J1269&gt;0,J1269&lt;K1269),D1269+J1269,"n.a."),IF(C1269="call",IF(AND(J1269&gt;0,J1269&lt;K1269),D1269+J1269,"n.a."),IF(AND(K1269&gt;J1269,2*E1269-D1269+J1269&gt;=0),2*E1269-D1269+J1269,"n.a.")))</x:f>
        <x:v>5205.17</x:v>
      </x:c>
      <x:c r="O1269" s="11" t="n">
        <x:f>IF(B1269="Butterfly",IF(AND(J1269&gt;0,J1269&lt;K1269),F1269-J1269,"n.a."),IF(C1269="call",IF(K1269&gt;J1269,2*E1269-D1269-J1269,"n.a."),IF(AND(J1269&gt;0,J1269&lt;K1269),D1269-J1269,"n.a.")))</x:f>
        <x:v>5594.83</x:v>
      </x:c>
      <x:c r="P1269" s="19" t="n">
        <x:f>IF(AND(B1269="Butterfly",J1269&gt;0,J1269&lt;K1269),L1269/J1269,"n.a.")</x:f>
        <x:v>37.68471953578335</x:v>
      </x:c>
      <x:c r="Q1269" s="11" t="n">
        <x:f>J1269*'Model inputs'!$B$8</x:f>
        <x:v>517.0000000000002</x:v>
      </x:c>
      <x:c r="R1269" s="1" t="str">
        <x:v>Indicative only</x:v>
      </x:c>
      <x:c r="S1269" s="1" t="n">
        <x:v>581</x:v>
      </x:c>
      <x:c r="T1269" s="1" t="n">
        <x:v>600</x:v>
      </x:c>
    </x:row>
    <x:row r="1270" ht="21" customHeight="1">
      <x:c r="A1270" s="12" t="n">
        <x:v>46261</x:v>
      </x:c>
      <x:c r="B1270" s="1" t="str">
        <x:v>Butterfly</x:v>
      </x:c>
      <x:c r="C1270" s="1" t="str">
        <x:v>put</x:v>
      </x:c>
      <x:c r="D1270" s="11" t="n">
        <x:v>5000</x:v>
      </x:c>
      <x:c r="E1270" s="11" t="n">
        <x:v>5200</x:v>
      </x:c>
      <x:c r="F1270" s="11" t="n">
        <x:v>5400</x:v>
      </x:c>
      <x:c r="G1270" s="11" t="n">
        <x:f>'Option source'!B567</x:f>
        <x:v>7.94</x:v>
      </x:c>
      <x:c r="H1270" s="11" t="n">
        <x:f>'Option source'!B586</x:f>
        <x:v>12.17</x:v>
      </x:c>
      <x:c r="I1270" s="11" t="n">
        <x:f>'Option source'!B605</x:f>
        <x:v>18.93</x:v>
      </x:c>
      <x:c r="J1270" s="11" t="n">
        <x:f>G1270-2*H1270+IF(B1270="Butterfly",I1270,0)</x:f>
        <x:v>2.530000000000001</x:v>
      </x:c>
      <x:c r="K1270" s="11" t="n">
        <x:f>ABS(E1270-D1270)</x:f>
        <x:v>200</x:v>
      </x:c>
      <x:c r="L1270" s="11" t="n">
        <x:f>K1270-J1270</x:f>
        <x:v>197.47</x:v>
      </x:c>
      <x:c r="M1270" s="11" t="n">
        <x:f>IF(B1270="Butterfly",MAX(J1270,0),IF(C1270="call","Unlimited",MAX(2*E1270-D1270+J1270,J1270,0)))</x:f>
        <x:v>2.530000000000001</x:v>
      </x:c>
      <x:c r="N1270" s="11" t="n">
        <x:f>IF(B1270="Butterfly",IF(AND(J1270&gt;0,J1270&lt;K1270),D1270+J1270,"n.a."),IF(C1270="call",IF(AND(J1270&gt;0,J1270&lt;K1270),D1270+J1270,"n.a."),IF(AND(K1270&gt;J1270,2*E1270-D1270+J1270&gt;=0),2*E1270-D1270+J1270,"n.a.")))</x:f>
        <x:v>5002.53</x:v>
      </x:c>
      <x:c r="O1270" s="11" t="n">
        <x:f>IF(B1270="Butterfly",IF(AND(J1270&gt;0,J1270&lt;K1270),F1270-J1270,"n.a."),IF(C1270="call",IF(K1270&gt;J1270,2*E1270-D1270-J1270,"n.a."),IF(AND(J1270&gt;0,J1270&lt;K1270),D1270-J1270,"n.a.")))</x:f>
        <x:v>5397.47</x:v>
      </x:c>
      <x:c r="P1270" s="19" t="n">
        <x:f>IF(AND(B1270="Butterfly",J1270&gt;0,J1270&lt;K1270),L1270/J1270,"n.a.")</x:f>
        <x:v>78.05138339920946</x:v>
      </x:c>
      <x:c r="Q1270" s="11" t="n">
        <x:f>J1270*'Model inputs'!$B$8</x:f>
        <x:v>253.0000000000001</x:v>
      </x:c>
      <x:c r="R1270" s="1" t="str">
        <x:v>Indicative only</x:v>
      </x:c>
      <x:c r="S1270" s="1" t="n">
        <x:v>562</x:v>
      </x:c>
      <x:c r="T1270" s="1" t="n">
        <x:v>581</x:v>
      </x:c>
    </x:row>
    <x:row r="1271" ht="21" customHeight="1">
      <x:c r="A1271" s="12" t="n">
        <x:v>46261</x:v>
      </x:c>
      <x:c r="B1271" s="1" t="str">
        <x:v>Butterfly</x:v>
      </x:c>
      <x:c r="C1271" s="1" t="str">
        <x:v>call</x:v>
      </x:c>
      <x:c r="D1271" s="11" t="n">
        <x:v>8300</x:v>
      </x:c>
      <x:c r="E1271" s="11" t="n">
        <x:v>8600</x:v>
      </x:c>
      <x:c r="F1271" s="11" t="n">
        <x:v>8900</x:v>
      </x:c>
      <x:c r="G1271" s="11" t="n">
        <x:f>'Option source'!B377</x:f>
        <x:v>101.58</x:v>
      </x:c>
      <x:c r="H1271" s="11" t="n">
        <x:f>'Option source'!B396</x:f>
        <x:v>68.22</x:v>
      </x:c>
      <x:c r="I1271" s="11" t="n">
        <x:f>'Option source'!B415</x:f>
        <x:v>45.5</x:v>
      </x:c>
      <x:c r="J1271" s="11" t="n">
        <x:f>G1271-2*H1271+IF(B1271="Butterfly",I1271,0)</x:f>
        <x:v>10.64</x:v>
      </x:c>
      <x:c r="K1271" s="11" t="n">
        <x:f>ABS(E1271-D1271)</x:f>
        <x:v>300</x:v>
      </x:c>
      <x:c r="L1271" s="11" t="n">
        <x:f>K1271-J1271</x:f>
        <x:v>289.36</x:v>
      </x:c>
      <x:c r="M1271" s="11" t="n">
        <x:f>IF(B1271="Butterfly",MAX(J1271,0),IF(C1271="call","Unlimited",MAX(2*E1271-D1271+J1271,J1271,0)))</x:f>
        <x:v>10.64</x:v>
      </x:c>
      <x:c r="N1271" s="11" t="n">
        <x:f>IF(B1271="Butterfly",IF(AND(J1271&gt;0,J1271&lt;K1271),D1271+J1271,"n.a."),IF(C1271="call",IF(AND(J1271&gt;0,J1271&lt;K1271),D1271+J1271,"n.a."),IF(AND(K1271&gt;J1271,2*E1271-D1271+J1271&gt;=0),2*E1271-D1271+J1271,"n.a.")))</x:f>
        <x:v>8310.64</x:v>
      </x:c>
      <x:c r="O1271" s="11" t="n">
        <x:f>IF(B1271="Butterfly",IF(AND(J1271&gt;0,J1271&lt;K1271),F1271-J1271,"n.a."),IF(C1271="call",IF(K1271&gt;J1271,2*E1271-D1271-J1271,"n.a."),IF(AND(J1271&gt;0,J1271&lt;K1271),D1271-J1271,"n.a.")))</x:f>
        <x:v>8889.36</x:v>
      </x:c>
      <x:c r="P1271" s="19" t="n">
        <x:f>IF(AND(B1271="Butterfly",J1271&gt;0,J1271&lt;K1271),L1271/J1271,"n.a.")</x:f>
        <x:v>27.195488721804512</x:v>
      </x:c>
      <x:c r="Q1271" s="11" t="n">
        <x:f>J1271*'Model inputs'!$B$8</x:f>
        <x:v>1064</x:v>
      </x:c>
      <x:c r="R1271" s="1" t="str">
        <x:v>Indicative only</x:v>
      </x:c>
      <x:c r="S1271" s="1" t="n">
        <x:v>372</x:v>
      </x:c>
      <x:c r="T1271" s="1" t="n">
        <x:v>391</x:v>
      </x:c>
    </x:row>
    <x:row r="1272" ht="21" customHeight="1">
      <x:c r="A1272" s="12" t="n">
        <x:v>46261</x:v>
      </x:c>
      <x:c r="B1272" s="1" t="str">
        <x:v>Butterfly</x:v>
      </x:c>
      <x:c r="C1272" s="1" t="str">
        <x:v>put</x:v>
      </x:c>
      <x:c r="D1272" s="11" t="n">
        <x:v>4800</x:v>
      </x:c>
      <x:c r="E1272" s="11" t="n">
        <x:v>5000</x:v>
      </x:c>
      <x:c r="F1272" s="11" t="n">
        <x:v>5200</x:v>
      </x:c>
      <x:c r="G1272" s="11" t="n">
        <x:f>'Option source'!B548</x:f>
        <x:v>5.67</x:v>
      </x:c>
      <x:c r="H1272" s="11" t="n">
        <x:f>'Option source'!B567</x:f>
        <x:v>7.94</x:v>
      </x:c>
      <x:c r="I1272" s="11" t="n">
        <x:f>'Option source'!B586</x:f>
        <x:v>12.17</x:v>
      </x:c>
      <x:c r="J1272" s="11" t="n">
        <x:f>G1272-2*H1272+IF(B1272="Butterfly",I1272,0)</x:f>
        <x:v>1.959999999999999</x:v>
      </x:c>
      <x:c r="K1272" s="11" t="n">
        <x:f>ABS(E1272-D1272)</x:f>
        <x:v>200</x:v>
      </x:c>
      <x:c r="L1272" s="11" t="n">
        <x:f>K1272-J1272</x:f>
        <x:v>198.04</x:v>
      </x:c>
      <x:c r="M1272" s="11" t="n">
        <x:f>IF(B1272="Butterfly",MAX(J1272,0),IF(C1272="call","Unlimited",MAX(2*E1272-D1272+J1272,J1272,0)))</x:f>
        <x:v>1.959999999999999</x:v>
      </x:c>
      <x:c r="N1272" s="11" t="n">
        <x:f>IF(B1272="Butterfly",IF(AND(J1272&gt;0,J1272&lt;K1272),D1272+J1272,"n.a."),IF(C1272="call",IF(AND(J1272&gt;0,J1272&lt;K1272),D1272+J1272,"n.a."),IF(AND(K1272&gt;J1272,2*E1272-D1272+J1272&gt;=0),2*E1272-D1272+J1272,"n.a.")))</x:f>
        <x:v>4801.96</x:v>
      </x:c>
      <x:c r="O1272" s="11" t="n">
        <x:f>IF(B1272="Butterfly",IF(AND(J1272&gt;0,J1272&lt;K1272),F1272-J1272,"n.a."),IF(C1272="call",IF(K1272&gt;J1272,2*E1272-D1272-J1272,"n.a."),IF(AND(J1272&gt;0,J1272&lt;K1272),D1272-J1272,"n.a.")))</x:f>
        <x:v>5198.04</x:v>
      </x:c>
      <x:c r="P1272" s="19" t="n">
        <x:f>IF(AND(B1272="Butterfly",J1272&gt;0,J1272&lt;K1272),L1272/J1272,"n.a.")</x:f>
        <x:v>101.04081632653066</x:v>
      </x:c>
      <x:c r="Q1272" s="11" t="n">
        <x:f>J1272*'Model inputs'!$B$8</x:f>
        <x:v>195.99999999999991</x:v>
      </x:c>
      <x:c r="R1272" s="1" t="str">
        <x:v>Indicative only</x:v>
      </x:c>
      <x:c r="S1272" s="1" t="n">
        <x:v>543</x:v>
      </x:c>
      <x:c r="T1272" s="1" t="n">
        <x:v>562</x:v>
      </x:c>
    </x:row>
    <x:row r="1273" ht="21" customHeight="1">
      <x:c r="A1273" s="12" t="n">
        <x:v>46261</x:v>
      </x:c>
      <x:c r="B1273" s="1" t="str">
        <x:v>Butterfly</x:v>
      </x:c>
      <x:c r="C1273" s="1" t="str">
        <x:v>call</x:v>
      </x:c>
      <x:c r="D1273" s="11" t="n">
        <x:v>8600</x:v>
      </x:c>
      <x:c r="E1273" s="11" t="n">
        <x:v>8900</x:v>
      </x:c>
      <x:c r="F1273" s="11" t="n">
        <x:v>9200</x:v>
      </x:c>
      <x:c r="G1273" s="11" t="n">
        <x:f>'Option source'!B396</x:f>
        <x:v>68.22</x:v>
      </x:c>
      <x:c r="H1273" s="11" t="n">
        <x:f>'Option source'!B415</x:f>
        <x:v>45.5</x:v>
      </x:c>
      <x:c r="I1273" s="11" t="n">
        <x:f>'Option source'!B434</x:f>
        <x:v>30.1</x:v>
      </x:c>
      <x:c r="J1273" s="11" t="n">
        <x:f>G1273-2*H1273+IF(B1273="Butterfly",I1273,0)</x:f>
        <x:v>7.32</x:v>
      </x:c>
      <x:c r="K1273" s="11" t="n">
        <x:f>ABS(E1273-D1273)</x:f>
        <x:v>300</x:v>
      </x:c>
      <x:c r="L1273" s="11" t="n">
        <x:f>K1273-J1273</x:f>
        <x:v>292.68</x:v>
      </x:c>
      <x:c r="M1273" s="11" t="n">
        <x:f>IF(B1273="Butterfly",MAX(J1273,0),IF(C1273="call","Unlimited",MAX(2*E1273-D1273+J1273,J1273,0)))</x:f>
        <x:v>7.32</x:v>
      </x:c>
      <x:c r="N1273" s="11" t="n">
        <x:f>IF(B1273="Butterfly",IF(AND(J1273&gt;0,J1273&lt;K1273),D1273+J1273,"n.a."),IF(C1273="call",IF(AND(J1273&gt;0,J1273&lt;K1273),D1273+J1273,"n.a."),IF(AND(K1273&gt;J1273,2*E1273-D1273+J1273&gt;=0),2*E1273-D1273+J1273,"n.a.")))</x:f>
        <x:v>8607.32</x:v>
      </x:c>
      <x:c r="O1273" s="11" t="n">
        <x:f>IF(B1273="Butterfly",IF(AND(J1273&gt;0,J1273&lt;K1273),F1273-J1273,"n.a."),IF(C1273="call",IF(K1273&gt;J1273,2*E1273-D1273-J1273,"n.a."),IF(AND(J1273&gt;0,J1273&lt;K1273),D1273-J1273,"n.a.")))</x:f>
        <x:v>9192.68</x:v>
      </x:c>
      <x:c r="P1273" s="19" t="n">
        <x:f>IF(AND(B1273="Butterfly",J1273&gt;0,J1273&lt;K1273),L1273/J1273,"n.a.")</x:f>
        <x:v>39.98360655737705</x:v>
      </x:c>
      <x:c r="Q1273" s="11" t="n">
        <x:f>J1273*'Model inputs'!$B$8</x:f>
        <x:v>732</x:v>
      </x:c>
      <x:c r="R1273" s="1" t="str">
        <x:v>Indicative only</x:v>
      </x:c>
      <x:c r="S1273" s="1" t="n">
        <x:v>391</x:v>
      </x:c>
      <x:c r="T1273" s="1" t="n">
        <x:v>410</x:v>
      </x:c>
    </x:row>
    <x:row r="1274" ht="21" customHeight="1">
      <x:c r="A1274" s="12" t="n">
        <x:v>46261</x:v>
      </x:c>
      <x:c r="B1274" s="1" t="str">
        <x:v>Butterfly</x:v>
      </x:c>
      <x:c r="C1274" s="1" t="str">
        <x:v>put</x:v>
      </x:c>
      <x:c r="D1274" s="11" t="n">
        <x:v>4600</x:v>
      </x:c>
      <x:c r="E1274" s="11" t="n">
        <x:v>4800</x:v>
      </x:c>
      <x:c r="F1274" s="11" t="n">
        <x:v>5000</x:v>
      </x:c>
      <x:c r="G1274" s="11" t="n">
        <x:f>'Option source'!B529</x:f>
        <x:v>4.04</x:v>
      </x:c>
      <x:c r="H1274" s="11" t="n">
        <x:f>'Option source'!B548</x:f>
        <x:v>5.67</x:v>
      </x:c>
      <x:c r="I1274" s="11" t="n">
        <x:f>'Option source'!B567</x:f>
        <x:v>7.94</x:v>
      </x:c>
      <x:c r="J1274" s="11" t="n">
        <x:f>G1274-2*H1274+IF(B1274="Butterfly",I1274,0)</x:f>
        <x:v>0.6400000000000006</x:v>
      </x:c>
      <x:c r="K1274" s="11" t="n">
        <x:f>ABS(E1274-D1274)</x:f>
        <x:v>200</x:v>
      </x:c>
      <x:c r="L1274" s="11" t="n">
        <x:f>K1274-J1274</x:f>
        <x:v>199.36</x:v>
      </x:c>
      <x:c r="M1274" s="11" t="n">
        <x:f>IF(B1274="Butterfly",MAX(J1274,0),IF(C1274="call","Unlimited",MAX(2*E1274-D1274+J1274,J1274,0)))</x:f>
        <x:v>0.6400000000000006</x:v>
      </x:c>
      <x:c r="N1274" s="11" t="n">
        <x:f>IF(B1274="Butterfly",IF(AND(J1274&gt;0,J1274&lt;K1274),D1274+J1274,"n.a."),IF(C1274="call",IF(AND(J1274&gt;0,J1274&lt;K1274),D1274+J1274,"n.a."),IF(AND(K1274&gt;J1274,2*E1274-D1274+J1274&gt;=0),2*E1274-D1274+J1274,"n.a.")))</x:f>
        <x:v>4600.64</x:v>
      </x:c>
      <x:c r="O1274" s="11" t="n">
        <x:f>IF(B1274="Butterfly",IF(AND(J1274&gt;0,J1274&lt;K1274),F1274-J1274,"n.a."),IF(C1274="call",IF(K1274&gt;J1274,2*E1274-D1274-J1274,"n.a."),IF(AND(J1274&gt;0,J1274&lt;K1274),D1274-J1274,"n.a.")))</x:f>
        <x:v>4999.36</x:v>
      </x:c>
      <x:c r="P1274" s="19" t="n">
        <x:f>IF(AND(B1274="Butterfly",J1274&gt;0,J1274&lt;K1274),L1274/J1274,"n.a.")</x:f>
        <x:v>311.4999999999998</x:v>
      </x:c>
      <x:c r="Q1274" s="11" t="n">
        <x:f>J1274*'Model inputs'!$B$8</x:f>
        <x:v>64.00000000000006</x:v>
      </x:c>
      <x:c r="R1274" s="1" t="str">
        <x:v>Indicative only</x:v>
      </x:c>
      <x:c r="S1274" s="1" t="n">
        <x:v>524</x:v>
      </x:c>
      <x:c r="T1274" s="1" t="n">
        <x:v>543</x:v>
      </x:c>
    </x:row>
    <x:row r="1275" ht="21" customHeight="1">
      <x:c r="A1275" s="12" t="n">
        <x:v>46261</x:v>
      </x:c>
      <x:c r="B1275" s="1" t="str">
        <x:v>Butterfly</x:v>
      </x:c>
      <x:c r="C1275" s="1" t="str">
        <x:v>put</x:v>
      </x:c>
      <x:c r="D1275" s="11" t="n">
        <x:v>4400</x:v>
      </x:c>
      <x:c r="E1275" s="11" t="n">
        <x:v>4600</x:v>
      </x:c>
      <x:c r="F1275" s="11" t="n">
        <x:v>4800</x:v>
      </x:c>
      <x:c r="G1275" s="11" t="n">
        <x:f>'Option source'!B510</x:f>
        <x:v>3.03</x:v>
      </x:c>
      <x:c r="H1275" s="11" t="n">
        <x:f>'Option source'!B529</x:f>
        <x:v>4.04</x:v>
      </x:c>
      <x:c r="I1275" s="11" t="n">
        <x:f>'Option source'!B548</x:f>
        <x:v>5.67</x:v>
      </x:c>
      <x:c r="J1275" s="11" t="n">
        <x:f>G1275-2*H1275+IF(B1275="Butterfly",I1275,0)</x:f>
        <x:v>0.6199999999999992</x:v>
      </x:c>
      <x:c r="K1275" s="11" t="n">
        <x:f>ABS(E1275-D1275)</x:f>
        <x:v>200</x:v>
      </x:c>
      <x:c r="L1275" s="11" t="n">
        <x:f>K1275-J1275</x:f>
        <x:v>199.38</x:v>
      </x:c>
      <x:c r="M1275" s="11" t="n">
        <x:f>IF(B1275="Butterfly",MAX(J1275,0),IF(C1275="call","Unlimited",MAX(2*E1275-D1275+J1275,J1275,0)))</x:f>
        <x:v>0.6199999999999992</x:v>
      </x:c>
      <x:c r="N1275" s="11" t="n">
        <x:f>IF(B1275="Butterfly",IF(AND(J1275&gt;0,J1275&lt;K1275),D1275+J1275,"n.a."),IF(C1275="call",IF(AND(J1275&gt;0,J1275&lt;K1275),D1275+J1275,"n.a."),IF(AND(K1275&gt;J1275,2*E1275-D1275+J1275&gt;=0),2*E1275-D1275+J1275,"n.a.")))</x:f>
        <x:v>4400.62</x:v>
      </x:c>
      <x:c r="O1275" s="11" t="n">
        <x:f>IF(B1275="Butterfly",IF(AND(J1275&gt;0,J1275&lt;K1275),F1275-J1275,"n.a."),IF(C1275="call",IF(K1275&gt;J1275,2*E1275-D1275-J1275,"n.a."),IF(AND(J1275&gt;0,J1275&lt;K1275),D1275-J1275,"n.a.")))</x:f>
        <x:v>4799.38</x:v>
      </x:c>
      <x:c r="P1275" s="19" t="n">
        <x:f>IF(AND(B1275="Butterfly",J1275&gt;0,J1275&lt;K1275),L1275/J1275,"n.a.")</x:f>
        <x:v>321.5806451612907</x:v>
      </x:c>
      <x:c r="Q1275" s="11" t="n">
        <x:f>J1275*'Model inputs'!$B$8</x:f>
        <x:v>61.99999999999992</x:v>
      </x:c>
      <x:c r="R1275" s="1" t="str">
        <x:v>Indicative only</x:v>
      </x:c>
      <x:c r="S1275" s="1" t="n">
        <x:v>505</x:v>
      </x:c>
      <x:c r="T1275" s="1" t="n">
        <x:v>524</x:v>
      </x:c>
    </x:row>
    <x:row r="1276" ht="21" customHeight="1">
      <x:c r="A1276" s="12" t="n">
        <x:v>46261</x:v>
      </x:c>
      <x:c r="B1276" s="1" t="str">
        <x:v>Butterfly</x:v>
      </x:c>
      <x:c r="C1276" s="1" t="str">
        <x:v>call</x:v>
      </x:c>
      <x:c r="D1276" s="11" t="n">
        <x:v>8900</x:v>
      </x:c>
      <x:c r="E1276" s="11" t="n">
        <x:v>9200</x:v>
      </x:c>
      <x:c r="F1276" s="11" t="n">
        <x:v>9500</x:v>
      </x:c>
      <x:c r="G1276" s="11" t="n">
        <x:f>'Option source'!B415</x:f>
        <x:v>45.5</x:v>
      </x:c>
      <x:c r="H1276" s="11" t="n">
        <x:f>'Option source'!B434</x:f>
        <x:v>30.1</x:v>
      </x:c>
      <x:c r="I1276" s="11" t="n">
        <x:f>'Option source'!B453</x:f>
        <x:v>19.97</x:v>
      </x:c>
      <x:c r="J1276" s="11" t="n">
        <x:f>G1276-2*H1276+IF(B1276="Butterfly",I1276,0)</x:f>
        <x:v>5.269999999999996</x:v>
      </x:c>
      <x:c r="K1276" s="11" t="n">
        <x:f>ABS(E1276-D1276)</x:f>
        <x:v>300</x:v>
      </x:c>
      <x:c r="L1276" s="11" t="n">
        <x:f>K1276-J1276</x:f>
        <x:v>294.73</x:v>
      </x:c>
      <x:c r="M1276" s="11" t="n">
        <x:f>IF(B1276="Butterfly",MAX(J1276,0),IF(C1276="call","Unlimited",MAX(2*E1276-D1276+J1276,J1276,0)))</x:f>
        <x:v>5.269999999999996</x:v>
      </x:c>
      <x:c r="N1276" s="11" t="n">
        <x:f>IF(B1276="Butterfly",IF(AND(J1276&gt;0,J1276&lt;K1276),D1276+J1276,"n.a."),IF(C1276="call",IF(AND(J1276&gt;0,J1276&lt;K1276),D1276+J1276,"n.a."),IF(AND(K1276&gt;J1276,2*E1276-D1276+J1276&gt;=0),2*E1276-D1276+J1276,"n.a.")))</x:f>
        <x:v>8905.27</x:v>
      </x:c>
      <x:c r="O1276" s="11" t="n">
        <x:f>IF(B1276="Butterfly",IF(AND(J1276&gt;0,J1276&lt;K1276),F1276-J1276,"n.a."),IF(C1276="call",IF(K1276&gt;J1276,2*E1276-D1276-J1276,"n.a."),IF(AND(J1276&gt;0,J1276&lt;K1276),D1276-J1276,"n.a.")))</x:f>
        <x:v>9494.73</x:v>
      </x:c>
      <x:c r="P1276" s="19" t="n">
        <x:f>IF(AND(B1276="Butterfly",J1276&gt;0,J1276&lt;K1276),L1276/J1276,"n.a.")</x:f>
        <x:v>55.92599620493363</x:v>
      </x:c>
      <x:c r="Q1276" s="11" t="n">
        <x:f>J1276*'Model inputs'!$B$8</x:f>
        <x:v>526.9999999999995</x:v>
      </x:c>
      <x:c r="R1276" s="1" t="str">
        <x:v>Indicative only</x:v>
      </x:c>
      <x:c r="S1276" s="1" t="n">
        <x:v>410</x:v>
      </x:c>
      <x:c r="T1276" s="1" t="n">
        <x:v>429</x:v>
      </x:c>
    </x:row>
    <x:row r="1277" ht="21" customHeight="1">
      <x:c r="A1277" s="12" t="n">
        <x:v>46261</x:v>
      </x:c>
      <x:c r="B1277" s="1" t="str">
        <x:v>Butterfly</x:v>
      </x:c>
      <x:c r="C1277" s="1" t="str">
        <x:v>put</x:v>
      </x:c>
      <x:c r="D1277" s="11" t="n">
        <x:v>4200</x:v>
      </x:c>
      <x:c r="E1277" s="11" t="n">
        <x:v>4400</x:v>
      </x:c>
      <x:c r="F1277" s="11" t="n">
        <x:v>4600</x:v>
      </x:c>
      <x:c r="G1277" s="11" t="n">
        <x:f>'Option source'!B491</x:f>
        <x:v>2.86</x:v>
      </x:c>
      <x:c r="H1277" s="11" t="n">
        <x:f>'Option source'!B510</x:f>
        <x:v>3.03</x:v>
      </x:c>
      <x:c r="I1277" s="11" t="n">
        <x:f>'Option source'!B529</x:f>
        <x:v>4.04</x:v>
      </x:c>
      <x:c r="J1277" s="11" t="n">
        <x:f>G1277-2*H1277+IF(B1277="Butterfly",I1277,0)</x:f>
        <x:v>0.8400000000000003</x:v>
      </x:c>
      <x:c r="K1277" s="11" t="n">
        <x:f>ABS(E1277-D1277)</x:f>
        <x:v>200</x:v>
      </x:c>
      <x:c r="L1277" s="11" t="n">
        <x:f>K1277-J1277</x:f>
        <x:v>199.16</x:v>
      </x:c>
      <x:c r="M1277" s="11" t="n">
        <x:f>IF(B1277="Butterfly",MAX(J1277,0),IF(C1277="call","Unlimited",MAX(2*E1277-D1277+J1277,J1277,0)))</x:f>
        <x:v>0.8400000000000003</x:v>
      </x:c>
      <x:c r="N1277" s="11" t="n">
        <x:f>IF(B1277="Butterfly",IF(AND(J1277&gt;0,J1277&lt;K1277),D1277+J1277,"n.a."),IF(C1277="call",IF(AND(J1277&gt;0,J1277&lt;K1277),D1277+J1277,"n.a."),IF(AND(K1277&gt;J1277,2*E1277-D1277+J1277&gt;=0),2*E1277-D1277+J1277,"n.a.")))</x:f>
        <x:v>4200.84</x:v>
      </x:c>
      <x:c r="O1277" s="11" t="n">
        <x:f>IF(B1277="Butterfly",IF(AND(J1277&gt;0,J1277&lt;K1277),F1277-J1277,"n.a."),IF(C1277="call",IF(K1277&gt;J1277,2*E1277-D1277-J1277,"n.a."),IF(AND(J1277&gt;0,J1277&lt;K1277),D1277-J1277,"n.a.")))</x:f>
        <x:v>4599.16</x:v>
      </x:c>
      <x:c r="P1277" s="19" t="n">
        <x:f>IF(AND(B1277="Butterfly",J1277&gt;0,J1277&lt;K1277),L1277/J1277,"n.a.")</x:f>
        <x:v>237.09523809523802</x:v>
      </x:c>
      <x:c r="Q1277" s="11" t="n">
        <x:f>J1277*'Model inputs'!$B$8</x:f>
        <x:v>84.00000000000003</x:v>
      </x:c>
      <x:c r="R1277" s="1" t="str">
        <x:v>Indicative only</x:v>
      </x:c>
      <x:c r="S1277" s="1" t="n">
        <x:v>486</x:v>
      </x:c>
      <x:c r="T1277" s="1" t="n">
        <x:v>505</x:v>
      </x:c>
    </x:row>
    <x:row r="1278" ht="21" customHeight="1">
      <x:c r="A1278" s="12" t="n">
        <x:v>46261</x:v>
      </x:c>
      <x:c r="B1278" s="1" t="str">
        <x:v>Butterfly</x:v>
      </x:c>
      <x:c r="C1278" s="1" t="str">
        <x:v>put</x:v>
      </x:c>
      <x:c r="D1278" s="11" t="n">
        <x:v>7000</x:v>
      </x:c>
      <x:c r="E1278" s="11" t="n">
        <x:v>7200</x:v>
      </x:c>
      <x:c r="F1278" s="11" t="n">
        <x:v>7400</x:v>
      </x:c>
      <x:c r="G1278" s="11" t="n">
        <x:f>'Option source'!B757</x:f>
        <x:v>414.3</x:v>
      </x:c>
      <x:c r="H1278" s="11" t="n">
        <x:f>'Option source'!B776</x:f>
        <x:v>525.21</x:v>
      </x:c>
      <x:c r="I1278" s="11" t="n">
        <x:f>'Option source'!B795</x:f>
        <x:v>630.02</x:v>
      </x:c>
      <x:c r="J1278" s="11" t="n">
        <x:f>G1278-2*H1278+IF(B1278="Butterfly",I1278,0)</x:f>
        <x:v>-6.100000000000136</x:v>
      </x:c>
      <x:c r="K1278" s="11" t="n">
        <x:f>ABS(E1278-D1278)</x:f>
        <x:v>200</x:v>
      </x:c>
      <x:c r="L1278" s="11" t="n">
        <x:f>K1278-J1278</x:f>
        <x:v>206.10000000000014</x:v>
      </x:c>
      <x:c r="M1278" s="11" t="n">
        <x:f>IF(B1278="Butterfly",MAX(J1278,0),IF(C1278="call","Unlimited",MAX(2*E1278-D1278+J1278,J1278,0)))</x:f>
        <x:v>0</x:v>
      </x:c>
      <x:c r="N1278" s="11" t="str">
        <x:f>IF(B1278="Butterfly",IF(AND(J1278&gt;0,J1278&lt;K1278),D1278+J1278,"n.a."),IF(C1278="call",IF(AND(J1278&gt;0,J1278&lt;K1278),D1278+J1278,"n.a."),IF(AND(K1278&gt;J1278,2*E1278-D1278+J1278&gt;=0),2*E1278-D1278+J1278,"n.a.")))</x:f>
        <x:v>n.a.</x:v>
      </x:c>
      <x:c r="O1278" s="11" t="str">
        <x:f>IF(B1278="Butterfly",IF(AND(J1278&gt;0,J1278&lt;K1278),F1278-J1278,"n.a."),IF(C1278="call",IF(K1278&gt;J1278,2*E1278-D1278-J1278,"n.a."),IF(AND(J1278&gt;0,J1278&lt;K1278),D1278-J1278,"n.a.")))</x:f>
        <x:v>n.a.</x:v>
      </x:c>
      <x:c r="P1278" s="19" t="str">
        <x:f>IF(AND(B1278="Butterfly",J1278&gt;0,J1278&lt;K1278),L1278/J1278,"n.a.")</x:f>
        <x:v>n.a.</x:v>
      </x:c>
      <x:c r="Q1278" s="11" t="n">
        <x:f>J1278*'Model inputs'!$B$8</x:f>
        <x:v>-610.0000000000136</x:v>
      </x:c>
      <x:c r="R1278" s="1" t="str">
        <x:v>Outside standard debit bounds</x:v>
      </x:c>
      <x:c r="S1278" s="1" t="n">
        <x:v>752</x:v>
      </x:c>
      <x:c r="T1278" s="1" t="n">
        <x:v>771</x:v>
      </x:c>
    </x:row>
    <x:row r="1279" ht="21" customHeight="1">
      <x:c r="A1279" s="12" t="n">
        <x:v>46261</x:v>
      </x:c>
      <x:c r="B1279" s="1" t="str">
        <x:v>Butterfly</x:v>
      </x:c>
      <x:c r="C1279" s="1" t="str">
        <x:v>put</x:v>
      </x:c>
      <x:c r="D1279" s="11" t="n">
        <x:v>7200</x:v>
      </x:c>
      <x:c r="E1279" s="11" t="n">
        <x:v>7400</x:v>
      </x:c>
      <x:c r="F1279" s="11" t="n">
        <x:v>7600</x:v>
      </x:c>
      <x:c r="G1279" s="11" t="n">
        <x:f>'Option source'!B776</x:f>
        <x:v>525.21</x:v>
      </x:c>
      <x:c r="H1279" s="11" t="n">
        <x:f>'Option source'!B795</x:f>
        <x:v>630.02</x:v>
      </x:c>
      <x:c r="I1279" s="11" t="n">
        <x:f>'Option source'!B814</x:f>
        <x:v>785</x:v>
      </x:c>
      <x:c r="J1279" s="11" t="n">
        <x:f>G1279-2*H1279+IF(B1279="Butterfly",I1279,0)</x:f>
        <x:v>50.17000000000007</x:v>
      </x:c>
      <x:c r="K1279" s="11" t="n">
        <x:f>ABS(E1279-D1279)</x:f>
        <x:v>200</x:v>
      </x:c>
      <x:c r="L1279" s="11" t="n">
        <x:f>K1279-J1279</x:f>
        <x:v>149.82999999999993</x:v>
      </x:c>
      <x:c r="M1279" s="11" t="n">
        <x:f>IF(B1279="Butterfly",MAX(J1279,0),IF(C1279="call","Unlimited",MAX(2*E1279-D1279+J1279,J1279,0)))</x:f>
        <x:v>50.17000000000007</x:v>
      </x:c>
      <x:c r="N1279" s="11" t="n">
        <x:f>IF(B1279="Butterfly",IF(AND(J1279&gt;0,J1279&lt;K1279),D1279+J1279,"n.a."),IF(C1279="call",IF(AND(J1279&gt;0,J1279&lt;K1279),D1279+J1279,"n.a."),IF(AND(K1279&gt;J1279,2*E1279-D1279+J1279&gt;=0),2*E1279-D1279+J1279,"n.a.")))</x:f>
        <x:v>7250.17</x:v>
      </x:c>
      <x:c r="O1279" s="11" t="n">
        <x:f>IF(B1279="Butterfly",IF(AND(J1279&gt;0,J1279&lt;K1279),F1279-J1279,"n.a."),IF(C1279="call",IF(K1279&gt;J1279,2*E1279-D1279-J1279,"n.a."),IF(AND(J1279&gt;0,J1279&lt;K1279),D1279-J1279,"n.a.")))</x:f>
        <x:v>7549.83</x:v>
      </x:c>
      <x:c r="P1279" s="19" t="n">
        <x:f>IF(AND(B1279="Butterfly",J1279&gt;0,J1279&lt;K1279),L1279/J1279,"n.a.")</x:f>
        <x:v>2.9864460833167175</x:v>
      </x:c>
      <x:c r="Q1279" s="11" t="n">
        <x:f>J1279*'Model inputs'!$B$8</x:f>
        <x:v>5017.000000000007</x:v>
      </x:c>
      <x:c r="R1279" s="1" t="str">
        <x:v>Flagged leg data</x:v>
      </x:c>
      <x:c r="S1279" s="1" t="n">
        <x:v>771</x:v>
      </x:c>
      <x:c r="T1279" s="1" t="n">
        <x:v>790</x:v>
      </x:c>
    </x:row>
    <x:row r="1280" ht="21" customHeight="1">
      <x:c r="A1280" s="12" t="n">
        <x:v>46261</x:v>
      </x:c>
      <x:c r="B1280" s="1" t="str">
        <x:v>Butterfly</x:v>
      </x:c>
      <x:c r="C1280" s="1" t="str">
        <x:v>put</x:v>
      </x:c>
      <x:c r="D1280" s="11" t="n">
        <x:v>7400</x:v>
      </x:c>
      <x:c r="E1280" s="11" t="n">
        <x:v>7600</x:v>
      </x:c>
      <x:c r="F1280" s="11" t="n">
        <x:v>7800</x:v>
      </x:c>
      <x:c r="G1280" s="11" t="n">
        <x:f>'Option source'!B795</x:f>
        <x:v>630.02</x:v>
      </x:c>
      <x:c r="H1280" s="11" t="n">
        <x:f>'Option source'!B814</x:f>
        <x:v>785</x:v>
      </x:c>
      <x:c r="I1280" s="11" t="n">
        <x:f>'Option source'!B833</x:f>
        <x:v>905</x:v>
      </x:c>
      <x:c r="J1280" s="11" t="n">
        <x:f>G1280-2*H1280+IF(B1280="Butterfly",I1280,0)</x:f>
        <x:v>-34.98000000000002</x:v>
      </x:c>
      <x:c r="K1280" s="11" t="n">
        <x:f>ABS(E1280-D1280)</x:f>
        <x:v>200</x:v>
      </x:c>
      <x:c r="L1280" s="11" t="n">
        <x:f>K1280-J1280</x:f>
        <x:v>234.98000000000002</x:v>
      </x:c>
      <x:c r="M1280" s="11" t="n">
        <x:f>IF(B1280="Butterfly",MAX(J1280,0),IF(C1280="call","Unlimited",MAX(2*E1280-D1280+J1280,J1280,0)))</x:f>
        <x:v>0</x:v>
      </x:c>
      <x:c r="N1280" s="11" t="str">
        <x:f>IF(B1280="Butterfly",IF(AND(J1280&gt;0,J1280&lt;K1280),D1280+J1280,"n.a."),IF(C1280="call",IF(AND(J1280&gt;0,J1280&lt;K1280),D1280+J1280,"n.a."),IF(AND(K1280&gt;J1280,2*E1280-D1280+J1280&gt;=0),2*E1280-D1280+J1280,"n.a.")))</x:f>
        <x:v>n.a.</x:v>
      </x:c>
      <x:c r="O1280" s="11" t="str">
        <x:f>IF(B1280="Butterfly",IF(AND(J1280&gt;0,J1280&lt;K1280),F1280-J1280,"n.a."),IF(C1280="call",IF(K1280&gt;J1280,2*E1280-D1280-J1280,"n.a."),IF(AND(J1280&gt;0,J1280&lt;K1280),D1280-J1280,"n.a.")))</x:f>
        <x:v>n.a.</x:v>
      </x:c>
      <x:c r="P1280" s="19" t="str">
        <x:f>IF(AND(B1280="Butterfly",J1280&gt;0,J1280&lt;K1280),L1280/J1280,"n.a.")</x:f>
        <x:v>n.a.</x:v>
      </x:c>
      <x:c r="Q1280" s="11" t="n">
        <x:f>J1280*'Model inputs'!$B$8</x:f>
        <x:v>-3498.000000000002</x:v>
      </x:c>
      <x:c r="R1280" s="1" t="str">
        <x:v>Outside standard debit bounds</x:v>
      </x:c>
      <x:c r="S1280" s="1" t="n">
        <x:v>790</x:v>
      </x:c>
      <x:c r="T1280" s="1" t="n">
        <x:v>809</x:v>
      </x:c>
    </x:row>
    <x:row r="1281" ht="21" customHeight="1">
      <x:c r="A1281" s="12" t="n">
        <x:v>46261</x:v>
      </x:c>
      <x:c r="B1281" s="1" t="str">
        <x:v>Butterfly</x:v>
      </x:c>
      <x:c r="C1281" s="1" t="str">
        <x:v>put</x:v>
      </x:c>
      <x:c r="D1281" s="11" t="n">
        <x:v>7600</x:v>
      </x:c>
      <x:c r="E1281" s="11" t="n">
        <x:v>7800</x:v>
      </x:c>
      <x:c r="F1281" s="11" t="n">
        <x:v>8000</x:v>
      </x:c>
      <x:c r="G1281" s="11" t="n">
        <x:f>'Option source'!B814</x:f>
        <x:v>785</x:v>
      </x:c>
      <x:c r="H1281" s="11" t="n">
        <x:f>'Option source'!B833</x:f>
        <x:v>905</x:v>
      </x:c>
      <x:c r="I1281" s="11" t="n">
        <x:f>'Option source'!B852</x:f>
        <x:v>1127.14</x:v>
      </x:c>
      <x:c r="J1281" s="11" t="n">
        <x:f>G1281-2*H1281+IF(B1281="Butterfly",I1281,0)</x:f>
        <x:v>102.1400000000001</x:v>
      </x:c>
      <x:c r="K1281" s="11" t="n">
        <x:f>ABS(E1281-D1281)</x:f>
        <x:v>200</x:v>
      </x:c>
      <x:c r="L1281" s="11" t="n">
        <x:f>K1281-J1281</x:f>
        <x:v>97.8599999999999</x:v>
      </x:c>
      <x:c r="M1281" s="11" t="n">
        <x:f>IF(B1281="Butterfly",MAX(J1281,0),IF(C1281="call","Unlimited",MAX(2*E1281-D1281+J1281,J1281,0)))</x:f>
        <x:v>102.1400000000001</x:v>
      </x:c>
      <x:c r="N1281" s="11" t="n">
        <x:f>IF(B1281="Butterfly",IF(AND(J1281&gt;0,J1281&lt;K1281),D1281+J1281,"n.a."),IF(C1281="call",IF(AND(J1281&gt;0,J1281&lt;K1281),D1281+J1281,"n.a."),IF(AND(K1281&gt;J1281,2*E1281-D1281+J1281&gt;=0),2*E1281-D1281+J1281,"n.a.")))</x:f>
        <x:v>7702.14</x:v>
      </x:c>
      <x:c r="O1281" s="11" t="n">
        <x:f>IF(B1281="Butterfly",IF(AND(J1281&gt;0,J1281&lt;K1281),F1281-J1281,"n.a."),IF(C1281="call",IF(K1281&gt;J1281,2*E1281-D1281-J1281,"n.a."),IF(AND(J1281&gt;0,J1281&lt;K1281),D1281-J1281,"n.a.")))</x:f>
        <x:v>7897.86</x:v>
      </x:c>
      <x:c r="P1281" s="19" t="n">
        <x:f>IF(AND(B1281="Butterfly",J1281&gt;0,J1281&lt;K1281),L1281/J1281,"n.a.")</x:f>
        <x:v>0.9580967299784591</x:v>
      </x:c>
      <x:c r="Q1281" s="11" t="n">
        <x:f>J1281*'Model inputs'!$B$8</x:f>
        <x:v>10214.000000000011</x:v>
      </x:c>
      <x:c r="R1281" s="1" t="str">
        <x:v>Flagged leg data</x:v>
      </x:c>
      <x:c r="S1281" s="1" t="n">
        <x:v>809</x:v>
      </x:c>
      <x:c r="T1281" s="1" t="n">
        <x:v>828</x:v>
      </x:c>
    </x:row>
    <x:row r="1282" ht="21" customHeight="1">
      <x:c r="A1282" s="12" t="n">
        <x:v>46261</x:v>
      </x:c>
      <x:c r="B1282" s="1" t="str">
        <x:v>Butterfly</x:v>
      </x:c>
      <x:c r="C1282" s="1" t="str">
        <x:v>put</x:v>
      </x:c>
      <x:c r="D1282" s="11" t="n">
        <x:v>8000</x:v>
      </x:c>
      <x:c r="E1282" s="11" t="n">
        <x:v>8300</x:v>
      </x:c>
      <x:c r="F1282" s="11" t="n">
        <x:v>8600</x:v>
      </x:c>
      <x:c r="G1282" s="11" t="n">
        <x:f>'Option source'!B852</x:f>
        <x:v>1127.14</x:v>
      </x:c>
      <x:c r="H1282" s="11" t="n">
        <x:f>'Option source'!B871</x:f>
        <x:v>1291.94</x:v>
      </x:c>
      <x:c r="I1282" s="11" t="n">
        <x:f>'Option source'!B890</x:f>
        <x:v>1725</x:v>
      </x:c>
      <x:c r="J1282" s="11" t="n">
        <x:f>G1282-2*H1282+IF(B1282="Butterfly",I1282,0)</x:f>
        <x:v>268.26</x:v>
      </x:c>
      <x:c r="K1282" s="11" t="n">
        <x:f>ABS(E1282-D1282)</x:f>
        <x:v>300</x:v>
      </x:c>
      <x:c r="L1282" s="11" t="n">
        <x:f>K1282-J1282</x:f>
        <x:v>31.74000000000001</x:v>
      </x:c>
      <x:c r="M1282" s="11" t="n">
        <x:f>IF(B1282="Butterfly",MAX(J1282,0),IF(C1282="call","Unlimited",MAX(2*E1282-D1282+J1282,J1282,0)))</x:f>
        <x:v>268.26</x:v>
      </x:c>
      <x:c r="N1282" s="11" t="n">
        <x:f>IF(B1282="Butterfly",IF(AND(J1282&gt;0,J1282&lt;K1282),D1282+J1282,"n.a."),IF(C1282="call",IF(AND(J1282&gt;0,J1282&lt;K1282),D1282+J1282,"n.a."),IF(AND(K1282&gt;J1282,2*E1282-D1282+J1282&gt;=0),2*E1282-D1282+J1282,"n.a.")))</x:f>
        <x:v>8268.26</x:v>
      </x:c>
      <x:c r="O1282" s="11" t="n">
        <x:f>IF(B1282="Butterfly",IF(AND(J1282&gt;0,J1282&lt;K1282),F1282-J1282,"n.a."),IF(C1282="call",IF(K1282&gt;J1282,2*E1282-D1282-J1282,"n.a."),IF(AND(J1282&gt;0,J1282&lt;K1282),D1282-J1282,"n.a.")))</x:f>
        <x:v>8331.74</x:v>
      </x:c>
      <x:c r="P1282" s="19" t="n">
        <x:f>IF(AND(B1282="Butterfly",J1282&gt;0,J1282&lt;K1282),L1282/J1282,"n.a.")</x:f>
        <x:v>0.11831804965332145</x:v>
      </x:c>
      <x:c r="Q1282" s="11" t="n">
        <x:f>J1282*'Model inputs'!$B$8</x:f>
        <x:v>26826</x:v>
      </x:c>
      <x:c r="R1282" s="1" t="str">
        <x:v>Flagged leg data</x:v>
      </x:c>
      <x:c r="S1282" s="1" t="n">
        <x:v>847</x:v>
      </x:c>
      <x:c r="T1282" s="1" t="n">
        <x:v>866</x:v>
      </x:c>
    </x:row>
    <x:row r="1283" ht="21" customHeight="1">
      <x:c r="A1283" s="12" t="n">
        <x:v>46261</x:v>
      </x:c>
      <x:c r="B1283" s="1" t="str">
        <x:v>Butterfly</x:v>
      </x:c>
      <x:c r="C1283" s="1" t="str">
        <x:v>call</x:v>
      </x:c>
      <x:c r="D1283" s="11" t="n">
        <x:v>5200</x:v>
      </x:c>
      <x:c r="E1283" s="11" t="n">
        <x:v>5400</x:v>
      </x:c>
      <x:c r="F1283" s="11" t="n">
        <x:v>5600</x:v>
      </x:c>
      <x:c r="G1283" s="11" t="n">
        <x:f>'Option source'!B102</x:f>
        <x:v>1861.9</x:v>
      </x:c>
      <x:c r="H1283" s="11" t="n">
        <x:f>'Option source'!B121</x:f>
        <x:v>1790.79</x:v>
      </x:c>
      <x:c r="I1283" s="11" t="n">
        <x:f>'Option source'!B139</x:f>
        <x:v>1490.13</x:v>
      </x:c>
      <x:c r="J1283" s="11" t="n">
        <x:f>G1283-2*H1283+IF(B1283="Butterfly",I1283,0)</x:f>
        <x:v>-229.54999999999973</x:v>
      </x:c>
      <x:c r="K1283" s="11" t="n">
        <x:f>ABS(E1283-D1283)</x:f>
        <x:v>200</x:v>
      </x:c>
      <x:c r="L1283" s="11" t="n">
        <x:f>K1283-J1283</x:f>
        <x:v>429.5499999999997</x:v>
      </x:c>
      <x:c r="M1283" s="11" t="n">
        <x:f>IF(B1283="Butterfly",MAX(J1283,0),IF(C1283="call","Unlimited",MAX(2*E1283-D1283+J1283,J1283,0)))</x:f>
        <x:v>0</x:v>
      </x:c>
      <x:c r="N1283" s="11" t="str">
        <x:f>IF(B1283="Butterfly",IF(AND(J1283&gt;0,J1283&lt;K1283),D1283+J1283,"n.a."),IF(C1283="call",IF(AND(J1283&gt;0,J1283&lt;K1283),D1283+J1283,"n.a."),IF(AND(K1283&gt;J1283,2*E1283-D1283+J1283&gt;=0),2*E1283-D1283+J1283,"n.a.")))</x:f>
        <x:v>n.a.</x:v>
      </x:c>
      <x:c r="O1283" s="11" t="str">
        <x:f>IF(B1283="Butterfly",IF(AND(J1283&gt;0,J1283&lt;K1283),F1283-J1283,"n.a."),IF(C1283="call",IF(K1283&gt;J1283,2*E1283-D1283-J1283,"n.a."),IF(AND(J1283&gt;0,J1283&lt;K1283),D1283-J1283,"n.a.")))</x:f>
        <x:v>n.a.</x:v>
      </x:c>
      <x:c r="P1283" s="19" t="str">
        <x:f>IF(AND(B1283="Butterfly",J1283&gt;0,J1283&lt;K1283),L1283/J1283,"n.a.")</x:f>
        <x:v>n.a.</x:v>
      </x:c>
      <x:c r="Q1283" s="11" t="n">
        <x:f>J1283*'Model inputs'!$B$8</x:f>
        <x:v>-22954.99999999997</x:v>
      </x:c>
      <x:c r="R1283" s="1" t="str">
        <x:v>Outside standard debit bounds</x:v>
      </x:c>
      <x:c r="S1283" s="1" t="n">
        <x:v>97</x:v>
      </x:c>
      <x:c r="T1283" s="1" t="n">
        <x:v>116</x:v>
      </x:c>
    </x:row>
    <x:row r="1284" ht="21" customHeight="1">
      <x:c r="A1284" s="12" t="n">
        <x:v>46261</x:v>
      </x:c>
      <x:c r="B1284" s="1" t="str">
        <x:v>Butterfly</x:v>
      </x:c>
      <x:c r="C1284" s="1" t="str">
        <x:v>call</x:v>
      </x:c>
      <x:c r="D1284" s="11" t="n">
        <x:v>5000</x:v>
      </x:c>
      <x:c r="E1284" s="11" t="n">
        <x:v>5200</x:v>
      </x:c>
      <x:c r="F1284" s="11" t="n">
        <x:v>5400</x:v>
      </x:c>
      <x:c r="G1284" s="11" t="n">
        <x:f>'Option source'!B83</x:f>
        <x:v>2030</x:v>
      </x:c>
      <x:c r="H1284" s="11" t="n">
        <x:f>'Option source'!B102</x:f>
        <x:v>1861.9</x:v>
      </x:c>
      <x:c r="I1284" s="11" t="n">
        <x:f>'Option source'!B121</x:f>
        <x:v>1790.79</x:v>
      </x:c>
      <x:c r="J1284" s="11" t="n">
        <x:f>G1284-2*H1284+IF(B1284="Butterfly",I1284,0)</x:f>
        <x:v>96.98999999999978</x:v>
      </x:c>
      <x:c r="K1284" s="11" t="n">
        <x:f>ABS(E1284-D1284)</x:f>
        <x:v>200</x:v>
      </x:c>
      <x:c r="L1284" s="11" t="n">
        <x:f>K1284-J1284</x:f>
        <x:v>103.01000000000022</x:v>
      </x:c>
      <x:c r="M1284" s="11" t="n">
        <x:f>IF(B1284="Butterfly",MAX(J1284,0),IF(C1284="call","Unlimited",MAX(2*E1284-D1284+J1284,J1284,0)))</x:f>
        <x:v>96.98999999999978</x:v>
      </x:c>
      <x:c r="N1284" s="11" t="n">
        <x:f>IF(B1284="Butterfly",IF(AND(J1284&gt;0,J1284&lt;K1284),D1284+J1284,"n.a."),IF(C1284="call",IF(AND(J1284&gt;0,J1284&lt;K1284),D1284+J1284,"n.a."),IF(AND(K1284&gt;J1284,2*E1284-D1284+J1284&gt;=0),2*E1284-D1284+J1284,"n.a.")))</x:f>
        <x:v>5096.99</x:v>
      </x:c>
      <x:c r="O1284" s="11" t="n">
        <x:f>IF(B1284="Butterfly",IF(AND(J1284&gt;0,J1284&lt;K1284),F1284-J1284,"n.a."),IF(C1284="call",IF(K1284&gt;J1284,2*E1284-D1284-J1284,"n.a."),IF(AND(J1284&gt;0,J1284&lt;K1284),D1284-J1284,"n.a.")))</x:f>
        <x:v>5303.01</x:v>
      </x:c>
      <x:c r="P1284" s="19" t="n">
        <x:f>IF(AND(B1284="Butterfly",J1284&gt;0,J1284&lt;K1284),L1284/J1284,"n.a.")</x:f>
        <x:v>1.0620682544592273</x:v>
      </x:c>
      <x:c r="Q1284" s="11" t="n">
        <x:f>J1284*'Model inputs'!$B$8</x:f>
        <x:v>9698.999999999978</x:v>
      </x:c>
      <x:c r="R1284" s="1" t="str">
        <x:v>Flagged leg data</x:v>
      </x:c>
      <x:c r="S1284" s="1" t="n">
        <x:v>78</x:v>
      </x:c>
      <x:c r="T1284" s="1" t="n">
        <x:v>97</x:v>
      </x:c>
    </x:row>
    <x:row r="1285" ht="21" customHeight="1">
      <x:c r="A1285" s="12" t="n">
        <x:v>46261</x:v>
      </x:c>
      <x:c r="B1285" s="1" t="str">
        <x:v>Butterfly</x:v>
      </x:c>
      <x:c r="C1285" s="1" t="str">
        <x:v>put</x:v>
      </x:c>
      <x:c r="D1285" s="11" t="n">
        <x:v>8300</x:v>
      </x:c>
      <x:c r="E1285" s="11" t="n">
        <x:v>8600</x:v>
      </x:c>
      <x:c r="F1285" s="11" t="n">
        <x:v>8900</x:v>
      </x:c>
      <x:c r="G1285" s="11" t="n">
        <x:f>'Option source'!B871</x:f>
        <x:v>1291.94</x:v>
      </x:c>
      <x:c r="H1285" s="11" t="n">
        <x:f>'Option source'!B890</x:f>
        <x:v>1725</x:v>
      </x:c>
      <x:c r="I1285" s="11" t="n">
        <x:f>'Option source'!B905</x:f>
        <x:v>2022.5</x:v>
      </x:c>
      <x:c r="J1285" s="11" t="n">
        <x:f>G1285-2*H1285+IF(B1285="Butterfly",I1285,0)</x:f>
        <x:v>-135.55999999999995</x:v>
      </x:c>
      <x:c r="K1285" s="11" t="n">
        <x:f>ABS(E1285-D1285)</x:f>
        <x:v>300</x:v>
      </x:c>
      <x:c r="L1285" s="11" t="n">
        <x:f>K1285-J1285</x:f>
        <x:v>435.55999999999995</x:v>
      </x:c>
      <x:c r="M1285" s="11" t="n">
        <x:f>IF(B1285="Butterfly",MAX(J1285,0),IF(C1285="call","Unlimited",MAX(2*E1285-D1285+J1285,J1285,0)))</x:f>
        <x:v>0</x:v>
      </x:c>
      <x:c r="N1285" s="11" t="str">
        <x:f>IF(B1285="Butterfly",IF(AND(J1285&gt;0,J1285&lt;K1285),D1285+J1285,"n.a."),IF(C1285="call",IF(AND(J1285&gt;0,J1285&lt;K1285),D1285+J1285,"n.a."),IF(AND(K1285&gt;J1285,2*E1285-D1285+J1285&gt;=0),2*E1285-D1285+J1285,"n.a.")))</x:f>
        <x:v>n.a.</x:v>
      </x:c>
      <x:c r="O1285" s="11" t="str">
        <x:f>IF(B1285="Butterfly",IF(AND(J1285&gt;0,J1285&lt;K1285),F1285-J1285,"n.a."),IF(C1285="call",IF(K1285&gt;J1285,2*E1285-D1285-J1285,"n.a."),IF(AND(J1285&gt;0,J1285&lt;K1285),D1285-J1285,"n.a.")))</x:f>
        <x:v>n.a.</x:v>
      </x:c>
      <x:c r="P1285" s="19" t="str">
        <x:f>IF(AND(B1285="Butterfly",J1285&gt;0,J1285&lt;K1285),L1285/J1285,"n.a.")</x:f>
        <x:v>n.a.</x:v>
      </x:c>
      <x:c r="Q1285" s="11" t="n">
        <x:f>J1285*'Model inputs'!$B$8</x:f>
        <x:v>-13555.999999999995</x:v>
      </x:c>
      <x:c r="R1285" s="1" t="str">
        <x:v>Outside standard debit bounds</x:v>
      </x:c>
      <x:c r="S1285" s="1" t="n">
        <x:v>866</x:v>
      </x:c>
      <x:c r="T1285" s="1" t="n">
        <x:v>885</x:v>
      </x:c>
    </x:row>
    <x:row r="1286" ht="21" customHeight="1">
      <x:c r="A1286" s="12" t="n">
        <x:v>46261</x:v>
      </x:c>
      <x:c r="B1286" s="1" t="str">
        <x:v>Butterfly</x:v>
      </x:c>
      <x:c r="C1286" s="1" t="str">
        <x:v>call</x:v>
      </x:c>
      <x:c r="D1286" s="11" t="n">
        <x:v>4800</x:v>
      </x:c>
      <x:c r="E1286" s="11" t="n">
        <x:v>5000</x:v>
      </x:c>
      <x:c r="F1286" s="11" t="n">
        <x:v>5200</x:v>
      </x:c>
      <x:c r="G1286" s="11" t="n">
        <x:f>'Option source'!B66</x:f>
        <x:v>2186.6</x:v>
      </x:c>
      <x:c r="H1286" s="11" t="n">
        <x:f>'Option source'!B83</x:f>
        <x:v>2030</x:v>
      </x:c>
      <x:c r="I1286" s="11" t="n">
        <x:f>'Option source'!B102</x:f>
        <x:v>1861.9</x:v>
      </x:c>
      <x:c r="J1286" s="11" t="n">
        <x:f>G1286-2*H1286+IF(B1286="Butterfly",I1286,0)</x:f>
        <x:v>-11.5</x:v>
      </x:c>
      <x:c r="K1286" s="11" t="n">
        <x:f>ABS(E1286-D1286)</x:f>
        <x:v>200</x:v>
      </x:c>
      <x:c r="L1286" s="11" t="n">
        <x:f>K1286-J1286</x:f>
        <x:v>211.5</x:v>
      </x:c>
      <x:c r="M1286" s="11" t="n">
        <x:f>IF(B1286="Butterfly",MAX(J1286,0),IF(C1286="call","Unlimited",MAX(2*E1286-D1286+J1286,J1286,0)))</x:f>
        <x:v>0</x:v>
      </x:c>
      <x:c r="N1286" s="11" t="str">
        <x:f>IF(B1286="Butterfly",IF(AND(J1286&gt;0,J1286&lt;K1286),D1286+J1286,"n.a."),IF(C1286="call",IF(AND(J1286&gt;0,J1286&lt;K1286),D1286+J1286,"n.a."),IF(AND(K1286&gt;J1286,2*E1286-D1286+J1286&gt;=0),2*E1286-D1286+J1286,"n.a.")))</x:f>
        <x:v>n.a.</x:v>
      </x:c>
      <x:c r="O1286" s="11" t="str">
        <x:f>IF(B1286="Butterfly",IF(AND(J1286&gt;0,J1286&lt;K1286),F1286-J1286,"n.a."),IF(C1286="call",IF(K1286&gt;J1286,2*E1286-D1286-J1286,"n.a."),IF(AND(J1286&gt;0,J1286&lt;K1286),D1286-J1286,"n.a.")))</x:f>
        <x:v>n.a.</x:v>
      </x:c>
      <x:c r="P1286" s="19" t="str">
        <x:f>IF(AND(B1286="Butterfly",J1286&gt;0,J1286&lt;K1286),L1286/J1286,"n.a.")</x:f>
        <x:v>n.a.</x:v>
      </x:c>
      <x:c r="Q1286" s="11" t="n">
        <x:f>J1286*'Model inputs'!$B$8</x:f>
        <x:v>-1150</x:v>
      </x:c>
      <x:c r="R1286" s="1" t="str">
        <x:v>Outside standard debit bounds</x:v>
      </x:c>
      <x:c r="S1286" s="1" t="n">
        <x:v>61</x:v>
      </x:c>
      <x:c r="T1286" s="1" t="n">
        <x:v>78</x:v>
      </x:c>
    </x:row>
    <x:row r="1287" ht="21" customHeight="1">
      <x:c r="A1287" s="12" t="n">
        <x:v>46261</x:v>
      </x:c>
      <x:c r="B1287" s="1" t="str">
        <x:v>Butterfly</x:v>
      </x:c>
      <x:c r="C1287" s="1" t="str">
        <x:v>call</x:v>
      </x:c>
      <x:c r="D1287" s="11" t="n">
        <x:v>4600</x:v>
      </x:c>
      <x:c r="E1287" s="11" t="n">
        <x:v>4800</x:v>
      </x:c>
      <x:c r="F1287" s="11" t="n">
        <x:v>5000</x:v>
      </x:c>
      <x:c r="G1287" s="11" t="n">
        <x:f>'Option source'!B49</x:f>
        <x:v>2400.31</x:v>
      </x:c>
      <x:c r="H1287" s="11" t="n">
        <x:f>'Option source'!B66</x:f>
        <x:v>2186.6</x:v>
      </x:c>
      <x:c r="I1287" s="11" t="n">
        <x:f>'Option source'!B83</x:f>
        <x:v>2030</x:v>
      </x:c>
      <x:c r="J1287" s="11" t="n">
        <x:f>G1287-2*H1287+IF(B1287="Butterfly",I1287,0)</x:f>
        <x:v>57.11000000000013</x:v>
      </x:c>
      <x:c r="K1287" s="11" t="n">
        <x:f>ABS(E1287-D1287)</x:f>
        <x:v>200</x:v>
      </x:c>
      <x:c r="L1287" s="11" t="n">
        <x:f>K1287-J1287</x:f>
        <x:v>142.88999999999987</x:v>
      </x:c>
      <x:c r="M1287" s="11" t="n">
        <x:f>IF(B1287="Butterfly",MAX(J1287,0),IF(C1287="call","Unlimited",MAX(2*E1287-D1287+J1287,J1287,0)))</x:f>
        <x:v>57.11000000000013</x:v>
      </x:c>
      <x:c r="N1287" s="11" t="n">
        <x:f>IF(B1287="Butterfly",IF(AND(J1287&gt;0,J1287&lt;K1287),D1287+J1287,"n.a."),IF(C1287="call",IF(AND(J1287&gt;0,J1287&lt;K1287),D1287+J1287,"n.a."),IF(AND(K1287&gt;J1287,2*E1287-D1287+J1287&gt;=0),2*E1287-D1287+J1287,"n.a.")))</x:f>
        <x:v>4657.110000000001</x:v>
      </x:c>
      <x:c r="O1287" s="11" t="n">
        <x:f>IF(B1287="Butterfly",IF(AND(J1287&gt;0,J1287&lt;K1287),F1287-J1287,"n.a."),IF(C1287="call",IF(K1287&gt;J1287,2*E1287-D1287-J1287,"n.a."),IF(AND(J1287&gt;0,J1287&lt;K1287),D1287-J1287,"n.a.")))</x:f>
        <x:v>4942.889999999999</x:v>
      </x:c>
      <x:c r="P1287" s="19" t="n">
        <x:f>IF(AND(B1287="Butterfly",J1287&gt;0,J1287&lt;K1287),L1287/J1287,"n.a.")</x:f>
        <x:v>2.502013657853258</x:v>
      </x:c>
      <x:c r="Q1287" s="11" t="n">
        <x:f>J1287*'Model inputs'!$B$8</x:f>
        <x:v>5711.000000000013</x:v>
      </x:c>
      <x:c r="R1287" s="1" t="str">
        <x:v>Flagged leg data</x:v>
      </x:c>
      <x:c r="S1287" s="1" t="n">
        <x:v>44</x:v>
      </x:c>
      <x:c r="T1287" s="1" t="n">
        <x:v>61</x:v>
      </x:c>
    </x:row>
    <x:row r="1288" ht="21" customHeight="1">
      <x:c r="A1288" s="12" t="n">
        <x:v>46261</x:v>
      </x:c>
      <x:c r="B1288" s="1" t="str">
        <x:v>Butterfly</x:v>
      </x:c>
      <x:c r="C1288" s="1" t="str">
        <x:v>call</x:v>
      </x:c>
      <x:c r="D1288" s="11" t="n">
        <x:v>4400</x:v>
      </x:c>
      <x:c r="E1288" s="11" t="n">
        <x:v>4600</x:v>
      </x:c>
      <x:c r="F1288" s="11" t="n">
        <x:v>4800</x:v>
      </x:c>
      <x:c r="G1288" s="11" t="n">
        <x:f>'Option source'!B30</x:f>
        <x:v>2387.12</x:v>
      </x:c>
      <x:c r="H1288" s="11" t="n">
        <x:f>'Option source'!B49</x:f>
        <x:v>2400.31</x:v>
      </x:c>
      <x:c r="I1288" s="11" t="n">
        <x:f>'Option source'!B66</x:f>
        <x:v>2186.6</x:v>
      </x:c>
      <x:c r="J1288" s="11" t="n">
        <x:f>G1288-2*H1288+IF(B1288="Butterfly",I1288,0)</x:f>
        <x:v>-226.9000000000001</x:v>
      </x:c>
      <x:c r="K1288" s="11" t="n">
        <x:f>ABS(E1288-D1288)</x:f>
        <x:v>200</x:v>
      </x:c>
      <x:c r="L1288" s="11" t="n">
        <x:f>K1288-J1288</x:f>
        <x:v>426.9000000000001</x:v>
      </x:c>
      <x:c r="M1288" s="11" t="n">
        <x:f>IF(B1288="Butterfly",MAX(J1288,0),IF(C1288="call","Unlimited",MAX(2*E1288-D1288+J1288,J1288,0)))</x:f>
        <x:v>0</x:v>
      </x:c>
      <x:c r="N1288" s="11" t="str">
        <x:f>IF(B1288="Butterfly",IF(AND(J1288&gt;0,J1288&lt;K1288),D1288+J1288,"n.a."),IF(C1288="call",IF(AND(J1288&gt;0,J1288&lt;K1288),D1288+J1288,"n.a."),IF(AND(K1288&gt;J1288,2*E1288-D1288+J1288&gt;=0),2*E1288-D1288+J1288,"n.a.")))</x:f>
        <x:v>n.a.</x:v>
      </x:c>
      <x:c r="O1288" s="11" t="str">
        <x:f>IF(B1288="Butterfly",IF(AND(J1288&gt;0,J1288&lt;K1288),F1288-J1288,"n.a."),IF(C1288="call",IF(K1288&gt;J1288,2*E1288-D1288-J1288,"n.a."),IF(AND(J1288&gt;0,J1288&lt;K1288),D1288-J1288,"n.a.")))</x:f>
        <x:v>n.a.</x:v>
      </x:c>
      <x:c r="P1288" s="19" t="str">
        <x:f>IF(AND(B1288="Butterfly",J1288&gt;0,J1288&lt;K1288),L1288/J1288,"n.a.")</x:f>
        <x:v>n.a.</x:v>
      </x:c>
      <x:c r="Q1288" s="11" t="n">
        <x:f>J1288*'Model inputs'!$B$8</x:f>
        <x:v>-22690.000000000007</x:v>
      </x:c>
      <x:c r="R1288" s="1" t="str">
        <x:v>Outside standard debit bounds</x:v>
      </x:c>
      <x:c r="S1288" s="1" t="n">
        <x:v>25</x:v>
      </x:c>
      <x:c r="T1288" s="1" t="n">
        <x:v>44</x:v>
      </x:c>
    </x:row>
    <x:row r="1289" ht="21" customHeight="1">
      <x:c r="A1289" s="12" t="n">
        <x:v>46261</x:v>
      </x:c>
      <x:c r="B1289" s="1" t="str">
        <x:v>Butterfly</x:v>
      </x:c>
      <x:c r="C1289" s="1" t="str">
        <x:v>call</x:v>
      </x:c>
      <x:c r="D1289" s="11" t="n">
        <x:v>4200</x:v>
      </x:c>
      <x:c r="E1289" s="11" t="n">
        <x:v>4400</x:v>
      </x:c>
      <x:c r="F1289" s="11" t="n">
        <x:v>4600</x:v>
      </x:c>
      <x:c r="G1289" s="11" t="n">
        <x:f>'Option source'!B11</x:f>
        <x:v>2815</x:v>
      </x:c>
      <x:c r="H1289" s="11" t="n">
        <x:f>'Option source'!B30</x:f>
        <x:v>2387.12</x:v>
      </x:c>
      <x:c r="I1289" s="11" t="n">
        <x:f>'Option source'!B49</x:f>
        <x:v>2400.31</x:v>
      </x:c>
      <x:c r="J1289" s="11" t="n">
        <x:f>G1289-2*H1289+IF(B1289="Butterfly",I1289,0)</x:f>
        <x:v>441.07000000000016</x:v>
      </x:c>
      <x:c r="K1289" s="11" t="n">
        <x:f>ABS(E1289-D1289)</x:f>
        <x:v>200</x:v>
      </x:c>
      <x:c r="L1289" s="11" t="n">
        <x:f>K1289-J1289</x:f>
        <x:v>-241.07000000000016</x:v>
      </x:c>
      <x:c r="M1289" s="11" t="n">
        <x:f>IF(B1289="Butterfly",MAX(J1289,0),IF(C1289="call","Unlimited",MAX(2*E1289-D1289+J1289,J1289,0)))</x:f>
        <x:v>441.07000000000016</x:v>
      </x:c>
      <x:c r="N1289" s="11" t="str">
        <x:f>IF(B1289="Butterfly",IF(AND(J1289&gt;0,J1289&lt;K1289),D1289+J1289,"n.a."),IF(C1289="call",IF(AND(J1289&gt;0,J1289&lt;K1289),D1289+J1289,"n.a."),IF(AND(K1289&gt;J1289,2*E1289-D1289+J1289&gt;=0),2*E1289-D1289+J1289,"n.a.")))</x:f>
        <x:v>n.a.</x:v>
      </x:c>
      <x:c r="O1289" s="11" t="str">
        <x:f>IF(B1289="Butterfly",IF(AND(J1289&gt;0,J1289&lt;K1289),F1289-J1289,"n.a."),IF(C1289="call",IF(K1289&gt;J1289,2*E1289-D1289-J1289,"n.a."),IF(AND(J1289&gt;0,J1289&lt;K1289),D1289-J1289,"n.a.")))</x:f>
        <x:v>n.a.</x:v>
      </x:c>
      <x:c r="P1289" s="19" t="str">
        <x:f>IF(AND(B1289="Butterfly",J1289&gt;0,J1289&lt;K1289),L1289/J1289,"n.a.")</x:f>
        <x:v>n.a.</x:v>
      </x:c>
      <x:c r="Q1289" s="11" t="n">
        <x:f>J1289*'Model inputs'!$B$8</x:f>
        <x:v>44107.000000000015</x:v>
      </x:c>
      <x:c r="R1289" s="1" t="str">
        <x:v>Outside standard debit bounds</x:v>
      </x:c>
      <x:c r="S1289" s="1" t="n">
        <x:v>6</x:v>
      </x:c>
      <x:c r="T1289" s="1" t="n">
        <x:v>25</x:v>
      </x:c>
    </x:row>
    <x:row r="1290" ht="21" customHeight="1">
      <x:c r="A1290" s="12" t="n">
        <x:v>46261</x:v>
      </x:c>
      <x:c r="B1290" s="1" t="str">
        <x:v>1x2 ratio</x:v>
      </x:c>
      <x:c r="C1290" s="1" t="str">
        <x:v>call</x:v>
      </x:c>
      <x:c r="D1290" s="11" t="n">
        <x:v>6600</x:v>
      </x:c>
      <x:c r="E1290" s="11" t="n">
        <x:v>6800</x:v>
      </x:c>
      <x:c r="F1290" s="11"/>
      <x:c r="G1290" s="11" t="n">
        <x:f>'Option source'!B225</x:f>
        <x:v>706.67</x:v>
      </x:c>
      <x:c r="H1290" s="11" t="n">
        <x:f>'Option source'!B244</x:f>
        <x:v>587.6</x:v>
      </x:c>
      <x:c r="I1290" s="11"/>
      <x:c r="J1290" s="11" t="n">
        <x:f>G1290-2*H1290+IF(B1290="Butterfly",I1290,0)</x:f>
        <x:v>-468.5300000000001</x:v>
      </x:c>
      <x:c r="K1290" s="11" t="n">
        <x:f>ABS(E1290-D1290)</x:f>
        <x:v>200</x:v>
      </x:c>
      <x:c r="L1290" s="11" t="n">
        <x:f>K1290-J1290</x:f>
        <x:v>668.5300000000001</x:v>
      </x:c>
      <x:c r="M1290" s="11" t="str">
        <x:f>IF(B1290="Butterfly",MAX(J1290,0),IF(C1290="call","Unlimited",MAX(2*E1290-D1290+J1290,J1290,0)))</x:f>
        <x:v>Unlimited</x:v>
      </x:c>
      <x:c r="N1290" s="11" t="str">
        <x:f>IF(B1290="Butterfly",IF(AND(J1290&gt;0,J1290&lt;K1290),D1290+J1290,"n.a."),IF(C1290="call",IF(AND(J1290&gt;0,J1290&lt;K1290),D1290+J1290,"n.a."),IF(AND(K1290&gt;J1290,2*E1290-D1290+J1290&gt;=0),2*E1290-D1290+J1290,"n.a.")))</x:f>
        <x:v>n.a.</x:v>
      </x:c>
      <x:c r="O1290" s="11" t="n">
        <x:f>IF(B1290="Butterfly",IF(AND(J1290&gt;0,J1290&lt;K1290),F1290-J1290,"n.a."),IF(C1290="call",IF(K1290&gt;J1290,2*E1290-D1290-J1290,"n.a."),IF(AND(J1290&gt;0,J1290&lt;K1290),D1290-J1290,"n.a.")))</x:f>
        <x:v>7468.53</x:v>
      </x:c>
      <x:c r="P1290" s="19" t="str">
        <x:f>IF(AND(B1290="Butterfly",J1290&gt;0,J1290&lt;K1290),L1290/J1290,"n.a.")</x:f>
        <x:v>n.a.</x:v>
      </x:c>
      <x:c r="Q1290" s="11" t="n">
        <x:f>J1290*'Model inputs'!$B$8</x:f>
        <x:v>-46853.00000000001</x:v>
      </x:c>
      <x:c r="R1290" s="1" t="str">
        <x:v>Indicative only</x:v>
      </x:c>
      <x:c r="S1290" s="1" t="n">
        <x:v>220</x:v>
      </x:c>
      <x:c r="T1290" s="1" t="n">
        <x:v>239</x:v>
      </x:c>
    </x:row>
    <x:row r="1291" ht="21" customHeight="1">
      <x:c r="A1291" s="12" t="n">
        <x:v>46261</x:v>
      </x:c>
      <x:c r="B1291" s="1" t="str">
        <x:v>1x2 ratio</x:v>
      </x:c>
      <x:c r="C1291" s="1" t="str">
        <x:v>put</x:v>
      </x:c>
      <x:c r="D1291" s="11" t="n">
        <x:v>7000</x:v>
      </x:c>
      <x:c r="E1291" s="11" t="n">
        <x:v>6800</x:v>
      </x:c>
      <x:c r="F1291" s="11"/>
      <x:c r="G1291" s="11" t="n">
        <x:f>'Option source'!B757</x:f>
        <x:v>414.3</x:v>
      </x:c>
      <x:c r="H1291" s="11" t="n">
        <x:f>'Option source'!B738</x:f>
        <x:v>319.7</x:v>
      </x:c>
      <x:c r="I1291" s="11"/>
      <x:c r="J1291" s="11" t="n">
        <x:f>G1291-2*H1291+IF(B1291="Butterfly",I1291,0)</x:f>
        <x:v>-225.09999999999997</x:v>
      </x:c>
      <x:c r="K1291" s="11" t="n">
        <x:f>ABS(E1291-D1291)</x:f>
        <x:v>200</x:v>
      </x:c>
      <x:c r="L1291" s="11" t="n">
        <x:f>K1291-J1291</x:f>
        <x:v>425.09999999999997</x:v>
      </x:c>
      <x:c r="M1291" s="11" t="n">
        <x:f>IF(B1291="Butterfly",MAX(J1291,0),IF(C1291="call","Unlimited",MAX(2*E1291-D1291+J1291,J1291,0)))</x:f>
        <x:v>6374.9</x:v>
      </x:c>
      <x:c r="N1291" s="11" t="n">
        <x:f>IF(B1291="Butterfly",IF(AND(J1291&gt;0,J1291&lt;K1291),D1291+J1291,"n.a."),IF(C1291="call",IF(AND(J1291&gt;0,J1291&lt;K1291),D1291+J1291,"n.a."),IF(AND(K1291&gt;J1291,2*E1291-D1291+J1291&gt;=0),2*E1291-D1291+J1291,"n.a.")))</x:f>
        <x:v>6374.9</x:v>
      </x:c>
      <x:c r="O1291" s="11" t="str">
        <x:f>IF(B1291="Butterfly",IF(AND(J1291&gt;0,J1291&lt;K1291),F1291-J1291,"n.a."),IF(C1291="call",IF(K1291&gt;J1291,2*E1291-D1291-J1291,"n.a."),IF(AND(J1291&gt;0,J1291&lt;K1291),D1291-J1291,"n.a.")))</x:f>
        <x:v>n.a.</x:v>
      </x:c>
      <x:c r="P1291" s="19" t="str">
        <x:f>IF(AND(B1291="Butterfly",J1291&gt;0,J1291&lt;K1291),L1291/J1291,"n.a.")</x:f>
        <x:v>n.a.</x:v>
      </x:c>
      <x:c r="Q1291" s="11" t="n">
        <x:f>J1291*'Model inputs'!$B$8</x:f>
        <x:v>-22509.999999999996</x:v>
      </x:c>
      <x:c r="R1291" s="1" t="str">
        <x:v>Indicative only</x:v>
      </x:c>
      <x:c r="S1291" s="1" t="n">
        <x:v>752</x:v>
      </x:c>
      <x:c r="T1291" s="1" t="n">
        <x:v>733</x:v>
      </x:c>
    </x:row>
    <x:row r="1292" ht="21" customHeight="1">
      <x:c r="A1292" s="12" t="n">
        <x:v>46261</x:v>
      </x:c>
      <x:c r="B1292" s="1" t="str">
        <x:v>1x2 ratio</x:v>
      </x:c>
      <x:c r="C1292" s="1" t="str">
        <x:v>call</x:v>
      </x:c>
      <x:c r="D1292" s="11" t="n">
        <x:v>6800</x:v>
      </x:c>
      <x:c r="E1292" s="11" t="n">
        <x:v>7000</x:v>
      </x:c>
      <x:c r="F1292" s="11"/>
      <x:c r="G1292" s="11" t="n">
        <x:f>'Option source'!B244</x:f>
        <x:v>587.6</x:v>
      </x:c>
      <x:c r="H1292" s="11" t="n">
        <x:f>'Option source'!B263</x:f>
        <x:v>484.8</x:v>
      </x:c>
      <x:c r="I1292" s="11"/>
      <x:c r="J1292" s="11" t="n">
        <x:f>G1292-2*H1292+IF(B1292="Butterfly",I1292,0)</x:f>
        <x:v>-382</x:v>
      </x:c>
      <x:c r="K1292" s="11" t="n">
        <x:f>ABS(E1292-D1292)</x:f>
        <x:v>200</x:v>
      </x:c>
      <x:c r="L1292" s="11" t="n">
        <x:f>K1292-J1292</x:f>
        <x:v>582</x:v>
      </x:c>
      <x:c r="M1292" s="11" t="str">
        <x:f>IF(B1292="Butterfly",MAX(J1292,0),IF(C1292="call","Unlimited",MAX(2*E1292-D1292+J1292,J1292,0)))</x:f>
        <x:v>Unlimited</x:v>
      </x:c>
      <x:c r="N1292" s="11" t="str">
        <x:f>IF(B1292="Butterfly",IF(AND(J1292&gt;0,J1292&lt;K1292),D1292+J1292,"n.a."),IF(C1292="call",IF(AND(J1292&gt;0,J1292&lt;K1292),D1292+J1292,"n.a."),IF(AND(K1292&gt;J1292,2*E1292-D1292+J1292&gt;=0),2*E1292-D1292+J1292,"n.a.")))</x:f>
        <x:v>n.a.</x:v>
      </x:c>
      <x:c r="O1292" s="11" t="n">
        <x:f>IF(B1292="Butterfly",IF(AND(J1292&gt;0,J1292&lt;K1292),F1292-J1292,"n.a."),IF(C1292="call",IF(K1292&gt;J1292,2*E1292-D1292-J1292,"n.a."),IF(AND(J1292&gt;0,J1292&lt;K1292),D1292-J1292,"n.a.")))</x:f>
        <x:v>7582</x:v>
      </x:c>
      <x:c r="P1292" s="19" t="str">
        <x:f>IF(AND(B1292="Butterfly",J1292&gt;0,J1292&lt;K1292),L1292/J1292,"n.a.")</x:f>
        <x:v>n.a.</x:v>
      </x:c>
      <x:c r="Q1292" s="11" t="n">
        <x:f>J1292*'Model inputs'!$B$8</x:f>
        <x:v>-38200</x:v>
      </x:c>
      <x:c r="R1292" s="1" t="str">
        <x:v>Indicative only</x:v>
      </x:c>
      <x:c r="S1292" s="1" t="n">
        <x:v>239</x:v>
      </x:c>
      <x:c r="T1292" s="1" t="n">
        <x:v>258</x:v>
      </x:c>
    </x:row>
    <x:row r="1293" ht="21" customHeight="1">
      <x:c r="A1293" s="12" t="n">
        <x:v>46261</x:v>
      </x:c>
      <x:c r="B1293" s="1" t="str">
        <x:v>1x2 ratio</x:v>
      </x:c>
      <x:c r="C1293" s="1" t="str">
        <x:v>put</x:v>
      </x:c>
      <x:c r="D1293" s="11" t="n">
        <x:v>7200</x:v>
      </x:c>
      <x:c r="E1293" s="11" t="n">
        <x:v>7000</x:v>
      </x:c>
      <x:c r="F1293" s="11"/>
      <x:c r="G1293" s="11" t="n">
        <x:f>'Option source'!B776</x:f>
        <x:v>525.21</x:v>
      </x:c>
      <x:c r="H1293" s="11" t="n">
        <x:f>'Option source'!B757</x:f>
        <x:v>414.3</x:v>
      </x:c>
      <x:c r="I1293" s="11"/>
      <x:c r="J1293" s="11" t="n">
        <x:f>G1293-2*H1293+IF(B1293="Butterfly",I1293,0)</x:f>
        <x:v>-303.39</x:v>
      </x:c>
      <x:c r="K1293" s="11" t="n">
        <x:f>ABS(E1293-D1293)</x:f>
        <x:v>200</x:v>
      </x:c>
      <x:c r="L1293" s="11" t="n">
        <x:f>K1293-J1293</x:f>
        <x:v>503.39</x:v>
      </x:c>
      <x:c r="M1293" s="11" t="n">
        <x:f>IF(B1293="Butterfly",MAX(J1293,0),IF(C1293="call","Unlimited",MAX(2*E1293-D1293+J1293,J1293,0)))</x:f>
        <x:v>6496.61</x:v>
      </x:c>
      <x:c r="N1293" s="11" t="n">
        <x:f>IF(B1293="Butterfly",IF(AND(J1293&gt;0,J1293&lt;K1293),D1293+J1293,"n.a."),IF(C1293="call",IF(AND(J1293&gt;0,J1293&lt;K1293),D1293+J1293,"n.a."),IF(AND(K1293&gt;J1293,2*E1293-D1293+J1293&gt;=0),2*E1293-D1293+J1293,"n.a.")))</x:f>
        <x:v>6496.61</x:v>
      </x:c>
      <x:c r="O1293" s="11" t="str">
        <x:f>IF(B1293="Butterfly",IF(AND(J1293&gt;0,J1293&lt;K1293),F1293-J1293,"n.a."),IF(C1293="call",IF(K1293&gt;J1293,2*E1293-D1293-J1293,"n.a."),IF(AND(J1293&gt;0,J1293&lt;K1293),D1293-J1293,"n.a.")))</x:f>
        <x:v>n.a.</x:v>
      </x:c>
      <x:c r="P1293" s="19" t="str">
        <x:f>IF(AND(B1293="Butterfly",J1293&gt;0,J1293&lt;K1293),L1293/J1293,"n.a.")</x:f>
        <x:v>n.a.</x:v>
      </x:c>
      <x:c r="Q1293" s="11" t="n">
        <x:f>J1293*'Model inputs'!$B$8</x:f>
        <x:v>-30339</x:v>
      </x:c>
      <x:c r="R1293" s="1" t="str">
        <x:v>Indicative only</x:v>
      </x:c>
      <x:c r="S1293" s="1" t="n">
        <x:v>771</x:v>
      </x:c>
      <x:c r="T1293" s="1" t="n">
        <x:v>752</x:v>
      </x:c>
    </x:row>
    <x:row r="1294" ht="21" customHeight="1">
      <x:c r="A1294" s="12" t="n">
        <x:v>46261</x:v>
      </x:c>
      <x:c r="B1294" s="1" t="str">
        <x:v>1x2 ratio</x:v>
      </x:c>
      <x:c r="C1294" s="1" t="str">
        <x:v>call</x:v>
      </x:c>
      <x:c r="D1294" s="11" t="n">
        <x:v>6400</x:v>
      </x:c>
      <x:c r="E1294" s="11" t="n">
        <x:v>6600</x:v>
      </x:c>
      <x:c r="F1294" s="11"/>
      <x:c r="G1294" s="11" t="n">
        <x:f>'Option source'!B206</x:f>
        <x:v>843.84</x:v>
      </x:c>
      <x:c r="H1294" s="11" t="n">
        <x:f>'Option source'!B225</x:f>
        <x:v>706.67</x:v>
      </x:c>
      <x:c r="I1294" s="11"/>
      <x:c r="J1294" s="11" t="n">
        <x:f>G1294-2*H1294+IF(B1294="Butterfly",I1294,0)</x:f>
        <x:v>-569.4999999999999</x:v>
      </x:c>
      <x:c r="K1294" s="11" t="n">
        <x:f>ABS(E1294-D1294)</x:f>
        <x:v>200</x:v>
      </x:c>
      <x:c r="L1294" s="11" t="n">
        <x:f>K1294-J1294</x:f>
        <x:v>769.4999999999999</x:v>
      </x:c>
      <x:c r="M1294" s="11" t="str">
        <x:f>IF(B1294="Butterfly",MAX(J1294,0),IF(C1294="call","Unlimited",MAX(2*E1294-D1294+J1294,J1294,0)))</x:f>
        <x:v>Unlimited</x:v>
      </x:c>
      <x:c r="N1294" s="11" t="str">
        <x:f>IF(B1294="Butterfly",IF(AND(J1294&gt;0,J1294&lt;K1294),D1294+J1294,"n.a."),IF(C1294="call",IF(AND(J1294&gt;0,J1294&lt;K1294),D1294+J1294,"n.a."),IF(AND(K1294&gt;J1294,2*E1294-D1294+J1294&gt;=0),2*E1294-D1294+J1294,"n.a.")))</x:f>
        <x:v>n.a.</x:v>
      </x:c>
      <x:c r="O1294" s="11" t="n">
        <x:f>IF(B1294="Butterfly",IF(AND(J1294&gt;0,J1294&lt;K1294),F1294-J1294,"n.a."),IF(C1294="call",IF(K1294&gt;J1294,2*E1294-D1294-J1294,"n.a."),IF(AND(J1294&gt;0,J1294&lt;K1294),D1294-J1294,"n.a.")))</x:f>
        <x:v>7369.5</x:v>
      </x:c>
      <x:c r="P1294" s="19" t="str">
        <x:f>IF(AND(B1294="Butterfly",J1294&gt;0,J1294&lt;K1294),L1294/J1294,"n.a.")</x:f>
        <x:v>n.a.</x:v>
      </x:c>
      <x:c r="Q1294" s="11" t="n">
        <x:f>J1294*'Model inputs'!$B$8</x:f>
        <x:v>-56949.999999999985</x:v>
      </x:c>
      <x:c r="R1294" s="1" t="str">
        <x:v>Indicative only</x:v>
      </x:c>
      <x:c r="S1294" s="1" t="n">
        <x:v>201</x:v>
      </x:c>
      <x:c r="T1294" s="1" t="n">
        <x:v>220</x:v>
      </x:c>
    </x:row>
    <x:row r="1295" ht="21" customHeight="1">
      <x:c r="A1295" s="12" t="n">
        <x:v>46261</x:v>
      </x:c>
      <x:c r="B1295" s="1" t="str">
        <x:v>1x2 ratio</x:v>
      </x:c>
      <x:c r="C1295" s="1" t="str">
        <x:v>put</x:v>
      </x:c>
      <x:c r="D1295" s="11" t="n">
        <x:v>6800</x:v>
      </x:c>
      <x:c r="E1295" s="11" t="n">
        <x:v>6600</x:v>
      </x:c>
      <x:c r="F1295" s="11"/>
      <x:c r="G1295" s="11" t="n">
        <x:f>'Option source'!B738</x:f>
        <x:v>319.7</x:v>
      </x:c>
      <x:c r="H1295" s="11" t="n">
        <x:f>'Option source'!B719</x:f>
        <x:v>237.9</x:v>
      </x:c>
      <x:c r="I1295" s="11"/>
      <x:c r="J1295" s="11" t="n">
        <x:f>G1295-2*H1295+IF(B1295="Butterfly",I1295,0)</x:f>
        <x:v>-156.10000000000002</x:v>
      </x:c>
      <x:c r="K1295" s="11" t="n">
        <x:f>ABS(E1295-D1295)</x:f>
        <x:v>200</x:v>
      </x:c>
      <x:c r="L1295" s="11" t="n">
        <x:f>K1295-J1295</x:f>
        <x:v>356.1</x:v>
      </x:c>
      <x:c r="M1295" s="11" t="n">
        <x:f>IF(B1295="Butterfly",MAX(J1295,0),IF(C1295="call","Unlimited",MAX(2*E1295-D1295+J1295,J1295,0)))</x:f>
        <x:v>6243.9</x:v>
      </x:c>
      <x:c r="N1295" s="11" t="n">
        <x:f>IF(B1295="Butterfly",IF(AND(J1295&gt;0,J1295&lt;K1295),D1295+J1295,"n.a."),IF(C1295="call",IF(AND(J1295&gt;0,J1295&lt;K1295),D1295+J1295,"n.a."),IF(AND(K1295&gt;J1295,2*E1295-D1295+J1295&gt;=0),2*E1295-D1295+J1295,"n.a.")))</x:f>
        <x:v>6243.9</x:v>
      </x:c>
      <x:c r="O1295" s="11" t="str">
        <x:f>IF(B1295="Butterfly",IF(AND(J1295&gt;0,J1295&lt;K1295),F1295-J1295,"n.a."),IF(C1295="call",IF(K1295&gt;J1295,2*E1295-D1295-J1295,"n.a."),IF(AND(J1295&gt;0,J1295&lt;K1295),D1295-J1295,"n.a.")))</x:f>
        <x:v>n.a.</x:v>
      </x:c>
      <x:c r="P1295" s="19" t="str">
        <x:f>IF(AND(B1295="Butterfly",J1295&gt;0,J1295&lt;K1295),L1295/J1295,"n.a.")</x:f>
        <x:v>n.a.</x:v>
      </x:c>
      <x:c r="Q1295" s="11" t="n">
        <x:f>J1295*'Model inputs'!$B$8</x:f>
        <x:v>-15610.000000000002</x:v>
      </x:c>
      <x:c r="R1295" s="1" t="str">
        <x:v>Indicative only</x:v>
      </x:c>
      <x:c r="S1295" s="1" t="n">
        <x:v>733</x:v>
      </x:c>
      <x:c r="T1295" s="1" t="n">
        <x:v>714</x:v>
      </x:c>
    </x:row>
    <x:row r="1296" ht="21" customHeight="1">
      <x:c r="A1296" s="12" t="n">
        <x:v>46261</x:v>
      </x:c>
      <x:c r="B1296" s="1" t="str">
        <x:v>1x2 ratio</x:v>
      </x:c>
      <x:c r="C1296" s="1" t="str">
        <x:v>call</x:v>
      </x:c>
      <x:c r="D1296" s="11" t="n">
        <x:v>7000</x:v>
      </x:c>
      <x:c r="E1296" s="11" t="n">
        <x:v>7200</x:v>
      </x:c>
      <x:c r="F1296" s="11"/>
      <x:c r="G1296" s="11" t="n">
        <x:f>'Option source'!B263</x:f>
        <x:v>484.8</x:v>
      </x:c>
      <x:c r="H1296" s="11" t="n">
        <x:f>'Option source'!B282</x:f>
        <x:v>393.33</x:v>
      </x:c>
      <x:c r="I1296" s="11"/>
      <x:c r="J1296" s="11" t="n">
        <x:f>G1296-2*H1296+IF(B1296="Butterfly",I1296,0)</x:f>
        <x:v>-301.85999999999996</x:v>
      </x:c>
      <x:c r="K1296" s="11" t="n">
        <x:f>ABS(E1296-D1296)</x:f>
        <x:v>200</x:v>
      </x:c>
      <x:c r="L1296" s="11" t="n">
        <x:f>K1296-J1296</x:f>
        <x:v>501.85999999999996</x:v>
      </x:c>
      <x:c r="M1296" s="11" t="str">
        <x:f>IF(B1296="Butterfly",MAX(J1296,0),IF(C1296="call","Unlimited",MAX(2*E1296-D1296+J1296,J1296,0)))</x:f>
        <x:v>Unlimited</x:v>
      </x:c>
      <x:c r="N1296" s="11" t="str">
        <x:f>IF(B1296="Butterfly",IF(AND(J1296&gt;0,J1296&lt;K1296),D1296+J1296,"n.a."),IF(C1296="call",IF(AND(J1296&gt;0,J1296&lt;K1296),D1296+J1296,"n.a."),IF(AND(K1296&gt;J1296,2*E1296-D1296+J1296&gt;=0),2*E1296-D1296+J1296,"n.a.")))</x:f>
        <x:v>n.a.</x:v>
      </x:c>
      <x:c r="O1296" s="11" t="n">
        <x:f>IF(B1296="Butterfly",IF(AND(J1296&gt;0,J1296&lt;K1296),F1296-J1296,"n.a."),IF(C1296="call",IF(K1296&gt;J1296,2*E1296-D1296-J1296,"n.a."),IF(AND(J1296&gt;0,J1296&lt;K1296),D1296-J1296,"n.a.")))</x:f>
        <x:v>7701.86</x:v>
      </x:c>
      <x:c r="P1296" s="19" t="str">
        <x:f>IF(AND(B1296="Butterfly",J1296&gt;0,J1296&lt;K1296),L1296/J1296,"n.a.")</x:f>
        <x:v>n.a.</x:v>
      </x:c>
      <x:c r="Q1296" s="11" t="n">
        <x:f>J1296*'Model inputs'!$B$8</x:f>
        <x:v>-30185.999999999996</x:v>
      </x:c>
      <x:c r="R1296" s="1" t="str">
        <x:v>Indicative only</x:v>
      </x:c>
      <x:c r="S1296" s="1" t="n">
        <x:v>258</x:v>
      </x:c>
      <x:c r="T1296" s="1" t="n">
        <x:v>277</x:v>
      </x:c>
    </x:row>
    <x:row r="1297" ht="21" customHeight="1">
      <x:c r="A1297" s="12" t="n">
        <x:v>46261</x:v>
      </x:c>
      <x:c r="B1297" s="1" t="str">
        <x:v>1x2 ratio</x:v>
      </x:c>
      <x:c r="C1297" s="1" t="str">
        <x:v>put</x:v>
      </x:c>
      <x:c r="D1297" s="11" t="n">
        <x:v>7400</x:v>
      </x:c>
      <x:c r="E1297" s="11" t="n">
        <x:v>7200</x:v>
      </x:c>
      <x:c r="F1297" s="11"/>
      <x:c r="G1297" s="11" t="n">
        <x:f>'Option source'!B795</x:f>
        <x:v>630.02</x:v>
      </x:c>
      <x:c r="H1297" s="11" t="n">
        <x:f>'Option source'!B776</x:f>
        <x:v>525.21</x:v>
      </x:c>
      <x:c r="I1297" s="11"/>
      <x:c r="J1297" s="11" t="n">
        <x:f>G1297-2*H1297+IF(B1297="Butterfly",I1297,0)</x:f>
        <x:v>-420.4000000000001</x:v>
      </x:c>
      <x:c r="K1297" s="11" t="n">
        <x:f>ABS(E1297-D1297)</x:f>
        <x:v>200</x:v>
      </x:c>
      <x:c r="L1297" s="11" t="n">
        <x:f>K1297-J1297</x:f>
        <x:v>620.4000000000001</x:v>
      </x:c>
      <x:c r="M1297" s="11" t="n">
        <x:f>IF(B1297="Butterfly",MAX(J1297,0),IF(C1297="call","Unlimited",MAX(2*E1297-D1297+J1297,J1297,0)))</x:f>
        <x:v>6579.6</x:v>
      </x:c>
      <x:c r="N1297" s="11" t="n">
        <x:f>IF(B1297="Butterfly",IF(AND(J1297&gt;0,J1297&lt;K1297),D1297+J1297,"n.a."),IF(C1297="call",IF(AND(J1297&gt;0,J1297&lt;K1297),D1297+J1297,"n.a."),IF(AND(K1297&gt;J1297,2*E1297-D1297+J1297&gt;=0),2*E1297-D1297+J1297,"n.a.")))</x:f>
        <x:v>6579.6</x:v>
      </x:c>
      <x:c r="O1297" s="11" t="str">
        <x:f>IF(B1297="Butterfly",IF(AND(J1297&gt;0,J1297&lt;K1297),F1297-J1297,"n.a."),IF(C1297="call",IF(K1297&gt;J1297,2*E1297-D1297-J1297,"n.a."),IF(AND(J1297&gt;0,J1297&lt;K1297),D1297-J1297,"n.a.")))</x:f>
        <x:v>n.a.</x:v>
      </x:c>
      <x:c r="P1297" s="19" t="str">
        <x:f>IF(AND(B1297="Butterfly",J1297&gt;0,J1297&lt;K1297),L1297/J1297,"n.a.")</x:f>
        <x:v>n.a.</x:v>
      </x:c>
      <x:c r="Q1297" s="11" t="n">
        <x:f>J1297*'Model inputs'!$B$8</x:f>
        <x:v>-42040.00000000001</x:v>
      </x:c>
      <x:c r="R1297" s="1" t="str">
        <x:v>Indicative only</x:v>
      </x:c>
      <x:c r="S1297" s="1" t="n">
        <x:v>790</x:v>
      </x:c>
      <x:c r="T1297" s="1" t="n">
        <x:v>771</x:v>
      </x:c>
    </x:row>
    <x:row r="1298" ht="21" customHeight="1">
      <x:c r="A1298" s="12" t="n">
        <x:v>46261</x:v>
      </x:c>
      <x:c r="B1298" s="1" t="str">
        <x:v>1x2 ratio</x:v>
      </x:c>
      <x:c r="C1298" s="1" t="str">
        <x:v>call</x:v>
      </x:c>
      <x:c r="D1298" s="11" t="n">
        <x:v>6200</x:v>
      </x:c>
      <x:c r="E1298" s="11" t="n">
        <x:v>6400</x:v>
      </x:c>
      <x:c r="F1298" s="11"/>
      <x:c r="G1298" s="11" t="n">
        <x:f>'Option source'!B187</x:f>
        <x:v>1000</x:v>
      </x:c>
      <x:c r="H1298" s="11" t="n">
        <x:f>'Option source'!B206</x:f>
        <x:v>843.84</x:v>
      </x:c>
      <x:c r="I1298" s="11"/>
      <x:c r="J1298" s="11" t="n">
        <x:f>G1298-2*H1298+IF(B1298="Butterfly",I1298,0)</x:f>
        <x:v>-687.6800000000001</x:v>
      </x:c>
      <x:c r="K1298" s="11" t="n">
        <x:f>ABS(E1298-D1298)</x:f>
        <x:v>200</x:v>
      </x:c>
      <x:c r="L1298" s="11" t="n">
        <x:f>K1298-J1298</x:f>
        <x:v>887.6800000000001</x:v>
      </x:c>
      <x:c r="M1298" s="11" t="str">
        <x:f>IF(B1298="Butterfly",MAX(J1298,0),IF(C1298="call","Unlimited",MAX(2*E1298-D1298+J1298,J1298,0)))</x:f>
        <x:v>Unlimited</x:v>
      </x:c>
      <x:c r="N1298" s="11" t="str">
        <x:f>IF(B1298="Butterfly",IF(AND(J1298&gt;0,J1298&lt;K1298),D1298+J1298,"n.a."),IF(C1298="call",IF(AND(J1298&gt;0,J1298&lt;K1298),D1298+J1298,"n.a."),IF(AND(K1298&gt;J1298,2*E1298-D1298+J1298&gt;=0),2*E1298-D1298+J1298,"n.a.")))</x:f>
        <x:v>n.a.</x:v>
      </x:c>
      <x:c r="O1298" s="11" t="n">
        <x:f>IF(B1298="Butterfly",IF(AND(J1298&gt;0,J1298&lt;K1298),F1298-J1298,"n.a."),IF(C1298="call",IF(K1298&gt;J1298,2*E1298-D1298-J1298,"n.a."),IF(AND(J1298&gt;0,J1298&lt;K1298),D1298-J1298,"n.a.")))</x:f>
        <x:v>7287.68</x:v>
      </x:c>
      <x:c r="P1298" s="19" t="str">
        <x:f>IF(AND(B1298="Butterfly",J1298&gt;0,J1298&lt;K1298),L1298/J1298,"n.a.")</x:f>
        <x:v>n.a.</x:v>
      </x:c>
      <x:c r="Q1298" s="11" t="n">
        <x:f>J1298*'Model inputs'!$B$8</x:f>
        <x:v>-68768</x:v>
      </x:c>
      <x:c r="R1298" s="1" t="str">
        <x:v>Indicative only</x:v>
      </x:c>
      <x:c r="S1298" s="1" t="n">
        <x:v>182</x:v>
      </x:c>
      <x:c r="T1298" s="1" t="n">
        <x:v>201</x:v>
      </x:c>
    </x:row>
    <x:row r="1299" ht="21" customHeight="1">
      <x:c r="A1299" s="12" t="n">
        <x:v>46261</x:v>
      </x:c>
      <x:c r="B1299" s="1" t="str">
        <x:v>1x2 ratio</x:v>
      </x:c>
      <x:c r="C1299" s="1" t="str">
        <x:v>put</x:v>
      </x:c>
      <x:c r="D1299" s="11" t="n">
        <x:v>6600</x:v>
      </x:c>
      <x:c r="E1299" s="11" t="n">
        <x:v>6400</x:v>
      </x:c>
      <x:c r="F1299" s="11"/>
      <x:c r="G1299" s="11" t="n">
        <x:f>'Option source'!B719</x:f>
        <x:v>237.9</x:v>
      </x:c>
      <x:c r="H1299" s="11" t="n">
        <x:f>'Option source'!B700</x:f>
        <x:v>172.27</x:v>
      </x:c>
      <x:c r="I1299" s="11"/>
      <x:c r="J1299" s="11" t="n">
        <x:f>G1299-2*H1299+IF(B1299="Butterfly",I1299,0)</x:f>
        <x:v>-106.64000000000001</x:v>
      </x:c>
      <x:c r="K1299" s="11" t="n">
        <x:f>ABS(E1299-D1299)</x:f>
        <x:v>200</x:v>
      </x:c>
      <x:c r="L1299" s="11" t="n">
        <x:f>K1299-J1299</x:f>
        <x:v>306.64</x:v>
      </x:c>
      <x:c r="M1299" s="11" t="n">
        <x:f>IF(B1299="Butterfly",MAX(J1299,0),IF(C1299="call","Unlimited",MAX(2*E1299-D1299+J1299,J1299,0)))</x:f>
        <x:v>6093.36</x:v>
      </x:c>
      <x:c r="N1299" s="11" t="n">
        <x:f>IF(B1299="Butterfly",IF(AND(J1299&gt;0,J1299&lt;K1299),D1299+J1299,"n.a."),IF(C1299="call",IF(AND(J1299&gt;0,J1299&lt;K1299),D1299+J1299,"n.a."),IF(AND(K1299&gt;J1299,2*E1299-D1299+J1299&gt;=0),2*E1299-D1299+J1299,"n.a.")))</x:f>
        <x:v>6093.36</x:v>
      </x:c>
      <x:c r="O1299" s="11" t="str">
        <x:f>IF(B1299="Butterfly",IF(AND(J1299&gt;0,J1299&lt;K1299),F1299-J1299,"n.a."),IF(C1299="call",IF(K1299&gt;J1299,2*E1299-D1299-J1299,"n.a."),IF(AND(J1299&gt;0,J1299&lt;K1299),D1299-J1299,"n.a.")))</x:f>
        <x:v>n.a.</x:v>
      </x:c>
      <x:c r="P1299" s="19" t="str">
        <x:f>IF(AND(B1299="Butterfly",J1299&gt;0,J1299&lt;K1299),L1299/J1299,"n.a.")</x:f>
        <x:v>n.a.</x:v>
      </x:c>
      <x:c r="Q1299" s="11" t="n">
        <x:f>J1299*'Model inputs'!$B$8</x:f>
        <x:v>-10664.000000000002</x:v>
      </x:c>
      <x:c r="R1299" s="1" t="str">
        <x:v>Indicative only</x:v>
      </x:c>
      <x:c r="S1299" s="1" t="n">
        <x:v>714</x:v>
      </x:c>
      <x:c r="T1299" s="1" t="n">
        <x:v>695</x:v>
      </x:c>
    </x:row>
    <x:row r="1300" ht="21" customHeight="1">
      <x:c r="A1300" s="12" t="n">
        <x:v>46261</x:v>
      </x:c>
      <x:c r="B1300" s="1" t="str">
        <x:v>1x2 ratio</x:v>
      </x:c>
      <x:c r="C1300" s="1" t="str">
        <x:v>call</x:v>
      </x:c>
      <x:c r="D1300" s="11" t="n">
        <x:v>7200</x:v>
      </x:c>
      <x:c r="E1300" s="11" t="n">
        <x:v>7400</x:v>
      </x:c>
      <x:c r="F1300" s="11"/>
      <x:c r="G1300" s="11" t="n">
        <x:f>'Option source'!B282</x:f>
        <x:v>393.33</x:v>
      </x:c>
      <x:c r="H1300" s="11" t="n">
        <x:f>'Option source'!B301</x:f>
        <x:v>310.39</x:v>
      </x:c>
      <x:c r="I1300" s="11"/>
      <x:c r="J1300" s="11" t="n">
        <x:f>G1300-2*H1300+IF(B1300="Butterfly",I1300,0)</x:f>
        <x:v>-227.45</x:v>
      </x:c>
      <x:c r="K1300" s="11" t="n">
        <x:f>ABS(E1300-D1300)</x:f>
        <x:v>200</x:v>
      </x:c>
      <x:c r="L1300" s="11" t="n">
        <x:f>K1300-J1300</x:f>
        <x:v>427.45</x:v>
      </x:c>
      <x:c r="M1300" s="11" t="str">
        <x:f>IF(B1300="Butterfly",MAX(J1300,0),IF(C1300="call","Unlimited",MAX(2*E1300-D1300+J1300,J1300,0)))</x:f>
        <x:v>Unlimited</x:v>
      </x:c>
      <x:c r="N1300" s="11" t="str">
        <x:f>IF(B1300="Butterfly",IF(AND(J1300&gt;0,J1300&lt;K1300),D1300+J1300,"n.a."),IF(C1300="call",IF(AND(J1300&gt;0,J1300&lt;K1300),D1300+J1300,"n.a."),IF(AND(K1300&gt;J1300,2*E1300-D1300+J1300&gt;=0),2*E1300-D1300+J1300,"n.a.")))</x:f>
        <x:v>n.a.</x:v>
      </x:c>
      <x:c r="O1300" s="11" t="n">
        <x:f>IF(B1300="Butterfly",IF(AND(J1300&gt;0,J1300&lt;K1300),F1300-J1300,"n.a."),IF(C1300="call",IF(K1300&gt;J1300,2*E1300-D1300-J1300,"n.a."),IF(AND(J1300&gt;0,J1300&lt;K1300),D1300-J1300,"n.a.")))</x:f>
        <x:v>7827.45</x:v>
      </x:c>
      <x:c r="P1300" s="19" t="str">
        <x:f>IF(AND(B1300="Butterfly",J1300&gt;0,J1300&lt;K1300),L1300/J1300,"n.a.")</x:f>
        <x:v>n.a.</x:v>
      </x:c>
      <x:c r="Q1300" s="11" t="n">
        <x:f>J1300*'Model inputs'!$B$8</x:f>
        <x:v>-22745</x:v>
      </x:c>
      <x:c r="R1300" s="1" t="str">
        <x:v>Indicative only</x:v>
      </x:c>
      <x:c r="S1300" s="1" t="n">
        <x:v>277</x:v>
      </x:c>
      <x:c r="T1300" s="1" t="n">
        <x:v>296</x:v>
      </x:c>
    </x:row>
    <x:row r="1301" ht="21" customHeight="1">
      <x:c r="A1301" s="12" t="n">
        <x:v>46261</x:v>
      </x:c>
      <x:c r="B1301" s="1" t="str">
        <x:v>1x2 ratio</x:v>
      </x:c>
      <x:c r="C1301" s="1" t="str">
        <x:v>call</x:v>
      </x:c>
      <x:c r="D1301" s="11" t="n">
        <x:v>6000</x:v>
      </x:c>
      <x:c r="E1301" s="11" t="n">
        <x:v>6200</x:v>
      </x:c>
      <x:c r="F1301" s="11"/>
      <x:c r="G1301" s="11" t="n">
        <x:f>'Option source'!B168</x:f>
        <x:v>1178.78</x:v>
      </x:c>
      <x:c r="H1301" s="11" t="n">
        <x:f>'Option source'!B187</x:f>
        <x:v>1000</x:v>
      </x:c>
      <x:c r="I1301" s="11"/>
      <x:c r="J1301" s="11" t="n">
        <x:f>G1301-2*H1301+IF(B1301="Butterfly",I1301,0)</x:f>
        <x:v>-821.22</x:v>
      </x:c>
      <x:c r="K1301" s="11" t="n">
        <x:f>ABS(E1301-D1301)</x:f>
        <x:v>200</x:v>
      </x:c>
      <x:c r="L1301" s="11" t="n">
        <x:f>K1301-J1301</x:f>
        <x:v>1021.22</x:v>
      </x:c>
      <x:c r="M1301" s="11" t="str">
        <x:f>IF(B1301="Butterfly",MAX(J1301,0),IF(C1301="call","Unlimited",MAX(2*E1301-D1301+J1301,J1301,0)))</x:f>
        <x:v>Unlimited</x:v>
      </x:c>
      <x:c r="N1301" s="11" t="str">
        <x:f>IF(B1301="Butterfly",IF(AND(J1301&gt;0,J1301&lt;K1301),D1301+J1301,"n.a."),IF(C1301="call",IF(AND(J1301&gt;0,J1301&lt;K1301),D1301+J1301,"n.a."),IF(AND(K1301&gt;J1301,2*E1301-D1301+J1301&gt;=0),2*E1301-D1301+J1301,"n.a.")))</x:f>
        <x:v>n.a.</x:v>
      </x:c>
      <x:c r="O1301" s="11" t="n">
        <x:f>IF(B1301="Butterfly",IF(AND(J1301&gt;0,J1301&lt;K1301),F1301-J1301,"n.a."),IF(C1301="call",IF(K1301&gt;J1301,2*E1301-D1301-J1301,"n.a."),IF(AND(J1301&gt;0,J1301&lt;K1301),D1301-J1301,"n.a.")))</x:f>
        <x:v>7221.22</x:v>
      </x:c>
      <x:c r="P1301" s="19" t="str">
        <x:f>IF(AND(B1301="Butterfly",J1301&gt;0,J1301&lt;K1301),L1301/J1301,"n.a.")</x:f>
        <x:v>n.a.</x:v>
      </x:c>
      <x:c r="Q1301" s="11" t="n">
        <x:f>J1301*'Model inputs'!$B$8</x:f>
        <x:v>-82122</x:v>
      </x:c>
      <x:c r="R1301" s="1" t="str">
        <x:v>Indicative only</x:v>
      </x:c>
      <x:c r="S1301" s="1" t="n">
        <x:v>163</x:v>
      </x:c>
      <x:c r="T1301" s="1" t="n">
        <x:v>182</x:v>
      </x:c>
    </x:row>
    <x:row r="1302" ht="21" customHeight="1">
      <x:c r="A1302" s="12" t="n">
        <x:v>46261</x:v>
      </x:c>
      <x:c r="B1302" s="1" t="str">
        <x:v>1x2 ratio</x:v>
      </x:c>
      <x:c r="C1302" s="1" t="str">
        <x:v>put</x:v>
      </x:c>
      <x:c r="D1302" s="11" t="n">
        <x:v>6400</x:v>
      </x:c>
      <x:c r="E1302" s="11" t="n">
        <x:v>6200</x:v>
      </x:c>
      <x:c r="F1302" s="11"/>
      <x:c r="G1302" s="11" t="n">
        <x:f>'Option source'!B700</x:f>
        <x:v>172.27</x:v>
      </x:c>
      <x:c r="H1302" s="11" t="n">
        <x:f>'Option source'!B681</x:f>
        <x:v>119.95</x:v>
      </x:c>
      <x:c r="I1302" s="11"/>
      <x:c r="J1302" s="11" t="n">
        <x:f>G1302-2*H1302+IF(B1302="Butterfly",I1302,0)</x:f>
        <x:v>-67.63</x:v>
      </x:c>
      <x:c r="K1302" s="11" t="n">
        <x:f>ABS(E1302-D1302)</x:f>
        <x:v>200</x:v>
      </x:c>
      <x:c r="L1302" s="11" t="n">
        <x:f>K1302-J1302</x:f>
        <x:v>267.63</x:v>
      </x:c>
      <x:c r="M1302" s="11" t="n">
        <x:f>IF(B1302="Butterfly",MAX(J1302,0),IF(C1302="call","Unlimited",MAX(2*E1302-D1302+J1302,J1302,0)))</x:f>
        <x:v>5932.37</x:v>
      </x:c>
      <x:c r="N1302" s="11" t="n">
        <x:f>IF(B1302="Butterfly",IF(AND(J1302&gt;0,J1302&lt;K1302),D1302+J1302,"n.a."),IF(C1302="call",IF(AND(J1302&gt;0,J1302&lt;K1302),D1302+J1302,"n.a."),IF(AND(K1302&gt;J1302,2*E1302-D1302+J1302&gt;=0),2*E1302-D1302+J1302,"n.a.")))</x:f>
        <x:v>5932.37</x:v>
      </x:c>
      <x:c r="O1302" s="11" t="str">
        <x:f>IF(B1302="Butterfly",IF(AND(J1302&gt;0,J1302&lt;K1302),F1302-J1302,"n.a."),IF(C1302="call",IF(K1302&gt;J1302,2*E1302-D1302-J1302,"n.a."),IF(AND(J1302&gt;0,J1302&lt;K1302),D1302-J1302,"n.a.")))</x:f>
        <x:v>n.a.</x:v>
      </x:c>
      <x:c r="P1302" s="19" t="str">
        <x:f>IF(AND(B1302="Butterfly",J1302&gt;0,J1302&lt;K1302),L1302/J1302,"n.a.")</x:f>
        <x:v>n.a.</x:v>
      </x:c>
      <x:c r="Q1302" s="11" t="n">
        <x:f>J1302*'Model inputs'!$B$8</x:f>
        <x:v>-6763</x:v>
      </x:c>
      <x:c r="R1302" s="1" t="str">
        <x:v>Indicative only</x:v>
      </x:c>
      <x:c r="S1302" s="1" t="n">
        <x:v>695</x:v>
      </x:c>
      <x:c r="T1302" s="1" t="n">
        <x:v>676</x:v>
      </x:c>
    </x:row>
    <x:row r="1303" ht="21" customHeight="1">
      <x:c r="A1303" s="12" t="n">
        <x:v>46261</x:v>
      </x:c>
      <x:c r="B1303" s="1" t="str">
        <x:v>1x2 ratio</x:v>
      </x:c>
      <x:c r="C1303" s="1" t="str">
        <x:v>call</x:v>
      </x:c>
      <x:c r="D1303" s="11" t="n">
        <x:v>7400</x:v>
      </x:c>
      <x:c r="E1303" s="11" t="n">
        <x:v>7600</x:v>
      </x:c>
      <x:c r="F1303" s="11"/>
      <x:c r="G1303" s="11" t="n">
        <x:f>'Option source'!B301</x:f>
        <x:v>310.39</x:v>
      </x:c>
      <x:c r="H1303" s="11" t="n">
        <x:f>'Option source'!B320</x:f>
        <x:v>247.62</x:v>
      </x:c>
      <x:c r="I1303" s="11"/>
      <x:c r="J1303" s="11" t="n">
        <x:f>G1303-2*H1303+IF(B1303="Butterfly",I1303,0)</x:f>
        <x:v>-184.85000000000002</x:v>
      </x:c>
      <x:c r="K1303" s="11" t="n">
        <x:f>ABS(E1303-D1303)</x:f>
        <x:v>200</x:v>
      </x:c>
      <x:c r="L1303" s="11" t="n">
        <x:f>K1303-J1303</x:f>
        <x:v>384.85</x:v>
      </x:c>
      <x:c r="M1303" s="11" t="str">
        <x:f>IF(B1303="Butterfly",MAX(J1303,0),IF(C1303="call","Unlimited",MAX(2*E1303-D1303+J1303,J1303,0)))</x:f>
        <x:v>Unlimited</x:v>
      </x:c>
      <x:c r="N1303" s="11" t="str">
        <x:f>IF(B1303="Butterfly",IF(AND(J1303&gt;0,J1303&lt;K1303),D1303+J1303,"n.a."),IF(C1303="call",IF(AND(J1303&gt;0,J1303&lt;K1303),D1303+J1303,"n.a."),IF(AND(K1303&gt;J1303,2*E1303-D1303+J1303&gt;=0),2*E1303-D1303+J1303,"n.a.")))</x:f>
        <x:v>n.a.</x:v>
      </x:c>
      <x:c r="O1303" s="11" t="n">
        <x:f>IF(B1303="Butterfly",IF(AND(J1303&gt;0,J1303&lt;K1303),F1303-J1303,"n.a."),IF(C1303="call",IF(K1303&gt;J1303,2*E1303-D1303-J1303,"n.a."),IF(AND(J1303&gt;0,J1303&lt;K1303),D1303-J1303,"n.a.")))</x:f>
        <x:v>7984.85</x:v>
      </x:c>
      <x:c r="P1303" s="19" t="str">
        <x:f>IF(AND(B1303="Butterfly",J1303&gt;0,J1303&lt;K1303),L1303/J1303,"n.a.")</x:f>
        <x:v>n.a.</x:v>
      </x:c>
      <x:c r="Q1303" s="11" t="n">
        <x:f>J1303*'Model inputs'!$B$8</x:f>
        <x:v>-18485.000000000004</x:v>
      </x:c>
      <x:c r="R1303" s="1" t="str">
        <x:v>Indicative only</x:v>
      </x:c>
      <x:c r="S1303" s="1" t="n">
        <x:v>296</x:v>
      </x:c>
      <x:c r="T1303" s="1" t="n">
        <x:v>315</x:v>
      </x:c>
    </x:row>
    <x:row r="1304" ht="21" customHeight="1">
      <x:c r="A1304" s="12" t="n">
        <x:v>46261</x:v>
      </x:c>
      <x:c r="B1304" s="1" t="str">
        <x:v>1x2 ratio</x:v>
      </x:c>
      <x:c r="C1304" s="1" t="str">
        <x:v>put</x:v>
      </x:c>
      <x:c r="D1304" s="11" t="n">
        <x:v>6200</x:v>
      </x:c>
      <x:c r="E1304" s="11" t="n">
        <x:v>6000</x:v>
      </x:c>
      <x:c r="F1304" s="11"/>
      <x:c r="G1304" s="11" t="n">
        <x:f>'Option source'!B681</x:f>
        <x:v>119.95</x:v>
      </x:c>
      <x:c r="H1304" s="11" t="n">
        <x:f>'Option source'!B662</x:f>
        <x:v>81.77</x:v>
      </x:c>
      <x:c r="I1304" s="11"/>
      <x:c r="J1304" s="11" t="n">
        <x:f>G1304-2*H1304+IF(B1304="Butterfly",I1304,0)</x:f>
        <x:v>-43.58999999999999</x:v>
      </x:c>
      <x:c r="K1304" s="11" t="n">
        <x:f>ABS(E1304-D1304)</x:f>
        <x:v>200</x:v>
      </x:c>
      <x:c r="L1304" s="11" t="n">
        <x:f>K1304-J1304</x:f>
        <x:v>243.58999999999997</x:v>
      </x:c>
      <x:c r="M1304" s="11" t="n">
        <x:f>IF(B1304="Butterfly",MAX(J1304,0),IF(C1304="call","Unlimited",MAX(2*E1304-D1304+J1304,J1304,0)))</x:f>
        <x:v>5756.41</x:v>
      </x:c>
      <x:c r="N1304" s="11" t="n">
        <x:f>IF(B1304="Butterfly",IF(AND(J1304&gt;0,J1304&lt;K1304),D1304+J1304,"n.a."),IF(C1304="call",IF(AND(J1304&gt;0,J1304&lt;K1304),D1304+J1304,"n.a."),IF(AND(K1304&gt;J1304,2*E1304-D1304+J1304&gt;=0),2*E1304-D1304+J1304,"n.a.")))</x:f>
        <x:v>5756.41</x:v>
      </x:c>
      <x:c r="O1304" s="11" t="str">
        <x:f>IF(B1304="Butterfly",IF(AND(J1304&gt;0,J1304&lt;K1304),F1304-J1304,"n.a."),IF(C1304="call",IF(K1304&gt;J1304,2*E1304-D1304-J1304,"n.a."),IF(AND(J1304&gt;0,J1304&lt;K1304),D1304-J1304,"n.a.")))</x:f>
        <x:v>n.a.</x:v>
      </x:c>
      <x:c r="P1304" s="19" t="str">
        <x:f>IF(AND(B1304="Butterfly",J1304&gt;0,J1304&lt;K1304),L1304/J1304,"n.a.")</x:f>
        <x:v>n.a.</x:v>
      </x:c>
      <x:c r="Q1304" s="11" t="n">
        <x:f>J1304*'Model inputs'!$B$8</x:f>
        <x:v>-4358.999999999999</x:v>
      </x:c>
      <x:c r="R1304" s="1" t="str">
        <x:v>Indicative only</x:v>
      </x:c>
      <x:c r="S1304" s="1" t="n">
        <x:v>676</x:v>
      </x:c>
      <x:c r="T1304" s="1" t="n">
        <x:v>657</x:v>
      </x:c>
    </x:row>
    <x:row r="1305" ht="21" customHeight="1">
      <x:c r="A1305" s="12" t="n">
        <x:v>46261</x:v>
      </x:c>
      <x:c r="B1305" s="1" t="str">
        <x:v>1x2 ratio</x:v>
      </x:c>
      <x:c r="C1305" s="1" t="str">
        <x:v>call</x:v>
      </x:c>
      <x:c r="D1305" s="11" t="n">
        <x:v>7600</x:v>
      </x:c>
      <x:c r="E1305" s="11" t="n">
        <x:v>7800</x:v>
      </x:c>
      <x:c r="F1305" s="11"/>
      <x:c r="G1305" s="11" t="n">
        <x:f>'Option source'!B320</x:f>
        <x:v>247.62</x:v>
      </x:c>
      <x:c r="H1305" s="11" t="n">
        <x:f>'Option source'!B339</x:f>
        <x:v>190.51</x:v>
      </x:c>
      <x:c r="I1305" s="11"/>
      <x:c r="J1305" s="11" t="n">
        <x:f>G1305-2*H1305+IF(B1305="Butterfly",I1305,0)</x:f>
        <x:v>-133.39999999999998</x:v>
      </x:c>
      <x:c r="K1305" s="11" t="n">
        <x:f>ABS(E1305-D1305)</x:f>
        <x:v>200</x:v>
      </x:c>
      <x:c r="L1305" s="11" t="n">
        <x:f>K1305-J1305</x:f>
        <x:v>333.4</x:v>
      </x:c>
      <x:c r="M1305" s="11" t="str">
        <x:f>IF(B1305="Butterfly",MAX(J1305,0),IF(C1305="call","Unlimited",MAX(2*E1305-D1305+J1305,J1305,0)))</x:f>
        <x:v>Unlimited</x:v>
      </x:c>
      <x:c r="N1305" s="11" t="str">
        <x:f>IF(B1305="Butterfly",IF(AND(J1305&gt;0,J1305&lt;K1305),D1305+J1305,"n.a."),IF(C1305="call",IF(AND(J1305&gt;0,J1305&lt;K1305),D1305+J1305,"n.a."),IF(AND(K1305&gt;J1305,2*E1305-D1305+J1305&gt;=0),2*E1305-D1305+J1305,"n.a.")))</x:f>
        <x:v>n.a.</x:v>
      </x:c>
      <x:c r="O1305" s="11" t="n">
        <x:f>IF(B1305="Butterfly",IF(AND(J1305&gt;0,J1305&lt;K1305),F1305-J1305,"n.a."),IF(C1305="call",IF(K1305&gt;J1305,2*E1305-D1305-J1305,"n.a."),IF(AND(J1305&gt;0,J1305&lt;K1305),D1305-J1305,"n.a.")))</x:f>
        <x:v>8133.4</x:v>
      </x:c>
      <x:c r="P1305" s="19" t="str">
        <x:f>IF(AND(B1305="Butterfly",J1305&gt;0,J1305&lt;K1305),L1305/J1305,"n.a.")</x:f>
        <x:v>n.a.</x:v>
      </x:c>
      <x:c r="Q1305" s="11" t="n">
        <x:f>J1305*'Model inputs'!$B$8</x:f>
        <x:v>-13339.999999999998</x:v>
      </x:c>
      <x:c r="R1305" s="1" t="str">
        <x:v>Indicative only</x:v>
      </x:c>
      <x:c r="S1305" s="1" t="n">
        <x:v>315</x:v>
      </x:c>
      <x:c r="T1305" s="1" t="n">
        <x:v>334</x:v>
      </x:c>
    </x:row>
    <x:row r="1306" ht="21" customHeight="1">
      <x:c r="A1306" s="12" t="n">
        <x:v>46261</x:v>
      </x:c>
      <x:c r="B1306" s="1" t="str">
        <x:v>1x2 ratio</x:v>
      </x:c>
      <x:c r="C1306" s="1" t="str">
        <x:v>put</x:v>
      </x:c>
      <x:c r="D1306" s="11" t="n">
        <x:v>6000</x:v>
      </x:c>
      <x:c r="E1306" s="11" t="n">
        <x:v>5800</x:v>
      </x:c>
      <x:c r="F1306" s="11"/>
      <x:c r="G1306" s="11" t="n">
        <x:f>'Option source'!B662</x:f>
        <x:v>81.77</x:v>
      </x:c>
      <x:c r="H1306" s="11" t="n">
        <x:f>'Option source'!B643</x:f>
        <x:v>52.63</x:v>
      </x:c>
      <x:c r="I1306" s="11"/>
      <x:c r="J1306" s="11" t="n">
        <x:f>G1306-2*H1306+IF(B1306="Butterfly",I1306,0)</x:f>
        <x:v>-23.49000000000001</x:v>
      </x:c>
      <x:c r="K1306" s="11" t="n">
        <x:f>ABS(E1306-D1306)</x:f>
        <x:v>200</x:v>
      </x:c>
      <x:c r="L1306" s="11" t="n">
        <x:f>K1306-J1306</x:f>
        <x:v>223.49</x:v>
      </x:c>
      <x:c r="M1306" s="11" t="n">
        <x:f>IF(B1306="Butterfly",MAX(J1306,0),IF(C1306="call","Unlimited",MAX(2*E1306-D1306+J1306,J1306,0)))</x:f>
        <x:v>5576.51</x:v>
      </x:c>
      <x:c r="N1306" s="11" t="n">
        <x:f>IF(B1306="Butterfly",IF(AND(J1306&gt;0,J1306&lt;K1306),D1306+J1306,"n.a."),IF(C1306="call",IF(AND(J1306&gt;0,J1306&lt;K1306),D1306+J1306,"n.a."),IF(AND(K1306&gt;J1306,2*E1306-D1306+J1306&gt;=0),2*E1306-D1306+J1306,"n.a.")))</x:f>
        <x:v>5576.51</x:v>
      </x:c>
      <x:c r="O1306" s="11" t="str">
        <x:f>IF(B1306="Butterfly",IF(AND(J1306&gt;0,J1306&lt;K1306),F1306-J1306,"n.a."),IF(C1306="call",IF(K1306&gt;J1306,2*E1306-D1306-J1306,"n.a."),IF(AND(J1306&gt;0,J1306&lt;K1306),D1306-J1306,"n.a.")))</x:f>
        <x:v>n.a.</x:v>
      </x:c>
      <x:c r="P1306" s="19" t="str">
        <x:f>IF(AND(B1306="Butterfly",J1306&gt;0,J1306&lt;K1306),L1306/J1306,"n.a.")</x:f>
        <x:v>n.a.</x:v>
      </x:c>
      <x:c r="Q1306" s="11" t="n">
        <x:f>J1306*'Model inputs'!$B$8</x:f>
        <x:v>-2349.000000000001</x:v>
      </x:c>
      <x:c r="R1306" s="1" t="str">
        <x:v>Indicative only</x:v>
      </x:c>
      <x:c r="S1306" s="1" t="n">
        <x:v>657</x:v>
      </x:c>
      <x:c r="T1306" s="1" t="n">
        <x:v>638</x:v>
      </x:c>
    </x:row>
    <x:row r="1307" ht="21" customHeight="1">
      <x:c r="A1307" s="12" t="n">
        <x:v>46261</x:v>
      </x:c>
      <x:c r="B1307" s="1" t="str">
        <x:v>1x2 ratio</x:v>
      </x:c>
      <x:c r="C1307" s="1" t="str">
        <x:v>call</x:v>
      </x:c>
      <x:c r="D1307" s="11" t="n">
        <x:v>7800</x:v>
      </x:c>
      <x:c r="E1307" s="11" t="n">
        <x:v>8000</x:v>
      </x:c>
      <x:c r="F1307" s="11"/>
      <x:c r="G1307" s="11" t="n">
        <x:f>'Option source'!B339</x:f>
        <x:v>190.51</x:v>
      </x:c>
      <x:c r="H1307" s="11" t="n">
        <x:f>'Option source'!B358</x:f>
        <x:v>151.28</x:v>
      </x:c>
      <x:c r="I1307" s="11"/>
      <x:c r="J1307" s="11" t="n">
        <x:f>G1307-2*H1307+IF(B1307="Butterfly",I1307,0)</x:f>
        <x:v>-112.05000000000001</x:v>
      </x:c>
      <x:c r="K1307" s="11" t="n">
        <x:f>ABS(E1307-D1307)</x:f>
        <x:v>200</x:v>
      </x:c>
      <x:c r="L1307" s="11" t="n">
        <x:f>K1307-J1307</x:f>
        <x:v>312.05</x:v>
      </x:c>
      <x:c r="M1307" s="11" t="str">
        <x:f>IF(B1307="Butterfly",MAX(J1307,0),IF(C1307="call","Unlimited",MAX(2*E1307-D1307+J1307,J1307,0)))</x:f>
        <x:v>Unlimited</x:v>
      </x:c>
      <x:c r="N1307" s="11" t="str">
        <x:f>IF(B1307="Butterfly",IF(AND(J1307&gt;0,J1307&lt;K1307),D1307+J1307,"n.a."),IF(C1307="call",IF(AND(J1307&gt;0,J1307&lt;K1307),D1307+J1307,"n.a."),IF(AND(K1307&gt;J1307,2*E1307-D1307+J1307&gt;=0),2*E1307-D1307+J1307,"n.a.")))</x:f>
        <x:v>n.a.</x:v>
      </x:c>
      <x:c r="O1307" s="11" t="n">
        <x:f>IF(B1307="Butterfly",IF(AND(J1307&gt;0,J1307&lt;K1307),F1307-J1307,"n.a."),IF(C1307="call",IF(K1307&gt;J1307,2*E1307-D1307-J1307,"n.a."),IF(AND(J1307&gt;0,J1307&lt;K1307),D1307-J1307,"n.a.")))</x:f>
        <x:v>8312.05</x:v>
      </x:c>
      <x:c r="P1307" s="19" t="str">
        <x:f>IF(AND(B1307="Butterfly",J1307&gt;0,J1307&lt;K1307),L1307/J1307,"n.a.")</x:f>
        <x:v>n.a.</x:v>
      </x:c>
      <x:c r="Q1307" s="11" t="n">
        <x:f>J1307*'Model inputs'!$B$8</x:f>
        <x:v>-11205.000000000002</x:v>
      </x:c>
      <x:c r="R1307" s="1" t="str">
        <x:v>Indicative only</x:v>
      </x:c>
      <x:c r="S1307" s="1" t="n">
        <x:v>334</x:v>
      </x:c>
      <x:c r="T1307" s="1" t="n">
        <x:v>353</x:v>
      </x:c>
    </x:row>
    <x:row r="1308" ht="21" customHeight="1">
      <x:c r="A1308" s="12" t="n">
        <x:v>46261</x:v>
      </x:c>
      <x:c r="B1308" s="1" t="str">
        <x:v>1x2 ratio</x:v>
      </x:c>
      <x:c r="C1308" s="1" t="str">
        <x:v>put</x:v>
      </x:c>
      <x:c r="D1308" s="11" t="n">
        <x:v>5800</x:v>
      </x:c>
      <x:c r="E1308" s="11" t="n">
        <x:v>5600</x:v>
      </x:c>
      <x:c r="F1308" s="11"/>
      <x:c r="G1308" s="11" t="n">
        <x:f>'Option source'!B643</x:f>
        <x:v>52.63</x:v>
      </x:c>
      <x:c r="H1308" s="11" t="n">
        <x:f>'Option source'!B624</x:f>
        <x:v>30.86</x:v>
      </x:c>
      <x:c r="I1308" s="11"/>
      <x:c r="J1308" s="11" t="n">
        <x:f>G1308-2*H1308+IF(B1308="Butterfly",I1308,0)</x:f>
        <x:v>-9.089999999999996</x:v>
      </x:c>
      <x:c r="K1308" s="11" t="n">
        <x:f>ABS(E1308-D1308)</x:f>
        <x:v>200</x:v>
      </x:c>
      <x:c r="L1308" s="11" t="n">
        <x:f>K1308-J1308</x:f>
        <x:v>209.09</x:v>
      </x:c>
      <x:c r="M1308" s="11" t="n">
        <x:f>IF(B1308="Butterfly",MAX(J1308,0),IF(C1308="call","Unlimited",MAX(2*E1308-D1308+J1308,J1308,0)))</x:f>
        <x:v>5390.91</x:v>
      </x:c>
      <x:c r="N1308" s="11" t="n">
        <x:f>IF(B1308="Butterfly",IF(AND(J1308&gt;0,J1308&lt;K1308),D1308+J1308,"n.a."),IF(C1308="call",IF(AND(J1308&gt;0,J1308&lt;K1308),D1308+J1308,"n.a."),IF(AND(K1308&gt;J1308,2*E1308-D1308+J1308&gt;=0),2*E1308-D1308+J1308,"n.a.")))</x:f>
        <x:v>5390.91</x:v>
      </x:c>
      <x:c r="O1308" s="11" t="str">
        <x:f>IF(B1308="Butterfly",IF(AND(J1308&gt;0,J1308&lt;K1308),F1308-J1308,"n.a."),IF(C1308="call",IF(K1308&gt;J1308,2*E1308-D1308-J1308,"n.a."),IF(AND(J1308&gt;0,J1308&lt;K1308),D1308-J1308,"n.a.")))</x:f>
        <x:v>n.a.</x:v>
      </x:c>
      <x:c r="P1308" s="19" t="str">
        <x:f>IF(AND(B1308="Butterfly",J1308&gt;0,J1308&lt;K1308),L1308/J1308,"n.a.")</x:f>
        <x:v>n.a.</x:v>
      </x:c>
      <x:c r="Q1308" s="11" t="n">
        <x:f>J1308*'Model inputs'!$B$8</x:f>
        <x:v>-908.9999999999997</x:v>
      </x:c>
      <x:c r="R1308" s="1" t="str">
        <x:v>Indicative only</x:v>
      </x:c>
      <x:c r="S1308" s="1" t="n">
        <x:v>638</x:v>
      </x:c>
      <x:c r="T1308" s="1" t="n">
        <x:v>619</x:v>
      </x:c>
    </x:row>
    <x:row r="1309" ht="21" customHeight="1">
      <x:c r="A1309" s="12" t="n">
        <x:v>46261</x:v>
      </x:c>
      <x:c r="B1309" s="1" t="str">
        <x:v>1x2 ratio</x:v>
      </x:c>
      <x:c r="C1309" s="1" t="str">
        <x:v>call</x:v>
      </x:c>
      <x:c r="D1309" s="11" t="n">
        <x:v>8000</x:v>
      </x:c>
      <x:c r="E1309" s="11" t="n">
        <x:v>8300</x:v>
      </x:c>
      <x:c r="F1309" s="11"/>
      <x:c r="G1309" s="11" t="n">
        <x:f>'Option source'!B358</x:f>
        <x:v>151.28</x:v>
      </x:c>
      <x:c r="H1309" s="11" t="n">
        <x:f>'Option source'!B377</x:f>
        <x:v>101.58</x:v>
      </x:c>
      <x:c r="I1309" s="11"/>
      <x:c r="J1309" s="11" t="n">
        <x:f>G1309-2*H1309+IF(B1309="Butterfly",I1309,0)</x:f>
        <x:v>-51.879999999999995</x:v>
      </x:c>
      <x:c r="K1309" s="11" t="n">
        <x:f>ABS(E1309-D1309)</x:f>
        <x:v>300</x:v>
      </x:c>
      <x:c r="L1309" s="11" t="n">
        <x:f>K1309-J1309</x:f>
        <x:v>351.88</x:v>
      </x:c>
      <x:c r="M1309" s="11" t="str">
        <x:f>IF(B1309="Butterfly",MAX(J1309,0),IF(C1309="call","Unlimited",MAX(2*E1309-D1309+J1309,J1309,0)))</x:f>
        <x:v>Unlimited</x:v>
      </x:c>
      <x:c r="N1309" s="11" t="str">
        <x:f>IF(B1309="Butterfly",IF(AND(J1309&gt;0,J1309&lt;K1309),D1309+J1309,"n.a."),IF(C1309="call",IF(AND(J1309&gt;0,J1309&lt;K1309),D1309+J1309,"n.a."),IF(AND(K1309&gt;J1309,2*E1309-D1309+J1309&gt;=0),2*E1309-D1309+J1309,"n.a.")))</x:f>
        <x:v>n.a.</x:v>
      </x:c>
      <x:c r="O1309" s="11" t="n">
        <x:f>IF(B1309="Butterfly",IF(AND(J1309&gt;0,J1309&lt;K1309),F1309-J1309,"n.a."),IF(C1309="call",IF(K1309&gt;J1309,2*E1309-D1309-J1309,"n.a."),IF(AND(J1309&gt;0,J1309&lt;K1309),D1309-J1309,"n.a.")))</x:f>
        <x:v>8651.88</x:v>
      </x:c>
      <x:c r="P1309" s="19" t="str">
        <x:f>IF(AND(B1309="Butterfly",J1309&gt;0,J1309&lt;K1309),L1309/J1309,"n.a.")</x:f>
        <x:v>n.a.</x:v>
      </x:c>
      <x:c r="Q1309" s="11" t="n">
        <x:f>J1309*'Model inputs'!$B$8</x:f>
        <x:v>-5188</x:v>
      </x:c>
      <x:c r="R1309" s="1" t="str">
        <x:v>Indicative only</x:v>
      </x:c>
      <x:c r="S1309" s="1" t="n">
        <x:v>353</x:v>
      </x:c>
      <x:c r="T1309" s="1" t="n">
        <x:v>372</x:v>
      </x:c>
    </x:row>
    <x:row r="1310" ht="21" customHeight="1">
      <x:c r="A1310" s="12" t="n">
        <x:v>46261</x:v>
      </x:c>
      <x:c r="B1310" s="1" t="str">
        <x:v>1x2 ratio</x:v>
      </x:c>
      <x:c r="C1310" s="1" t="str">
        <x:v>put</x:v>
      </x:c>
      <x:c r="D1310" s="11" t="n">
        <x:v>5600</x:v>
      </x:c>
      <x:c r="E1310" s="11" t="n">
        <x:v>5400</x:v>
      </x:c>
      <x:c r="F1310" s="11"/>
      <x:c r="G1310" s="11" t="n">
        <x:f>'Option source'!B624</x:f>
        <x:v>30.86</x:v>
      </x:c>
      <x:c r="H1310" s="11" t="n">
        <x:f>'Option source'!B605</x:f>
        <x:v>18.93</x:v>
      </x:c>
      <x:c r="I1310" s="11"/>
      <x:c r="J1310" s="11" t="n">
        <x:f>G1310-2*H1310+IF(B1310="Butterfly",I1310,0)</x:f>
        <x:v>-7</x:v>
      </x:c>
      <x:c r="K1310" s="11" t="n">
        <x:f>ABS(E1310-D1310)</x:f>
        <x:v>200</x:v>
      </x:c>
      <x:c r="L1310" s="11" t="n">
        <x:f>K1310-J1310</x:f>
        <x:v>207</x:v>
      </x:c>
      <x:c r="M1310" s="11" t="n">
        <x:f>IF(B1310="Butterfly",MAX(J1310,0),IF(C1310="call","Unlimited",MAX(2*E1310-D1310+J1310,J1310,0)))</x:f>
        <x:v>5193</x:v>
      </x:c>
      <x:c r="N1310" s="11" t="n">
        <x:f>IF(B1310="Butterfly",IF(AND(J1310&gt;0,J1310&lt;K1310),D1310+J1310,"n.a."),IF(C1310="call",IF(AND(J1310&gt;0,J1310&lt;K1310),D1310+J1310,"n.a."),IF(AND(K1310&gt;J1310,2*E1310-D1310+J1310&gt;=0),2*E1310-D1310+J1310,"n.a.")))</x:f>
        <x:v>5193</x:v>
      </x:c>
      <x:c r="O1310" s="11" t="str">
        <x:f>IF(B1310="Butterfly",IF(AND(J1310&gt;0,J1310&lt;K1310),F1310-J1310,"n.a."),IF(C1310="call",IF(K1310&gt;J1310,2*E1310-D1310-J1310,"n.a."),IF(AND(J1310&gt;0,J1310&lt;K1310),D1310-J1310,"n.a.")))</x:f>
        <x:v>n.a.</x:v>
      </x:c>
      <x:c r="P1310" s="19" t="str">
        <x:f>IF(AND(B1310="Butterfly",J1310&gt;0,J1310&lt;K1310),L1310/J1310,"n.a.")</x:f>
        <x:v>n.a.</x:v>
      </x:c>
      <x:c r="Q1310" s="11" t="n">
        <x:f>J1310*'Model inputs'!$B$8</x:f>
        <x:v>-700</x:v>
      </x:c>
      <x:c r="R1310" s="1" t="str">
        <x:v>Indicative only</x:v>
      </x:c>
      <x:c r="S1310" s="1" t="n">
        <x:v>619</x:v>
      </x:c>
      <x:c r="T1310" s="1" t="n">
        <x:v>600</x:v>
      </x:c>
    </x:row>
    <x:row r="1311" ht="21" customHeight="1">
      <x:c r="A1311" s="12" t="n">
        <x:v>46261</x:v>
      </x:c>
      <x:c r="B1311" s="1" t="str">
        <x:v>1x2 ratio</x:v>
      </x:c>
      <x:c r="C1311" s="1" t="str">
        <x:v>put</x:v>
      </x:c>
      <x:c r="D1311" s="11" t="n">
        <x:v>5400</x:v>
      </x:c>
      <x:c r="E1311" s="11" t="n">
        <x:v>5200</x:v>
      </x:c>
      <x:c r="F1311" s="11"/>
      <x:c r="G1311" s="11" t="n">
        <x:f>'Option source'!B605</x:f>
        <x:v>18.93</x:v>
      </x:c>
      <x:c r="H1311" s="11" t="n">
        <x:f>'Option source'!B586</x:f>
        <x:v>12.17</x:v>
      </x:c>
      <x:c r="I1311" s="11"/>
      <x:c r="J1311" s="11" t="n">
        <x:f>G1311-2*H1311+IF(B1311="Butterfly",I1311,0)</x:f>
        <x:v>-5.41</x:v>
      </x:c>
      <x:c r="K1311" s="11" t="n">
        <x:f>ABS(E1311-D1311)</x:f>
        <x:v>200</x:v>
      </x:c>
      <x:c r="L1311" s="11" t="n">
        <x:f>K1311-J1311</x:f>
        <x:v>205.41</x:v>
      </x:c>
      <x:c r="M1311" s="11" t="n">
        <x:f>IF(B1311="Butterfly",MAX(J1311,0),IF(C1311="call","Unlimited",MAX(2*E1311-D1311+J1311,J1311,0)))</x:f>
        <x:v>4994.59</x:v>
      </x:c>
      <x:c r="N1311" s="11" t="n">
        <x:f>IF(B1311="Butterfly",IF(AND(J1311&gt;0,J1311&lt;K1311),D1311+J1311,"n.a."),IF(C1311="call",IF(AND(J1311&gt;0,J1311&lt;K1311),D1311+J1311,"n.a."),IF(AND(K1311&gt;J1311,2*E1311-D1311+J1311&gt;=0),2*E1311-D1311+J1311,"n.a.")))</x:f>
        <x:v>4994.59</x:v>
      </x:c>
      <x:c r="O1311" s="11" t="str">
        <x:f>IF(B1311="Butterfly",IF(AND(J1311&gt;0,J1311&lt;K1311),F1311-J1311,"n.a."),IF(C1311="call",IF(K1311&gt;J1311,2*E1311-D1311-J1311,"n.a."),IF(AND(J1311&gt;0,J1311&lt;K1311),D1311-J1311,"n.a.")))</x:f>
        <x:v>n.a.</x:v>
      </x:c>
      <x:c r="P1311" s="19" t="str">
        <x:f>IF(AND(B1311="Butterfly",J1311&gt;0,J1311&lt;K1311),L1311/J1311,"n.a.")</x:f>
        <x:v>n.a.</x:v>
      </x:c>
      <x:c r="Q1311" s="11" t="n">
        <x:f>J1311*'Model inputs'!$B$8</x:f>
        <x:v>-541</x:v>
      </x:c>
      <x:c r="R1311" s="1" t="str">
        <x:v>Indicative only</x:v>
      </x:c>
      <x:c r="S1311" s="1" t="n">
        <x:v>600</x:v>
      </x:c>
      <x:c r="T1311" s="1" t="n">
        <x:v>581</x:v>
      </x:c>
    </x:row>
    <x:row r="1312" ht="21" customHeight="1">
      <x:c r="A1312" s="12" t="n">
        <x:v>46261</x:v>
      </x:c>
      <x:c r="B1312" s="1" t="str">
        <x:v>1x2 ratio</x:v>
      </x:c>
      <x:c r="C1312" s="1" t="str">
        <x:v>call</x:v>
      </x:c>
      <x:c r="D1312" s="11" t="n">
        <x:v>8300</x:v>
      </x:c>
      <x:c r="E1312" s="11" t="n">
        <x:v>8600</x:v>
      </x:c>
      <x:c r="F1312" s="11"/>
      <x:c r="G1312" s="11" t="n">
        <x:f>'Option source'!B377</x:f>
        <x:v>101.58</x:v>
      </x:c>
      <x:c r="H1312" s="11" t="n">
        <x:f>'Option source'!B396</x:f>
        <x:v>68.22</x:v>
      </x:c>
      <x:c r="I1312" s="11"/>
      <x:c r="J1312" s="11" t="n">
        <x:f>G1312-2*H1312+IF(B1312="Butterfly",I1312,0)</x:f>
        <x:v>-34.86</x:v>
      </x:c>
      <x:c r="K1312" s="11" t="n">
        <x:f>ABS(E1312-D1312)</x:f>
        <x:v>300</x:v>
      </x:c>
      <x:c r="L1312" s="11" t="n">
        <x:f>K1312-J1312</x:f>
        <x:v>334.86</x:v>
      </x:c>
      <x:c r="M1312" s="11" t="str">
        <x:f>IF(B1312="Butterfly",MAX(J1312,0),IF(C1312="call","Unlimited",MAX(2*E1312-D1312+J1312,J1312,0)))</x:f>
        <x:v>Unlimited</x:v>
      </x:c>
      <x:c r="N1312" s="11" t="str">
        <x:f>IF(B1312="Butterfly",IF(AND(J1312&gt;0,J1312&lt;K1312),D1312+J1312,"n.a."),IF(C1312="call",IF(AND(J1312&gt;0,J1312&lt;K1312),D1312+J1312,"n.a."),IF(AND(K1312&gt;J1312,2*E1312-D1312+J1312&gt;=0),2*E1312-D1312+J1312,"n.a.")))</x:f>
        <x:v>n.a.</x:v>
      </x:c>
      <x:c r="O1312" s="11" t="n">
        <x:f>IF(B1312="Butterfly",IF(AND(J1312&gt;0,J1312&lt;K1312),F1312-J1312,"n.a."),IF(C1312="call",IF(K1312&gt;J1312,2*E1312-D1312-J1312,"n.a."),IF(AND(J1312&gt;0,J1312&lt;K1312),D1312-J1312,"n.a.")))</x:f>
        <x:v>8934.86</x:v>
      </x:c>
      <x:c r="P1312" s="19" t="str">
        <x:f>IF(AND(B1312="Butterfly",J1312&gt;0,J1312&lt;K1312),L1312/J1312,"n.a.")</x:f>
        <x:v>n.a.</x:v>
      </x:c>
      <x:c r="Q1312" s="11" t="n">
        <x:f>J1312*'Model inputs'!$B$8</x:f>
        <x:v>-3486</x:v>
      </x:c>
      <x:c r="R1312" s="1" t="str">
        <x:v>Indicative only</x:v>
      </x:c>
      <x:c r="S1312" s="1" t="n">
        <x:v>372</x:v>
      </x:c>
      <x:c r="T1312" s="1" t="n">
        <x:v>391</x:v>
      </x:c>
    </x:row>
    <x:row r="1313" ht="21" customHeight="1">
      <x:c r="A1313" s="12" t="n">
        <x:v>46261</x:v>
      </x:c>
      <x:c r="B1313" s="1" t="str">
        <x:v>1x2 ratio</x:v>
      </x:c>
      <x:c r="C1313" s="1" t="str">
        <x:v>put</x:v>
      </x:c>
      <x:c r="D1313" s="11" t="n">
        <x:v>5200</x:v>
      </x:c>
      <x:c r="E1313" s="11" t="n">
        <x:v>5000</x:v>
      </x:c>
      <x:c r="F1313" s="11"/>
      <x:c r="G1313" s="11" t="n">
        <x:f>'Option source'!B586</x:f>
        <x:v>12.17</x:v>
      </x:c>
      <x:c r="H1313" s="11" t="n">
        <x:f>'Option source'!B567</x:f>
        <x:v>7.94</x:v>
      </x:c>
      <x:c r="I1313" s="11"/>
      <x:c r="J1313" s="11" t="n">
        <x:f>G1313-2*H1313+IF(B1313="Butterfly",I1313,0)</x:f>
        <x:v>-3.710000000000001</x:v>
      </x:c>
      <x:c r="K1313" s="11" t="n">
        <x:f>ABS(E1313-D1313)</x:f>
        <x:v>200</x:v>
      </x:c>
      <x:c r="L1313" s="11" t="n">
        <x:f>K1313-J1313</x:f>
        <x:v>203.71</x:v>
      </x:c>
      <x:c r="M1313" s="11" t="n">
        <x:f>IF(B1313="Butterfly",MAX(J1313,0),IF(C1313="call","Unlimited",MAX(2*E1313-D1313+J1313,J1313,0)))</x:f>
        <x:v>4796.29</x:v>
      </x:c>
      <x:c r="N1313" s="11" t="n">
        <x:f>IF(B1313="Butterfly",IF(AND(J1313&gt;0,J1313&lt;K1313),D1313+J1313,"n.a."),IF(C1313="call",IF(AND(J1313&gt;0,J1313&lt;K1313),D1313+J1313,"n.a."),IF(AND(K1313&gt;J1313,2*E1313-D1313+J1313&gt;=0),2*E1313-D1313+J1313,"n.a.")))</x:f>
        <x:v>4796.29</x:v>
      </x:c>
      <x:c r="O1313" s="11" t="str">
        <x:f>IF(B1313="Butterfly",IF(AND(J1313&gt;0,J1313&lt;K1313),F1313-J1313,"n.a."),IF(C1313="call",IF(K1313&gt;J1313,2*E1313-D1313-J1313,"n.a."),IF(AND(J1313&gt;0,J1313&lt;K1313),D1313-J1313,"n.a.")))</x:f>
        <x:v>n.a.</x:v>
      </x:c>
      <x:c r="P1313" s="19" t="str">
        <x:f>IF(AND(B1313="Butterfly",J1313&gt;0,J1313&lt;K1313),L1313/J1313,"n.a.")</x:f>
        <x:v>n.a.</x:v>
      </x:c>
      <x:c r="Q1313" s="11" t="n">
        <x:f>J1313*'Model inputs'!$B$8</x:f>
        <x:v>-371.0000000000001</x:v>
      </x:c>
      <x:c r="R1313" s="1" t="str">
        <x:v>Indicative only</x:v>
      </x:c>
      <x:c r="S1313" s="1" t="n">
        <x:v>581</x:v>
      </x:c>
      <x:c r="T1313" s="1" t="n">
        <x:v>562</x:v>
      </x:c>
    </x:row>
    <x:row r="1314" ht="21" customHeight="1">
      <x:c r="A1314" s="12" t="n">
        <x:v>46261</x:v>
      </x:c>
      <x:c r="B1314" s="1" t="str">
        <x:v>1x2 ratio</x:v>
      </x:c>
      <x:c r="C1314" s="1" t="str">
        <x:v>call</x:v>
      </x:c>
      <x:c r="D1314" s="11" t="n">
        <x:v>8600</x:v>
      </x:c>
      <x:c r="E1314" s="11" t="n">
        <x:v>8900</x:v>
      </x:c>
      <x:c r="F1314" s="11"/>
      <x:c r="G1314" s="11" t="n">
        <x:f>'Option source'!B396</x:f>
        <x:v>68.22</x:v>
      </x:c>
      <x:c r="H1314" s="11" t="n">
        <x:f>'Option source'!B415</x:f>
        <x:v>45.5</x:v>
      </x:c>
      <x:c r="I1314" s="11"/>
      <x:c r="J1314" s="11" t="n">
        <x:f>G1314-2*H1314+IF(B1314="Butterfly",I1314,0)</x:f>
        <x:v>-22.78</x:v>
      </x:c>
      <x:c r="K1314" s="11" t="n">
        <x:f>ABS(E1314-D1314)</x:f>
        <x:v>300</x:v>
      </x:c>
      <x:c r="L1314" s="11" t="n">
        <x:f>K1314-J1314</x:f>
        <x:v>322.78</x:v>
      </x:c>
      <x:c r="M1314" s="11" t="str">
        <x:f>IF(B1314="Butterfly",MAX(J1314,0),IF(C1314="call","Unlimited",MAX(2*E1314-D1314+J1314,J1314,0)))</x:f>
        <x:v>Unlimited</x:v>
      </x:c>
      <x:c r="N1314" s="11" t="str">
        <x:f>IF(B1314="Butterfly",IF(AND(J1314&gt;0,J1314&lt;K1314),D1314+J1314,"n.a."),IF(C1314="call",IF(AND(J1314&gt;0,J1314&lt;K1314),D1314+J1314,"n.a."),IF(AND(K1314&gt;J1314,2*E1314-D1314+J1314&gt;=0),2*E1314-D1314+J1314,"n.a.")))</x:f>
        <x:v>n.a.</x:v>
      </x:c>
      <x:c r="O1314" s="11" t="n">
        <x:f>IF(B1314="Butterfly",IF(AND(J1314&gt;0,J1314&lt;K1314),F1314-J1314,"n.a."),IF(C1314="call",IF(K1314&gt;J1314,2*E1314-D1314-J1314,"n.a."),IF(AND(J1314&gt;0,J1314&lt;K1314),D1314-J1314,"n.a.")))</x:f>
        <x:v>9222.78</x:v>
      </x:c>
      <x:c r="P1314" s="19" t="str">
        <x:f>IF(AND(B1314="Butterfly",J1314&gt;0,J1314&lt;K1314),L1314/J1314,"n.a.")</x:f>
        <x:v>n.a.</x:v>
      </x:c>
      <x:c r="Q1314" s="11" t="n">
        <x:f>J1314*'Model inputs'!$B$8</x:f>
        <x:v>-2278</x:v>
      </x:c>
      <x:c r="R1314" s="1" t="str">
        <x:v>Indicative only</x:v>
      </x:c>
      <x:c r="S1314" s="1" t="n">
        <x:v>391</x:v>
      </x:c>
      <x:c r="T1314" s="1" t="n">
        <x:v>410</x:v>
      </x:c>
    </x:row>
    <x:row r="1315" ht="21" customHeight="1">
      <x:c r="A1315" s="12" t="n">
        <x:v>46261</x:v>
      </x:c>
      <x:c r="B1315" s="1" t="str">
        <x:v>1x2 ratio</x:v>
      </x:c>
      <x:c r="C1315" s="1" t="str">
        <x:v>put</x:v>
      </x:c>
      <x:c r="D1315" s="11" t="n">
        <x:v>5000</x:v>
      </x:c>
      <x:c r="E1315" s="11" t="n">
        <x:v>4800</x:v>
      </x:c>
      <x:c r="F1315" s="11"/>
      <x:c r="G1315" s="11" t="n">
        <x:f>'Option source'!B567</x:f>
        <x:v>7.94</x:v>
      </x:c>
      <x:c r="H1315" s="11" t="n">
        <x:f>'Option source'!B548</x:f>
        <x:v>5.67</x:v>
      </x:c>
      <x:c r="I1315" s="11"/>
      <x:c r="J1315" s="11" t="n">
        <x:f>G1315-2*H1315+IF(B1315="Butterfly",I1315,0)</x:f>
        <x:v>-3.3999999999999995</x:v>
      </x:c>
      <x:c r="K1315" s="11" t="n">
        <x:f>ABS(E1315-D1315)</x:f>
        <x:v>200</x:v>
      </x:c>
      <x:c r="L1315" s="11" t="n">
        <x:f>K1315-J1315</x:f>
        <x:v>203.4</x:v>
      </x:c>
      <x:c r="M1315" s="11" t="n">
        <x:f>IF(B1315="Butterfly",MAX(J1315,0),IF(C1315="call","Unlimited",MAX(2*E1315-D1315+J1315,J1315,0)))</x:f>
        <x:v>4596.6</x:v>
      </x:c>
      <x:c r="N1315" s="11" t="n">
        <x:f>IF(B1315="Butterfly",IF(AND(J1315&gt;0,J1315&lt;K1315),D1315+J1315,"n.a."),IF(C1315="call",IF(AND(J1315&gt;0,J1315&lt;K1315),D1315+J1315,"n.a."),IF(AND(K1315&gt;J1315,2*E1315-D1315+J1315&gt;=0),2*E1315-D1315+J1315,"n.a.")))</x:f>
        <x:v>4596.6</x:v>
      </x:c>
      <x:c r="O1315" s="11" t="str">
        <x:f>IF(B1315="Butterfly",IF(AND(J1315&gt;0,J1315&lt;K1315),F1315-J1315,"n.a."),IF(C1315="call",IF(K1315&gt;J1315,2*E1315-D1315-J1315,"n.a."),IF(AND(J1315&gt;0,J1315&lt;K1315),D1315-J1315,"n.a.")))</x:f>
        <x:v>n.a.</x:v>
      </x:c>
      <x:c r="P1315" s="19" t="str">
        <x:f>IF(AND(B1315="Butterfly",J1315&gt;0,J1315&lt;K1315),L1315/J1315,"n.a.")</x:f>
        <x:v>n.a.</x:v>
      </x:c>
      <x:c r="Q1315" s="11" t="n">
        <x:f>J1315*'Model inputs'!$B$8</x:f>
        <x:v>-339.99999999999994</x:v>
      </x:c>
      <x:c r="R1315" s="1" t="str">
        <x:v>Indicative only</x:v>
      </x:c>
      <x:c r="S1315" s="1" t="n">
        <x:v>562</x:v>
      </x:c>
      <x:c r="T1315" s="1" t="n">
        <x:v>543</x:v>
      </x:c>
    </x:row>
    <x:row r="1316" ht="21" customHeight="1">
      <x:c r="A1316" s="12" t="n">
        <x:v>46261</x:v>
      </x:c>
      <x:c r="B1316" s="1" t="str">
        <x:v>1x2 ratio</x:v>
      </x:c>
      <x:c r="C1316" s="1" t="str">
        <x:v>put</x:v>
      </x:c>
      <x:c r="D1316" s="11" t="n">
        <x:v>4800</x:v>
      </x:c>
      <x:c r="E1316" s="11" t="n">
        <x:v>4600</x:v>
      </x:c>
      <x:c r="F1316" s="11"/>
      <x:c r="G1316" s="11" t="n">
        <x:f>'Option source'!B548</x:f>
        <x:v>5.67</x:v>
      </x:c>
      <x:c r="H1316" s="11" t="n">
        <x:f>'Option source'!B529</x:f>
        <x:v>4.04</x:v>
      </x:c>
      <x:c r="I1316" s="11"/>
      <x:c r="J1316" s="11" t="n">
        <x:f>G1316-2*H1316+IF(B1316="Butterfly",I1316,0)</x:f>
        <x:v>-2.41</x:v>
      </x:c>
      <x:c r="K1316" s="11" t="n">
        <x:f>ABS(E1316-D1316)</x:f>
        <x:v>200</x:v>
      </x:c>
      <x:c r="L1316" s="11" t="n">
        <x:f>K1316-J1316</x:f>
        <x:v>202.41</x:v>
      </x:c>
      <x:c r="M1316" s="11" t="n">
        <x:f>IF(B1316="Butterfly",MAX(J1316,0),IF(C1316="call","Unlimited",MAX(2*E1316-D1316+J1316,J1316,0)))</x:f>
        <x:v>4397.59</x:v>
      </x:c>
      <x:c r="N1316" s="11" t="n">
        <x:f>IF(B1316="Butterfly",IF(AND(J1316&gt;0,J1316&lt;K1316),D1316+J1316,"n.a."),IF(C1316="call",IF(AND(J1316&gt;0,J1316&lt;K1316),D1316+J1316,"n.a."),IF(AND(K1316&gt;J1316,2*E1316-D1316+J1316&gt;=0),2*E1316-D1316+J1316,"n.a.")))</x:f>
        <x:v>4397.59</x:v>
      </x:c>
      <x:c r="O1316" s="11" t="str">
        <x:f>IF(B1316="Butterfly",IF(AND(J1316&gt;0,J1316&lt;K1316),F1316-J1316,"n.a."),IF(C1316="call",IF(K1316&gt;J1316,2*E1316-D1316-J1316,"n.a."),IF(AND(J1316&gt;0,J1316&lt;K1316),D1316-J1316,"n.a.")))</x:f>
        <x:v>n.a.</x:v>
      </x:c>
      <x:c r="P1316" s="19" t="str">
        <x:f>IF(AND(B1316="Butterfly",J1316&gt;0,J1316&lt;K1316),L1316/J1316,"n.a.")</x:f>
        <x:v>n.a.</x:v>
      </x:c>
      <x:c r="Q1316" s="11" t="n">
        <x:f>J1316*'Model inputs'!$B$8</x:f>
        <x:v>-241</x:v>
      </x:c>
      <x:c r="R1316" s="1" t="str">
        <x:v>Indicative only</x:v>
      </x:c>
      <x:c r="S1316" s="1" t="n">
        <x:v>543</x:v>
      </x:c>
      <x:c r="T1316" s="1" t="n">
        <x:v>524</x:v>
      </x:c>
    </x:row>
    <x:row r="1317" ht="21" customHeight="1">
      <x:c r="A1317" s="12" t="n">
        <x:v>46261</x:v>
      </x:c>
      <x:c r="B1317" s="1" t="str">
        <x:v>1x2 ratio</x:v>
      </x:c>
      <x:c r="C1317" s="1" t="str">
        <x:v>call</x:v>
      </x:c>
      <x:c r="D1317" s="11" t="n">
        <x:v>8900</x:v>
      </x:c>
      <x:c r="E1317" s="11" t="n">
        <x:v>9200</x:v>
      </x:c>
      <x:c r="F1317" s="11"/>
      <x:c r="G1317" s="11" t="n">
        <x:f>'Option source'!B415</x:f>
        <x:v>45.5</x:v>
      </x:c>
      <x:c r="H1317" s="11" t="n">
        <x:f>'Option source'!B434</x:f>
        <x:v>30.1</x:v>
      </x:c>
      <x:c r="I1317" s="11"/>
      <x:c r="J1317" s="11" t="n">
        <x:f>G1317-2*H1317+IF(B1317="Butterfly",I1317,0)</x:f>
        <x:v>-14.700000000000003</x:v>
      </x:c>
      <x:c r="K1317" s="11" t="n">
        <x:f>ABS(E1317-D1317)</x:f>
        <x:v>300</x:v>
      </x:c>
      <x:c r="L1317" s="11" t="n">
        <x:f>K1317-J1317</x:f>
        <x:v>314.7</x:v>
      </x:c>
      <x:c r="M1317" s="11" t="str">
        <x:f>IF(B1317="Butterfly",MAX(J1317,0),IF(C1317="call","Unlimited",MAX(2*E1317-D1317+J1317,J1317,0)))</x:f>
        <x:v>Unlimited</x:v>
      </x:c>
      <x:c r="N1317" s="11" t="str">
        <x:f>IF(B1317="Butterfly",IF(AND(J1317&gt;0,J1317&lt;K1317),D1317+J1317,"n.a."),IF(C1317="call",IF(AND(J1317&gt;0,J1317&lt;K1317),D1317+J1317,"n.a."),IF(AND(K1317&gt;J1317,2*E1317-D1317+J1317&gt;=0),2*E1317-D1317+J1317,"n.a.")))</x:f>
        <x:v>n.a.</x:v>
      </x:c>
      <x:c r="O1317" s="11" t="n">
        <x:f>IF(B1317="Butterfly",IF(AND(J1317&gt;0,J1317&lt;K1317),F1317-J1317,"n.a."),IF(C1317="call",IF(K1317&gt;J1317,2*E1317-D1317-J1317,"n.a."),IF(AND(J1317&gt;0,J1317&lt;K1317),D1317-J1317,"n.a.")))</x:f>
        <x:v>9514.7</x:v>
      </x:c>
      <x:c r="P1317" s="19" t="str">
        <x:f>IF(AND(B1317="Butterfly",J1317&gt;0,J1317&lt;K1317),L1317/J1317,"n.a.")</x:f>
        <x:v>n.a.</x:v>
      </x:c>
      <x:c r="Q1317" s="11" t="n">
        <x:f>J1317*'Model inputs'!$B$8</x:f>
        <x:v>-1470.0000000000002</x:v>
      </x:c>
      <x:c r="R1317" s="1" t="str">
        <x:v>Indicative only</x:v>
      </x:c>
      <x:c r="S1317" s="1" t="n">
        <x:v>410</x:v>
      </x:c>
      <x:c r="T1317" s="1" t="n">
        <x:v>429</x:v>
      </x:c>
    </x:row>
    <x:row r="1318" ht="21" customHeight="1">
      <x:c r="A1318" s="12" t="n">
        <x:v>46261</x:v>
      </x:c>
      <x:c r="B1318" s="1" t="str">
        <x:v>1x2 ratio</x:v>
      </x:c>
      <x:c r="C1318" s="1" t="str">
        <x:v>put</x:v>
      </x:c>
      <x:c r="D1318" s="11" t="n">
        <x:v>4600</x:v>
      </x:c>
      <x:c r="E1318" s="11" t="n">
        <x:v>4400</x:v>
      </x:c>
      <x:c r="F1318" s="11"/>
      <x:c r="G1318" s="11" t="n">
        <x:f>'Option source'!B529</x:f>
        <x:v>4.04</x:v>
      </x:c>
      <x:c r="H1318" s="11" t="n">
        <x:f>'Option source'!B510</x:f>
        <x:v>3.03</x:v>
      </x:c>
      <x:c r="I1318" s="11"/>
      <x:c r="J1318" s="11" t="n">
        <x:f>G1318-2*H1318+IF(B1318="Butterfly",I1318,0)</x:f>
        <x:v>-2.0199999999999996</x:v>
      </x:c>
      <x:c r="K1318" s="11" t="n">
        <x:f>ABS(E1318-D1318)</x:f>
        <x:v>200</x:v>
      </x:c>
      <x:c r="L1318" s="11" t="n">
        <x:f>K1318-J1318</x:f>
        <x:v>202.02</x:v>
      </x:c>
      <x:c r="M1318" s="11" t="n">
        <x:f>IF(B1318="Butterfly",MAX(J1318,0),IF(C1318="call","Unlimited",MAX(2*E1318-D1318+J1318,J1318,0)))</x:f>
        <x:v>4197.98</x:v>
      </x:c>
      <x:c r="N1318" s="11" t="n">
        <x:f>IF(B1318="Butterfly",IF(AND(J1318&gt;0,J1318&lt;K1318),D1318+J1318,"n.a."),IF(C1318="call",IF(AND(J1318&gt;0,J1318&lt;K1318),D1318+J1318,"n.a."),IF(AND(K1318&gt;J1318,2*E1318-D1318+J1318&gt;=0),2*E1318-D1318+J1318,"n.a.")))</x:f>
        <x:v>4197.98</x:v>
      </x:c>
      <x:c r="O1318" s="11" t="str">
        <x:f>IF(B1318="Butterfly",IF(AND(J1318&gt;0,J1318&lt;K1318),F1318-J1318,"n.a."),IF(C1318="call",IF(K1318&gt;J1318,2*E1318-D1318-J1318,"n.a."),IF(AND(J1318&gt;0,J1318&lt;K1318),D1318-J1318,"n.a.")))</x:f>
        <x:v>n.a.</x:v>
      </x:c>
      <x:c r="P1318" s="19" t="str">
        <x:f>IF(AND(B1318="Butterfly",J1318&gt;0,J1318&lt;K1318),L1318/J1318,"n.a.")</x:f>
        <x:v>n.a.</x:v>
      </x:c>
      <x:c r="Q1318" s="11" t="n">
        <x:f>J1318*'Model inputs'!$B$8</x:f>
        <x:v>-201.99999999999994</x:v>
      </x:c>
      <x:c r="R1318" s="1" t="str">
        <x:v>Indicative only</x:v>
      </x:c>
      <x:c r="S1318" s="1" t="n">
        <x:v>524</x:v>
      </x:c>
      <x:c r="T1318" s="1" t="n">
        <x:v>505</x:v>
      </x:c>
    </x:row>
    <x:row r="1319" ht="21" customHeight="1">
      <x:c r="A1319" s="12" t="n">
        <x:v>46261</x:v>
      </x:c>
      <x:c r="B1319" s="1" t="str">
        <x:v>1x2 ratio</x:v>
      </x:c>
      <x:c r="C1319" s="1" t="str">
        <x:v>call</x:v>
      </x:c>
      <x:c r="D1319" s="11" t="n">
        <x:v>9200</x:v>
      </x:c>
      <x:c r="E1319" s="11" t="n">
        <x:v>9500</x:v>
      </x:c>
      <x:c r="F1319" s="11"/>
      <x:c r="G1319" s="11" t="n">
        <x:f>'Option source'!B434</x:f>
        <x:v>30.1</x:v>
      </x:c>
      <x:c r="H1319" s="11" t="n">
        <x:f>'Option source'!B453</x:f>
        <x:v>19.97</x:v>
      </x:c>
      <x:c r="I1319" s="11"/>
      <x:c r="J1319" s="11" t="n">
        <x:f>G1319-2*H1319+IF(B1319="Butterfly",I1319,0)</x:f>
        <x:v>-9.839999999999996</x:v>
      </x:c>
      <x:c r="K1319" s="11" t="n">
        <x:f>ABS(E1319-D1319)</x:f>
        <x:v>300</x:v>
      </x:c>
      <x:c r="L1319" s="11" t="n">
        <x:f>K1319-J1319</x:f>
        <x:v>309.84</x:v>
      </x:c>
      <x:c r="M1319" s="11" t="str">
        <x:f>IF(B1319="Butterfly",MAX(J1319,0),IF(C1319="call","Unlimited",MAX(2*E1319-D1319+J1319,J1319,0)))</x:f>
        <x:v>Unlimited</x:v>
      </x:c>
      <x:c r="N1319" s="11" t="str">
        <x:f>IF(B1319="Butterfly",IF(AND(J1319&gt;0,J1319&lt;K1319),D1319+J1319,"n.a."),IF(C1319="call",IF(AND(J1319&gt;0,J1319&lt;K1319),D1319+J1319,"n.a."),IF(AND(K1319&gt;J1319,2*E1319-D1319+J1319&gt;=0),2*E1319-D1319+J1319,"n.a.")))</x:f>
        <x:v>n.a.</x:v>
      </x:c>
      <x:c r="O1319" s="11" t="n">
        <x:f>IF(B1319="Butterfly",IF(AND(J1319&gt;0,J1319&lt;K1319),F1319-J1319,"n.a."),IF(C1319="call",IF(K1319&gt;J1319,2*E1319-D1319-J1319,"n.a."),IF(AND(J1319&gt;0,J1319&lt;K1319),D1319-J1319,"n.a.")))</x:f>
        <x:v>9809.84</x:v>
      </x:c>
      <x:c r="P1319" s="19" t="str">
        <x:f>IF(AND(B1319="Butterfly",J1319&gt;0,J1319&lt;K1319),L1319/J1319,"n.a.")</x:f>
        <x:v>n.a.</x:v>
      </x:c>
      <x:c r="Q1319" s="11" t="n">
        <x:f>J1319*'Model inputs'!$B$8</x:f>
        <x:v>-983.9999999999997</x:v>
      </x:c>
      <x:c r="R1319" s="1" t="str">
        <x:v>Indicative only</x:v>
      </x:c>
      <x:c r="S1319" s="1" t="n">
        <x:v>429</x:v>
      </x:c>
      <x:c r="T1319" s="1" t="n">
        <x:v>448</x:v>
      </x:c>
    </x:row>
    <x:row r="1320" ht="21" customHeight="1">
      <x:c r="A1320" s="12" t="n">
        <x:v>46261</x:v>
      </x:c>
      <x:c r="B1320" s="1" t="str">
        <x:v>1x2 ratio</x:v>
      </x:c>
      <x:c r="C1320" s="1" t="str">
        <x:v>put</x:v>
      </x:c>
      <x:c r="D1320" s="11" t="n">
        <x:v>4400</x:v>
      </x:c>
      <x:c r="E1320" s="11" t="n">
        <x:v>4200</x:v>
      </x:c>
      <x:c r="F1320" s="11"/>
      <x:c r="G1320" s="11" t="n">
        <x:f>'Option source'!B510</x:f>
        <x:v>3.03</x:v>
      </x:c>
      <x:c r="H1320" s="11" t="n">
        <x:f>'Option source'!B491</x:f>
        <x:v>2.86</x:v>
      </x:c>
      <x:c r="I1320" s="11"/>
      <x:c r="J1320" s="11" t="n">
        <x:f>G1320-2*H1320+IF(B1320="Butterfly",I1320,0)</x:f>
        <x:v>-2.69</x:v>
      </x:c>
      <x:c r="K1320" s="11" t="n">
        <x:f>ABS(E1320-D1320)</x:f>
        <x:v>200</x:v>
      </x:c>
      <x:c r="L1320" s="11" t="n">
        <x:f>K1320-J1320</x:f>
        <x:v>202.69</x:v>
      </x:c>
      <x:c r="M1320" s="11" t="n">
        <x:f>IF(B1320="Butterfly",MAX(J1320,0),IF(C1320="call","Unlimited",MAX(2*E1320-D1320+J1320,J1320,0)))</x:f>
        <x:v>3997.31</x:v>
      </x:c>
      <x:c r="N1320" s="11" t="n">
        <x:f>IF(B1320="Butterfly",IF(AND(J1320&gt;0,J1320&lt;K1320),D1320+J1320,"n.a."),IF(C1320="call",IF(AND(J1320&gt;0,J1320&lt;K1320),D1320+J1320,"n.a."),IF(AND(K1320&gt;J1320,2*E1320-D1320+J1320&gt;=0),2*E1320-D1320+J1320,"n.a.")))</x:f>
        <x:v>3997.31</x:v>
      </x:c>
      <x:c r="O1320" s="11" t="str">
        <x:f>IF(B1320="Butterfly",IF(AND(J1320&gt;0,J1320&lt;K1320),F1320-J1320,"n.a."),IF(C1320="call",IF(K1320&gt;J1320,2*E1320-D1320-J1320,"n.a."),IF(AND(J1320&gt;0,J1320&lt;K1320),D1320-J1320,"n.a.")))</x:f>
        <x:v>n.a.</x:v>
      </x:c>
      <x:c r="P1320" s="19" t="str">
        <x:f>IF(AND(B1320="Butterfly",J1320&gt;0,J1320&lt;K1320),L1320/J1320,"n.a.")</x:f>
        <x:v>n.a.</x:v>
      </x:c>
      <x:c r="Q1320" s="11" t="n">
        <x:f>J1320*'Model inputs'!$B$8</x:f>
        <x:v>-269</x:v>
      </x:c>
      <x:c r="R1320" s="1" t="str">
        <x:v>Indicative only</x:v>
      </x:c>
      <x:c r="S1320" s="1" t="n">
        <x:v>505</x:v>
      </x:c>
      <x:c r="T1320" s="1" t="n">
        <x:v>486</x:v>
      </x:c>
    </x:row>
    <x:row r="1321" ht="21" customHeight="1">
      <x:c r="A1321" s="12" t="n">
        <x:v>46261</x:v>
      </x:c>
      <x:c r="B1321" s="1" t="str">
        <x:v>1x2 ratio</x:v>
      </x:c>
      <x:c r="C1321" s="1" t="str">
        <x:v>call</x:v>
      </x:c>
      <x:c r="D1321" s="11" t="n">
        <x:v>9500</x:v>
      </x:c>
      <x:c r="E1321" s="11" t="n">
        <x:v>9900</x:v>
      </x:c>
      <x:c r="F1321" s="11"/>
      <x:c r="G1321" s="11" t="n">
        <x:f>'Option source'!B453</x:f>
        <x:v>19.97</x:v>
      </x:c>
      <x:c r="H1321" s="11" t="n">
        <x:f>'Option source'!B472</x:f>
        <x:v>12.25</x:v>
      </x:c>
      <x:c r="I1321" s="11"/>
      <x:c r="J1321" s="11" t="n">
        <x:f>G1321-2*H1321+IF(B1321="Butterfly",I1321,0)</x:f>
        <x:v>-4.530000000000001</x:v>
      </x:c>
      <x:c r="K1321" s="11" t="n">
        <x:f>ABS(E1321-D1321)</x:f>
        <x:v>400</x:v>
      </x:c>
      <x:c r="L1321" s="11" t="n">
        <x:f>K1321-J1321</x:f>
        <x:v>404.53</x:v>
      </x:c>
      <x:c r="M1321" s="11" t="str">
        <x:f>IF(B1321="Butterfly",MAX(J1321,0),IF(C1321="call","Unlimited",MAX(2*E1321-D1321+J1321,J1321,0)))</x:f>
        <x:v>Unlimited</x:v>
      </x:c>
      <x:c r="N1321" s="11" t="str">
        <x:f>IF(B1321="Butterfly",IF(AND(J1321&gt;0,J1321&lt;K1321),D1321+J1321,"n.a."),IF(C1321="call",IF(AND(J1321&gt;0,J1321&lt;K1321),D1321+J1321,"n.a."),IF(AND(K1321&gt;J1321,2*E1321-D1321+J1321&gt;=0),2*E1321-D1321+J1321,"n.a.")))</x:f>
        <x:v>n.a.</x:v>
      </x:c>
      <x:c r="O1321" s="11" t="n">
        <x:f>IF(B1321="Butterfly",IF(AND(J1321&gt;0,J1321&lt;K1321),F1321-J1321,"n.a."),IF(C1321="call",IF(K1321&gt;J1321,2*E1321-D1321-J1321,"n.a."),IF(AND(J1321&gt;0,J1321&lt;K1321),D1321-J1321,"n.a.")))</x:f>
        <x:v>10304.53</x:v>
      </x:c>
      <x:c r="P1321" s="19" t="str">
        <x:f>IF(AND(B1321="Butterfly",J1321&gt;0,J1321&lt;K1321),L1321/J1321,"n.a.")</x:f>
        <x:v>n.a.</x:v>
      </x:c>
      <x:c r="Q1321" s="11" t="n">
        <x:f>J1321*'Model inputs'!$B$8</x:f>
        <x:v>-453.0000000000001</x:v>
      </x:c>
      <x:c r="R1321" s="1" t="str">
        <x:v>Indicative only</x:v>
      </x:c>
      <x:c r="S1321" s="1" t="n">
        <x:v>448</x:v>
      </x:c>
      <x:c r="T1321" s="1" t="n">
        <x:v>467</x:v>
      </x:c>
    </x:row>
    <x:row r="1322" ht="21" customHeight="1">
      <x:c r="A1322" s="12" t="n">
        <x:v>46261</x:v>
      </x:c>
      <x:c r="B1322" s="1" t="str">
        <x:v>1x2 ratio</x:v>
      </x:c>
      <x:c r="C1322" s="1" t="str">
        <x:v>put</x:v>
      </x:c>
      <x:c r="D1322" s="11" t="n">
        <x:v>7600</x:v>
      </x:c>
      <x:c r="E1322" s="11" t="n">
        <x:v>7400</x:v>
      </x:c>
      <x:c r="F1322" s="11"/>
      <x:c r="G1322" s="11" t="n">
        <x:f>'Option source'!B814</x:f>
        <x:v>785</x:v>
      </x:c>
      <x:c r="H1322" s="11" t="n">
        <x:f>'Option source'!B795</x:f>
        <x:v>630.02</x:v>
      </x:c>
      <x:c r="I1322" s="11"/>
      <x:c r="J1322" s="11" t="n">
        <x:f>G1322-2*H1322+IF(B1322="Butterfly",I1322,0)</x:f>
        <x:v>-475.03999999999996</x:v>
      </x:c>
      <x:c r="K1322" s="11" t="n">
        <x:f>ABS(E1322-D1322)</x:f>
        <x:v>200</x:v>
      </x:c>
      <x:c r="L1322" s="11" t="n">
        <x:f>K1322-J1322</x:f>
        <x:v>675.04</x:v>
      </x:c>
      <x:c r="M1322" s="11" t="n">
        <x:f>IF(B1322="Butterfly",MAX(J1322,0),IF(C1322="call","Unlimited",MAX(2*E1322-D1322+J1322,J1322,0)))</x:f>
        <x:v>6724.96</x:v>
      </x:c>
      <x:c r="N1322" s="11" t="n">
        <x:f>IF(B1322="Butterfly",IF(AND(J1322&gt;0,J1322&lt;K1322),D1322+J1322,"n.a."),IF(C1322="call",IF(AND(J1322&gt;0,J1322&lt;K1322),D1322+J1322,"n.a."),IF(AND(K1322&gt;J1322,2*E1322-D1322+J1322&gt;=0),2*E1322-D1322+J1322,"n.a.")))</x:f>
        <x:v>6724.96</x:v>
      </x:c>
      <x:c r="O1322" s="11" t="str">
        <x:f>IF(B1322="Butterfly",IF(AND(J1322&gt;0,J1322&lt;K1322),F1322-J1322,"n.a."),IF(C1322="call",IF(K1322&gt;J1322,2*E1322-D1322-J1322,"n.a."),IF(AND(J1322&gt;0,J1322&lt;K1322),D1322-J1322,"n.a.")))</x:f>
        <x:v>n.a.</x:v>
      </x:c>
      <x:c r="P1322" s="19" t="str">
        <x:f>IF(AND(B1322="Butterfly",J1322&gt;0,J1322&lt;K1322),L1322/J1322,"n.a.")</x:f>
        <x:v>n.a.</x:v>
      </x:c>
      <x:c r="Q1322" s="11" t="n">
        <x:f>J1322*'Model inputs'!$B$8</x:f>
        <x:v>-47504</x:v>
      </x:c>
      <x:c r="R1322" s="1" t="str">
        <x:v>Flagged leg data</x:v>
      </x:c>
      <x:c r="S1322" s="1" t="n">
        <x:v>809</x:v>
      </x:c>
      <x:c r="T1322" s="1" t="n">
        <x:v>790</x:v>
      </x:c>
    </x:row>
    <x:row r="1323" ht="21" customHeight="1">
      <x:c r="A1323" s="12" t="n">
        <x:v>46261</x:v>
      </x:c>
      <x:c r="B1323" s="1" t="str">
        <x:v>1x2 ratio</x:v>
      </x:c>
      <x:c r="C1323" s="1" t="str">
        <x:v>put</x:v>
      </x:c>
      <x:c r="D1323" s="11" t="n">
        <x:v>7800</x:v>
      </x:c>
      <x:c r="E1323" s="11" t="n">
        <x:v>7600</x:v>
      </x:c>
      <x:c r="F1323" s="11"/>
      <x:c r="G1323" s="11" t="n">
        <x:f>'Option source'!B833</x:f>
        <x:v>905</x:v>
      </x:c>
      <x:c r="H1323" s="11" t="n">
        <x:f>'Option source'!B814</x:f>
        <x:v>785</x:v>
      </x:c>
      <x:c r="I1323" s="11"/>
      <x:c r="J1323" s="11" t="n">
        <x:f>G1323-2*H1323+IF(B1323="Butterfly",I1323,0)</x:f>
        <x:v>-665</x:v>
      </x:c>
      <x:c r="K1323" s="11" t="n">
        <x:f>ABS(E1323-D1323)</x:f>
        <x:v>200</x:v>
      </x:c>
      <x:c r="L1323" s="11" t="n">
        <x:f>K1323-J1323</x:f>
        <x:v>865</x:v>
      </x:c>
      <x:c r="M1323" s="11" t="n">
        <x:f>IF(B1323="Butterfly",MAX(J1323,0),IF(C1323="call","Unlimited",MAX(2*E1323-D1323+J1323,J1323,0)))</x:f>
        <x:v>6735</x:v>
      </x:c>
      <x:c r="N1323" s="11" t="n">
        <x:f>IF(B1323="Butterfly",IF(AND(J1323&gt;0,J1323&lt;K1323),D1323+J1323,"n.a."),IF(C1323="call",IF(AND(J1323&gt;0,J1323&lt;K1323),D1323+J1323,"n.a."),IF(AND(K1323&gt;J1323,2*E1323-D1323+J1323&gt;=0),2*E1323-D1323+J1323,"n.a.")))</x:f>
        <x:v>6735</x:v>
      </x:c>
      <x:c r="O1323" s="11" t="str">
        <x:f>IF(B1323="Butterfly",IF(AND(J1323&gt;0,J1323&lt;K1323),F1323-J1323,"n.a."),IF(C1323="call",IF(K1323&gt;J1323,2*E1323-D1323-J1323,"n.a."),IF(AND(J1323&gt;0,J1323&lt;K1323),D1323-J1323,"n.a.")))</x:f>
        <x:v>n.a.</x:v>
      </x:c>
      <x:c r="P1323" s="19" t="str">
        <x:f>IF(AND(B1323="Butterfly",J1323&gt;0,J1323&lt;K1323),L1323/J1323,"n.a.")</x:f>
        <x:v>n.a.</x:v>
      </x:c>
      <x:c r="Q1323" s="11" t="n">
        <x:f>J1323*'Model inputs'!$B$8</x:f>
        <x:v>-66500</x:v>
      </x:c>
      <x:c r="R1323" s="1" t="str">
        <x:v>Flagged leg data</x:v>
      </x:c>
      <x:c r="S1323" s="1" t="n">
        <x:v>828</x:v>
      </x:c>
      <x:c r="T1323" s="1" t="n">
        <x:v>809</x:v>
      </x:c>
    </x:row>
    <x:row r="1324" ht="21" customHeight="1">
      <x:c r="A1324" s="12" t="n">
        <x:v>46261</x:v>
      </x:c>
      <x:c r="B1324" s="1" t="str">
        <x:v>1x2 ratio</x:v>
      </x:c>
      <x:c r="C1324" s="1" t="str">
        <x:v>call</x:v>
      </x:c>
      <x:c r="D1324" s="11" t="n">
        <x:v>5600</x:v>
      </x:c>
      <x:c r="E1324" s="11" t="n">
        <x:v>6000</x:v>
      </x:c>
      <x:c r="F1324" s="11"/>
      <x:c r="G1324" s="11" t="n">
        <x:f>'Option source'!B139</x:f>
        <x:v>1490.13</x:v>
      </x:c>
      <x:c r="H1324" s="11" t="n">
        <x:f>'Option source'!B168</x:f>
        <x:v>1178.78</x:v>
      </x:c>
      <x:c r="I1324" s="11"/>
      <x:c r="J1324" s="11" t="n">
        <x:f>G1324-2*H1324+IF(B1324="Butterfly",I1324,0)</x:f>
        <x:v>-867.4299999999998</x:v>
      </x:c>
      <x:c r="K1324" s="11" t="n">
        <x:f>ABS(E1324-D1324)</x:f>
        <x:v>400</x:v>
      </x:c>
      <x:c r="L1324" s="11" t="n">
        <x:f>K1324-J1324</x:f>
        <x:v>1267.4299999999998</x:v>
      </x:c>
      <x:c r="M1324" s="11" t="str">
        <x:f>IF(B1324="Butterfly",MAX(J1324,0),IF(C1324="call","Unlimited",MAX(2*E1324-D1324+J1324,J1324,0)))</x:f>
        <x:v>Unlimited</x:v>
      </x:c>
      <x:c r="N1324" s="11" t="str">
        <x:f>IF(B1324="Butterfly",IF(AND(J1324&gt;0,J1324&lt;K1324),D1324+J1324,"n.a."),IF(C1324="call",IF(AND(J1324&gt;0,J1324&lt;K1324),D1324+J1324,"n.a."),IF(AND(K1324&gt;J1324,2*E1324-D1324+J1324&gt;=0),2*E1324-D1324+J1324,"n.a.")))</x:f>
        <x:v>n.a.</x:v>
      </x:c>
      <x:c r="O1324" s="11" t="n">
        <x:f>IF(B1324="Butterfly",IF(AND(J1324&gt;0,J1324&lt;K1324),F1324-J1324,"n.a."),IF(C1324="call",IF(K1324&gt;J1324,2*E1324-D1324-J1324,"n.a."),IF(AND(J1324&gt;0,J1324&lt;K1324),D1324-J1324,"n.a.")))</x:f>
        <x:v>7267.43</x:v>
      </x:c>
      <x:c r="P1324" s="19" t="str">
        <x:f>IF(AND(B1324="Butterfly",J1324&gt;0,J1324&lt;K1324),L1324/J1324,"n.a.")</x:f>
        <x:v>n.a.</x:v>
      </x:c>
      <x:c r="Q1324" s="11" t="n">
        <x:f>J1324*'Model inputs'!$B$8</x:f>
        <x:v>-86742.99999999999</x:v>
      </x:c>
      <x:c r="R1324" s="1" t="str">
        <x:v>Flagged leg data</x:v>
      </x:c>
      <x:c r="S1324" s="1" t="n">
        <x:v>134</x:v>
      </x:c>
      <x:c r="T1324" s="1" t="n">
        <x:v>163</x:v>
      </x:c>
    </x:row>
    <x:row r="1325" ht="21" customHeight="1">
      <x:c r="A1325" s="12" t="n">
        <x:v>46261</x:v>
      </x:c>
      <x:c r="B1325" s="1" t="str">
        <x:v>1x2 ratio</x:v>
      </x:c>
      <x:c r="C1325" s="1" t="str">
        <x:v>put</x:v>
      </x:c>
      <x:c r="D1325" s="11" t="n">
        <x:v>8000</x:v>
      </x:c>
      <x:c r="E1325" s="11" t="n">
        <x:v>7800</x:v>
      </x:c>
      <x:c r="F1325" s="11"/>
      <x:c r="G1325" s="11" t="n">
        <x:f>'Option source'!B852</x:f>
        <x:v>1127.14</x:v>
      </x:c>
      <x:c r="H1325" s="11" t="n">
        <x:f>'Option source'!B833</x:f>
        <x:v>905</x:v>
      </x:c>
      <x:c r="I1325" s="11"/>
      <x:c r="J1325" s="11" t="n">
        <x:f>G1325-2*H1325+IF(B1325="Butterfly",I1325,0)</x:f>
        <x:v>-682.8599999999999</x:v>
      </x:c>
      <x:c r="K1325" s="11" t="n">
        <x:f>ABS(E1325-D1325)</x:f>
        <x:v>200</x:v>
      </x:c>
      <x:c r="L1325" s="11" t="n">
        <x:f>K1325-J1325</x:f>
        <x:v>882.8599999999999</x:v>
      </x:c>
      <x:c r="M1325" s="11" t="n">
        <x:f>IF(B1325="Butterfly",MAX(J1325,0),IF(C1325="call","Unlimited",MAX(2*E1325-D1325+J1325,J1325,0)))</x:f>
        <x:v>6917.14</x:v>
      </x:c>
      <x:c r="N1325" s="11" t="n">
        <x:f>IF(B1325="Butterfly",IF(AND(J1325&gt;0,J1325&lt;K1325),D1325+J1325,"n.a."),IF(C1325="call",IF(AND(J1325&gt;0,J1325&lt;K1325),D1325+J1325,"n.a."),IF(AND(K1325&gt;J1325,2*E1325-D1325+J1325&gt;=0),2*E1325-D1325+J1325,"n.a.")))</x:f>
        <x:v>6917.14</x:v>
      </x:c>
      <x:c r="O1325" s="11" t="str">
        <x:f>IF(B1325="Butterfly",IF(AND(J1325&gt;0,J1325&lt;K1325),F1325-J1325,"n.a."),IF(C1325="call",IF(K1325&gt;J1325,2*E1325-D1325-J1325,"n.a."),IF(AND(J1325&gt;0,J1325&lt;K1325),D1325-J1325,"n.a.")))</x:f>
        <x:v>n.a.</x:v>
      </x:c>
      <x:c r="P1325" s="19" t="str">
        <x:f>IF(AND(B1325="Butterfly",J1325&gt;0,J1325&lt;K1325),L1325/J1325,"n.a.")</x:f>
        <x:v>n.a.</x:v>
      </x:c>
      <x:c r="Q1325" s="11" t="n">
        <x:f>J1325*'Model inputs'!$B$8</x:f>
        <x:v>-68285.99999999999</x:v>
      </x:c>
      <x:c r="R1325" s="1" t="str">
        <x:v>Flagged leg data</x:v>
      </x:c>
      <x:c r="S1325" s="1" t="n">
        <x:v>847</x:v>
      </x:c>
      <x:c r="T1325" s="1" t="n">
        <x:v>828</x:v>
      </x:c>
    </x:row>
    <x:row r="1326" ht="21" customHeight="1">
      <x:c r="A1326" s="12" t="n">
        <x:v>46261</x:v>
      </x:c>
      <x:c r="B1326" s="1" t="str">
        <x:v>1x2 ratio</x:v>
      </x:c>
      <x:c r="C1326" s="1" t="str">
        <x:v>put</x:v>
      </x:c>
      <x:c r="D1326" s="11" t="n">
        <x:v>8300</x:v>
      </x:c>
      <x:c r="E1326" s="11" t="n">
        <x:v>8000</x:v>
      </x:c>
      <x:c r="F1326" s="11"/>
      <x:c r="G1326" s="11" t="n">
        <x:f>'Option source'!B871</x:f>
        <x:v>1291.94</x:v>
      </x:c>
      <x:c r="H1326" s="11" t="n">
        <x:f>'Option source'!B852</x:f>
        <x:v>1127.14</x:v>
      </x:c>
      <x:c r="I1326" s="11"/>
      <x:c r="J1326" s="11" t="n">
        <x:f>G1326-2*H1326+IF(B1326="Butterfly",I1326,0)</x:f>
        <x:v>-962.3400000000001</x:v>
      </x:c>
      <x:c r="K1326" s="11" t="n">
        <x:f>ABS(E1326-D1326)</x:f>
        <x:v>300</x:v>
      </x:c>
      <x:c r="L1326" s="11" t="n">
        <x:f>K1326-J1326</x:f>
        <x:v>1262.3400000000001</x:v>
      </x:c>
      <x:c r="M1326" s="11" t="n">
        <x:f>IF(B1326="Butterfly",MAX(J1326,0),IF(C1326="call","Unlimited",MAX(2*E1326-D1326+J1326,J1326,0)))</x:f>
        <x:v>6737.66</x:v>
      </x:c>
      <x:c r="N1326" s="11" t="n">
        <x:f>IF(B1326="Butterfly",IF(AND(J1326&gt;0,J1326&lt;K1326),D1326+J1326,"n.a."),IF(C1326="call",IF(AND(J1326&gt;0,J1326&lt;K1326),D1326+J1326,"n.a."),IF(AND(K1326&gt;J1326,2*E1326-D1326+J1326&gt;=0),2*E1326-D1326+J1326,"n.a.")))</x:f>
        <x:v>6737.66</x:v>
      </x:c>
      <x:c r="O1326" s="11" t="str">
        <x:f>IF(B1326="Butterfly",IF(AND(J1326&gt;0,J1326&lt;K1326),F1326-J1326,"n.a."),IF(C1326="call",IF(K1326&gt;J1326,2*E1326-D1326-J1326,"n.a."),IF(AND(J1326&gt;0,J1326&lt;K1326),D1326-J1326,"n.a.")))</x:f>
        <x:v>n.a.</x:v>
      </x:c>
      <x:c r="P1326" s="19" t="str">
        <x:f>IF(AND(B1326="Butterfly",J1326&gt;0,J1326&lt;K1326),L1326/J1326,"n.a.")</x:f>
        <x:v>n.a.</x:v>
      </x:c>
      <x:c r="Q1326" s="11" t="n">
        <x:f>J1326*'Model inputs'!$B$8</x:f>
        <x:v>-96234.00000000001</x:v>
      </x:c>
      <x:c r="R1326" s="1" t="str">
        <x:v>Flagged leg data</x:v>
      </x:c>
      <x:c r="S1326" s="1" t="n">
        <x:v>866</x:v>
      </x:c>
      <x:c r="T1326" s="1" t="n">
        <x:v>847</x:v>
      </x:c>
    </x:row>
    <x:row r="1327" ht="21" customHeight="1">
      <x:c r="A1327" s="12" t="n">
        <x:v>46261</x:v>
      </x:c>
      <x:c r="B1327" s="1" t="str">
        <x:v>1x2 ratio</x:v>
      </x:c>
      <x:c r="C1327" s="1" t="str">
        <x:v>call</x:v>
      </x:c>
      <x:c r="D1327" s="11" t="n">
        <x:v>5400</x:v>
      </x:c>
      <x:c r="E1327" s="11" t="n">
        <x:v>5600</x:v>
      </x:c>
      <x:c r="F1327" s="11"/>
      <x:c r="G1327" s="11" t="n">
        <x:f>'Option source'!B121</x:f>
        <x:v>1790.79</x:v>
      </x:c>
      <x:c r="H1327" s="11" t="n">
        <x:f>'Option source'!B139</x:f>
        <x:v>1490.13</x:v>
      </x:c>
      <x:c r="I1327" s="11"/>
      <x:c r="J1327" s="11" t="n">
        <x:f>G1327-2*H1327+IF(B1327="Butterfly",I1327,0)</x:f>
        <x:v>-1189.4700000000003</x:v>
      </x:c>
      <x:c r="K1327" s="11" t="n">
        <x:f>ABS(E1327-D1327)</x:f>
        <x:v>200</x:v>
      </x:c>
      <x:c r="L1327" s="11" t="n">
        <x:f>K1327-J1327</x:f>
        <x:v>1389.4700000000003</x:v>
      </x:c>
      <x:c r="M1327" s="11" t="str">
        <x:f>IF(B1327="Butterfly",MAX(J1327,0),IF(C1327="call","Unlimited",MAX(2*E1327-D1327+J1327,J1327,0)))</x:f>
        <x:v>Unlimited</x:v>
      </x:c>
      <x:c r="N1327" s="11" t="str">
        <x:f>IF(B1327="Butterfly",IF(AND(J1327&gt;0,J1327&lt;K1327),D1327+J1327,"n.a."),IF(C1327="call",IF(AND(J1327&gt;0,J1327&lt;K1327),D1327+J1327,"n.a."),IF(AND(K1327&gt;J1327,2*E1327-D1327+J1327&gt;=0),2*E1327-D1327+J1327,"n.a.")))</x:f>
        <x:v>n.a.</x:v>
      </x:c>
      <x:c r="O1327" s="11" t="n">
        <x:f>IF(B1327="Butterfly",IF(AND(J1327&gt;0,J1327&lt;K1327),F1327-J1327,"n.a."),IF(C1327="call",IF(K1327&gt;J1327,2*E1327-D1327-J1327,"n.a."),IF(AND(J1327&gt;0,J1327&lt;K1327),D1327-J1327,"n.a.")))</x:f>
        <x:v>6989.47</x:v>
      </x:c>
      <x:c r="P1327" s="19" t="str">
        <x:f>IF(AND(B1327="Butterfly",J1327&gt;0,J1327&lt;K1327),L1327/J1327,"n.a.")</x:f>
        <x:v>n.a.</x:v>
      </x:c>
      <x:c r="Q1327" s="11" t="n">
        <x:f>J1327*'Model inputs'!$B$8</x:f>
        <x:v>-118947.00000000003</x:v>
      </x:c>
      <x:c r="R1327" s="1" t="str">
        <x:v>Flagged leg data</x:v>
      </x:c>
      <x:c r="S1327" s="1" t="n">
        <x:v>116</x:v>
      </x:c>
      <x:c r="T1327" s="1" t="n">
        <x:v>134</x:v>
      </x:c>
    </x:row>
    <x:row r="1328" ht="21" customHeight="1">
      <x:c r="A1328" s="12" t="n">
        <x:v>46261</x:v>
      </x:c>
      <x:c r="B1328" s="1" t="str">
        <x:v>1x2 ratio</x:v>
      </x:c>
      <x:c r="C1328" s="1" t="str">
        <x:v>put</x:v>
      </x:c>
      <x:c r="D1328" s="11" t="n">
        <x:v>8600</x:v>
      </x:c>
      <x:c r="E1328" s="11" t="n">
        <x:v>8300</x:v>
      </x:c>
      <x:c r="F1328" s="11"/>
      <x:c r="G1328" s="11" t="n">
        <x:f>'Option source'!B890</x:f>
        <x:v>1725</x:v>
      </x:c>
      <x:c r="H1328" s="11" t="n">
        <x:f>'Option source'!B871</x:f>
        <x:v>1291.94</x:v>
      </x:c>
      <x:c r="I1328" s="11"/>
      <x:c r="J1328" s="11" t="n">
        <x:f>G1328-2*H1328+IF(B1328="Butterfly",I1328,0)</x:f>
        <x:v>-858.8800000000001</x:v>
      </x:c>
      <x:c r="K1328" s="11" t="n">
        <x:f>ABS(E1328-D1328)</x:f>
        <x:v>300</x:v>
      </x:c>
      <x:c r="L1328" s="11" t="n">
        <x:f>K1328-J1328</x:f>
        <x:v>1158.88</x:v>
      </x:c>
      <x:c r="M1328" s="11" t="n">
        <x:f>IF(B1328="Butterfly",MAX(J1328,0),IF(C1328="call","Unlimited",MAX(2*E1328-D1328+J1328,J1328,0)))</x:f>
        <x:v>7141.12</x:v>
      </x:c>
      <x:c r="N1328" s="11" t="n">
        <x:f>IF(B1328="Butterfly",IF(AND(J1328&gt;0,J1328&lt;K1328),D1328+J1328,"n.a."),IF(C1328="call",IF(AND(J1328&gt;0,J1328&lt;K1328),D1328+J1328,"n.a."),IF(AND(K1328&gt;J1328,2*E1328-D1328+J1328&gt;=0),2*E1328-D1328+J1328,"n.a.")))</x:f>
        <x:v>7141.12</x:v>
      </x:c>
      <x:c r="O1328" s="11" t="str">
        <x:f>IF(B1328="Butterfly",IF(AND(J1328&gt;0,J1328&lt;K1328),F1328-J1328,"n.a."),IF(C1328="call",IF(K1328&gt;J1328,2*E1328-D1328-J1328,"n.a."),IF(AND(J1328&gt;0,J1328&lt;K1328),D1328-J1328,"n.a.")))</x:f>
        <x:v>n.a.</x:v>
      </x:c>
      <x:c r="P1328" s="19" t="str">
        <x:f>IF(AND(B1328="Butterfly",J1328&gt;0,J1328&lt;K1328),L1328/J1328,"n.a.")</x:f>
        <x:v>n.a.</x:v>
      </x:c>
      <x:c r="Q1328" s="11" t="n">
        <x:f>J1328*'Model inputs'!$B$8</x:f>
        <x:v>-85888.00000000001</x:v>
      </x:c>
      <x:c r="R1328" s="1" t="str">
        <x:v>Flagged leg data</x:v>
      </x:c>
      <x:c r="S1328" s="1" t="n">
        <x:v>885</x:v>
      </x:c>
      <x:c r="T1328" s="1" t="n">
        <x:v>866</x:v>
      </x:c>
    </x:row>
    <x:row r="1329" ht="21" customHeight="1">
      <x:c r="A1329" s="12" t="n">
        <x:v>46261</x:v>
      </x:c>
      <x:c r="B1329" s="1" t="str">
        <x:v>1x2 ratio</x:v>
      </x:c>
      <x:c r="C1329" s="1" t="str">
        <x:v>call</x:v>
      </x:c>
      <x:c r="D1329" s="11" t="n">
        <x:v>5200</x:v>
      </x:c>
      <x:c r="E1329" s="11" t="n">
        <x:v>5400</x:v>
      </x:c>
      <x:c r="F1329" s="11"/>
      <x:c r="G1329" s="11" t="n">
        <x:f>'Option source'!B102</x:f>
        <x:v>1861.9</x:v>
      </x:c>
      <x:c r="H1329" s="11" t="n">
        <x:f>'Option source'!B121</x:f>
        <x:v>1790.79</x:v>
      </x:c>
      <x:c r="I1329" s="11"/>
      <x:c r="J1329" s="11" t="n">
        <x:f>G1329-2*H1329+IF(B1329="Butterfly",I1329,0)</x:f>
        <x:v>-1719.6799999999998</x:v>
      </x:c>
      <x:c r="K1329" s="11" t="n">
        <x:f>ABS(E1329-D1329)</x:f>
        <x:v>200</x:v>
      </x:c>
      <x:c r="L1329" s="11" t="n">
        <x:f>K1329-J1329</x:f>
        <x:v>1919.6799999999998</x:v>
      </x:c>
      <x:c r="M1329" s="11" t="str">
        <x:f>IF(B1329="Butterfly",MAX(J1329,0),IF(C1329="call","Unlimited",MAX(2*E1329-D1329+J1329,J1329,0)))</x:f>
        <x:v>Unlimited</x:v>
      </x:c>
      <x:c r="N1329" s="11" t="str">
        <x:f>IF(B1329="Butterfly",IF(AND(J1329&gt;0,J1329&lt;K1329),D1329+J1329,"n.a."),IF(C1329="call",IF(AND(J1329&gt;0,J1329&lt;K1329),D1329+J1329,"n.a."),IF(AND(K1329&gt;J1329,2*E1329-D1329+J1329&gt;=0),2*E1329-D1329+J1329,"n.a.")))</x:f>
        <x:v>n.a.</x:v>
      </x:c>
      <x:c r="O1329" s="11" t="n">
        <x:f>IF(B1329="Butterfly",IF(AND(J1329&gt;0,J1329&lt;K1329),F1329-J1329,"n.a."),IF(C1329="call",IF(K1329&gt;J1329,2*E1329-D1329-J1329,"n.a."),IF(AND(J1329&gt;0,J1329&lt;K1329),D1329-J1329,"n.a.")))</x:f>
        <x:v>7319.68</x:v>
      </x:c>
      <x:c r="P1329" s="19" t="str">
        <x:f>IF(AND(B1329="Butterfly",J1329&gt;0,J1329&lt;K1329),L1329/J1329,"n.a.")</x:f>
        <x:v>n.a.</x:v>
      </x:c>
      <x:c r="Q1329" s="11" t="n">
        <x:f>J1329*'Model inputs'!$B$8</x:f>
        <x:v>-171967.99999999997</x:v>
      </x:c>
      <x:c r="R1329" s="1" t="str">
        <x:v>Flagged leg data</x:v>
      </x:c>
      <x:c r="S1329" s="1" t="n">
        <x:v>97</x:v>
      </x:c>
      <x:c r="T1329" s="1" t="n">
        <x:v>116</x:v>
      </x:c>
    </x:row>
    <x:row r="1330" ht="21" customHeight="1">
      <x:c r="A1330" s="12" t="n">
        <x:v>46261</x:v>
      </x:c>
      <x:c r="B1330" s="1" t="str">
        <x:v>1x2 ratio</x:v>
      </x:c>
      <x:c r="C1330" s="1" t="str">
        <x:v>call</x:v>
      </x:c>
      <x:c r="D1330" s="11" t="n">
        <x:v>5000</x:v>
      </x:c>
      <x:c r="E1330" s="11" t="n">
        <x:v>5200</x:v>
      </x:c>
      <x:c r="F1330" s="11"/>
      <x:c r="G1330" s="11" t="n">
        <x:f>'Option source'!B83</x:f>
        <x:v>2030</x:v>
      </x:c>
      <x:c r="H1330" s="11" t="n">
        <x:f>'Option source'!B102</x:f>
        <x:v>1861.9</x:v>
      </x:c>
      <x:c r="I1330" s="11"/>
      <x:c r="J1330" s="11" t="n">
        <x:f>G1330-2*H1330+IF(B1330="Butterfly",I1330,0)</x:f>
        <x:v>-1693.8000000000002</x:v>
      </x:c>
      <x:c r="K1330" s="11" t="n">
        <x:f>ABS(E1330-D1330)</x:f>
        <x:v>200</x:v>
      </x:c>
      <x:c r="L1330" s="11" t="n">
        <x:f>K1330-J1330</x:f>
        <x:v>1893.8000000000002</x:v>
      </x:c>
      <x:c r="M1330" s="11" t="str">
        <x:f>IF(B1330="Butterfly",MAX(J1330,0),IF(C1330="call","Unlimited",MAX(2*E1330-D1330+J1330,J1330,0)))</x:f>
        <x:v>Unlimited</x:v>
      </x:c>
      <x:c r="N1330" s="11" t="str">
        <x:f>IF(B1330="Butterfly",IF(AND(J1330&gt;0,J1330&lt;K1330),D1330+J1330,"n.a."),IF(C1330="call",IF(AND(J1330&gt;0,J1330&lt;K1330),D1330+J1330,"n.a."),IF(AND(K1330&gt;J1330,2*E1330-D1330+J1330&gt;=0),2*E1330-D1330+J1330,"n.a.")))</x:f>
        <x:v>n.a.</x:v>
      </x:c>
      <x:c r="O1330" s="11" t="n">
        <x:f>IF(B1330="Butterfly",IF(AND(J1330&gt;0,J1330&lt;K1330),F1330-J1330,"n.a."),IF(C1330="call",IF(K1330&gt;J1330,2*E1330-D1330-J1330,"n.a."),IF(AND(J1330&gt;0,J1330&lt;K1330),D1330-J1330,"n.a.")))</x:f>
        <x:v>7093.8</x:v>
      </x:c>
      <x:c r="P1330" s="19" t="str">
        <x:f>IF(AND(B1330="Butterfly",J1330&gt;0,J1330&lt;K1330),L1330/J1330,"n.a.")</x:f>
        <x:v>n.a.</x:v>
      </x:c>
      <x:c r="Q1330" s="11" t="n">
        <x:f>J1330*'Model inputs'!$B$8</x:f>
        <x:v>-169380.00000000003</x:v>
      </x:c>
      <x:c r="R1330" s="1" t="str">
        <x:v>Flagged leg data</x:v>
      </x:c>
      <x:c r="S1330" s="1" t="n">
        <x:v>78</x:v>
      </x:c>
      <x:c r="T1330" s="1" t="n">
        <x:v>97</x:v>
      </x:c>
    </x:row>
    <x:row r="1331" ht="21" customHeight="1">
      <x:c r="A1331" s="12" t="n">
        <x:v>46261</x:v>
      </x:c>
      <x:c r="B1331" s="1" t="str">
        <x:v>1x2 ratio</x:v>
      </x:c>
      <x:c r="C1331" s="1" t="str">
        <x:v>put</x:v>
      </x:c>
      <x:c r="D1331" s="11" t="n">
        <x:v>8900</x:v>
      </x:c>
      <x:c r="E1331" s="11" t="n">
        <x:v>8600</x:v>
      </x:c>
      <x:c r="F1331" s="11"/>
      <x:c r="G1331" s="11" t="n">
        <x:f>'Option source'!B905</x:f>
        <x:v>2022.5</x:v>
      </x:c>
      <x:c r="H1331" s="11" t="n">
        <x:f>'Option source'!B890</x:f>
        <x:v>1725</x:v>
      </x:c>
      <x:c r="I1331" s="11"/>
      <x:c r="J1331" s="11" t="n">
        <x:f>G1331-2*H1331+IF(B1331="Butterfly",I1331,0)</x:f>
        <x:v>-1427.5</x:v>
      </x:c>
      <x:c r="K1331" s="11" t="n">
        <x:f>ABS(E1331-D1331)</x:f>
        <x:v>300</x:v>
      </x:c>
      <x:c r="L1331" s="11" t="n">
        <x:f>K1331-J1331</x:f>
        <x:v>1727.5</x:v>
      </x:c>
      <x:c r="M1331" s="11" t="n">
        <x:f>IF(B1331="Butterfly",MAX(J1331,0),IF(C1331="call","Unlimited",MAX(2*E1331-D1331+J1331,J1331,0)))</x:f>
        <x:v>6872.5</x:v>
      </x:c>
      <x:c r="N1331" s="11" t="n">
        <x:f>IF(B1331="Butterfly",IF(AND(J1331&gt;0,J1331&lt;K1331),D1331+J1331,"n.a."),IF(C1331="call",IF(AND(J1331&gt;0,J1331&lt;K1331),D1331+J1331,"n.a."),IF(AND(K1331&gt;J1331,2*E1331-D1331+J1331&gt;=0),2*E1331-D1331+J1331,"n.a.")))</x:f>
        <x:v>6872.5</x:v>
      </x:c>
      <x:c r="O1331" s="11" t="str">
        <x:f>IF(B1331="Butterfly",IF(AND(J1331&gt;0,J1331&lt;K1331),F1331-J1331,"n.a."),IF(C1331="call",IF(K1331&gt;J1331,2*E1331-D1331-J1331,"n.a."),IF(AND(J1331&gt;0,J1331&lt;K1331),D1331-J1331,"n.a.")))</x:f>
        <x:v>n.a.</x:v>
      </x:c>
      <x:c r="P1331" s="19" t="str">
        <x:f>IF(AND(B1331="Butterfly",J1331&gt;0,J1331&lt;K1331),L1331/J1331,"n.a.")</x:f>
        <x:v>n.a.</x:v>
      </x:c>
      <x:c r="Q1331" s="11" t="n">
        <x:f>J1331*'Model inputs'!$B$8</x:f>
        <x:v>-142750</x:v>
      </x:c>
      <x:c r="R1331" s="1" t="str">
        <x:v>Flagged leg data</x:v>
      </x:c>
      <x:c r="S1331" s="1" t="n">
        <x:v>900</x:v>
      </x:c>
      <x:c r="T1331" s="1" t="n">
        <x:v>885</x:v>
      </x:c>
    </x:row>
    <x:row r="1332" ht="21" customHeight="1">
      <x:c r="A1332" s="12" t="n">
        <x:v>46261</x:v>
      </x:c>
      <x:c r="B1332" s="1" t="str">
        <x:v>1x2 ratio</x:v>
      </x:c>
      <x:c r="C1332" s="1" t="str">
        <x:v>call</x:v>
      </x:c>
      <x:c r="D1332" s="11" t="n">
        <x:v>4800</x:v>
      </x:c>
      <x:c r="E1332" s="11" t="n">
        <x:v>5000</x:v>
      </x:c>
      <x:c r="F1332" s="11"/>
      <x:c r="G1332" s="11" t="n">
        <x:f>'Option source'!B66</x:f>
        <x:v>2186.6</x:v>
      </x:c>
      <x:c r="H1332" s="11" t="n">
        <x:f>'Option source'!B83</x:f>
        <x:v>2030</x:v>
      </x:c>
      <x:c r="I1332" s="11"/>
      <x:c r="J1332" s="11" t="n">
        <x:f>G1332-2*H1332+IF(B1332="Butterfly",I1332,0)</x:f>
        <x:v>-1873.4</x:v>
      </x:c>
      <x:c r="K1332" s="11" t="n">
        <x:f>ABS(E1332-D1332)</x:f>
        <x:v>200</x:v>
      </x:c>
      <x:c r="L1332" s="11" t="n">
        <x:f>K1332-J1332</x:f>
        <x:v>2073.4</x:v>
      </x:c>
      <x:c r="M1332" s="11" t="str">
        <x:f>IF(B1332="Butterfly",MAX(J1332,0),IF(C1332="call","Unlimited",MAX(2*E1332-D1332+J1332,J1332,0)))</x:f>
        <x:v>Unlimited</x:v>
      </x:c>
      <x:c r="N1332" s="11" t="str">
        <x:f>IF(B1332="Butterfly",IF(AND(J1332&gt;0,J1332&lt;K1332),D1332+J1332,"n.a."),IF(C1332="call",IF(AND(J1332&gt;0,J1332&lt;K1332),D1332+J1332,"n.a."),IF(AND(K1332&gt;J1332,2*E1332-D1332+J1332&gt;=0),2*E1332-D1332+J1332,"n.a.")))</x:f>
        <x:v>n.a.</x:v>
      </x:c>
      <x:c r="O1332" s="11" t="n">
        <x:f>IF(B1332="Butterfly",IF(AND(J1332&gt;0,J1332&lt;K1332),F1332-J1332,"n.a."),IF(C1332="call",IF(K1332&gt;J1332,2*E1332-D1332-J1332,"n.a."),IF(AND(J1332&gt;0,J1332&lt;K1332),D1332-J1332,"n.a.")))</x:f>
        <x:v>7073.4</x:v>
      </x:c>
      <x:c r="P1332" s="19" t="str">
        <x:f>IF(AND(B1332="Butterfly",J1332&gt;0,J1332&lt;K1332),L1332/J1332,"n.a.")</x:f>
        <x:v>n.a.</x:v>
      </x:c>
      <x:c r="Q1332" s="11" t="n">
        <x:f>J1332*'Model inputs'!$B$8</x:f>
        <x:v>-187340</x:v>
      </x:c>
      <x:c r="R1332" s="1" t="str">
        <x:v>Flagged leg data</x:v>
      </x:c>
      <x:c r="S1332" s="1" t="n">
        <x:v>61</x:v>
      </x:c>
      <x:c r="T1332" s="1" t="n">
        <x:v>78</x:v>
      </x:c>
    </x:row>
    <x:row r="1333" ht="21" customHeight="1">
      <x:c r="A1333" s="12" t="n">
        <x:v>46261</x:v>
      </x:c>
      <x:c r="B1333" s="1" t="str">
        <x:v>1x2 ratio</x:v>
      </x:c>
      <x:c r="C1333" s="1" t="str">
        <x:v>call</x:v>
      </x:c>
      <x:c r="D1333" s="11" t="n">
        <x:v>4600</x:v>
      </x:c>
      <x:c r="E1333" s="11" t="n">
        <x:v>4800</x:v>
      </x:c>
      <x:c r="F1333" s="11"/>
      <x:c r="G1333" s="11" t="n">
        <x:f>'Option source'!B49</x:f>
        <x:v>2400.31</x:v>
      </x:c>
      <x:c r="H1333" s="11" t="n">
        <x:f>'Option source'!B66</x:f>
        <x:v>2186.6</x:v>
      </x:c>
      <x:c r="I1333" s="11"/>
      <x:c r="J1333" s="11" t="n">
        <x:f>G1333-2*H1333+IF(B1333="Butterfly",I1333,0)</x:f>
        <x:v>-1972.8899999999999</x:v>
      </x:c>
      <x:c r="K1333" s="11" t="n">
        <x:f>ABS(E1333-D1333)</x:f>
        <x:v>200</x:v>
      </x:c>
      <x:c r="L1333" s="11" t="n">
        <x:f>K1333-J1333</x:f>
        <x:v>2172.89</x:v>
      </x:c>
      <x:c r="M1333" s="11" t="str">
        <x:f>IF(B1333="Butterfly",MAX(J1333,0),IF(C1333="call","Unlimited",MAX(2*E1333-D1333+J1333,J1333,0)))</x:f>
        <x:v>Unlimited</x:v>
      </x:c>
      <x:c r="N1333" s="11" t="str">
        <x:f>IF(B1333="Butterfly",IF(AND(J1333&gt;0,J1333&lt;K1333),D1333+J1333,"n.a."),IF(C1333="call",IF(AND(J1333&gt;0,J1333&lt;K1333),D1333+J1333,"n.a."),IF(AND(K1333&gt;J1333,2*E1333-D1333+J1333&gt;=0),2*E1333-D1333+J1333,"n.a.")))</x:f>
        <x:v>n.a.</x:v>
      </x:c>
      <x:c r="O1333" s="11" t="n">
        <x:f>IF(B1333="Butterfly",IF(AND(J1333&gt;0,J1333&lt;K1333),F1333-J1333,"n.a."),IF(C1333="call",IF(K1333&gt;J1333,2*E1333-D1333-J1333,"n.a."),IF(AND(J1333&gt;0,J1333&lt;K1333),D1333-J1333,"n.a.")))</x:f>
        <x:v>6972.889999999999</x:v>
      </x:c>
      <x:c r="P1333" s="19" t="str">
        <x:f>IF(AND(B1333="Butterfly",J1333&gt;0,J1333&lt;K1333),L1333/J1333,"n.a.")</x:f>
        <x:v>n.a.</x:v>
      </x:c>
      <x:c r="Q1333" s="11" t="n">
        <x:f>J1333*'Model inputs'!$B$8</x:f>
        <x:v>-197289</x:v>
      </x:c>
      <x:c r="R1333" s="1" t="str">
        <x:v>Flagged leg data</x:v>
      </x:c>
      <x:c r="S1333" s="1" t="n">
        <x:v>44</x:v>
      </x:c>
      <x:c r="T1333" s="1" t="n">
        <x:v>61</x:v>
      </x:c>
    </x:row>
    <x:row r="1334" ht="21" customHeight="1">
      <x:c r="A1334" s="12" t="n">
        <x:v>46261</x:v>
      </x:c>
      <x:c r="B1334" s="1" t="str">
        <x:v>1x2 ratio</x:v>
      </x:c>
      <x:c r="C1334" s="1" t="str">
        <x:v>call</x:v>
      </x:c>
      <x:c r="D1334" s="11" t="n">
        <x:v>4400</x:v>
      </x:c>
      <x:c r="E1334" s="11" t="n">
        <x:v>4600</x:v>
      </x:c>
      <x:c r="F1334" s="11"/>
      <x:c r="G1334" s="11" t="n">
        <x:f>'Option source'!B30</x:f>
        <x:v>2387.12</x:v>
      </x:c>
      <x:c r="H1334" s="11" t="n">
        <x:f>'Option source'!B49</x:f>
        <x:v>2400.31</x:v>
      </x:c>
      <x:c r="I1334" s="11"/>
      <x:c r="J1334" s="11" t="n">
        <x:f>G1334-2*H1334+IF(B1334="Butterfly",I1334,0)</x:f>
        <x:v>-2413.5</x:v>
      </x:c>
      <x:c r="K1334" s="11" t="n">
        <x:f>ABS(E1334-D1334)</x:f>
        <x:v>200</x:v>
      </x:c>
      <x:c r="L1334" s="11" t="n">
        <x:f>K1334-J1334</x:f>
        <x:v>2613.5</x:v>
      </x:c>
      <x:c r="M1334" s="11" t="str">
        <x:f>IF(B1334="Butterfly",MAX(J1334,0),IF(C1334="call","Unlimited",MAX(2*E1334-D1334+J1334,J1334,0)))</x:f>
        <x:v>Unlimited</x:v>
      </x:c>
      <x:c r="N1334" s="11" t="str">
        <x:f>IF(B1334="Butterfly",IF(AND(J1334&gt;0,J1334&lt;K1334),D1334+J1334,"n.a."),IF(C1334="call",IF(AND(J1334&gt;0,J1334&lt;K1334),D1334+J1334,"n.a."),IF(AND(K1334&gt;J1334,2*E1334-D1334+J1334&gt;=0),2*E1334-D1334+J1334,"n.a.")))</x:f>
        <x:v>n.a.</x:v>
      </x:c>
      <x:c r="O1334" s="11" t="n">
        <x:f>IF(B1334="Butterfly",IF(AND(J1334&gt;0,J1334&lt;K1334),F1334-J1334,"n.a."),IF(C1334="call",IF(K1334&gt;J1334,2*E1334-D1334-J1334,"n.a."),IF(AND(J1334&gt;0,J1334&lt;K1334),D1334-J1334,"n.a.")))</x:f>
        <x:v>7213.5</x:v>
      </x:c>
      <x:c r="P1334" s="19" t="str">
        <x:f>IF(AND(B1334="Butterfly",J1334&gt;0,J1334&lt;K1334),L1334/J1334,"n.a.")</x:f>
        <x:v>n.a.</x:v>
      </x:c>
      <x:c r="Q1334" s="11" t="n">
        <x:f>J1334*'Model inputs'!$B$8</x:f>
        <x:v>-241350</x:v>
      </x:c>
      <x:c r="R1334" s="1" t="str">
        <x:v>Flagged leg data</x:v>
      </x:c>
      <x:c r="S1334" s="1" t="n">
        <x:v>25</x:v>
      </x:c>
      <x:c r="T1334" s="1" t="n">
        <x:v>44</x:v>
      </x:c>
    </x:row>
    <x:row r="1335" ht="21" customHeight="1">
      <x:c r="A1335" s="12" t="n">
        <x:v>46261</x:v>
      </x:c>
      <x:c r="B1335" s="1" t="str">
        <x:v>1x2 ratio</x:v>
      </x:c>
      <x:c r="C1335" s="1" t="str">
        <x:v>call</x:v>
      </x:c>
      <x:c r="D1335" s="11" t="n">
        <x:v>4200</x:v>
      </x:c>
      <x:c r="E1335" s="11" t="n">
        <x:v>4400</x:v>
      </x:c>
      <x:c r="F1335" s="11"/>
      <x:c r="G1335" s="11" t="n">
        <x:f>'Option source'!B11</x:f>
        <x:v>2815</x:v>
      </x:c>
      <x:c r="H1335" s="11" t="n">
        <x:f>'Option source'!B30</x:f>
        <x:v>2387.12</x:v>
      </x:c>
      <x:c r="I1335" s="11"/>
      <x:c r="J1335" s="11" t="n">
        <x:f>G1335-2*H1335+IF(B1335="Butterfly",I1335,0)</x:f>
        <x:v>-1959.2399999999998</x:v>
      </x:c>
      <x:c r="K1335" s="11" t="n">
        <x:f>ABS(E1335-D1335)</x:f>
        <x:v>200</x:v>
      </x:c>
      <x:c r="L1335" s="11" t="n">
        <x:f>K1335-J1335</x:f>
        <x:v>2159.24</x:v>
      </x:c>
      <x:c r="M1335" s="11" t="str">
        <x:f>IF(B1335="Butterfly",MAX(J1335,0),IF(C1335="call","Unlimited",MAX(2*E1335-D1335+J1335,J1335,0)))</x:f>
        <x:v>Unlimited</x:v>
      </x:c>
      <x:c r="N1335" s="11" t="str">
        <x:f>IF(B1335="Butterfly",IF(AND(J1335&gt;0,J1335&lt;K1335),D1335+J1335,"n.a."),IF(C1335="call",IF(AND(J1335&gt;0,J1335&lt;K1335),D1335+J1335,"n.a."),IF(AND(K1335&gt;J1335,2*E1335-D1335+J1335&gt;=0),2*E1335-D1335+J1335,"n.a.")))</x:f>
        <x:v>n.a.</x:v>
      </x:c>
      <x:c r="O1335" s="11" t="n">
        <x:f>IF(B1335="Butterfly",IF(AND(J1335&gt;0,J1335&lt;K1335),F1335-J1335,"n.a."),IF(C1335="call",IF(K1335&gt;J1335,2*E1335-D1335-J1335,"n.a."),IF(AND(J1335&gt;0,J1335&lt;K1335),D1335-J1335,"n.a.")))</x:f>
        <x:v>6559.24</x:v>
      </x:c>
      <x:c r="P1335" s="19" t="str">
        <x:f>IF(AND(B1335="Butterfly",J1335&gt;0,J1335&lt;K1335),L1335/J1335,"n.a.")</x:f>
        <x:v>n.a.</x:v>
      </x:c>
      <x:c r="Q1335" s="11" t="n">
        <x:f>J1335*'Model inputs'!$B$8</x:f>
        <x:v>-195923.99999999997</x:v>
      </x:c>
      <x:c r="R1335" s="1" t="str">
        <x:v>Flagged leg data</x:v>
      </x:c>
      <x:c r="S1335" s="1" t="n">
        <x:v>6</x:v>
      </x:c>
      <x:c r="T1335" s="1" t="n">
        <x:v>25</x:v>
      </x:c>
    </x:row>
    <x:row r="1336" ht="21" customHeight="1">
      <x:c r="A1336" s="12" t="n">
        <x:v>46260</x:v>
      </x:c>
      <x:c r="B1336" s="1" t="str">
        <x:v>Butterfly</x:v>
      </x:c>
      <x:c r="C1336" s="1" t="str">
        <x:v>call</x:v>
      </x:c>
      <x:c r="D1336" s="11" t="n">
        <x:v>6800</x:v>
      </x:c>
      <x:c r="E1336" s="11" t="n">
        <x:v>7000</x:v>
      </x:c>
      <x:c r="F1336" s="11" t="n">
        <x:v>7200</x:v>
      </x:c>
      <x:c r="G1336" s="11" t="n">
        <x:f>'Option source'!B243</x:f>
        <x:v>690.84</x:v>
      </x:c>
      <x:c r="H1336" s="11" t="n">
        <x:f>'Option source'!B262</x:f>
        <x:v>565.7</x:v>
      </x:c>
      <x:c r="I1336" s="11" t="n">
        <x:f>'Option source'!B281</x:f>
        <x:v>475.76</x:v>
      </x:c>
      <x:c r="J1336" s="11" t="n">
        <x:f>G1336-2*H1336+IF(B1336="Butterfly",I1336,0)</x:f>
        <x:v>35.19999999999993</x:v>
      </x:c>
      <x:c r="K1336" s="11" t="n">
        <x:f>ABS(E1336-D1336)</x:f>
        <x:v>200</x:v>
      </x:c>
      <x:c r="L1336" s="11" t="n">
        <x:f>K1336-J1336</x:f>
        <x:v>164.80000000000007</x:v>
      </x:c>
      <x:c r="M1336" s="11" t="n">
        <x:f>IF(B1336="Butterfly",MAX(J1336,0),IF(C1336="call","Unlimited",MAX(2*E1336-D1336+J1336,J1336,0)))</x:f>
        <x:v>35.19999999999993</x:v>
      </x:c>
      <x:c r="N1336" s="11" t="n">
        <x:f>IF(B1336="Butterfly",IF(AND(J1336&gt;0,J1336&lt;K1336),D1336+J1336,"n.a."),IF(C1336="call",IF(AND(J1336&gt;0,J1336&lt;K1336),D1336+J1336,"n.a."),IF(AND(K1336&gt;J1336,2*E1336-D1336+J1336&gt;=0),2*E1336-D1336+J1336,"n.a.")))</x:f>
        <x:v>6835.2</x:v>
      </x:c>
      <x:c r="O1336" s="11" t="n">
        <x:f>IF(B1336="Butterfly",IF(AND(J1336&gt;0,J1336&lt;K1336),F1336-J1336,"n.a."),IF(C1336="call",IF(K1336&gt;J1336,2*E1336-D1336-J1336,"n.a."),IF(AND(J1336&gt;0,J1336&lt;K1336),D1336-J1336,"n.a.")))</x:f>
        <x:v>7164.8</x:v>
      </x:c>
      <x:c r="P1336" s="19" t="n">
        <x:f>IF(AND(B1336="Butterfly",J1336&gt;0,J1336&lt;K1336),L1336/J1336,"n.a.")</x:f>
        <x:v>4.681818181818193</x:v>
      </x:c>
      <x:c r="Q1336" s="11" t="n">
        <x:f>J1336*'Model inputs'!$B$8</x:f>
        <x:v>3519.999999999993</x:v>
      </x:c>
      <x:c r="R1336" s="1" t="str">
        <x:v>Indicative only</x:v>
      </x:c>
      <x:c r="S1336" s="1" t="n">
        <x:v>238</x:v>
      </x:c>
      <x:c r="T1336" s="1" t="n">
        <x:v>257</x:v>
      </x:c>
    </x:row>
    <x:row r="1337" ht="21" customHeight="1">
      <x:c r="A1337" s="12" t="n">
        <x:v>46260</x:v>
      </x:c>
      <x:c r="B1337" s="1" t="str">
        <x:v>Butterfly</x:v>
      </x:c>
      <x:c r="C1337" s="1" t="str">
        <x:v>put</x:v>
      </x:c>
      <x:c r="D1337" s="11" t="n">
        <x:v>6800</x:v>
      </x:c>
      <x:c r="E1337" s="11" t="n">
        <x:v>7000</x:v>
      </x:c>
      <x:c r="F1337" s="11" t="n">
        <x:v>7200</x:v>
      </x:c>
      <x:c r="G1337" s="11" t="n">
        <x:f>'Option source'!B737</x:f>
        <x:v>260.29</x:v>
      </x:c>
      <x:c r="H1337" s="11" t="n">
        <x:f>'Option source'!B756</x:f>
        <x:v>344.64</x:v>
      </x:c>
      <x:c r="I1337" s="11" t="n">
        <x:f>'Option source'!B775</x:f>
        <x:v>437.25</x:v>
      </x:c>
      <x:c r="J1337" s="11" t="n">
        <x:f>G1337-2*H1337+IF(B1337="Butterfly",I1337,0)</x:f>
        <x:v>8.260000000000048</x:v>
      </x:c>
      <x:c r="K1337" s="11" t="n">
        <x:f>ABS(E1337-D1337)</x:f>
        <x:v>200</x:v>
      </x:c>
      <x:c r="L1337" s="11" t="n">
        <x:f>K1337-J1337</x:f>
        <x:v>191.73999999999995</x:v>
      </x:c>
      <x:c r="M1337" s="11" t="n">
        <x:f>IF(B1337="Butterfly",MAX(J1337,0),IF(C1337="call","Unlimited",MAX(2*E1337-D1337+J1337,J1337,0)))</x:f>
        <x:v>8.260000000000048</x:v>
      </x:c>
      <x:c r="N1337" s="11" t="n">
        <x:f>IF(B1337="Butterfly",IF(AND(J1337&gt;0,J1337&lt;K1337),D1337+J1337,"n.a."),IF(C1337="call",IF(AND(J1337&gt;0,J1337&lt;K1337),D1337+J1337,"n.a."),IF(AND(K1337&gt;J1337,2*E1337-D1337+J1337&gt;=0),2*E1337-D1337+J1337,"n.a.")))</x:f>
        <x:v>6808.26</x:v>
      </x:c>
      <x:c r="O1337" s="11" t="n">
        <x:f>IF(B1337="Butterfly",IF(AND(J1337&gt;0,J1337&lt;K1337),F1337-J1337,"n.a."),IF(C1337="call",IF(K1337&gt;J1337,2*E1337-D1337-J1337,"n.a."),IF(AND(J1337&gt;0,J1337&lt;K1337),D1337-J1337,"n.a.")))</x:f>
        <x:v>7191.74</x:v>
      </x:c>
      <x:c r="P1337" s="19" t="n">
        <x:f>IF(AND(B1337="Butterfly",J1337&gt;0,J1337&lt;K1337),L1337/J1337,"n.a.")</x:f>
        <x:v>23.213075060532546</x:v>
      </x:c>
      <x:c r="Q1337" s="11" t="n">
        <x:f>J1337*'Model inputs'!$B$8</x:f>
        <x:v>826.0000000000048</x:v>
      </x:c>
      <x:c r="R1337" s="1" t="str">
        <x:v>Indicative only</x:v>
      </x:c>
      <x:c r="S1337" s="1" t="n">
        <x:v>732</x:v>
      </x:c>
      <x:c r="T1337" s="1" t="n">
        <x:v>751</x:v>
      </x:c>
    </x:row>
    <x:row r="1338" ht="21" customHeight="1">
      <x:c r="A1338" s="12" t="n">
        <x:v>46260</x:v>
      </x:c>
      <x:c r="B1338" s="1" t="str">
        <x:v>Butterfly</x:v>
      </x:c>
      <x:c r="C1338" s="1" t="str">
        <x:v>call</x:v>
      </x:c>
      <x:c r="D1338" s="11" t="n">
        <x:v>7000</x:v>
      </x:c>
      <x:c r="E1338" s="11" t="n">
        <x:v>7200</x:v>
      </x:c>
      <x:c r="F1338" s="11" t="n">
        <x:v>7400</x:v>
      </x:c>
      <x:c r="G1338" s="11" t="n">
        <x:f>'Option source'!B262</x:f>
        <x:v>565.7</x:v>
      </x:c>
      <x:c r="H1338" s="11" t="n">
        <x:f>'Option source'!B281</x:f>
        <x:v>475.76</x:v>
      </x:c>
      <x:c r="I1338" s="11" t="n">
        <x:f>'Option source'!B300</x:f>
        <x:v>391.75</x:v>
      </x:c>
      <x:c r="J1338" s="11" t="n">
        <x:f>G1338-2*H1338+IF(B1338="Butterfly",I1338,0)</x:f>
        <x:v>5.930000000000064</x:v>
      </x:c>
      <x:c r="K1338" s="11" t="n">
        <x:f>ABS(E1338-D1338)</x:f>
        <x:v>200</x:v>
      </x:c>
      <x:c r="L1338" s="11" t="n">
        <x:f>K1338-J1338</x:f>
        <x:v>194.06999999999994</x:v>
      </x:c>
      <x:c r="M1338" s="11" t="n">
        <x:f>IF(B1338="Butterfly",MAX(J1338,0),IF(C1338="call","Unlimited",MAX(2*E1338-D1338+J1338,J1338,0)))</x:f>
        <x:v>5.930000000000064</x:v>
      </x:c>
      <x:c r="N1338" s="11" t="n">
        <x:f>IF(B1338="Butterfly",IF(AND(J1338&gt;0,J1338&lt;K1338),D1338+J1338,"n.a."),IF(C1338="call",IF(AND(J1338&gt;0,J1338&lt;K1338),D1338+J1338,"n.a."),IF(AND(K1338&gt;J1338,2*E1338-D1338+J1338&gt;=0),2*E1338-D1338+J1338,"n.a.")))</x:f>
        <x:v>7005.93</x:v>
      </x:c>
      <x:c r="O1338" s="11" t="n">
        <x:f>IF(B1338="Butterfly",IF(AND(J1338&gt;0,J1338&lt;K1338),F1338-J1338,"n.a."),IF(C1338="call",IF(K1338&gt;J1338,2*E1338-D1338-J1338,"n.a."),IF(AND(J1338&gt;0,J1338&lt;K1338),D1338-J1338,"n.a.")))</x:f>
        <x:v>7394.07</x:v>
      </x:c>
      <x:c r="P1338" s="19" t="n">
        <x:f>IF(AND(B1338="Butterfly",J1338&gt;0,J1338&lt;K1338),L1338/J1338,"n.a.")</x:f>
        <x:v>32.726812816188506</x:v>
      </x:c>
      <x:c r="Q1338" s="11" t="n">
        <x:f>J1338*'Model inputs'!$B$8</x:f>
        <x:v>593.0000000000064</x:v>
      </x:c>
      <x:c r="R1338" s="1" t="str">
        <x:v>Indicative only</x:v>
      </x:c>
      <x:c r="S1338" s="1" t="n">
        <x:v>257</x:v>
      </x:c>
      <x:c r="T1338" s="1" t="n">
        <x:v>276</x:v>
      </x:c>
    </x:row>
    <x:row r="1339" ht="21" customHeight="1">
      <x:c r="A1339" s="12" t="n">
        <x:v>46260</x:v>
      </x:c>
      <x:c r="B1339" s="1" t="str">
        <x:v>Butterfly</x:v>
      </x:c>
      <x:c r="C1339" s="1" t="str">
        <x:v>put</x:v>
      </x:c>
      <x:c r="D1339" s="11" t="n">
        <x:v>7000</x:v>
      </x:c>
      <x:c r="E1339" s="11" t="n">
        <x:v>7200</x:v>
      </x:c>
      <x:c r="F1339" s="11" t="n">
        <x:v>7400</x:v>
      </x:c>
      <x:c r="G1339" s="11" t="n">
        <x:f>'Option source'!B756</x:f>
        <x:v>344.64</x:v>
      </x:c>
      <x:c r="H1339" s="11" t="n">
        <x:f>'Option source'!B775</x:f>
        <x:v>437.25</x:v>
      </x:c>
      <x:c r="I1339" s="11" t="n">
        <x:f>'Option source'!B794</x:f>
        <x:v>549.96</x:v>
      </x:c>
      <x:c r="J1339" s="11" t="n">
        <x:f>G1339-2*H1339+IF(B1339="Butterfly",I1339,0)</x:f>
        <x:v>20.100000000000023</x:v>
      </x:c>
      <x:c r="K1339" s="11" t="n">
        <x:f>ABS(E1339-D1339)</x:f>
        <x:v>200</x:v>
      </x:c>
      <x:c r="L1339" s="11" t="n">
        <x:f>K1339-J1339</x:f>
        <x:v>179.89999999999998</x:v>
      </x:c>
      <x:c r="M1339" s="11" t="n">
        <x:f>IF(B1339="Butterfly",MAX(J1339,0),IF(C1339="call","Unlimited",MAX(2*E1339-D1339+J1339,J1339,0)))</x:f>
        <x:v>20.100000000000023</x:v>
      </x:c>
      <x:c r="N1339" s="11" t="n">
        <x:f>IF(B1339="Butterfly",IF(AND(J1339&gt;0,J1339&lt;K1339),D1339+J1339,"n.a."),IF(C1339="call",IF(AND(J1339&gt;0,J1339&lt;K1339),D1339+J1339,"n.a."),IF(AND(K1339&gt;J1339,2*E1339-D1339+J1339&gt;=0),2*E1339-D1339+J1339,"n.a.")))</x:f>
        <x:v>7020.1</x:v>
      </x:c>
      <x:c r="O1339" s="11" t="n">
        <x:f>IF(B1339="Butterfly",IF(AND(J1339&gt;0,J1339&lt;K1339),F1339-J1339,"n.a."),IF(C1339="call",IF(K1339&gt;J1339,2*E1339-D1339-J1339,"n.a."),IF(AND(J1339&gt;0,J1339&lt;K1339),D1339-J1339,"n.a.")))</x:f>
        <x:v>7379.9</x:v>
      </x:c>
      <x:c r="P1339" s="19" t="n">
        <x:f>IF(AND(B1339="Butterfly",J1339&gt;0,J1339&lt;K1339),L1339/J1339,"n.a.")</x:f>
        <x:v>8.950248756218894</x:v>
      </x:c>
      <x:c r="Q1339" s="11" t="n">
        <x:f>J1339*'Model inputs'!$B$8</x:f>
        <x:v>2010.0000000000023</x:v>
      </x:c>
      <x:c r="R1339" s="1" t="str">
        <x:v>Indicative only</x:v>
      </x:c>
      <x:c r="S1339" s="1" t="n">
        <x:v>751</x:v>
      </x:c>
      <x:c r="T1339" s="1" t="n">
        <x:v>770</x:v>
      </x:c>
    </x:row>
    <x:row r="1340" ht="21" customHeight="1">
      <x:c r="A1340" s="12" t="n">
        <x:v>46260</x:v>
      </x:c>
      <x:c r="B1340" s="1" t="str">
        <x:v>Butterfly</x:v>
      </x:c>
      <x:c r="C1340" s="1" t="str">
        <x:v>put</x:v>
      </x:c>
      <x:c r="D1340" s="11" t="n">
        <x:v>6600</x:v>
      </x:c>
      <x:c r="E1340" s="11" t="n">
        <x:v>6800</x:v>
      </x:c>
      <x:c r="F1340" s="11" t="n">
        <x:v>7000</x:v>
      </x:c>
      <x:c r="G1340" s="11" t="n">
        <x:f>'Option source'!B718</x:f>
        <x:v>195.14</x:v>
      </x:c>
      <x:c r="H1340" s="11" t="n">
        <x:f>'Option source'!B737</x:f>
        <x:v>260.29</x:v>
      </x:c>
      <x:c r="I1340" s="11" t="n">
        <x:f>'Option source'!B756</x:f>
        <x:v>344.64</x:v>
      </x:c>
      <x:c r="J1340" s="11" t="n">
        <x:f>G1340-2*H1340+IF(B1340="Butterfly",I1340,0)</x:f>
        <x:v>19.199999999999932</x:v>
      </x:c>
      <x:c r="K1340" s="11" t="n">
        <x:f>ABS(E1340-D1340)</x:f>
        <x:v>200</x:v>
      </x:c>
      <x:c r="L1340" s="11" t="n">
        <x:f>K1340-J1340</x:f>
        <x:v>180.80000000000007</x:v>
      </x:c>
      <x:c r="M1340" s="11" t="n">
        <x:f>IF(B1340="Butterfly",MAX(J1340,0),IF(C1340="call","Unlimited",MAX(2*E1340-D1340+J1340,J1340,0)))</x:f>
        <x:v>19.199999999999932</x:v>
      </x:c>
      <x:c r="N1340" s="11" t="n">
        <x:f>IF(B1340="Butterfly",IF(AND(J1340&gt;0,J1340&lt;K1340),D1340+J1340,"n.a."),IF(C1340="call",IF(AND(J1340&gt;0,J1340&lt;K1340),D1340+J1340,"n.a."),IF(AND(K1340&gt;J1340,2*E1340-D1340+J1340&gt;=0),2*E1340-D1340+J1340,"n.a.")))</x:f>
        <x:v>6619.2</x:v>
      </x:c>
      <x:c r="O1340" s="11" t="n">
        <x:f>IF(B1340="Butterfly",IF(AND(J1340&gt;0,J1340&lt;K1340),F1340-J1340,"n.a."),IF(C1340="call",IF(K1340&gt;J1340,2*E1340-D1340-J1340,"n.a."),IF(AND(J1340&gt;0,J1340&lt;K1340),D1340-J1340,"n.a.")))</x:f>
        <x:v>6980.8</x:v>
      </x:c>
      <x:c r="P1340" s="19" t="n">
        <x:f>IF(AND(B1340="Butterfly",J1340&gt;0,J1340&lt;K1340),L1340/J1340,"n.a.")</x:f>
        <x:v>9.416666666666703</x:v>
      </x:c>
      <x:c r="Q1340" s="11" t="n">
        <x:f>J1340*'Model inputs'!$B$8</x:f>
        <x:v>1919.9999999999932</x:v>
      </x:c>
      <x:c r="R1340" s="1" t="str">
        <x:v>Indicative only</x:v>
      </x:c>
      <x:c r="S1340" s="1" t="n">
        <x:v>713</x:v>
      </x:c>
      <x:c r="T1340" s="1" t="n">
        <x:v>732</x:v>
      </x:c>
    </x:row>
    <x:row r="1341" ht="21" customHeight="1">
      <x:c r="A1341" s="12" t="n">
        <x:v>46260</x:v>
      </x:c>
      <x:c r="B1341" s="1" t="str">
        <x:v>Butterfly</x:v>
      </x:c>
      <x:c r="C1341" s="1" t="str">
        <x:v>call</x:v>
      </x:c>
      <x:c r="D1341" s="11" t="n">
        <x:v>7200</x:v>
      </x:c>
      <x:c r="E1341" s="11" t="n">
        <x:v>7400</x:v>
      </x:c>
      <x:c r="F1341" s="11" t="n">
        <x:v>7600</x:v>
      </x:c>
      <x:c r="G1341" s="11" t="n">
        <x:f>'Option source'!B281</x:f>
        <x:v>475.76</x:v>
      </x:c>
      <x:c r="H1341" s="11" t="n">
        <x:f>'Option source'!B300</x:f>
        <x:v>391.75</x:v>
      </x:c>
      <x:c r="I1341" s="11" t="n">
        <x:f>'Option source'!B319</x:f>
        <x:v>316.15</x:v>
      </x:c>
      <x:c r="J1341" s="11" t="n">
        <x:f>G1341-2*H1341+IF(B1341="Butterfly",I1341,0)</x:f>
        <x:v>8.409999999999968</x:v>
      </x:c>
      <x:c r="K1341" s="11" t="n">
        <x:f>ABS(E1341-D1341)</x:f>
        <x:v>200</x:v>
      </x:c>
      <x:c r="L1341" s="11" t="n">
        <x:f>K1341-J1341</x:f>
        <x:v>191.59000000000003</x:v>
      </x:c>
      <x:c r="M1341" s="11" t="n">
        <x:f>IF(B1341="Butterfly",MAX(J1341,0),IF(C1341="call","Unlimited",MAX(2*E1341-D1341+J1341,J1341,0)))</x:f>
        <x:v>8.409999999999968</x:v>
      </x:c>
      <x:c r="N1341" s="11" t="n">
        <x:f>IF(B1341="Butterfly",IF(AND(J1341&gt;0,J1341&lt;K1341),D1341+J1341,"n.a."),IF(C1341="call",IF(AND(J1341&gt;0,J1341&lt;K1341),D1341+J1341,"n.a."),IF(AND(K1341&gt;J1341,2*E1341-D1341+J1341&gt;=0),2*E1341-D1341+J1341,"n.a.")))</x:f>
        <x:v>7208.41</x:v>
      </x:c>
      <x:c r="O1341" s="11" t="n">
        <x:f>IF(B1341="Butterfly",IF(AND(J1341&gt;0,J1341&lt;K1341),F1341-J1341,"n.a."),IF(C1341="call",IF(K1341&gt;J1341,2*E1341-D1341-J1341,"n.a."),IF(AND(J1341&gt;0,J1341&lt;K1341),D1341-J1341,"n.a.")))</x:f>
        <x:v>7591.59</x:v>
      </x:c>
      <x:c r="P1341" s="19" t="n">
        <x:f>IF(AND(B1341="Butterfly",J1341&gt;0,J1341&lt;K1341),L1341/J1341,"n.a.")</x:f>
        <x:v>22.781212841855023</x:v>
      </x:c>
      <x:c r="Q1341" s="11" t="n">
        <x:f>J1341*'Model inputs'!$B$8</x:f>
        <x:v>840.9999999999968</x:v>
      </x:c>
      <x:c r="R1341" s="1" t="str">
        <x:v>Indicative only</x:v>
      </x:c>
      <x:c r="S1341" s="1" t="n">
        <x:v>276</x:v>
      </x:c>
      <x:c r="T1341" s="1" t="n">
        <x:v>295</x:v>
      </x:c>
    </x:row>
    <x:row r="1342" ht="21" customHeight="1">
      <x:c r="A1342" s="12" t="n">
        <x:v>46260</x:v>
      </x:c>
      <x:c r="B1342" s="1" t="str">
        <x:v>Butterfly</x:v>
      </x:c>
      <x:c r="C1342" s="1" t="str">
        <x:v>put</x:v>
      </x:c>
      <x:c r="D1342" s="11" t="n">
        <x:v>7200</x:v>
      </x:c>
      <x:c r="E1342" s="11" t="n">
        <x:v>7400</x:v>
      </x:c>
      <x:c r="F1342" s="11" t="n">
        <x:v>7600</x:v>
      </x:c>
      <x:c r="G1342" s="11" t="n">
        <x:f>'Option source'!B775</x:f>
        <x:v>437.25</x:v>
      </x:c>
      <x:c r="H1342" s="11" t="n">
        <x:f>'Option source'!B794</x:f>
        <x:v>549.96</x:v>
      </x:c>
      <x:c r="I1342" s="11" t="n">
        <x:f>'Option source'!B813</x:f>
        <x:v>665</x:v>
      </x:c>
      <x:c r="J1342" s="11" t="n">
        <x:f>G1342-2*H1342+IF(B1342="Butterfly",I1342,0)</x:f>
        <x:v>2.3299999999999272</x:v>
      </x:c>
      <x:c r="K1342" s="11" t="n">
        <x:f>ABS(E1342-D1342)</x:f>
        <x:v>200</x:v>
      </x:c>
      <x:c r="L1342" s="11" t="n">
        <x:f>K1342-J1342</x:f>
        <x:v>197.67000000000007</x:v>
      </x:c>
      <x:c r="M1342" s="11" t="n">
        <x:f>IF(B1342="Butterfly",MAX(J1342,0),IF(C1342="call","Unlimited",MAX(2*E1342-D1342+J1342,J1342,0)))</x:f>
        <x:v>2.3299999999999272</x:v>
      </x:c>
      <x:c r="N1342" s="11" t="n">
        <x:f>IF(B1342="Butterfly",IF(AND(J1342&gt;0,J1342&lt;K1342),D1342+J1342,"n.a."),IF(C1342="call",IF(AND(J1342&gt;0,J1342&lt;K1342),D1342+J1342,"n.a."),IF(AND(K1342&gt;J1342,2*E1342-D1342+J1342&gt;=0),2*E1342-D1342+J1342,"n.a.")))</x:f>
        <x:v>7202.33</x:v>
      </x:c>
      <x:c r="O1342" s="11" t="n">
        <x:f>IF(B1342="Butterfly",IF(AND(J1342&gt;0,J1342&lt;K1342),F1342-J1342,"n.a."),IF(C1342="call",IF(K1342&gt;J1342,2*E1342-D1342-J1342,"n.a."),IF(AND(J1342&gt;0,J1342&lt;K1342),D1342-J1342,"n.a.")))</x:f>
        <x:v>7597.67</x:v>
      </x:c>
      <x:c r="P1342" s="19" t="n">
        <x:f>IF(AND(B1342="Butterfly",J1342&gt;0,J1342&lt;K1342),L1342/J1342,"n.a.")</x:f>
        <x:v>84.83690987124731</x:v>
      </x:c>
      <x:c r="Q1342" s="11" t="n">
        <x:f>J1342*'Model inputs'!$B$8</x:f>
        <x:v>232.99999999999272</x:v>
      </x:c>
      <x:c r="R1342" s="1" t="str">
        <x:v>Indicative only</x:v>
      </x:c>
      <x:c r="S1342" s="1" t="n">
        <x:v>770</x:v>
      </x:c>
      <x:c r="T1342" s="1" t="n">
        <x:v>789</x:v>
      </x:c>
    </x:row>
    <x:row r="1343" ht="21" customHeight="1">
      <x:c r="A1343" s="12" t="n">
        <x:v>46260</x:v>
      </x:c>
      <x:c r="B1343" s="1" t="str">
        <x:v>Butterfly</x:v>
      </x:c>
      <x:c r="C1343" s="1" t="str">
        <x:v>call</x:v>
      </x:c>
      <x:c r="D1343" s="11" t="n">
        <x:v>6400</x:v>
      </x:c>
      <x:c r="E1343" s="11" t="n">
        <x:v>6600</x:v>
      </x:c>
      <x:c r="F1343" s="11" t="n">
        <x:v>6800</x:v>
      </x:c>
      <x:c r="G1343" s="11" t="n">
        <x:f>'Option source'!B205</x:f>
        <x:v>944.2</x:v>
      </x:c>
      <x:c r="H1343" s="11" t="n">
        <x:f>'Option source'!B224</x:f>
        <x:v>808.58</x:v>
      </x:c>
      <x:c r="I1343" s="11" t="n">
        <x:f>'Option source'!B243</x:f>
        <x:v>690.84</x:v>
      </x:c>
      <x:c r="J1343" s="11" t="n">
        <x:f>G1343-2*H1343+IF(B1343="Butterfly",I1343,0)</x:f>
        <x:v>17.879999999999995</x:v>
      </x:c>
      <x:c r="K1343" s="11" t="n">
        <x:f>ABS(E1343-D1343)</x:f>
        <x:v>200</x:v>
      </x:c>
      <x:c r="L1343" s="11" t="n">
        <x:f>K1343-J1343</x:f>
        <x:v>182.12</x:v>
      </x:c>
      <x:c r="M1343" s="11" t="n">
        <x:f>IF(B1343="Butterfly",MAX(J1343,0),IF(C1343="call","Unlimited",MAX(2*E1343-D1343+J1343,J1343,0)))</x:f>
        <x:v>17.879999999999995</x:v>
      </x:c>
      <x:c r="N1343" s="11" t="n">
        <x:f>IF(B1343="Butterfly",IF(AND(J1343&gt;0,J1343&lt;K1343),D1343+J1343,"n.a."),IF(C1343="call",IF(AND(J1343&gt;0,J1343&lt;K1343),D1343+J1343,"n.a."),IF(AND(K1343&gt;J1343,2*E1343-D1343+J1343&gt;=0),2*E1343-D1343+J1343,"n.a.")))</x:f>
        <x:v>6417.88</x:v>
      </x:c>
      <x:c r="O1343" s="11" t="n">
        <x:f>IF(B1343="Butterfly",IF(AND(J1343&gt;0,J1343&lt;K1343),F1343-J1343,"n.a."),IF(C1343="call",IF(K1343&gt;J1343,2*E1343-D1343-J1343,"n.a."),IF(AND(J1343&gt;0,J1343&lt;K1343),D1343-J1343,"n.a.")))</x:f>
        <x:v>6782.12</x:v>
      </x:c>
      <x:c r="P1343" s="19" t="n">
        <x:f>IF(AND(B1343="Butterfly",J1343&gt;0,J1343&lt;K1343),L1343/J1343,"n.a.")</x:f>
        <x:v>10.185682326621928</x:v>
      </x:c>
      <x:c r="Q1343" s="11" t="n">
        <x:f>J1343*'Model inputs'!$B$8</x:f>
        <x:v>1787.9999999999995</x:v>
      </x:c>
      <x:c r="R1343" s="1" t="str">
        <x:v>Indicative only</x:v>
      </x:c>
      <x:c r="S1343" s="1" t="n">
        <x:v>200</x:v>
      </x:c>
      <x:c r="T1343" s="1" t="n">
        <x:v>219</x:v>
      </x:c>
    </x:row>
    <x:row r="1344" ht="21" customHeight="1">
      <x:c r="A1344" s="12" t="n">
        <x:v>46260</x:v>
      </x:c>
      <x:c r="B1344" s="1" t="str">
        <x:v>Butterfly</x:v>
      </x:c>
      <x:c r="C1344" s="1" t="str">
        <x:v>put</x:v>
      </x:c>
      <x:c r="D1344" s="11" t="n">
        <x:v>6400</x:v>
      </x:c>
      <x:c r="E1344" s="11" t="n">
        <x:v>6600</x:v>
      </x:c>
      <x:c r="F1344" s="11" t="n">
        <x:v>6800</x:v>
      </x:c>
      <x:c r="G1344" s="11" t="n">
        <x:f>'Option source'!B699</x:f>
        <x:v>135.93</x:v>
      </x:c>
      <x:c r="H1344" s="11" t="n">
        <x:f>'Option source'!B718</x:f>
        <x:v>195.14</x:v>
      </x:c>
      <x:c r="I1344" s="11" t="n">
        <x:f>'Option source'!B737</x:f>
        <x:v>260.29</x:v>
      </x:c>
      <x:c r="J1344" s="11" t="n">
        <x:f>G1344-2*H1344+IF(B1344="Butterfly",I1344,0)</x:f>
        <x:v>5.940000000000055</x:v>
      </x:c>
      <x:c r="K1344" s="11" t="n">
        <x:f>ABS(E1344-D1344)</x:f>
        <x:v>200</x:v>
      </x:c>
      <x:c r="L1344" s="11" t="n">
        <x:f>K1344-J1344</x:f>
        <x:v>194.05999999999995</x:v>
      </x:c>
      <x:c r="M1344" s="11" t="n">
        <x:f>IF(B1344="Butterfly",MAX(J1344,0),IF(C1344="call","Unlimited",MAX(2*E1344-D1344+J1344,J1344,0)))</x:f>
        <x:v>5.940000000000055</x:v>
      </x:c>
      <x:c r="N1344" s="11" t="n">
        <x:f>IF(B1344="Butterfly",IF(AND(J1344&gt;0,J1344&lt;K1344),D1344+J1344,"n.a."),IF(C1344="call",IF(AND(J1344&gt;0,J1344&lt;K1344),D1344+J1344,"n.a."),IF(AND(K1344&gt;J1344,2*E1344-D1344+J1344&gt;=0),2*E1344-D1344+J1344,"n.a.")))</x:f>
        <x:v>6405.9400000000005</x:v>
      </x:c>
      <x:c r="O1344" s="11" t="n">
        <x:f>IF(B1344="Butterfly",IF(AND(J1344&gt;0,J1344&lt;K1344),F1344-J1344,"n.a."),IF(C1344="call",IF(K1344&gt;J1344,2*E1344-D1344-J1344,"n.a."),IF(AND(J1344&gt;0,J1344&lt;K1344),D1344-J1344,"n.a.")))</x:f>
        <x:v>6794.0599999999995</x:v>
      </x:c>
      <x:c r="P1344" s="19" t="n">
        <x:f>IF(AND(B1344="Butterfly",J1344&gt;0,J1344&lt;K1344),L1344/J1344,"n.a.")</x:f>
        <x:v>32.67003367003336</x:v>
      </x:c>
      <x:c r="Q1344" s="11" t="n">
        <x:f>J1344*'Model inputs'!$B$8</x:f>
        <x:v>594.0000000000055</x:v>
      </x:c>
      <x:c r="R1344" s="1" t="str">
        <x:v>Indicative only</x:v>
      </x:c>
      <x:c r="S1344" s="1" t="n">
        <x:v>694</x:v>
      </x:c>
      <x:c r="T1344" s="1" t="n">
        <x:v>713</x:v>
      </x:c>
    </x:row>
    <x:row r="1345" ht="21" customHeight="1">
      <x:c r="A1345" s="12" t="n">
        <x:v>46260</x:v>
      </x:c>
      <x:c r="B1345" s="1" t="str">
        <x:v>Butterfly</x:v>
      </x:c>
      <x:c r="C1345" s="1" t="str">
        <x:v>call</x:v>
      </x:c>
      <x:c r="D1345" s="11" t="n">
        <x:v>7400</x:v>
      </x:c>
      <x:c r="E1345" s="11" t="n">
        <x:v>7600</x:v>
      </x:c>
      <x:c r="F1345" s="11" t="n">
        <x:v>7800</x:v>
      </x:c>
      <x:c r="G1345" s="11" t="n">
        <x:f>'Option source'!B300</x:f>
        <x:v>391.75</x:v>
      </x:c>
      <x:c r="H1345" s="11" t="n">
        <x:f>'Option source'!B319</x:f>
        <x:v>316.15</x:v>
      </x:c>
      <x:c r="I1345" s="11" t="n">
        <x:f>'Option source'!B338</x:f>
        <x:v>250.53</x:v>
      </x:c>
      <x:c r="J1345" s="11" t="n">
        <x:f>G1345-2*H1345+IF(B1345="Butterfly",I1345,0)</x:f>
        <x:v>9.980000000000047</x:v>
      </x:c>
      <x:c r="K1345" s="11" t="n">
        <x:f>ABS(E1345-D1345)</x:f>
        <x:v>200</x:v>
      </x:c>
      <x:c r="L1345" s="11" t="n">
        <x:f>K1345-J1345</x:f>
        <x:v>190.01999999999995</x:v>
      </x:c>
      <x:c r="M1345" s="11" t="n">
        <x:f>IF(B1345="Butterfly",MAX(J1345,0),IF(C1345="call","Unlimited",MAX(2*E1345-D1345+J1345,J1345,0)))</x:f>
        <x:v>9.980000000000047</x:v>
      </x:c>
      <x:c r="N1345" s="11" t="n">
        <x:f>IF(B1345="Butterfly",IF(AND(J1345&gt;0,J1345&lt;K1345),D1345+J1345,"n.a."),IF(C1345="call",IF(AND(J1345&gt;0,J1345&lt;K1345),D1345+J1345,"n.a."),IF(AND(K1345&gt;J1345,2*E1345-D1345+J1345&gt;=0),2*E1345-D1345+J1345,"n.a.")))</x:f>
        <x:v>7409.9800000000005</x:v>
      </x:c>
      <x:c r="O1345" s="11" t="n">
        <x:f>IF(B1345="Butterfly",IF(AND(J1345&gt;0,J1345&lt;K1345),F1345-J1345,"n.a."),IF(C1345="call",IF(K1345&gt;J1345,2*E1345-D1345-J1345,"n.a."),IF(AND(J1345&gt;0,J1345&lt;K1345),D1345-J1345,"n.a.")))</x:f>
        <x:v>7790.0199999999995</x:v>
      </x:c>
      <x:c r="P1345" s="19" t="n">
        <x:f>IF(AND(B1345="Butterfly",J1345&gt;0,J1345&lt;K1345),L1345/J1345,"n.a.")</x:f>
        <x:v>19.04008016032055</x:v>
      </x:c>
      <x:c r="Q1345" s="11" t="n">
        <x:f>J1345*'Model inputs'!$B$8</x:f>
        <x:v>998.0000000000047</x:v>
      </x:c>
      <x:c r="R1345" s="1" t="str">
        <x:v>Indicative only</x:v>
      </x:c>
      <x:c r="S1345" s="1" t="n">
        <x:v>295</x:v>
      </x:c>
      <x:c r="T1345" s="1" t="n">
        <x:v>314</x:v>
      </x:c>
    </x:row>
    <x:row r="1346" ht="21" customHeight="1">
      <x:c r="A1346" s="12" t="n">
        <x:v>46260</x:v>
      </x:c>
      <x:c r="B1346" s="1" t="str">
        <x:v>Butterfly</x:v>
      </x:c>
      <x:c r="C1346" s="1" t="str">
        <x:v>put</x:v>
      </x:c>
      <x:c r="D1346" s="11" t="n">
        <x:v>6200</x:v>
      </x:c>
      <x:c r="E1346" s="11" t="n">
        <x:v>6400</x:v>
      </x:c>
      <x:c r="F1346" s="11" t="n">
        <x:v>6600</x:v>
      </x:c>
      <x:c r="G1346" s="11" t="n">
        <x:f>'Option source'!B680</x:f>
        <x:v>92.32</x:v>
      </x:c>
      <x:c r="H1346" s="11" t="n">
        <x:f>'Option source'!B699</x:f>
        <x:v>135.93</x:v>
      </x:c>
      <x:c r="I1346" s="11" t="n">
        <x:f>'Option source'!B718</x:f>
        <x:v>195.14</x:v>
      </x:c>
      <x:c r="J1346" s="11" t="n">
        <x:f>G1346-2*H1346+IF(B1346="Butterfly",I1346,0)</x:f>
        <x:v>15.599999999999966</x:v>
      </x:c>
      <x:c r="K1346" s="11" t="n">
        <x:f>ABS(E1346-D1346)</x:f>
        <x:v>200</x:v>
      </x:c>
      <x:c r="L1346" s="11" t="n">
        <x:f>K1346-J1346</x:f>
        <x:v>184.40000000000003</x:v>
      </x:c>
      <x:c r="M1346" s="11" t="n">
        <x:f>IF(B1346="Butterfly",MAX(J1346,0),IF(C1346="call","Unlimited",MAX(2*E1346-D1346+J1346,J1346,0)))</x:f>
        <x:v>15.599999999999966</x:v>
      </x:c>
      <x:c r="N1346" s="11" t="n">
        <x:f>IF(B1346="Butterfly",IF(AND(J1346&gt;0,J1346&lt;K1346),D1346+J1346,"n.a."),IF(C1346="call",IF(AND(J1346&gt;0,J1346&lt;K1346),D1346+J1346,"n.a."),IF(AND(K1346&gt;J1346,2*E1346-D1346+J1346&gt;=0),2*E1346-D1346+J1346,"n.a.")))</x:f>
        <x:v>6215.6</x:v>
      </x:c>
      <x:c r="O1346" s="11" t="n">
        <x:f>IF(B1346="Butterfly",IF(AND(J1346&gt;0,J1346&lt;K1346),F1346-J1346,"n.a."),IF(C1346="call",IF(K1346&gt;J1346,2*E1346-D1346-J1346,"n.a."),IF(AND(J1346&gt;0,J1346&lt;K1346),D1346-J1346,"n.a.")))</x:f>
        <x:v>6584.4</x:v>
      </x:c>
      <x:c r="P1346" s="19" t="n">
        <x:f>IF(AND(B1346="Butterfly",J1346&gt;0,J1346&lt;K1346),L1346/J1346,"n.a.")</x:f>
        <x:v>11.820512820512848</x:v>
      </x:c>
      <x:c r="Q1346" s="11" t="n">
        <x:f>J1346*'Model inputs'!$B$8</x:f>
        <x:v>1559.9999999999966</x:v>
      </x:c>
      <x:c r="R1346" s="1" t="str">
        <x:v>Indicative only</x:v>
      </x:c>
      <x:c r="S1346" s="1" t="n">
        <x:v>675</x:v>
      </x:c>
      <x:c r="T1346" s="1" t="n">
        <x:v>694</x:v>
      </x:c>
    </x:row>
    <x:row r="1347" ht="21" customHeight="1">
      <x:c r="A1347" s="12" t="n">
        <x:v>46260</x:v>
      </x:c>
      <x:c r="B1347" s="1" t="str">
        <x:v>Butterfly</x:v>
      </x:c>
      <x:c r="C1347" s="1" t="str">
        <x:v>call</x:v>
      </x:c>
      <x:c r="D1347" s="11" t="n">
        <x:v>7600</x:v>
      </x:c>
      <x:c r="E1347" s="11" t="n">
        <x:v>7800</x:v>
      </x:c>
      <x:c r="F1347" s="11" t="n">
        <x:v>8000</x:v>
      </x:c>
      <x:c r="G1347" s="11" t="n">
        <x:f>'Option source'!B319</x:f>
        <x:v>316.15</x:v>
      </x:c>
      <x:c r="H1347" s="11" t="n">
        <x:f>'Option source'!B338</x:f>
        <x:v>250.53</x:v>
      </x:c>
      <x:c r="I1347" s="11" t="n">
        <x:f>'Option source'!B357</x:f>
        <x:v>199.33</x:v>
      </x:c>
      <x:c r="J1347" s="11" t="n">
        <x:f>G1347-2*H1347+IF(B1347="Butterfly",I1347,0)</x:f>
        <x:v>14.419999999999987</x:v>
      </x:c>
      <x:c r="K1347" s="11" t="n">
        <x:f>ABS(E1347-D1347)</x:f>
        <x:v>200</x:v>
      </x:c>
      <x:c r="L1347" s="11" t="n">
        <x:f>K1347-J1347</x:f>
        <x:v>185.58</x:v>
      </x:c>
      <x:c r="M1347" s="11" t="n">
        <x:f>IF(B1347="Butterfly",MAX(J1347,0),IF(C1347="call","Unlimited",MAX(2*E1347-D1347+J1347,J1347,0)))</x:f>
        <x:v>14.419999999999987</x:v>
      </x:c>
      <x:c r="N1347" s="11" t="n">
        <x:f>IF(B1347="Butterfly",IF(AND(J1347&gt;0,J1347&lt;K1347),D1347+J1347,"n.a."),IF(C1347="call",IF(AND(J1347&gt;0,J1347&lt;K1347),D1347+J1347,"n.a."),IF(AND(K1347&gt;J1347,2*E1347-D1347+J1347&gt;=0),2*E1347-D1347+J1347,"n.a.")))</x:f>
        <x:v>7614.42</x:v>
      </x:c>
      <x:c r="O1347" s="11" t="n">
        <x:f>IF(B1347="Butterfly",IF(AND(J1347&gt;0,J1347&lt;K1347),F1347-J1347,"n.a."),IF(C1347="call",IF(K1347&gt;J1347,2*E1347-D1347-J1347,"n.a."),IF(AND(J1347&gt;0,J1347&lt;K1347),D1347-J1347,"n.a.")))</x:f>
        <x:v>7985.58</x:v>
      </x:c>
      <x:c r="P1347" s="19" t="n">
        <x:f>IF(AND(B1347="Butterfly",J1347&gt;0,J1347&lt;K1347),L1347/J1347,"n.a.")</x:f>
        <x:v>12.869625520110969</x:v>
      </x:c>
      <x:c r="Q1347" s="11" t="n">
        <x:f>J1347*'Model inputs'!$B$8</x:f>
        <x:v>1441.9999999999986</x:v>
      </x:c>
      <x:c r="R1347" s="1" t="str">
        <x:v>Indicative only</x:v>
      </x:c>
      <x:c r="S1347" s="1" t="n">
        <x:v>314</x:v>
      </x:c>
      <x:c r="T1347" s="1" t="n">
        <x:v>333</x:v>
      </x:c>
    </x:row>
    <x:row r="1348" ht="21" customHeight="1">
      <x:c r="A1348" s="12" t="n">
        <x:v>46260</x:v>
      </x:c>
      <x:c r="B1348" s="1" t="str">
        <x:v>Butterfly</x:v>
      </x:c>
      <x:c r="C1348" s="1" t="str">
        <x:v>put</x:v>
      </x:c>
      <x:c r="D1348" s="11" t="n">
        <x:v>6000</x:v>
      </x:c>
      <x:c r="E1348" s="11" t="n">
        <x:v>6200</x:v>
      </x:c>
      <x:c r="F1348" s="11" t="n">
        <x:v>6400</x:v>
      </x:c>
      <x:c r="G1348" s="11" t="n">
        <x:f>'Option source'!B661</x:f>
        <x:v>59.56</x:v>
      </x:c>
      <x:c r="H1348" s="11" t="n">
        <x:f>'Option source'!B680</x:f>
        <x:v>92.32</x:v>
      </x:c>
      <x:c r="I1348" s="11" t="n">
        <x:f>'Option source'!B699</x:f>
        <x:v>135.93</x:v>
      </x:c>
      <x:c r="J1348" s="11" t="n">
        <x:f>G1348-2*H1348+IF(B1348="Butterfly",I1348,0)</x:f>
        <x:v>10.850000000000023</x:v>
      </x:c>
      <x:c r="K1348" s="11" t="n">
        <x:f>ABS(E1348-D1348)</x:f>
        <x:v>200</x:v>
      </x:c>
      <x:c r="L1348" s="11" t="n">
        <x:f>K1348-J1348</x:f>
        <x:v>189.14999999999998</x:v>
      </x:c>
      <x:c r="M1348" s="11" t="n">
        <x:f>IF(B1348="Butterfly",MAX(J1348,0),IF(C1348="call","Unlimited",MAX(2*E1348-D1348+J1348,J1348,0)))</x:f>
        <x:v>10.850000000000023</x:v>
      </x:c>
      <x:c r="N1348" s="11" t="n">
        <x:f>IF(B1348="Butterfly",IF(AND(J1348&gt;0,J1348&lt;K1348),D1348+J1348,"n.a."),IF(C1348="call",IF(AND(J1348&gt;0,J1348&lt;K1348),D1348+J1348,"n.a."),IF(AND(K1348&gt;J1348,2*E1348-D1348+J1348&gt;=0),2*E1348-D1348+J1348,"n.a.")))</x:f>
        <x:v>6010.85</x:v>
      </x:c>
      <x:c r="O1348" s="11" t="n">
        <x:f>IF(B1348="Butterfly",IF(AND(J1348&gt;0,J1348&lt;K1348),F1348-J1348,"n.a."),IF(C1348="call",IF(K1348&gt;J1348,2*E1348-D1348-J1348,"n.a."),IF(AND(J1348&gt;0,J1348&lt;K1348),D1348-J1348,"n.a.")))</x:f>
        <x:v>6389.15</x:v>
      </x:c>
      <x:c r="P1348" s="19" t="n">
        <x:f>IF(AND(B1348="Butterfly",J1348&gt;0,J1348&lt;K1348),L1348/J1348,"n.a.")</x:f>
        <x:v>17.433179723502267</x:v>
      </x:c>
      <x:c r="Q1348" s="11" t="n">
        <x:f>J1348*'Model inputs'!$B$8</x:f>
        <x:v>1085.0000000000023</x:v>
      </x:c>
      <x:c r="R1348" s="1" t="str">
        <x:v>Indicative only</x:v>
      </x:c>
      <x:c r="S1348" s="1" t="n">
        <x:v>656</x:v>
      </x:c>
      <x:c r="T1348" s="1" t="n">
        <x:v>675</x:v>
      </x:c>
    </x:row>
    <x:row r="1349" ht="21" customHeight="1">
      <x:c r="A1349" s="12" t="n">
        <x:v>46260</x:v>
      </x:c>
      <x:c r="B1349" s="1" t="str">
        <x:v>Butterfly</x:v>
      </x:c>
      <x:c r="C1349" s="1" t="str">
        <x:v>put</x:v>
      </x:c>
      <x:c r="D1349" s="11" t="n">
        <x:v>5800</x:v>
      </x:c>
      <x:c r="E1349" s="11" t="n">
        <x:v>6000</x:v>
      </x:c>
      <x:c r="F1349" s="11" t="n">
        <x:v>6200</x:v>
      </x:c>
      <x:c r="G1349" s="11" t="n">
        <x:f>'Option source'!B642</x:f>
        <x:v>35.84</x:v>
      </x:c>
      <x:c r="H1349" s="11" t="n">
        <x:f>'Option source'!B661</x:f>
        <x:v>59.56</x:v>
      </x:c>
      <x:c r="I1349" s="11" t="n">
        <x:f>'Option source'!B680</x:f>
        <x:v>92.32</x:v>
      </x:c>
      <x:c r="J1349" s="11" t="n">
        <x:f>G1349-2*H1349+IF(B1349="Butterfly",I1349,0)</x:f>
        <x:v>9.039999999999992</x:v>
      </x:c>
      <x:c r="K1349" s="11" t="n">
        <x:f>ABS(E1349-D1349)</x:f>
        <x:v>200</x:v>
      </x:c>
      <x:c r="L1349" s="11" t="n">
        <x:f>K1349-J1349</x:f>
        <x:v>190.96</x:v>
      </x:c>
      <x:c r="M1349" s="11" t="n">
        <x:f>IF(B1349="Butterfly",MAX(J1349,0),IF(C1349="call","Unlimited",MAX(2*E1349-D1349+J1349,J1349,0)))</x:f>
        <x:v>9.039999999999992</x:v>
      </x:c>
      <x:c r="N1349" s="11" t="n">
        <x:f>IF(B1349="Butterfly",IF(AND(J1349&gt;0,J1349&lt;K1349),D1349+J1349,"n.a."),IF(C1349="call",IF(AND(J1349&gt;0,J1349&lt;K1349),D1349+J1349,"n.a."),IF(AND(K1349&gt;J1349,2*E1349-D1349+J1349&gt;=0),2*E1349-D1349+J1349,"n.a.")))</x:f>
        <x:v>5809.04</x:v>
      </x:c>
      <x:c r="O1349" s="11" t="n">
        <x:f>IF(B1349="Butterfly",IF(AND(J1349&gt;0,J1349&lt;K1349),F1349-J1349,"n.a."),IF(C1349="call",IF(K1349&gt;J1349,2*E1349-D1349-J1349,"n.a."),IF(AND(J1349&gt;0,J1349&lt;K1349),D1349-J1349,"n.a.")))</x:f>
        <x:v>6190.96</x:v>
      </x:c>
      <x:c r="P1349" s="19" t="n">
        <x:f>IF(AND(B1349="Butterfly",J1349&gt;0,J1349&lt;K1349),L1349/J1349,"n.a.")</x:f>
        <x:v>21.123893805309756</x:v>
      </x:c>
      <x:c r="Q1349" s="11" t="n">
        <x:f>J1349*'Model inputs'!$B$8</x:f>
        <x:v>903.9999999999992</x:v>
      </x:c>
      <x:c r="R1349" s="1" t="str">
        <x:v>Indicative only</x:v>
      </x:c>
      <x:c r="S1349" s="1" t="n">
        <x:v>637</x:v>
      </x:c>
      <x:c r="T1349" s="1" t="n">
        <x:v>656</x:v>
      </x:c>
    </x:row>
    <x:row r="1350" ht="21" customHeight="1">
      <x:c r="A1350" s="12" t="n">
        <x:v>46260</x:v>
      </x:c>
      <x:c r="B1350" s="1" t="str">
        <x:v>Butterfly</x:v>
      </x:c>
      <x:c r="C1350" s="1" t="str">
        <x:v>put</x:v>
      </x:c>
      <x:c r="D1350" s="11" t="n">
        <x:v>5600</x:v>
      </x:c>
      <x:c r="E1350" s="11" t="n">
        <x:v>5800</x:v>
      </x:c>
      <x:c r="F1350" s="11" t="n">
        <x:v>6000</x:v>
      </x:c>
      <x:c r="G1350" s="11" t="n">
        <x:f>'Option source'!B623</x:f>
        <x:v>22.39</x:v>
      </x:c>
      <x:c r="H1350" s="11" t="n">
        <x:f>'Option source'!B642</x:f>
        <x:v>35.84</x:v>
      </x:c>
      <x:c r="I1350" s="11" t="n">
        <x:f>'Option source'!B661</x:f>
        <x:v>59.56</x:v>
      </x:c>
      <x:c r="J1350" s="11" t="n">
        <x:f>G1350-2*H1350+IF(B1350="Butterfly",I1350,0)</x:f>
        <x:v>10.269999999999996</x:v>
      </x:c>
      <x:c r="K1350" s="11" t="n">
        <x:f>ABS(E1350-D1350)</x:f>
        <x:v>200</x:v>
      </x:c>
      <x:c r="L1350" s="11" t="n">
        <x:f>K1350-J1350</x:f>
        <x:v>189.73000000000002</x:v>
      </x:c>
      <x:c r="M1350" s="11" t="n">
        <x:f>IF(B1350="Butterfly",MAX(J1350,0),IF(C1350="call","Unlimited",MAX(2*E1350-D1350+J1350,J1350,0)))</x:f>
        <x:v>10.269999999999996</x:v>
      </x:c>
      <x:c r="N1350" s="11" t="n">
        <x:f>IF(B1350="Butterfly",IF(AND(J1350&gt;0,J1350&lt;K1350),D1350+J1350,"n.a."),IF(C1350="call",IF(AND(J1350&gt;0,J1350&lt;K1350),D1350+J1350,"n.a."),IF(AND(K1350&gt;J1350,2*E1350-D1350+J1350&gt;=0),2*E1350-D1350+J1350,"n.a.")))</x:f>
        <x:v>5610.27</x:v>
      </x:c>
      <x:c r="O1350" s="11" t="n">
        <x:f>IF(B1350="Butterfly",IF(AND(J1350&gt;0,J1350&lt;K1350),F1350-J1350,"n.a."),IF(C1350="call",IF(K1350&gt;J1350,2*E1350-D1350-J1350,"n.a."),IF(AND(J1350&gt;0,J1350&lt;K1350),D1350-J1350,"n.a.")))</x:f>
        <x:v>5989.73</x:v>
      </x:c>
      <x:c r="P1350" s="19" t="n">
        <x:f>IF(AND(B1350="Butterfly",J1350&gt;0,J1350&lt;K1350),L1350/J1350,"n.a.")</x:f>
        <x:v>18.47419668938657</x:v>
      </x:c>
      <x:c r="Q1350" s="11" t="n">
        <x:f>J1350*'Model inputs'!$B$8</x:f>
        <x:v>1026.9999999999995</x:v>
      </x:c>
      <x:c r="R1350" s="1" t="str">
        <x:v>Indicative only</x:v>
      </x:c>
      <x:c r="S1350" s="1" t="n">
        <x:v>618</x:v>
      </x:c>
      <x:c r="T1350" s="1" t="n">
        <x:v>637</x:v>
      </x:c>
    </x:row>
    <x:row r="1351" ht="21" customHeight="1">
      <x:c r="A1351" s="12" t="n">
        <x:v>46260</x:v>
      </x:c>
      <x:c r="B1351" s="1" t="str">
        <x:v>Butterfly</x:v>
      </x:c>
      <x:c r="C1351" s="1" t="str">
        <x:v>call</x:v>
      </x:c>
      <x:c r="D1351" s="11" t="n">
        <x:v>8000</x:v>
      </x:c>
      <x:c r="E1351" s="11" t="n">
        <x:v>8300</x:v>
      </x:c>
      <x:c r="F1351" s="11" t="n">
        <x:v>8600</x:v>
      </x:c>
      <x:c r="G1351" s="11" t="n">
        <x:f>'Option source'!B357</x:f>
        <x:v>199.33</x:v>
      </x:c>
      <x:c r="H1351" s="11" t="n">
        <x:f>'Option source'!B376</x:f>
        <x:v>139.65</x:v>
      </x:c>
      <x:c r="I1351" s="11" t="n">
        <x:f>'Option source'!B395</x:f>
        <x:v>92.25</x:v>
      </x:c>
      <x:c r="J1351" s="11" t="n">
        <x:f>G1351-2*H1351+IF(B1351="Butterfly",I1351,0)</x:f>
        <x:v>12.280000000000001</x:v>
      </x:c>
      <x:c r="K1351" s="11" t="n">
        <x:f>ABS(E1351-D1351)</x:f>
        <x:v>300</x:v>
      </x:c>
      <x:c r="L1351" s="11" t="n">
        <x:f>K1351-J1351</x:f>
        <x:v>287.72</x:v>
      </x:c>
      <x:c r="M1351" s="11" t="n">
        <x:f>IF(B1351="Butterfly",MAX(J1351,0),IF(C1351="call","Unlimited",MAX(2*E1351-D1351+J1351,J1351,0)))</x:f>
        <x:v>12.280000000000001</x:v>
      </x:c>
      <x:c r="N1351" s="11" t="n">
        <x:f>IF(B1351="Butterfly",IF(AND(J1351&gt;0,J1351&lt;K1351),D1351+J1351,"n.a."),IF(C1351="call",IF(AND(J1351&gt;0,J1351&lt;K1351),D1351+J1351,"n.a."),IF(AND(K1351&gt;J1351,2*E1351-D1351+J1351&gt;=0),2*E1351-D1351+J1351,"n.a.")))</x:f>
        <x:v>8012.28</x:v>
      </x:c>
      <x:c r="O1351" s="11" t="n">
        <x:f>IF(B1351="Butterfly",IF(AND(J1351&gt;0,J1351&lt;K1351),F1351-J1351,"n.a."),IF(C1351="call",IF(K1351&gt;J1351,2*E1351-D1351-J1351,"n.a."),IF(AND(J1351&gt;0,J1351&lt;K1351),D1351-J1351,"n.a.")))</x:f>
        <x:v>8587.72</x:v>
      </x:c>
      <x:c r="P1351" s="19" t="n">
        <x:f>IF(AND(B1351="Butterfly",J1351&gt;0,J1351&lt;K1351),L1351/J1351,"n.a.")</x:f>
        <x:v>23.429967426710096</x:v>
      </x:c>
      <x:c r="Q1351" s="11" t="n">
        <x:f>J1351*'Model inputs'!$B$8</x:f>
        <x:v>1228</x:v>
      </x:c>
      <x:c r="R1351" s="1" t="str">
        <x:v>Indicative only</x:v>
      </x:c>
      <x:c r="S1351" s="1" t="n">
        <x:v>352</x:v>
      </x:c>
      <x:c r="T1351" s="1" t="n">
        <x:v>371</x:v>
      </x:c>
    </x:row>
    <x:row r="1352" ht="21" customHeight="1">
      <x:c r="A1352" s="12" t="n">
        <x:v>46260</x:v>
      </x:c>
      <x:c r="B1352" s="1" t="str">
        <x:v>Butterfly</x:v>
      </x:c>
      <x:c r="C1352" s="1" t="str">
        <x:v>put</x:v>
      </x:c>
      <x:c r="D1352" s="11" t="n">
        <x:v>5400</x:v>
      </x:c>
      <x:c r="E1352" s="11" t="n">
        <x:v>5600</x:v>
      </x:c>
      <x:c r="F1352" s="11" t="n">
        <x:v>5800</x:v>
      </x:c>
      <x:c r="G1352" s="11" t="n">
        <x:f>'Option source'!B604</x:f>
        <x:v>13.97</x:v>
      </x:c>
      <x:c r="H1352" s="11" t="n">
        <x:f>'Option source'!B623</x:f>
        <x:v>22.39</x:v>
      </x:c>
      <x:c r="I1352" s="11" t="n">
        <x:f>'Option source'!B642</x:f>
        <x:v>35.84</x:v>
      </x:c>
      <x:c r="J1352" s="11" t="n">
        <x:f>G1352-2*H1352+IF(B1352="Butterfly",I1352,0)</x:f>
        <x:v>5.030000000000001</x:v>
      </x:c>
      <x:c r="K1352" s="11" t="n">
        <x:f>ABS(E1352-D1352)</x:f>
        <x:v>200</x:v>
      </x:c>
      <x:c r="L1352" s="11" t="n">
        <x:f>K1352-J1352</x:f>
        <x:v>194.97</x:v>
      </x:c>
      <x:c r="M1352" s="11" t="n">
        <x:f>IF(B1352="Butterfly",MAX(J1352,0),IF(C1352="call","Unlimited",MAX(2*E1352-D1352+J1352,J1352,0)))</x:f>
        <x:v>5.030000000000001</x:v>
      </x:c>
      <x:c r="N1352" s="11" t="n">
        <x:f>IF(B1352="Butterfly",IF(AND(J1352&gt;0,J1352&lt;K1352),D1352+J1352,"n.a."),IF(C1352="call",IF(AND(J1352&gt;0,J1352&lt;K1352),D1352+J1352,"n.a."),IF(AND(K1352&gt;J1352,2*E1352-D1352+J1352&gt;=0),2*E1352-D1352+J1352,"n.a.")))</x:f>
        <x:v>5405.03</x:v>
      </x:c>
      <x:c r="O1352" s="11" t="n">
        <x:f>IF(B1352="Butterfly",IF(AND(J1352&gt;0,J1352&lt;K1352),F1352-J1352,"n.a."),IF(C1352="call",IF(K1352&gt;J1352,2*E1352-D1352-J1352,"n.a."),IF(AND(J1352&gt;0,J1352&lt;K1352),D1352-J1352,"n.a.")))</x:f>
        <x:v>5794.97</x:v>
      </x:c>
      <x:c r="P1352" s="19" t="n">
        <x:f>IF(AND(B1352="Butterfly",J1352&gt;0,J1352&lt;K1352),L1352/J1352,"n.a.")</x:f>
        <x:v>38.76143141153081</x:v>
      </x:c>
      <x:c r="Q1352" s="11" t="n">
        <x:f>J1352*'Model inputs'!$B$8</x:f>
        <x:v>503.0000000000001</x:v>
      </x:c>
      <x:c r="R1352" s="1" t="str">
        <x:v>Indicative only</x:v>
      </x:c>
      <x:c r="S1352" s="1" t="n">
        <x:v>599</x:v>
      </x:c>
      <x:c r="T1352" s="1" t="n">
        <x:v>618</x:v>
      </x:c>
    </x:row>
    <x:row r="1353" ht="21" customHeight="1">
      <x:c r="A1353" s="12" t="n">
        <x:v>46260</x:v>
      </x:c>
      <x:c r="B1353" s="1" t="str">
        <x:v>Butterfly</x:v>
      </x:c>
      <x:c r="C1353" s="1" t="str">
        <x:v>call</x:v>
      </x:c>
      <x:c r="D1353" s="11" t="n">
        <x:v>8300</x:v>
      </x:c>
      <x:c r="E1353" s="11" t="n">
        <x:v>8600</x:v>
      </x:c>
      <x:c r="F1353" s="11" t="n">
        <x:v>8900</x:v>
      </x:c>
      <x:c r="G1353" s="11" t="n">
        <x:f>'Option source'!B376</x:f>
        <x:v>139.65</x:v>
      </x:c>
      <x:c r="H1353" s="11" t="n">
        <x:f>'Option source'!B395</x:f>
        <x:v>92.25</x:v>
      </x:c>
      <x:c r="I1353" s="11" t="n">
        <x:f>'Option source'!B414</x:f>
        <x:v>66.03</x:v>
      </x:c>
      <x:c r="J1353" s="11" t="n">
        <x:f>G1353-2*H1353+IF(B1353="Butterfly",I1353,0)</x:f>
        <x:v>21.180000000000007</x:v>
      </x:c>
      <x:c r="K1353" s="11" t="n">
        <x:f>ABS(E1353-D1353)</x:f>
        <x:v>300</x:v>
      </x:c>
      <x:c r="L1353" s="11" t="n">
        <x:f>K1353-J1353</x:f>
        <x:v>278.82</x:v>
      </x:c>
      <x:c r="M1353" s="11" t="n">
        <x:f>IF(B1353="Butterfly",MAX(J1353,0),IF(C1353="call","Unlimited",MAX(2*E1353-D1353+J1353,J1353,0)))</x:f>
        <x:v>21.180000000000007</x:v>
      </x:c>
      <x:c r="N1353" s="11" t="n">
        <x:f>IF(B1353="Butterfly",IF(AND(J1353&gt;0,J1353&lt;K1353),D1353+J1353,"n.a."),IF(C1353="call",IF(AND(J1353&gt;0,J1353&lt;K1353),D1353+J1353,"n.a."),IF(AND(K1353&gt;J1353,2*E1353-D1353+J1353&gt;=0),2*E1353-D1353+J1353,"n.a.")))</x:f>
        <x:v>8321.18</x:v>
      </x:c>
      <x:c r="O1353" s="11" t="n">
        <x:f>IF(B1353="Butterfly",IF(AND(J1353&gt;0,J1353&lt;K1353),F1353-J1353,"n.a."),IF(C1353="call",IF(K1353&gt;J1353,2*E1353-D1353-J1353,"n.a."),IF(AND(J1353&gt;0,J1353&lt;K1353),D1353-J1353,"n.a.")))</x:f>
        <x:v>8878.82</x:v>
      </x:c>
      <x:c r="P1353" s="19" t="n">
        <x:f>IF(AND(B1353="Butterfly",J1353&gt;0,J1353&lt;K1353),L1353/J1353,"n.a.")</x:f>
        <x:v>13.164305949008494</x:v>
      </x:c>
      <x:c r="Q1353" s="11" t="n">
        <x:f>J1353*'Model inputs'!$B$8</x:f>
        <x:v>2118.000000000001</x:v>
      </x:c>
      <x:c r="R1353" s="1" t="str">
        <x:v>Indicative only</x:v>
      </x:c>
      <x:c r="S1353" s="1" t="n">
        <x:v>371</x:v>
      </x:c>
      <x:c r="T1353" s="1" t="n">
        <x:v>390</x:v>
      </x:c>
    </x:row>
    <x:row r="1354" ht="21" customHeight="1">
      <x:c r="A1354" s="12" t="n">
        <x:v>46260</x:v>
      </x:c>
      <x:c r="B1354" s="1" t="str">
        <x:v>Butterfly</x:v>
      </x:c>
      <x:c r="C1354" s="1" t="str">
        <x:v>put</x:v>
      </x:c>
      <x:c r="D1354" s="11" t="n">
        <x:v>5200</x:v>
      </x:c>
      <x:c r="E1354" s="11" t="n">
        <x:v>5400</x:v>
      </x:c>
      <x:c r="F1354" s="11" t="n">
        <x:v>5600</x:v>
      </x:c>
      <x:c r="G1354" s="11" t="n">
        <x:f>'Option source'!B585</x:f>
        <x:v>8.81</x:v>
      </x:c>
      <x:c r="H1354" s="11" t="n">
        <x:f>'Option source'!B604</x:f>
        <x:v>13.97</x:v>
      </x:c>
      <x:c r="I1354" s="11" t="n">
        <x:f>'Option source'!B623</x:f>
        <x:v>22.39</x:v>
      </x:c>
      <x:c r="J1354" s="11" t="n">
        <x:f>G1354-2*H1354+IF(B1354="Butterfly",I1354,0)</x:f>
        <x:v>3.259999999999998</x:v>
      </x:c>
      <x:c r="K1354" s="11" t="n">
        <x:f>ABS(E1354-D1354)</x:f>
        <x:v>200</x:v>
      </x:c>
      <x:c r="L1354" s="11" t="n">
        <x:f>K1354-J1354</x:f>
        <x:v>196.74</x:v>
      </x:c>
      <x:c r="M1354" s="11" t="n">
        <x:f>IF(B1354="Butterfly",MAX(J1354,0),IF(C1354="call","Unlimited",MAX(2*E1354-D1354+J1354,J1354,0)))</x:f>
        <x:v>3.259999999999998</x:v>
      </x:c>
      <x:c r="N1354" s="11" t="n">
        <x:f>IF(B1354="Butterfly",IF(AND(J1354&gt;0,J1354&lt;K1354),D1354+J1354,"n.a."),IF(C1354="call",IF(AND(J1354&gt;0,J1354&lt;K1354),D1354+J1354,"n.a."),IF(AND(K1354&gt;J1354,2*E1354-D1354+J1354&gt;=0),2*E1354-D1354+J1354,"n.a.")))</x:f>
        <x:v>5203.26</x:v>
      </x:c>
      <x:c r="O1354" s="11" t="n">
        <x:f>IF(B1354="Butterfly",IF(AND(J1354&gt;0,J1354&lt;K1354),F1354-J1354,"n.a."),IF(C1354="call",IF(K1354&gt;J1354,2*E1354-D1354-J1354,"n.a."),IF(AND(J1354&gt;0,J1354&lt;K1354),D1354-J1354,"n.a.")))</x:f>
        <x:v>5596.74</x:v>
      </x:c>
      <x:c r="P1354" s="19" t="n">
        <x:f>IF(AND(B1354="Butterfly",J1354&gt;0,J1354&lt;K1354),L1354/J1354,"n.a.")</x:f>
        <x:v>60.34969325153378</x:v>
      </x:c>
      <x:c r="Q1354" s="11" t="n">
        <x:f>J1354*'Model inputs'!$B$8</x:f>
        <x:v>325.9999999999998</x:v>
      </x:c>
      <x:c r="R1354" s="1" t="str">
        <x:v>Indicative only</x:v>
      </x:c>
      <x:c r="S1354" s="1" t="n">
        <x:v>580</x:v>
      </x:c>
      <x:c r="T1354" s="1" t="n">
        <x:v>599</x:v>
      </x:c>
    </x:row>
    <x:row r="1355" ht="21" customHeight="1">
      <x:c r="A1355" s="12" t="n">
        <x:v>46260</x:v>
      </x:c>
      <x:c r="B1355" s="1" t="str">
        <x:v>Butterfly</x:v>
      </x:c>
      <x:c r="C1355" s="1" t="str">
        <x:v>put</x:v>
      </x:c>
      <x:c r="D1355" s="11" t="n">
        <x:v>5000</x:v>
      </x:c>
      <x:c r="E1355" s="11" t="n">
        <x:v>5200</x:v>
      </x:c>
      <x:c r="F1355" s="11" t="n">
        <x:v>5400</x:v>
      </x:c>
      <x:c r="G1355" s="11" t="n">
        <x:f>'Option source'!B566</x:f>
        <x:v>6.06</x:v>
      </x:c>
      <x:c r="H1355" s="11" t="n">
        <x:f>'Option source'!B585</x:f>
        <x:v>8.81</x:v>
      </x:c>
      <x:c r="I1355" s="11" t="n">
        <x:f>'Option source'!B604</x:f>
        <x:v>13.97</x:v>
      </x:c>
      <x:c r="J1355" s="11" t="n">
        <x:f>G1355-2*H1355+IF(B1355="Butterfly",I1355,0)</x:f>
        <x:v>2.4099999999999984</x:v>
      </x:c>
      <x:c r="K1355" s="11" t="n">
        <x:f>ABS(E1355-D1355)</x:f>
        <x:v>200</x:v>
      </x:c>
      <x:c r="L1355" s="11" t="n">
        <x:f>K1355-J1355</x:f>
        <x:v>197.59</x:v>
      </x:c>
      <x:c r="M1355" s="11" t="n">
        <x:f>IF(B1355="Butterfly",MAX(J1355,0),IF(C1355="call","Unlimited",MAX(2*E1355-D1355+J1355,J1355,0)))</x:f>
        <x:v>2.4099999999999984</x:v>
      </x:c>
      <x:c r="N1355" s="11" t="n">
        <x:f>IF(B1355="Butterfly",IF(AND(J1355&gt;0,J1355&lt;K1355),D1355+J1355,"n.a."),IF(C1355="call",IF(AND(J1355&gt;0,J1355&lt;K1355),D1355+J1355,"n.a."),IF(AND(K1355&gt;J1355,2*E1355-D1355+J1355&gt;=0),2*E1355-D1355+J1355,"n.a.")))</x:f>
        <x:v>5002.41</x:v>
      </x:c>
      <x:c r="O1355" s="11" t="n">
        <x:f>IF(B1355="Butterfly",IF(AND(J1355&gt;0,J1355&lt;K1355),F1355-J1355,"n.a."),IF(C1355="call",IF(K1355&gt;J1355,2*E1355-D1355-J1355,"n.a."),IF(AND(J1355&gt;0,J1355&lt;K1355),D1355-J1355,"n.a.")))</x:f>
        <x:v>5397.59</x:v>
      </x:c>
      <x:c r="P1355" s="19" t="n">
        <x:f>IF(AND(B1355="Butterfly",J1355&gt;0,J1355&lt;K1355),L1355/J1355,"n.a.")</x:f>
        <x:v>81.98755186721998</x:v>
      </x:c>
      <x:c r="Q1355" s="11" t="n">
        <x:f>J1355*'Model inputs'!$B$8</x:f>
        <x:v>240.99999999999983</x:v>
      </x:c>
      <x:c r="R1355" s="1" t="str">
        <x:v>Indicative only</x:v>
      </x:c>
      <x:c r="S1355" s="1" t="n">
        <x:v>561</x:v>
      </x:c>
      <x:c r="T1355" s="1" t="n">
        <x:v>580</x:v>
      </x:c>
    </x:row>
    <x:row r="1356" ht="21" customHeight="1">
      <x:c r="A1356" s="12" t="n">
        <x:v>46260</x:v>
      </x:c>
      <x:c r="B1356" s="1" t="str">
        <x:v>Butterfly</x:v>
      </x:c>
      <x:c r="C1356" s="1" t="str">
        <x:v>call</x:v>
      </x:c>
      <x:c r="D1356" s="11" t="n">
        <x:v>8600</x:v>
      </x:c>
      <x:c r="E1356" s="11" t="n">
        <x:v>8900</x:v>
      </x:c>
      <x:c r="F1356" s="11" t="n">
        <x:v>9200</x:v>
      </x:c>
      <x:c r="G1356" s="11" t="n">
        <x:f>'Option source'!B395</x:f>
        <x:v>92.25</x:v>
      </x:c>
      <x:c r="H1356" s="11" t="n">
        <x:f>'Option source'!B414</x:f>
        <x:v>66.03</x:v>
      </x:c>
      <x:c r="I1356" s="11" t="n">
        <x:f>'Option source'!B433</x:f>
        <x:v>41.09</x:v>
      </x:c>
      <x:c r="J1356" s="11" t="n">
        <x:f>G1356-2*H1356+IF(B1356="Butterfly",I1356,0)</x:f>
        <x:v>1.2800000000000011</x:v>
      </x:c>
      <x:c r="K1356" s="11" t="n">
        <x:f>ABS(E1356-D1356)</x:f>
        <x:v>300</x:v>
      </x:c>
      <x:c r="L1356" s="11" t="n">
        <x:f>K1356-J1356</x:f>
        <x:v>298.72</x:v>
      </x:c>
      <x:c r="M1356" s="11" t="n">
        <x:f>IF(B1356="Butterfly",MAX(J1356,0),IF(C1356="call","Unlimited",MAX(2*E1356-D1356+J1356,J1356,0)))</x:f>
        <x:v>1.2800000000000011</x:v>
      </x:c>
      <x:c r="N1356" s="11" t="n">
        <x:f>IF(B1356="Butterfly",IF(AND(J1356&gt;0,J1356&lt;K1356),D1356+J1356,"n.a."),IF(C1356="call",IF(AND(J1356&gt;0,J1356&lt;K1356),D1356+J1356,"n.a."),IF(AND(K1356&gt;J1356,2*E1356-D1356+J1356&gt;=0),2*E1356-D1356+J1356,"n.a.")))</x:f>
        <x:v>8601.28</x:v>
      </x:c>
      <x:c r="O1356" s="11" t="n">
        <x:f>IF(B1356="Butterfly",IF(AND(J1356&gt;0,J1356&lt;K1356),F1356-J1356,"n.a."),IF(C1356="call",IF(K1356&gt;J1356,2*E1356-D1356-J1356,"n.a."),IF(AND(J1356&gt;0,J1356&lt;K1356),D1356-J1356,"n.a.")))</x:f>
        <x:v>9198.72</x:v>
      </x:c>
      <x:c r="P1356" s="19" t="n">
        <x:f>IF(AND(B1356="Butterfly",J1356&gt;0,J1356&lt;K1356),L1356/J1356,"n.a.")</x:f>
        <x:v>233.3749999999998</x:v>
      </x:c>
      <x:c r="Q1356" s="11" t="n">
        <x:f>J1356*'Model inputs'!$B$8</x:f>
        <x:v>128.0000000000001</x:v>
      </x:c>
      <x:c r="R1356" s="1" t="str">
        <x:v>Indicative only</x:v>
      </x:c>
      <x:c r="S1356" s="1" t="n">
        <x:v>390</x:v>
      </x:c>
      <x:c r="T1356" s="1" t="n">
        <x:v>409</x:v>
      </x:c>
    </x:row>
    <x:row r="1357" ht="21" customHeight="1">
      <x:c r="A1357" s="12" t="n">
        <x:v>46260</x:v>
      </x:c>
      <x:c r="B1357" s="1" t="str">
        <x:v>Butterfly</x:v>
      </x:c>
      <x:c r="C1357" s="1" t="str">
        <x:v>put</x:v>
      </x:c>
      <x:c r="D1357" s="11" t="n">
        <x:v>4800</x:v>
      </x:c>
      <x:c r="E1357" s="11" t="n">
        <x:v>5000</x:v>
      </x:c>
      <x:c r="F1357" s="11" t="n">
        <x:v>5200</x:v>
      </x:c>
      <x:c r="G1357" s="11" t="n">
        <x:f>'Option source'!B547</x:f>
        <x:v>4.1</x:v>
      </x:c>
      <x:c r="H1357" s="11" t="n">
        <x:f>'Option source'!B566</x:f>
        <x:v>6.06</x:v>
      </x:c>
      <x:c r="I1357" s="11" t="n">
        <x:f>'Option source'!B585</x:f>
        <x:v>8.81</x:v>
      </x:c>
      <x:c r="J1357" s="11" t="n">
        <x:f>G1357-2*H1357+IF(B1357="Butterfly",I1357,0)</x:f>
        <x:v>0.7900000000000009</x:v>
      </x:c>
      <x:c r="K1357" s="11" t="n">
        <x:f>ABS(E1357-D1357)</x:f>
        <x:v>200</x:v>
      </x:c>
      <x:c r="L1357" s="11" t="n">
        <x:f>K1357-J1357</x:f>
        <x:v>199.21</x:v>
      </x:c>
      <x:c r="M1357" s="11" t="n">
        <x:f>IF(B1357="Butterfly",MAX(J1357,0),IF(C1357="call","Unlimited",MAX(2*E1357-D1357+J1357,J1357,0)))</x:f>
        <x:v>0.7900000000000009</x:v>
      </x:c>
      <x:c r="N1357" s="11" t="n">
        <x:f>IF(B1357="Butterfly",IF(AND(J1357&gt;0,J1357&lt;K1357),D1357+J1357,"n.a."),IF(C1357="call",IF(AND(J1357&gt;0,J1357&lt;K1357),D1357+J1357,"n.a."),IF(AND(K1357&gt;J1357,2*E1357-D1357+J1357&gt;=0),2*E1357-D1357+J1357,"n.a.")))</x:f>
        <x:v>4800.79</x:v>
      </x:c>
      <x:c r="O1357" s="11" t="n">
        <x:f>IF(B1357="Butterfly",IF(AND(J1357&gt;0,J1357&lt;K1357),F1357-J1357,"n.a."),IF(C1357="call",IF(K1357&gt;J1357,2*E1357-D1357-J1357,"n.a."),IF(AND(J1357&gt;0,J1357&lt;K1357),D1357-J1357,"n.a.")))</x:f>
        <x:v>5199.21</x:v>
      </x:c>
      <x:c r="P1357" s="19" t="n">
        <x:f>IF(AND(B1357="Butterfly",J1357&gt;0,J1357&lt;K1357),L1357/J1357,"n.a.")</x:f>
        <x:v>252.16455696202505</x:v>
      </x:c>
      <x:c r="Q1357" s="11" t="n">
        <x:f>J1357*'Model inputs'!$B$8</x:f>
        <x:v>79.00000000000009</x:v>
      </x:c>
      <x:c r="R1357" s="1" t="str">
        <x:v>Indicative only</x:v>
      </x:c>
      <x:c r="S1357" s="1" t="n">
        <x:v>542</x:v>
      </x:c>
      <x:c r="T1357" s="1" t="n">
        <x:v>561</x:v>
      </x:c>
    </x:row>
    <x:row r="1358" ht="21" customHeight="1">
      <x:c r="A1358" s="12" t="n">
        <x:v>46260</x:v>
      </x:c>
      <x:c r="B1358" s="1" t="str">
        <x:v>Butterfly</x:v>
      </x:c>
      <x:c r="C1358" s="1" t="str">
        <x:v>call</x:v>
      </x:c>
      <x:c r="D1358" s="11" t="n">
        <x:v>8900</x:v>
      </x:c>
      <x:c r="E1358" s="11" t="n">
        <x:v>9200</x:v>
      </x:c>
      <x:c r="F1358" s="11" t="n">
        <x:v>9500</x:v>
      </x:c>
      <x:c r="G1358" s="11" t="n">
        <x:f>'Option source'!B414</x:f>
        <x:v>66.03</x:v>
      </x:c>
      <x:c r="H1358" s="11" t="n">
        <x:f>'Option source'!B433</x:f>
        <x:v>41.09</x:v>
      </x:c>
      <x:c r="I1358" s="11" t="n">
        <x:f>'Option source'!B452</x:f>
        <x:v>27.58</x:v>
      </x:c>
      <x:c r="J1358" s="11" t="n">
        <x:f>G1358-2*H1358+IF(B1358="Butterfly",I1358,0)</x:f>
        <x:v>11.429999999999993</x:v>
      </x:c>
      <x:c r="K1358" s="11" t="n">
        <x:f>ABS(E1358-D1358)</x:f>
        <x:v>300</x:v>
      </x:c>
      <x:c r="L1358" s="11" t="n">
        <x:f>K1358-J1358</x:f>
        <x:v>288.57</x:v>
      </x:c>
      <x:c r="M1358" s="11" t="n">
        <x:f>IF(B1358="Butterfly",MAX(J1358,0),IF(C1358="call","Unlimited",MAX(2*E1358-D1358+J1358,J1358,0)))</x:f>
        <x:v>11.429999999999993</x:v>
      </x:c>
      <x:c r="N1358" s="11" t="n">
        <x:f>IF(B1358="Butterfly",IF(AND(J1358&gt;0,J1358&lt;K1358),D1358+J1358,"n.a."),IF(C1358="call",IF(AND(J1358&gt;0,J1358&lt;K1358),D1358+J1358,"n.a."),IF(AND(K1358&gt;J1358,2*E1358-D1358+J1358&gt;=0),2*E1358-D1358+J1358,"n.a.")))</x:f>
        <x:v>8911.43</x:v>
      </x:c>
      <x:c r="O1358" s="11" t="n">
        <x:f>IF(B1358="Butterfly",IF(AND(J1358&gt;0,J1358&lt;K1358),F1358-J1358,"n.a."),IF(C1358="call",IF(K1358&gt;J1358,2*E1358-D1358-J1358,"n.a."),IF(AND(J1358&gt;0,J1358&lt;K1358),D1358-J1358,"n.a.")))</x:f>
        <x:v>9488.57</x:v>
      </x:c>
      <x:c r="P1358" s="19" t="n">
        <x:f>IF(AND(B1358="Butterfly",J1358&gt;0,J1358&lt;K1358),L1358/J1358,"n.a.")</x:f>
        <x:v>25.246719160105002</x:v>
      </x:c>
      <x:c r="Q1358" s="11" t="n">
        <x:f>J1358*'Model inputs'!$B$8</x:f>
        <x:v>1142.9999999999993</x:v>
      </x:c>
      <x:c r="R1358" s="1" t="str">
        <x:v>Indicative only</x:v>
      </x:c>
      <x:c r="S1358" s="1" t="n">
        <x:v>409</x:v>
      </x:c>
      <x:c r="T1358" s="1" t="n">
        <x:v>428</x:v>
      </x:c>
    </x:row>
    <x:row r="1359" ht="21" customHeight="1">
      <x:c r="A1359" s="12" t="n">
        <x:v>46260</x:v>
      </x:c>
      <x:c r="B1359" s="1" t="str">
        <x:v>Butterfly</x:v>
      </x:c>
      <x:c r="C1359" s="1" t="str">
        <x:v>put</x:v>
      </x:c>
      <x:c r="D1359" s="11" t="n">
        <x:v>4600</x:v>
      </x:c>
      <x:c r="E1359" s="11" t="n">
        <x:v>4800</x:v>
      </x:c>
      <x:c r="F1359" s="11" t="n">
        <x:v>5000</x:v>
      </x:c>
      <x:c r="G1359" s="11" t="n">
        <x:f>'Option source'!B528</x:f>
        <x:v>3.41</x:v>
      </x:c>
      <x:c r="H1359" s="11" t="n">
        <x:f>'Option source'!B547</x:f>
        <x:v>4.1</x:v>
      </x:c>
      <x:c r="I1359" s="11" t="n">
        <x:f>'Option source'!B566</x:f>
        <x:v>6.06</x:v>
      </x:c>
      <x:c r="J1359" s="11" t="n">
        <x:f>G1359-2*H1359+IF(B1359="Butterfly",I1359,0)</x:f>
        <x:v>1.2700000000000005</x:v>
      </x:c>
      <x:c r="K1359" s="11" t="n">
        <x:f>ABS(E1359-D1359)</x:f>
        <x:v>200</x:v>
      </x:c>
      <x:c r="L1359" s="11" t="n">
        <x:f>K1359-J1359</x:f>
        <x:v>198.73</x:v>
      </x:c>
      <x:c r="M1359" s="11" t="n">
        <x:f>IF(B1359="Butterfly",MAX(J1359,0),IF(C1359="call","Unlimited",MAX(2*E1359-D1359+J1359,J1359,0)))</x:f>
        <x:v>1.2700000000000005</x:v>
      </x:c>
      <x:c r="N1359" s="11" t="n">
        <x:f>IF(B1359="Butterfly",IF(AND(J1359&gt;0,J1359&lt;K1359),D1359+J1359,"n.a."),IF(C1359="call",IF(AND(J1359&gt;0,J1359&lt;K1359),D1359+J1359,"n.a."),IF(AND(K1359&gt;J1359,2*E1359-D1359+J1359&gt;=0),2*E1359-D1359+J1359,"n.a.")))</x:f>
        <x:v>4601.27</x:v>
      </x:c>
      <x:c r="O1359" s="11" t="n">
        <x:f>IF(B1359="Butterfly",IF(AND(J1359&gt;0,J1359&lt;K1359),F1359-J1359,"n.a."),IF(C1359="call",IF(K1359&gt;J1359,2*E1359-D1359-J1359,"n.a."),IF(AND(J1359&gt;0,J1359&lt;K1359),D1359-J1359,"n.a.")))</x:f>
        <x:v>4998.73</x:v>
      </x:c>
      <x:c r="P1359" s="19" t="n">
        <x:f>IF(AND(B1359="Butterfly",J1359&gt;0,J1359&lt;K1359),L1359/J1359,"n.a.")</x:f>
        <x:v>156.48031496062987</x:v>
      </x:c>
      <x:c r="Q1359" s="11" t="n">
        <x:f>J1359*'Model inputs'!$B$8</x:f>
        <x:v>127.00000000000004</x:v>
      </x:c>
      <x:c r="R1359" s="1" t="str">
        <x:v>Indicative only</x:v>
      </x:c>
      <x:c r="S1359" s="1" t="n">
        <x:v>523</x:v>
      </x:c>
      <x:c r="T1359" s="1" t="n">
        <x:v>542</x:v>
      </x:c>
    </x:row>
    <x:row r="1360" ht="21" customHeight="1">
      <x:c r="A1360" s="12" t="n">
        <x:v>46260</x:v>
      </x:c>
      <x:c r="B1360" s="1" t="str">
        <x:v>Butterfly</x:v>
      </x:c>
      <x:c r="C1360" s="1" t="str">
        <x:v>put</x:v>
      </x:c>
      <x:c r="D1360" s="11" t="n">
        <x:v>4200</x:v>
      </x:c>
      <x:c r="E1360" s="11" t="n">
        <x:v>4400</x:v>
      </x:c>
      <x:c r="F1360" s="11" t="n">
        <x:v>4600</x:v>
      </x:c>
      <x:c r="G1360" s="11" t="n">
        <x:f>'Option source'!B490</x:f>
        <x:v>2.59</x:v>
      </x:c>
      <x:c r="H1360" s="11" t="n">
        <x:f>'Option source'!B509</x:f>
        <x:v>2.68</x:v>
      </x:c>
      <x:c r="I1360" s="11" t="n">
        <x:f>'Option source'!B528</x:f>
        <x:v>3.41</x:v>
      </x:c>
      <x:c r="J1360" s="11" t="n">
        <x:f>G1360-2*H1360+IF(B1360="Butterfly",I1360,0)</x:f>
        <x:v>0.6399999999999997</x:v>
      </x:c>
      <x:c r="K1360" s="11" t="n">
        <x:f>ABS(E1360-D1360)</x:f>
        <x:v>200</x:v>
      </x:c>
      <x:c r="L1360" s="11" t="n">
        <x:f>K1360-J1360</x:f>
        <x:v>199.36</x:v>
      </x:c>
      <x:c r="M1360" s="11" t="n">
        <x:f>IF(B1360="Butterfly",MAX(J1360,0),IF(C1360="call","Unlimited",MAX(2*E1360-D1360+J1360,J1360,0)))</x:f>
        <x:v>0.6399999999999997</x:v>
      </x:c>
      <x:c r="N1360" s="11" t="n">
        <x:f>IF(B1360="Butterfly",IF(AND(J1360&gt;0,J1360&lt;K1360),D1360+J1360,"n.a."),IF(C1360="call",IF(AND(J1360&gt;0,J1360&lt;K1360),D1360+J1360,"n.a."),IF(AND(K1360&gt;J1360,2*E1360-D1360+J1360&gt;=0),2*E1360-D1360+J1360,"n.a.")))</x:f>
        <x:v>4200.64</x:v>
      </x:c>
      <x:c r="O1360" s="11" t="n">
        <x:f>IF(B1360="Butterfly",IF(AND(J1360&gt;0,J1360&lt;K1360),F1360-J1360,"n.a."),IF(C1360="call",IF(K1360&gt;J1360,2*E1360-D1360-J1360,"n.a."),IF(AND(J1360&gt;0,J1360&lt;K1360),D1360-J1360,"n.a.")))</x:f>
        <x:v>4599.36</x:v>
      </x:c>
      <x:c r="P1360" s="19" t="n">
        <x:f>IF(AND(B1360="Butterfly",J1360&gt;0,J1360&lt;K1360),L1360/J1360,"n.a.")</x:f>
        <x:v>311.50000000000017</x:v>
      </x:c>
      <x:c r="Q1360" s="11" t="n">
        <x:f>J1360*'Model inputs'!$B$8</x:f>
        <x:v>63.99999999999997</x:v>
      </x:c>
      <x:c r="R1360" s="1" t="str">
        <x:v>Indicative only</x:v>
      </x:c>
      <x:c r="S1360" s="1" t="n">
        <x:v>485</x:v>
      </x:c>
      <x:c r="T1360" s="1" t="n">
        <x:v>504</x:v>
      </x:c>
    </x:row>
    <x:row r="1361" ht="21" customHeight="1">
      <x:c r="A1361" s="12" t="n">
        <x:v>46260</x:v>
      </x:c>
      <x:c r="B1361" s="1" t="str">
        <x:v>Butterfly</x:v>
      </x:c>
      <x:c r="C1361" s="1" t="str">
        <x:v>call</x:v>
      </x:c>
      <x:c r="D1361" s="11" t="n">
        <x:v>6600</x:v>
      </x:c>
      <x:c r="E1361" s="11" t="n">
        <x:v>6800</x:v>
      </x:c>
      <x:c r="F1361" s="11" t="n">
        <x:v>7000</x:v>
      </x:c>
      <x:c r="G1361" s="11" t="n">
        <x:f>'Option source'!B224</x:f>
        <x:v>808.58</x:v>
      </x:c>
      <x:c r="H1361" s="11" t="n">
        <x:f>'Option source'!B243</x:f>
        <x:v>690.84</x:v>
      </x:c>
      <x:c r="I1361" s="11" t="n">
        <x:f>'Option source'!B262</x:f>
        <x:v>565.7</x:v>
      </x:c>
      <x:c r="J1361" s="11" t="n">
        <x:f>G1361-2*H1361+IF(B1361="Butterfly",I1361,0)</x:f>
        <x:v>-7.399999999999977</x:v>
      </x:c>
      <x:c r="K1361" s="11" t="n">
        <x:f>ABS(E1361-D1361)</x:f>
        <x:v>200</x:v>
      </x:c>
      <x:c r="L1361" s="11" t="n">
        <x:f>K1361-J1361</x:f>
        <x:v>207.39999999999998</x:v>
      </x:c>
      <x:c r="M1361" s="11" t="n">
        <x:f>IF(B1361="Butterfly",MAX(J1361,0),IF(C1361="call","Unlimited",MAX(2*E1361-D1361+J1361,J1361,0)))</x:f>
        <x:v>0</x:v>
      </x:c>
      <x:c r="N1361" s="11" t="str">
        <x:f>IF(B1361="Butterfly",IF(AND(J1361&gt;0,J1361&lt;K1361),D1361+J1361,"n.a."),IF(C1361="call",IF(AND(J1361&gt;0,J1361&lt;K1361),D1361+J1361,"n.a."),IF(AND(K1361&gt;J1361,2*E1361-D1361+J1361&gt;=0),2*E1361-D1361+J1361,"n.a.")))</x:f>
        <x:v>n.a.</x:v>
      </x:c>
      <x:c r="O1361" s="11" t="str">
        <x:f>IF(B1361="Butterfly",IF(AND(J1361&gt;0,J1361&lt;K1361),F1361-J1361,"n.a."),IF(C1361="call",IF(K1361&gt;J1361,2*E1361-D1361-J1361,"n.a."),IF(AND(J1361&gt;0,J1361&lt;K1361),D1361-J1361,"n.a.")))</x:f>
        <x:v>n.a.</x:v>
      </x:c>
      <x:c r="P1361" s="19" t="str">
        <x:f>IF(AND(B1361="Butterfly",J1361&gt;0,J1361&lt;K1361),L1361/J1361,"n.a.")</x:f>
        <x:v>n.a.</x:v>
      </x:c>
      <x:c r="Q1361" s="11" t="n">
        <x:f>J1361*'Model inputs'!$B$8</x:f>
        <x:v>-739.9999999999977</x:v>
      </x:c>
      <x:c r="R1361" s="1" t="str">
        <x:v>Outside standard debit bounds</x:v>
      </x:c>
      <x:c r="S1361" s="1" t="n">
        <x:v>219</x:v>
      </x:c>
      <x:c r="T1361" s="1" t="n">
        <x:v>238</x:v>
      </x:c>
    </x:row>
    <x:row r="1362" ht="21" customHeight="1">
      <x:c r="A1362" s="12" t="n">
        <x:v>46260</x:v>
      </x:c>
      <x:c r="B1362" s="1" t="str">
        <x:v>Butterfly</x:v>
      </x:c>
      <x:c r="C1362" s="1" t="str">
        <x:v>put</x:v>
      </x:c>
      <x:c r="D1362" s="11" t="n">
        <x:v>7400</x:v>
      </x:c>
      <x:c r="E1362" s="11" t="n">
        <x:v>7600</x:v>
      </x:c>
      <x:c r="F1362" s="11" t="n">
        <x:v>7800</x:v>
      </x:c>
      <x:c r="G1362" s="11" t="n">
        <x:f>'Option source'!B794</x:f>
        <x:v>549.96</x:v>
      </x:c>
      <x:c r="H1362" s="11" t="n">
        <x:f>'Option source'!B813</x:f>
        <x:v>665</x:v>
      </x:c>
      <x:c r="I1362" s="11" t="n">
        <x:f>'Option source'!B832</x:f>
        <x:v>800</x:v>
      </x:c>
      <x:c r="J1362" s="11" t="n">
        <x:f>G1362-2*H1362+IF(B1362="Butterfly",I1362,0)</x:f>
        <x:v>19.960000000000036</x:v>
      </x:c>
      <x:c r="K1362" s="11" t="n">
        <x:f>ABS(E1362-D1362)</x:f>
        <x:v>200</x:v>
      </x:c>
      <x:c r="L1362" s="11" t="n">
        <x:f>K1362-J1362</x:f>
        <x:v>180.03999999999996</x:v>
      </x:c>
      <x:c r="M1362" s="11" t="n">
        <x:f>IF(B1362="Butterfly",MAX(J1362,0),IF(C1362="call","Unlimited",MAX(2*E1362-D1362+J1362,J1362,0)))</x:f>
        <x:v>19.960000000000036</x:v>
      </x:c>
      <x:c r="N1362" s="11" t="n">
        <x:f>IF(B1362="Butterfly",IF(AND(J1362&gt;0,J1362&lt;K1362),D1362+J1362,"n.a."),IF(C1362="call",IF(AND(J1362&gt;0,J1362&lt;K1362),D1362+J1362,"n.a."),IF(AND(K1362&gt;J1362,2*E1362-D1362+J1362&gt;=0),2*E1362-D1362+J1362,"n.a.")))</x:f>
        <x:v>7419.96</x:v>
      </x:c>
      <x:c r="O1362" s="11" t="n">
        <x:f>IF(B1362="Butterfly",IF(AND(J1362&gt;0,J1362&lt;K1362),F1362-J1362,"n.a."),IF(C1362="call",IF(K1362&gt;J1362,2*E1362-D1362-J1362,"n.a."),IF(AND(J1362&gt;0,J1362&lt;K1362),D1362-J1362,"n.a.")))</x:f>
        <x:v>7780.04</x:v>
      </x:c>
      <x:c r="P1362" s="19" t="n">
        <x:f>IF(AND(B1362="Butterfly",J1362&gt;0,J1362&lt;K1362),L1362/J1362,"n.a.")</x:f>
        <x:v>9.020040080160303</x:v>
      </x:c>
      <x:c r="Q1362" s="11" t="n">
        <x:f>J1362*'Model inputs'!$B$8</x:f>
        <x:v>1996.0000000000036</x:v>
      </x:c>
      <x:c r="R1362" s="1" t="str">
        <x:v>Flagged leg data</x:v>
      </x:c>
      <x:c r="S1362" s="1" t="n">
        <x:v>789</x:v>
      </x:c>
      <x:c r="T1362" s="1" t="n">
        <x:v>808</x:v>
      </x:c>
    </x:row>
    <x:row r="1363" ht="21" customHeight="1">
      <x:c r="A1363" s="12" t="n">
        <x:v>46260</x:v>
      </x:c>
      <x:c r="B1363" s="1" t="str">
        <x:v>Butterfly</x:v>
      </x:c>
      <x:c r="C1363" s="1" t="str">
        <x:v>call</x:v>
      </x:c>
      <x:c r="D1363" s="11" t="n">
        <x:v>6200</x:v>
      </x:c>
      <x:c r="E1363" s="11" t="n">
        <x:v>6400</x:v>
      </x:c>
      <x:c r="F1363" s="11" t="n">
        <x:v>6600</x:v>
      </x:c>
      <x:c r="G1363" s="11" t="n">
        <x:f>'Option source'!B186</x:f>
        <x:v>1000</x:v>
      </x:c>
      <x:c r="H1363" s="11" t="n">
        <x:f>'Option source'!B205</x:f>
        <x:v>944.2</x:v>
      </x:c>
      <x:c r="I1363" s="11" t="n">
        <x:f>'Option source'!B224</x:f>
        <x:v>808.58</x:v>
      </x:c>
      <x:c r="J1363" s="11" t="n">
        <x:f>G1363-2*H1363+IF(B1363="Butterfly",I1363,0)</x:f>
        <x:v>-79.82000000000005</x:v>
      </x:c>
      <x:c r="K1363" s="11" t="n">
        <x:f>ABS(E1363-D1363)</x:f>
        <x:v>200</x:v>
      </x:c>
      <x:c r="L1363" s="11" t="n">
        <x:f>K1363-J1363</x:f>
        <x:v>279.82000000000005</x:v>
      </x:c>
      <x:c r="M1363" s="11" t="n">
        <x:f>IF(B1363="Butterfly",MAX(J1363,0),IF(C1363="call","Unlimited",MAX(2*E1363-D1363+J1363,J1363,0)))</x:f>
        <x:v>0</x:v>
      </x:c>
      <x:c r="N1363" s="11" t="str">
        <x:f>IF(B1363="Butterfly",IF(AND(J1363&gt;0,J1363&lt;K1363),D1363+J1363,"n.a."),IF(C1363="call",IF(AND(J1363&gt;0,J1363&lt;K1363),D1363+J1363,"n.a."),IF(AND(K1363&gt;J1363,2*E1363-D1363+J1363&gt;=0),2*E1363-D1363+J1363,"n.a.")))</x:f>
        <x:v>n.a.</x:v>
      </x:c>
      <x:c r="O1363" s="11" t="str">
        <x:f>IF(B1363="Butterfly",IF(AND(J1363&gt;0,J1363&lt;K1363),F1363-J1363,"n.a."),IF(C1363="call",IF(K1363&gt;J1363,2*E1363-D1363-J1363,"n.a."),IF(AND(J1363&gt;0,J1363&lt;K1363),D1363-J1363,"n.a.")))</x:f>
        <x:v>n.a.</x:v>
      </x:c>
      <x:c r="P1363" s="19" t="str">
        <x:f>IF(AND(B1363="Butterfly",J1363&gt;0,J1363&lt;K1363),L1363/J1363,"n.a.")</x:f>
        <x:v>n.a.</x:v>
      </x:c>
      <x:c r="Q1363" s="11" t="n">
        <x:f>J1363*'Model inputs'!$B$8</x:f>
        <x:v>-7982.0000000000055</x:v>
      </x:c>
      <x:c r="R1363" s="1" t="str">
        <x:v>Outside standard debit bounds</x:v>
      </x:c>
      <x:c r="S1363" s="1" t="n">
        <x:v>181</x:v>
      </x:c>
      <x:c r="T1363" s="1" t="n">
        <x:v>200</x:v>
      </x:c>
    </x:row>
    <x:row r="1364" ht="21" customHeight="1">
      <x:c r="A1364" s="12" t="n">
        <x:v>46260</x:v>
      </x:c>
      <x:c r="B1364" s="1" t="str">
        <x:v>Butterfly</x:v>
      </x:c>
      <x:c r="C1364" s="1" t="str">
        <x:v>put</x:v>
      </x:c>
      <x:c r="D1364" s="11" t="n">
        <x:v>7600</x:v>
      </x:c>
      <x:c r="E1364" s="11" t="n">
        <x:v>7800</x:v>
      </x:c>
      <x:c r="F1364" s="11" t="n">
        <x:v>8000</x:v>
      </x:c>
      <x:c r="G1364" s="11" t="n">
        <x:f>'Option source'!B813</x:f>
        <x:v>665</x:v>
      </x:c>
      <x:c r="H1364" s="11" t="n">
        <x:f>'Option source'!B832</x:f>
        <x:v>800</x:v>
      </x:c>
      <x:c r="I1364" s="11" t="n">
        <x:f>'Option source'!B851</x:f>
        <x:v>990</x:v>
      </x:c>
      <x:c r="J1364" s="11" t="n">
        <x:f>G1364-2*H1364+IF(B1364="Butterfly",I1364,0)</x:f>
        <x:v>55</x:v>
      </x:c>
      <x:c r="K1364" s="11" t="n">
        <x:f>ABS(E1364-D1364)</x:f>
        <x:v>200</x:v>
      </x:c>
      <x:c r="L1364" s="11" t="n">
        <x:f>K1364-J1364</x:f>
        <x:v>145</x:v>
      </x:c>
      <x:c r="M1364" s="11" t="n">
        <x:f>IF(B1364="Butterfly",MAX(J1364,0),IF(C1364="call","Unlimited",MAX(2*E1364-D1364+J1364,J1364,0)))</x:f>
        <x:v>55</x:v>
      </x:c>
      <x:c r="N1364" s="11" t="n">
        <x:f>IF(B1364="Butterfly",IF(AND(J1364&gt;0,J1364&lt;K1364),D1364+J1364,"n.a."),IF(C1364="call",IF(AND(J1364&gt;0,J1364&lt;K1364),D1364+J1364,"n.a."),IF(AND(K1364&gt;J1364,2*E1364-D1364+J1364&gt;=0),2*E1364-D1364+J1364,"n.a.")))</x:f>
        <x:v>7655</x:v>
      </x:c>
      <x:c r="O1364" s="11" t="n">
        <x:f>IF(B1364="Butterfly",IF(AND(J1364&gt;0,J1364&lt;K1364),F1364-J1364,"n.a."),IF(C1364="call",IF(K1364&gt;J1364,2*E1364-D1364-J1364,"n.a."),IF(AND(J1364&gt;0,J1364&lt;K1364),D1364-J1364,"n.a.")))</x:f>
        <x:v>7945</x:v>
      </x:c>
      <x:c r="P1364" s="19" t="n">
        <x:f>IF(AND(B1364="Butterfly",J1364&gt;0,J1364&lt;K1364),L1364/J1364,"n.a.")</x:f>
        <x:v>2.6363636363636362</x:v>
      </x:c>
      <x:c r="Q1364" s="11" t="n">
        <x:f>J1364*'Model inputs'!$B$8</x:f>
        <x:v>5500</x:v>
      </x:c>
      <x:c r="R1364" s="1" t="str">
        <x:v>Flagged leg data</x:v>
      </x:c>
      <x:c r="S1364" s="1" t="n">
        <x:v>808</x:v>
      </x:c>
      <x:c r="T1364" s="1" t="n">
        <x:v>827</x:v>
      </x:c>
    </x:row>
    <x:row r="1365" ht="21" customHeight="1">
      <x:c r="A1365" s="12" t="n">
        <x:v>46260</x:v>
      </x:c>
      <x:c r="B1365" s="1" t="str">
        <x:v>Butterfly</x:v>
      </x:c>
      <x:c r="C1365" s="1" t="str">
        <x:v>call</x:v>
      </x:c>
      <x:c r="D1365" s="11" t="n">
        <x:v>6000</x:v>
      </x:c>
      <x:c r="E1365" s="11" t="n">
        <x:v>6200</x:v>
      </x:c>
      <x:c r="F1365" s="11" t="n">
        <x:v>6400</x:v>
      </x:c>
      <x:c r="G1365" s="11" t="n">
        <x:f>'Option source'!B167</x:f>
        <x:v>1439.96</x:v>
      </x:c>
      <x:c r="H1365" s="11" t="n">
        <x:f>'Option source'!B186</x:f>
        <x:v>1000</x:v>
      </x:c>
      <x:c r="I1365" s="11" t="n">
        <x:f>'Option source'!B205</x:f>
        <x:v>944.2</x:v>
      </x:c>
      <x:c r="J1365" s="11" t="n">
        <x:f>G1365-2*H1365+IF(B1365="Butterfly",I1365,0)</x:f>
        <x:v>384.1600000000001</x:v>
      </x:c>
      <x:c r="K1365" s="11" t="n">
        <x:f>ABS(E1365-D1365)</x:f>
        <x:v>200</x:v>
      </x:c>
      <x:c r="L1365" s="11" t="n">
        <x:f>K1365-J1365</x:f>
        <x:v>-184.16000000000008</x:v>
      </x:c>
      <x:c r="M1365" s="11" t="n">
        <x:f>IF(B1365="Butterfly",MAX(J1365,0),IF(C1365="call","Unlimited",MAX(2*E1365-D1365+J1365,J1365,0)))</x:f>
        <x:v>384.1600000000001</x:v>
      </x:c>
      <x:c r="N1365" s="11" t="str">
        <x:f>IF(B1365="Butterfly",IF(AND(J1365&gt;0,J1365&lt;K1365),D1365+J1365,"n.a."),IF(C1365="call",IF(AND(J1365&gt;0,J1365&lt;K1365),D1365+J1365,"n.a."),IF(AND(K1365&gt;J1365,2*E1365-D1365+J1365&gt;=0),2*E1365-D1365+J1365,"n.a.")))</x:f>
        <x:v>n.a.</x:v>
      </x:c>
      <x:c r="O1365" s="11" t="str">
        <x:f>IF(B1365="Butterfly",IF(AND(J1365&gt;0,J1365&lt;K1365),F1365-J1365,"n.a."),IF(C1365="call",IF(K1365&gt;J1365,2*E1365-D1365-J1365,"n.a."),IF(AND(J1365&gt;0,J1365&lt;K1365),D1365-J1365,"n.a.")))</x:f>
        <x:v>n.a.</x:v>
      </x:c>
      <x:c r="P1365" s="19" t="str">
        <x:f>IF(AND(B1365="Butterfly",J1365&gt;0,J1365&lt;K1365),L1365/J1365,"n.a.")</x:f>
        <x:v>n.a.</x:v>
      </x:c>
      <x:c r="Q1365" s="11" t="n">
        <x:f>J1365*'Model inputs'!$B$8</x:f>
        <x:v>38416.00000000001</x:v>
      </x:c>
      <x:c r="R1365" s="1" t="str">
        <x:v>Outside standard debit bounds</x:v>
      </x:c>
      <x:c r="S1365" s="1" t="n">
        <x:v>162</x:v>
      </x:c>
      <x:c r="T1365" s="1" t="n">
        <x:v>181</x:v>
      </x:c>
    </x:row>
    <x:row r="1366" ht="21" customHeight="1">
      <x:c r="A1366" s="12" t="n">
        <x:v>46260</x:v>
      </x:c>
      <x:c r="B1366" s="1" t="str">
        <x:v>Butterfly</x:v>
      </x:c>
      <x:c r="C1366" s="1" t="str">
        <x:v>put</x:v>
      </x:c>
      <x:c r="D1366" s="11" t="n">
        <x:v>8000</x:v>
      </x:c>
      <x:c r="E1366" s="11" t="n">
        <x:v>8300</x:v>
      </x:c>
      <x:c r="F1366" s="11" t="n">
        <x:v>8600</x:v>
      </x:c>
      <x:c r="G1366" s="11" t="n">
        <x:f>'Option source'!B851</x:f>
        <x:v>990</x:v>
      </x:c>
      <x:c r="H1366" s="11" t="n">
        <x:f>'Option source'!B870</x:f>
        <x:v>1274.9</x:v>
      </x:c>
      <x:c r="I1366" s="11" t="n">
        <x:f>'Option source'!B889</x:f>
        <x:v>1630</x:v>
      </x:c>
      <x:c r="J1366" s="11" t="n">
        <x:f>G1366-2*H1366+IF(B1366="Butterfly",I1366,0)</x:f>
        <x:v>70.19999999999982</x:v>
      </x:c>
      <x:c r="K1366" s="11" t="n">
        <x:f>ABS(E1366-D1366)</x:f>
        <x:v>300</x:v>
      </x:c>
      <x:c r="L1366" s="11" t="n">
        <x:f>K1366-J1366</x:f>
        <x:v>229.80000000000018</x:v>
      </x:c>
      <x:c r="M1366" s="11" t="n">
        <x:f>IF(B1366="Butterfly",MAX(J1366,0),IF(C1366="call","Unlimited",MAX(2*E1366-D1366+J1366,J1366,0)))</x:f>
        <x:v>70.19999999999982</x:v>
      </x:c>
      <x:c r="N1366" s="11" t="n">
        <x:f>IF(B1366="Butterfly",IF(AND(J1366&gt;0,J1366&lt;K1366),D1366+J1366,"n.a."),IF(C1366="call",IF(AND(J1366&gt;0,J1366&lt;K1366),D1366+J1366,"n.a."),IF(AND(K1366&gt;J1366,2*E1366-D1366+J1366&gt;=0),2*E1366-D1366+J1366,"n.a.")))</x:f>
        <x:v>8070.2</x:v>
      </x:c>
      <x:c r="O1366" s="11" t="n">
        <x:f>IF(B1366="Butterfly",IF(AND(J1366&gt;0,J1366&lt;K1366),F1366-J1366,"n.a."),IF(C1366="call",IF(K1366&gt;J1366,2*E1366-D1366-J1366,"n.a."),IF(AND(J1366&gt;0,J1366&lt;K1366),D1366-J1366,"n.a.")))</x:f>
        <x:v>8529.8</x:v>
      </x:c>
      <x:c r="P1366" s="19" t="n">
        <x:f>IF(AND(B1366="Butterfly",J1366&gt;0,J1366&lt;K1366),L1366/J1366,"n.a.")</x:f>
        <x:v>3.2735042735042845</x:v>
      </x:c>
      <x:c r="Q1366" s="11" t="n">
        <x:f>J1366*'Model inputs'!$B$8</x:f>
        <x:v>7019.999999999982</x:v>
      </x:c>
      <x:c r="R1366" s="1" t="str">
        <x:v>Flagged leg data</x:v>
      </x:c>
      <x:c r="S1366" s="1" t="n">
        <x:v>846</x:v>
      </x:c>
      <x:c r="T1366" s="1" t="n">
        <x:v>865</x:v>
      </x:c>
    </x:row>
    <x:row r="1367" ht="21" customHeight="1">
      <x:c r="A1367" s="12" t="n">
        <x:v>46260</x:v>
      </x:c>
      <x:c r="B1367" s="1" t="str">
        <x:v>Butterfly</x:v>
      </x:c>
      <x:c r="C1367" s="1" t="str">
        <x:v>call</x:v>
      </x:c>
      <x:c r="D1367" s="11" t="n">
        <x:v>5200</x:v>
      </x:c>
      <x:c r="E1367" s="11" t="n">
        <x:v>5400</x:v>
      </x:c>
      <x:c r="F1367" s="11" t="n">
        <x:v>5600</x:v>
      </x:c>
      <x:c r="G1367" s="11" t="n">
        <x:f>'Option source'!B101</x:f>
        <x:v>1981.15</x:v>
      </x:c>
      <x:c r="H1367" s="11" t="n">
        <x:f>'Option source'!B120</x:f>
        <x:v>1752.86</x:v>
      </x:c>
      <x:c r="I1367" s="11" t="n">
        <x:f>'Option source'!B138</x:f>
        <x:v>1645</x:v>
      </x:c>
      <x:c r="J1367" s="11" t="n">
        <x:f>G1367-2*H1367+IF(B1367="Butterfly",I1367,0)</x:f>
        <x:v>120.43000000000029</x:v>
      </x:c>
      <x:c r="K1367" s="11" t="n">
        <x:f>ABS(E1367-D1367)</x:f>
        <x:v>200</x:v>
      </x:c>
      <x:c r="L1367" s="11" t="n">
        <x:f>K1367-J1367</x:f>
        <x:v>79.56999999999971</x:v>
      </x:c>
      <x:c r="M1367" s="11" t="n">
        <x:f>IF(B1367="Butterfly",MAX(J1367,0),IF(C1367="call","Unlimited",MAX(2*E1367-D1367+J1367,J1367,0)))</x:f>
        <x:v>120.43000000000029</x:v>
      </x:c>
      <x:c r="N1367" s="11" t="n">
        <x:f>IF(B1367="Butterfly",IF(AND(J1367&gt;0,J1367&lt;K1367),D1367+J1367,"n.a."),IF(C1367="call",IF(AND(J1367&gt;0,J1367&lt;K1367),D1367+J1367,"n.a."),IF(AND(K1367&gt;J1367,2*E1367-D1367+J1367&gt;=0),2*E1367-D1367+J1367,"n.a.")))</x:f>
        <x:v>5320.43</x:v>
      </x:c>
      <x:c r="O1367" s="11" t="n">
        <x:f>IF(B1367="Butterfly",IF(AND(J1367&gt;0,J1367&lt;K1367),F1367-J1367,"n.a."),IF(C1367="call",IF(K1367&gt;J1367,2*E1367-D1367-J1367,"n.a."),IF(AND(J1367&gt;0,J1367&lt;K1367),D1367-J1367,"n.a.")))</x:f>
        <x:v>5479.57</x:v>
      </x:c>
      <x:c r="P1367" s="19" t="n">
        <x:f>IF(AND(B1367="Butterfly",J1367&gt;0,J1367&lt;K1367),L1367/J1367,"n.a.")</x:f>
        <x:v>0.6607157684962178</x:v>
      </x:c>
      <x:c r="Q1367" s="11" t="n">
        <x:f>J1367*'Model inputs'!$B$8</x:f>
        <x:v>12043.00000000003</x:v>
      </x:c>
      <x:c r="R1367" s="1" t="str">
        <x:v>Flagged leg data</x:v>
      </x:c>
      <x:c r="S1367" s="1" t="n">
        <x:v>96</x:v>
      </x:c>
      <x:c r="T1367" s="1" t="n">
        <x:v>115</x:v>
      </x:c>
    </x:row>
    <x:row r="1368" ht="21" customHeight="1">
      <x:c r="A1368" s="12" t="n">
        <x:v>46260</x:v>
      </x:c>
      <x:c r="B1368" s="1" t="str">
        <x:v>Butterfly</x:v>
      </x:c>
      <x:c r="C1368" s="1" t="str">
        <x:v>call</x:v>
      </x:c>
      <x:c r="D1368" s="11" t="n">
        <x:v>5000</x:v>
      </x:c>
      <x:c r="E1368" s="11" t="n">
        <x:v>5200</x:v>
      </x:c>
      <x:c r="F1368" s="11" t="n">
        <x:v>5400</x:v>
      </x:c>
      <x:c r="G1368" s="11" t="n">
        <x:f>'Option source'!B82</x:f>
        <x:v>2232.76</x:v>
      </x:c>
      <x:c r="H1368" s="11" t="n">
        <x:f>'Option source'!B101</x:f>
        <x:v>1981.15</x:v>
      </x:c>
      <x:c r="I1368" s="11" t="n">
        <x:f>'Option source'!B120</x:f>
        <x:v>1752.86</x:v>
      </x:c>
      <x:c r="J1368" s="11" t="n">
        <x:f>G1368-2*H1368+IF(B1368="Butterfly",I1368,0)</x:f>
        <x:v>23.319999999999936</x:v>
      </x:c>
      <x:c r="K1368" s="11" t="n">
        <x:f>ABS(E1368-D1368)</x:f>
        <x:v>200</x:v>
      </x:c>
      <x:c r="L1368" s="11" t="n">
        <x:f>K1368-J1368</x:f>
        <x:v>176.68000000000006</x:v>
      </x:c>
      <x:c r="M1368" s="11" t="n">
        <x:f>IF(B1368="Butterfly",MAX(J1368,0),IF(C1368="call","Unlimited",MAX(2*E1368-D1368+J1368,J1368,0)))</x:f>
        <x:v>23.319999999999936</x:v>
      </x:c>
      <x:c r="N1368" s="11" t="n">
        <x:f>IF(B1368="Butterfly",IF(AND(J1368&gt;0,J1368&lt;K1368),D1368+J1368,"n.a."),IF(C1368="call",IF(AND(J1368&gt;0,J1368&lt;K1368),D1368+J1368,"n.a."),IF(AND(K1368&gt;J1368,2*E1368-D1368+J1368&gt;=0),2*E1368-D1368+J1368,"n.a.")))</x:f>
        <x:v>5023.32</x:v>
      </x:c>
      <x:c r="O1368" s="11" t="n">
        <x:f>IF(B1368="Butterfly",IF(AND(J1368&gt;0,J1368&lt;K1368),F1368-J1368,"n.a."),IF(C1368="call",IF(K1368&gt;J1368,2*E1368-D1368-J1368,"n.a."),IF(AND(J1368&gt;0,J1368&lt;K1368),D1368-J1368,"n.a.")))</x:f>
        <x:v>5376.68</x:v>
      </x:c>
      <x:c r="P1368" s="19" t="n">
        <x:f>IF(AND(B1368="Butterfly",J1368&gt;0,J1368&lt;K1368),L1368/J1368,"n.a.")</x:f>
        <x:v>7.5763293310463355</x:v>
      </x:c>
      <x:c r="Q1368" s="11" t="n">
        <x:f>J1368*'Model inputs'!$B$8</x:f>
        <x:v>2331.9999999999936</x:v>
      </x:c>
      <x:c r="R1368" s="1" t="str">
        <x:v>Flagged leg data</x:v>
      </x:c>
      <x:c r="S1368" s="1" t="n">
        <x:v>77</x:v>
      </x:c>
      <x:c r="T1368" s="1" t="n">
        <x:v>96</x:v>
      </x:c>
    </x:row>
    <x:row r="1369" ht="21" customHeight="1">
      <x:c r="A1369" s="12" t="n">
        <x:v>46260</x:v>
      </x:c>
      <x:c r="B1369" s="1" t="str">
        <x:v>Butterfly</x:v>
      </x:c>
      <x:c r="C1369" s="1" t="str">
        <x:v>call</x:v>
      </x:c>
      <x:c r="D1369" s="11" t="n">
        <x:v>4800</x:v>
      </x:c>
      <x:c r="E1369" s="11" t="n">
        <x:v>5000</x:v>
      </x:c>
      <x:c r="F1369" s="11" t="n">
        <x:v>5200</x:v>
      </x:c>
      <x:c r="G1369" s="11" t="n">
        <x:f>'Option source'!B65</x:f>
        <x:v>2280</x:v>
      </x:c>
      <x:c r="H1369" s="11" t="n">
        <x:f>'Option source'!B82</x:f>
        <x:v>2232.76</x:v>
      </x:c>
      <x:c r="I1369" s="11" t="n">
        <x:f>'Option source'!B101</x:f>
        <x:v>1981.15</x:v>
      </x:c>
      <x:c r="J1369" s="11" t="n">
        <x:f>G1369-2*H1369+IF(B1369="Butterfly",I1369,0)</x:f>
        <x:v>-204.37000000000035</x:v>
      </x:c>
      <x:c r="K1369" s="11" t="n">
        <x:f>ABS(E1369-D1369)</x:f>
        <x:v>200</x:v>
      </x:c>
      <x:c r="L1369" s="11" t="n">
        <x:f>K1369-J1369</x:f>
        <x:v>404.37000000000035</x:v>
      </x:c>
      <x:c r="M1369" s="11" t="n">
        <x:f>IF(B1369="Butterfly",MAX(J1369,0),IF(C1369="call","Unlimited",MAX(2*E1369-D1369+J1369,J1369,0)))</x:f>
        <x:v>0</x:v>
      </x:c>
      <x:c r="N1369" s="11" t="str">
        <x:f>IF(B1369="Butterfly",IF(AND(J1369&gt;0,J1369&lt;K1369),D1369+J1369,"n.a."),IF(C1369="call",IF(AND(J1369&gt;0,J1369&lt;K1369),D1369+J1369,"n.a."),IF(AND(K1369&gt;J1369,2*E1369-D1369+J1369&gt;=0),2*E1369-D1369+J1369,"n.a.")))</x:f>
        <x:v>n.a.</x:v>
      </x:c>
      <x:c r="O1369" s="11" t="str">
        <x:f>IF(B1369="Butterfly",IF(AND(J1369&gt;0,J1369&lt;K1369),F1369-J1369,"n.a."),IF(C1369="call",IF(K1369&gt;J1369,2*E1369-D1369-J1369,"n.a."),IF(AND(J1369&gt;0,J1369&lt;K1369),D1369-J1369,"n.a.")))</x:f>
        <x:v>n.a.</x:v>
      </x:c>
      <x:c r="P1369" s="19" t="str">
        <x:f>IF(AND(B1369="Butterfly",J1369&gt;0,J1369&lt;K1369),L1369/J1369,"n.a.")</x:f>
        <x:v>n.a.</x:v>
      </x:c>
      <x:c r="Q1369" s="11" t="n">
        <x:f>J1369*'Model inputs'!$B$8</x:f>
        <x:v>-20437.000000000036</x:v>
      </x:c>
      <x:c r="R1369" s="1" t="str">
        <x:v>Outside standard debit bounds</x:v>
      </x:c>
      <x:c r="S1369" s="1" t="n">
        <x:v>60</x:v>
      </x:c>
      <x:c r="T1369" s="1" t="n">
        <x:v>77</x:v>
      </x:c>
    </x:row>
    <x:row r="1370" ht="21" customHeight="1">
      <x:c r="A1370" s="12" t="n">
        <x:v>46260</x:v>
      </x:c>
      <x:c r="B1370" s="1" t="str">
        <x:v>Butterfly</x:v>
      </x:c>
      <x:c r="C1370" s="1" t="str">
        <x:v>call</x:v>
      </x:c>
      <x:c r="D1370" s="11" t="n">
        <x:v>4600</x:v>
      </x:c>
      <x:c r="E1370" s="11" t="n">
        <x:v>4800</x:v>
      </x:c>
      <x:c r="F1370" s="11" t="n">
        <x:v>5000</x:v>
      </x:c>
      <x:c r="G1370" s="11" t="n">
        <x:f>'Option source'!B48</x:f>
        <x:v>2493.23</x:v>
      </x:c>
      <x:c r="H1370" s="11" t="n">
        <x:f>'Option source'!B65</x:f>
        <x:v>2280</x:v>
      </x:c>
      <x:c r="I1370" s="11" t="n">
        <x:f>'Option source'!B82</x:f>
        <x:v>2232.76</x:v>
      </x:c>
      <x:c r="J1370" s="11" t="n">
        <x:f>G1370-2*H1370+IF(B1370="Butterfly",I1370,0)</x:f>
        <x:v>165.99000000000024</x:v>
      </x:c>
      <x:c r="K1370" s="11" t="n">
        <x:f>ABS(E1370-D1370)</x:f>
        <x:v>200</x:v>
      </x:c>
      <x:c r="L1370" s="11" t="n">
        <x:f>K1370-J1370</x:f>
        <x:v>34.00999999999976</x:v>
      </x:c>
      <x:c r="M1370" s="11" t="n">
        <x:f>IF(B1370="Butterfly",MAX(J1370,0),IF(C1370="call","Unlimited",MAX(2*E1370-D1370+J1370,J1370,0)))</x:f>
        <x:v>165.99000000000024</x:v>
      </x:c>
      <x:c r="N1370" s="11" t="n">
        <x:f>IF(B1370="Butterfly",IF(AND(J1370&gt;0,J1370&lt;K1370),D1370+J1370,"n.a."),IF(C1370="call",IF(AND(J1370&gt;0,J1370&lt;K1370),D1370+J1370,"n.a."),IF(AND(K1370&gt;J1370,2*E1370-D1370+J1370&gt;=0),2*E1370-D1370+J1370,"n.a.")))</x:f>
        <x:v>4765.99</x:v>
      </x:c>
      <x:c r="O1370" s="11" t="n">
        <x:f>IF(B1370="Butterfly",IF(AND(J1370&gt;0,J1370&lt;K1370),F1370-J1370,"n.a."),IF(C1370="call",IF(K1370&gt;J1370,2*E1370-D1370-J1370,"n.a."),IF(AND(J1370&gt;0,J1370&lt;K1370),D1370-J1370,"n.a.")))</x:f>
        <x:v>4834.01</x:v>
      </x:c>
      <x:c r="P1370" s="19" t="n">
        <x:f>IF(AND(B1370="Butterfly",J1370&gt;0,J1370&lt;K1370),L1370/J1370,"n.a.")</x:f>
        <x:v>0.20489186095547754</x:v>
      </x:c>
      <x:c r="Q1370" s="11" t="n">
        <x:f>J1370*'Model inputs'!$B$8</x:f>
        <x:v>16599.000000000022</x:v>
      </x:c>
      <x:c r="R1370" s="1" t="str">
        <x:v>Flagged leg data</x:v>
      </x:c>
      <x:c r="S1370" s="1" t="n">
        <x:v>43</x:v>
      </x:c>
      <x:c r="T1370" s="1" t="n">
        <x:v>60</x:v>
      </x:c>
    </x:row>
    <x:row r="1371" ht="21" customHeight="1">
      <x:c r="A1371" s="12" t="n">
        <x:v>46260</x:v>
      </x:c>
      <x:c r="B1371" s="1" t="str">
        <x:v>Butterfly</x:v>
      </x:c>
      <x:c r="C1371" s="1" t="str">
        <x:v>call</x:v>
      </x:c>
      <x:c r="D1371" s="11" t="n">
        <x:v>4400</x:v>
      </x:c>
      <x:c r="E1371" s="11" t="n">
        <x:v>4600</x:v>
      </x:c>
      <x:c r="F1371" s="11" t="n">
        <x:v>4800</x:v>
      </x:c>
      <x:c r="G1371" s="11" t="n">
        <x:f>'Option source'!B29</x:f>
        <x:v>2387.12</x:v>
      </x:c>
      <x:c r="H1371" s="11" t="n">
        <x:f>'Option source'!B48</x:f>
        <x:v>2493.23</x:v>
      </x:c>
      <x:c r="I1371" s="11" t="n">
        <x:f>'Option source'!B65</x:f>
        <x:v>2280</x:v>
      </x:c>
      <x:c r="J1371" s="11" t="n">
        <x:f>G1371-2*H1371+IF(B1371="Butterfly",I1371,0)</x:f>
        <x:v>-319.34000000000015</x:v>
      </x:c>
      <x:c r="K1371" s="11" t="n">
        <x:f>ABS(E1371-D1371)</x:f>
        <x:v>200</x:v>
      </x:c>
      <x:c r="L1371" s="11" t="n">
        <x:f>K1371-J1371</x:f>
        <x:v>519.3400000000001</x:v>
      </x:c>
      <x:c r="M1371" s="11" t="n">
        <x:f>IF(B1371="Butterfly",MAX(J1371,0),IF(C1371="call","Unlimited",MAX(2*E1371-D1371+J1371,J1371,0)))</x:f>
        <x:v>0</x:v>
      </x:c>
      <x:c r="N1371" s="11" t="str">
        <x:f>IF(B1371="Butterfly",IF(AND(J1371&gt;0,J1371&lt;K1371),D1371+J1371,"n.a."),IF(C1371="call",IF(AND(J1371&gt;0,J1371&lt;K1371),D1371+J1371,"n.a."),IF(AND(K1371&gt;J1371,2*E1371-D1371+J1371&gt;=0),2*E1371-D1371+J1371,"n.a.")))</x:f>
        <x:v>n.a.</x:v>
      </x:c>
      <x:c r="O1371" s="11" t="str">
        <x:f>IF(B1371="Butterfly",IF(AND(J1371&gt;0,J1371&lt;K1371),F1371-J1371,"n.a."),IF(C1371="call",IF(K1371&gt;J1371,2*E1371-D1371-J1371,"n.a."),IF(AND(J1371&gt;0,J1371&lt;K1371),D1371-J1371,"n.a.")))</x:f>
        <x:v>n.a.</x:v>
      </x:c>
      <x:c r="P1371" s="19" t="str">
        <x:f>IF(AND(B1371="Butterfly",J1371&gt;0,J1371&lt;K1371),L1371/J1371,"n.a.")</x:f>
        <x:v>n.a.</x:v>
      </x:c>
      <x:c r="Q1371" s="11" t="n">
        <x:f>J1371*'Model inputs'!$B$8</x:f>
        <x:v>-31934.000000000015</x:v>
      </x:c>
      <x:c r="R1371" s="1" t="str">
        <x:v>Outside standard debit bounds</x:v>
      </x:c>
      <x:c r="S1371" s="1" t="n">
        <x:v>24</x:v>
      </x:c>
      <x:c r="T1371" s="1" t="n">
        <x:v>43</x:v>
      </x:c>
    </x:row>
    <x:row r="1372" ht="21" customHeight="1">
      <x:c r="A1372" s="12" t="n">
        <x:v>46260</x:v>
      </x:c>
      <x:c r="B1372" s="1" t="str">
        <x:v>Butterfly</x:v>
      </x:c>
      <x:c r="C1372" s="1" t="str">
        <x:v>put</x:v>
      </x:c>
      <x:c r="D1372" s="11" t="n">
        <x:v>4400</x:v>
      </x:c>
      <x:c r="E1372" s="11" t="n">
        <x:v>4600</x:v>
      </x:c>
      <x:c r="F1372" s="11" t="n">
        <x:v>4800</x:v>
      </x:c>
      <x:c r="G1372" s="11" t="n">
        <x:f>'Option source'!B509</x:f>
        <x:v>2.68</x:v>
      </x:c>
      <x:c r="H1372" s="11" t="n">
        <x:f>'Option source'!B528</x:f>
        <x:v>3.41</x:v>
      </x:c>
      <x:c r="I1372" s="11" t="n">
        <x:f>'Option source'!B547</x:f>
        <x:v>4.1</x:v>
      </x:c>
      <x:c r="J1372" s="11" t="n">
        <x:f>G1372-2*H1372+IF(B1372="Butterfly",I1372,0)</x:f>
        <x:v>-0.040000000000000924</x:v>
      </x:c>
      <x:c r="K1372" s="11" t="n">
        <x:f>ABS(E1372-D1372)</x:f>
        <x:v>200</x:v>
      </x:c>
      <x:c r="L1372" s="11" t="n">
        <x:f>K1372-J1372</x:f>
        <x:v>200.04</x:v>
      </x:c>
      <x:c r="M1372" s="11" t="n">
        <x:f>IF(B1372="Butterfly",MAX(J1372,0),IF(C1372="call","Unlimited",MAX(2*E1372-D1372+J1372,J1372,0)))</x:f>
        <x:v>0</x:v>
      </x:c>
      <x:c r="N1372" s="11" t="str">
        <x:f>IF(B1372="Butterfly",IF(AND(J1372&gt;0,J1372&lt;K1372),D1372+J1372,"n.a."),IF(C1372="call",IF(AND(J1372&gt;0,J1372&lt;K1372),D1372+J1372,"n.a."),IF(AND(K1372&gt;J1372,2*E1372-D1372+J1372&gt;=0),2*E1372-D1372+J1372,"n.a.")))</x:f>
        <x:v>n.a.</x:v>
      </x:c>
      <x:c r="O1372" s="11" t="str">
        <x:f>IF(B1372="Butterfly",IF(AND(J1372&gt;0,J1372&lt;K1372),F1372-J1372,"n.a."),IF(C1372="call",IF(K1372&gt;J1372,2*E1372-D1372-J1372,"n.a."),IF(AND(J1372&gt;0,J1372&lt;K1372),D1372-J1372,"n.a.")))</x:f>
        <x:v>n.a.</x:v>
      </x:c>
      <x:c r="P1372" s="19" t="str">
        <x:f>IF(AND(B1372="Butterfly",J1372&gt;0,J1372&lt;K1372),L1372/J1372,"n.a.")</x:f>
        <x:v>n.a.</x:v>
      </x:c>
      <x:c r="Q1372" s="11" t="n">
        <x:f>J1372*'Model inputs'!$B$8</x:f>
        <x:v>-4.000000000000092</x:v>
      </x:c>
      <x:c r="R1372" s="1" t="str">
        <x:v>Outside standard debit bounds</x:v>
      </x:c>
      <x:c r="S1372" s="1" t="n">
        <x:v>504</x:v>
      </x:c>
      <x:c r="T1372" s="1" t="n">
        <x:v>523</x:v>
      </x:c>
    </x:row>
    <x:row r="1373" ht="21" customHeight="1">
      <x:c r="A1373" s="12" t="n">
        <x:v>46260</x:v>
      </x:c>
      <x:c r="B1373" s="1" t="str">
        <x:v>Butterfly</x:v>
      </x:c>
      <x:c r="C1373" s="1" t="str">
        <x:v>call</x:v>
      </x:c>
      <x:c r="D1373" s="11" t="n">
        <x:v>4200</x:v>
      </x:c>
      <x:c r="E1373" s="11" t="n">
        <x:v>4400</x:v>
      </x:c>
      <x:c r="F1373" s="11" t="n">
        <x:v>4600</x:v>
      </x:c>
      <x:c r="G1373" s="11" t="n">
        <x:f>'Option source'!B10</x:f>
        <x:v>2914.64</x:v>
      </x:c>
      <x:c r="H1373" s="11" t="n">
        <x:f>'Option source'!B29</x:f>
        <x:v>2387.12</x:v>
      </x:c>
      <x:c r="I1373" s="11" t="n">
        <x:f>'Option source'!B48</x:f>
        <x:v>2493.23</x:v>
      </x:c>
      <x:c r="J1373" s="11" t="n">
        <x:f>G1373-2*H1373+IF(B1373="Butterfly",I1373,0)</x:f>
        <x:v>633.6300000000001</x:v>
      </x:c>
      <x:c r="K1373" s="11" t="n">
        <x:f>ABS(E1373-D1373)</x:f>
        <x:v>200</x:v>
      </x:c>
      <x:c r="L1373" s="11" t="n">
        <x:f>K1373-J1373</x:f>
        <x:v>-433.6300000000001</x:v>
      </x:c>
      <x:c r="M1373" s="11" t="n">
        <x:f>IF(B1373="Butterfly",MAX(J1373,0),IF(C1373="call","Unlimited",MAX(2*E1373-D1373+J1373,J1373,0)))</x:f>
        <x:v>633.6300000000001</x:v>
      </x:c>
      <x:c r="N1373" s="11" t="str">
        <x:f>IF(B1373="Butterfly",IF(AND(J1373&gt;0,J1373&lt;K1373),D1373+J1373,"n.a."),IF(C1373="call",IF(AND(J1373&gt;0,J1373&lt;K1373),D1373+J1373,"n.a."),IF(AND(K1373&gt;J1373,2*E1373-D1373+J1373&gt;=0),2*E1373-D1373+J1373,"n.a.")))</x:f>
        <x:v>n.a.</x:v>
      </x:c>
      <x:c r="O1373" s="11" t="str">
        <x:f>IF(B1373="Butterfly",IF(AND(J1373&gt;0,J1373&lt;K1373),F1373-J1373,"n.a."),IF(C1373="call",IF(K1373&gt;J1373,2*E1373-D1373-J1373,"n.a."),IF(AND(J1373&gt;0,J1373&lt;K1373),D1373-J1373,"n.a.")))</x:f>
        <x:v>n.a.</x:v>
      </x:c>
      <x:c r="P1373" s="19" t="str">
        <x:f>IF(AND(B1373="Butterfly",J1373&gt;0,J1373&lt;K1373),L1373/J1373,"n.a.")</x:f>
        <x:v>n.a.</x:v>
      </x:c>
      <x:c r="Q1373" s="11" t="n">
        <x:f>J1373*'Model inputs'!$B$8</x:f>
        <x:v>63363.000000000015</x:v>
      </x:c>
      <x:c r="R1373" s="1" t="str">
        <x:v>Outside standard debit bounds</x:v>
      </x:c>
      <x:c r="S1373" s="1" t="n">
        <x:v>5</x:v>
      </x:c>
      <x:c r="T1373" s="1" t="n">
        <x:v>24</x:v>
      </x:c>
    </x:row>
    <x:row r="1374" ht="21" customHeight="1">
      <x:c r="A1374" s="12" t="n">
        <x:v>46260</x:v>
      </x:c>
      <x:c r="B1374" s="1" t="str">
        <x:v>1x2 ratio</x:v>
      </x:c>
      <x:c r="C1374" s="1" t="str">
        <x:v>call</x:v>
      </x:c>
      <x:c r="D1374" s="11" t="n">
        <x:v>6800</x:v>
      </x:c>
      <x:c r="E1374" s="11" t="n">
        <x:v>7000</x:v>
      </x:c>
      <x:c r="F1374" s="11"/>
      <x:c r="G1374" s="11" t="n">
        <x:f>'Option source'!B243</x:f>
        <x:v>690.84</x:v>
      </x:c>
      <x:c r="H1374" s="11" t="n">
        <x:f>'Option source'!B262</x:f>
        <x:v>565.7</x:v>
      </x:c>
      <x:c r="I1374" s="11"/>
      <x:c r="J1374" s="11" t="n">
        <x:f>G1374-2*H1374+IF(B1374="Butterfly",I1374,0)</x:f>
        <x:v>-440.56000000000006</x:v>
      </x:c>
      <x:c r="K1374" s="11" t="n">
        <x:f>ABS(E1374-D1374)</x:f>
        <x:v>200</x:v>
      </x:c>
      <x:c r="L1374" s="11" t="n">
        <x:f>K1374-J1374</x:f>
        <x:v>640.5600000000001</x:v>
      </x:c>
      <x:c r="M1374" s="11" t="str">
        <x:f>IF(B1374="Butterfly",MAX(J1374,0),IF(C1374="call","Unlimited",MAX(2*E1374-D1374+J1374,J1374,0)))</x:f>
        <x:v>Unlimited</x:v>
      </x:c>
      <x:c r="N1374" s="11" t="str">
        <x:f>IF(B1374="Butterfly",IF(AND(J1374&gt;0,J1374&lt;K1374),D1374+J1374,"n.a."),IF(C1374="call",IF(AND(J1374&gt;0,J1374&lt;K1374),D1374+J1374,"n.a."),IF(AND(K1374&gt;J1374,2*E1374-D1374+J1374&gt;=0),2*E1374-D1374+J1374,"n.a.")))</x:f>
        <x:v>n.a.</x:v>
      </x:c>
      <x:c r="O1374" s="11" t="n">
        <x:f>IF(B1374="Butterfly",IF(AND(J1374&gt;0,J1374&lt;K1374),F1374-J1374,"n.a."),IF(C1374="call",IF(K1374&gt;J1374,2*E1374-D1374-J1374,"n.a."),IF(AND(J1374&gt;0,J1374&lt;K1374),D1374-J1374,"n.a.")))</x:f>
        <x:v>7640.56</x:v>
      </x:c>
      <x:c r="P1374" s="19" t="str">
        <x:f>IF(AND(B1374="Butterfly",J1374&gt;0,J1374&lt;K1374),L1374/J1374,"n.a.")</x:f>
        <x:v>n.a.</x:v>
      </x:c>
      <x:c r="Q1374" s="11" t="n">
        <x:f>J1374*'Model inputs'!$B$8</x:f>
        <x:v>-44056.00000000001</x:v>
      </x:c>
      <x:c r="R1374" s="1" t="str">
        <x:v>Indicative only</x:v>
      </x:c>
      <x:c r="S1374" s="1" t="n">
        <x:v>238</x:v>
      </x:c>
      <x:c r="T1374" s="1" t="n">
        <x:v>257</x:v>
      </x:c>
    </x:row>
    <x:row r="1375" ht="21" customHeight="1">
      <x:c r="A1375" s="12" t="n">
        <x:v>46260</x:v>
      </x:c>
      <x:c r="B1375" s="1" t="str">
        <x:v>1x2 ratio</x:v>
      </x:c>
      <x:c r="C1375" s="1" t="str">
        <x:v>put</x:v>
      </x:c>
      <x:c r="D1375" s="11" t="n">
        <x:v>7200</x:v>
      </x:c>
      <x:c r="E1375" s="11" t="n">
        <x:v>7000</x:v>
      </x:c>
      <x:c r="F1375" s="11"/>
      <x:c r="G1375" s="11" t="n">
        <x:f>'Option source'!B775</x:f>
        <x:v>437.25</x:v>
      </x:c>
      <x:c r="H1375" s="11" t="n">
        <x:f>'Option source'!B756</x:f>
        <x:v>344.64</x:v>
      </x:c>
      <x:c r="I1375" s="11"/>
      <x:c r="J1375" s="11" t="n">
        <x:f>G1375-2*H1375+IF(B1375="Butterfly",I1375,0)</x:f>
        <x:v>-252.02999999999997</x:v>
      </x:c>
      <x:c r="K1375" s="11" t="n">
        <x:f>ABS(E1375-D1375)</x:f>
        <x:v>200</x:v>
      </x:c>
      <x:c r="L1375" s="11" t="n">
        <x:f>K1375-J1375</x:f>
        <x:v>452.03</x:v>
      </x:c>
      <x:c r="M1375" s="11" t="n">
        <x:f>IF(B1375="Butterfly",MAX(J1375,0),IF(C1375="call","Unlimited",MAX(2*E1375-D1375+J1375,J1375,0)))</x:f>
        <x:v>6547.97</x:v>
      </x:c>
      <x:c r="N1375" s="11" t="n">
        <x:f>IF(B1375="Butterfly",IF(AND(J1375&gt;0,J1375&lt;K1375),D1375+J1375,"n.a."),IF(C1375="call",IF(AND(J1375&gt;0,J1375&lt;K1375),D1375+J1375,"n.a."),IF(AND(K1375&gt;J1375,2*E1375-D1375+J1375&gt;=0),2*E1375-D1375+J1375,"n.a.")))</x:f>
        <x:v>6547.97</x:v>
      </x:c>
      <x:c r="O1375" s="11" t="str">
        <x:f>IF(B1375="Butterfly",IF(AND(J1375&gt;0,J1375&lt;K1375),F1375-J1375,"n.a."),IF(C1375="call",IF(K1375&gt;J1375,2*E1375-D1375-J1375,"n.a."),IF(AND(J1375&gt;0,J1375&lt;K1375),D1375-J1375,"n.a.")))</x:f>
        <x:v>n.a.</x:v>
      </x:c>
      <x:c r="P1375" s="19" t="str">
        <x:f>IF(AND(B1375="Butterfly",J1375&gt;0,J1375&lt;K1375),L1375/J1375,"n.a.")</x:f>
        <x:v>n.a.</x:v>
      </x:c>
      <x:c r="Q1375" s="11" t="n">
        <x:f>J1375*'Model inputs'!$B$8</x:f>
        <x:v>-25202.999999999996</x:v>
      </x:c>
      <x:c r="R1375" s="1" t="str">
        <x:v>Indicative only</x:v>
      </x:c>
      <x:c r="S1375" s="1" t="n">
        <x:v>770</x:v>
      </x:c>
      <x:c r="T1375" s="1" t="n">
        <x:v>751</x:v>
      </x:c>
    </x:row>
    <x:row r="1376" ht="21" customHeight="1">
      <x:c r="A1376" s="12" t="n">
        <x:v>46260</x:v>
      </x:c>
      <x:c r="B1376" s="1" t="str">
        <x:v>1x2 ratio</x:v>
      </x:c>
      <x:c r="C1376" s="1" t="str">
        <x:v>call</x:v>
      </x:c>
      <x:c r="D1376" s="11" t="n">
        <x:v>7000</x:v>
      </x:c>
      <x:c r="E1376" s="11" t="n">
        <x:v>7200</x:v>
      </x:c>
      <x:c r="F1376" s="11"/>
      <x:c r="G1376" s="11" t="n">
        <x:f>'Option source'!B262</x:f>
        <x:v>565.7</x:v>
      </x:c>
      <x:c r="H1376" s="11" t="n">
        <x:f>'Option source'!B281</x:f>
        <x:v>475.76</x:v>
      </x:c>
      <x:c r="I1376" s="11"/>
      <x:c r="J1376" s="11" t="n">
        <x:f>G1376-2*H1376+IF(B1376="Butterfly",I1376,0)</x:f>
        <x:v>-385.81999999999994</x:v>
      </x:c>
      <x:c r="K1376" s="11" t="n">
        <x:f>ABS(E1376-D1376)</x:f>
        <x:v>200</x:v>
      </x:c>
      <x:c r="L1376" s="11" t="n">
        <x:f>K1376-J1376</x:f>
        <x:v>585.8199999999999</x:v>
      </x:c>
      <x:c r="M1376" s="11" t="str">
        <x:f>IF(B1376="Butterfly",MAX(J1376,0),IF(C1376="call","Unlimited",MAX(2*E1376-D1376+J1376,J1376,0)))</x:f>
        <x:v>Unlimited</x:v>
      </x:c>
      <x:c r="N1376" s="11" t="str">
        <x:f>IF(B1376="Butterfly",IF(AND(J1376&gt;0,J1376&lt;K1376),D1376+J1376,"n.a."),IF(C1376="call",IF(AND(J1376&gt;0,J1376&lt;K1376),D1376+J1376,"n.a."),IF(AND(K1376&gt;J1376,2*E1376-D1376+J1376&gt;=0),2*E1376-D1376+J1376,"n.a.")))</x:f>
        <x:v>n.a.</x:v>
      </x:c>
      <x:c r="O1376" s="11" t="n">
        <x:f>IF(B1376="Butterfly",IF(AND(J1376&gt;0,J1376&lt;K1376),F1376-J1376,"n.a."),IF(C1376="call",IF(K1376&gt;J1376,2*E1376-D1376-J1376,"n.a."),IF(AND(J1376&gt;0,J1376&lt;K1376),D1376-J1376,"n.a.")))</x:f>
        <x:v>7785.82</x:v>
      </x:c>
      <x:c r="P1376" s="19" t="str">
        <x:f>IF(AND(B1376="Butterfly",J1376&gt;0,J1376&lt;K1376),L1376/J1376,"n.a.")</x:f>
        <x:v>n.a.</x:v>
      </x:c>
      <x:c r="Q1376" s="11" t="n">
        <x:f>J1376*'Model inputs'!$B$8</x:f>
        <x:v>-38581.99999999999</x:v>
      </x:c>
      <x:c r="R1376" s="1" t="str">
        <x:v>Indicative only</x:v>
      </x:c>
      <x:c r="S1376" s="1" t="n">
        <x:v>257</x:v>
      </x:c>
      <x:c r="T1376" s="1" t="n">
        <x:v>276</x:v>
      </x:c>
    </x:row>
    <x:row r="1377" ht="21" customHeight="1">
      <x:c r="A1377" s="12" t="n">
        <x:v>46260</x:v>
      </x:c>
      <x:c r="B1377" s="1" t="str">
        <x:v>1x2 ratio</x:v>
      </x:c>
      <x:c r="C1377" s="1" t="str">
        <x:v>put</x:v>
      </x:c>
      <x:c r="D1377" s="11" t="n">
        <x:v>7400</x:v>
      </x:c>
      <x:c r="E1377" s="11" t="n">
        <x:v>7200</x:v>
      </x:c>
      <x:c r="F1377" s="11"/>
      <x:c r="G1377" s="11" t="n">
        <x:f>'Option source'!B794</x:f>
        <x:v>549.96</x:v>
      </x:c>
      <x:c r="H1377" s="11" t="n">
        <x:f>'Option source'!B775</x:f>
        <x:v>437.25</x:v>
      </x:c>
      <x:c r="I1377" s="11"/>
      <x:c r="J1377" s="11" t="n">
        <x:f>G1377-2*H1377+IF(B1377="Butterfly",I1377,0)</x:f>
        <x:v>-324.53999999999996</x:v>
      </x:c>
      <x:c r="K1377" s="11" t="n">
        <x:f>ABS(E1377-D1377)</x:f>
        <x:v>200</x:v>
      </x:c>
      <x:c r="L1377" s="11" t="n">
        <x:f>K1377-J1377</x:f>
        <x:v>524.54</x:v>
      </x:c>
      <x:c r="M1377" s="11" t="n">
        <x:f>IF(B1377="Butterfly",MAX(J1377,0),IF(C1377="call","Unlimited",MAX(2*E1377-D1377+J1377,J1377,0)))</x:f>
        <x:v>6675.46</x:v>
      </x:c>
      <x:c r="N1377" s="11" t="n">
        <x:f>IF(B1377="Butterfly",IF(AND(J1377&gt;0,J1377&lt;K1377),D1377+J1377,"n.a."),IF(C1377="call",IF(AND(J1377&gt;0,J1377&lt;K1377),D1377+J1377,"n.a."),IF(AND(K1377&gt;J1377,2*E1377-D1377+J1377&gt;=0),2*E1377-D1377+J1377,"n.a.")))</x:f>
        <x:v>6675.46</x:v>
      </x:c>
      <x:c r="O1377" s="11" t="str">
        <x:f>IF(B1377="Butterfly",IF(AND(J1377&gt;0,J1377&lt;K1377),F1377-J1377,"n.a."),IF(C1377="call",IF(K1377&gt;J1377,2*E1377-D1377-J1377,"n.a."),IF(AND(J1377&gt;0,J1377&lt;K1377),D1377-J1377,"n.a.")))</x:f>
        <x:v>n.a.</x:v>
      </x:c>
      <x:c r="P1377" s="19" t="str">
        <x:f>IF(AND(B1377="Butterfly",J1377&gt;0,J1377&lt;K1377),L1377/J1377,"n.a.")</x:f>
        <x:v>n.a.</x:v>
      </x:c>
      <x:c r="Q1377" s="11" t="n">
        <x:f>J1377*'Model inputs'!$B$8</x:f>
        <x:v>-32453.999999999996</x:v>
      </x:c>
      <x:c r="R1377" s="1" t="str">
        <x:v>Indicative only</x:v>
      </x:c>
      <x:c r="S1377" s="1" t="n">
        <x:v>789</x:v>
      </x:c>
      <x:c r="T1377" s="1" t="n">
        <x:v>770</x:v>
      </x:c>
    </x:row>
    <x:row r="1378" ht="21" customHeight="1">
      <x:c r="A1378" s="12" t="n">
        <x:v>46260</x:v>
      </x:c>
      <x:c r="B1378" s="1" t="str">
        <x:v>1x2 ratio</x:v>
      </x:c>
      <x:c r="C1378" s="1" t="str">
        <x:v>call</x:v>
      </x:c>
      <x:c r="D1378" s="11" t="n">
        <x:v>6600</x:v>
      </x:c>
      <x:c r="E1378" s="11" t="n">
        <x:v>6800</x:v>
      </x:c>
      <x:c r="F1378" s="11"/>
      <x:c r="G1378" s="11" t="n">
        <x:f>'Option source'!B224</x:f>
        <x:v>808.58</x:v>
      </x:c>
      <x:c r="H1378" s="11" t="n">
        <x:f>'Option source'!B243</x:f>
        <x:v>690.84</x:v>
      </x:c>
      <x:c r="I1378" s="11"/>
      <x:c r="J1378" s="11" t="n">
        <x:f>G1378-2*H1378+IF(B1378="Butterfly",I1378,0)</x:f>
        <x:v>-573.1</x:v>
      </x:c>
      <x:c r="K1378" s="11" t="n">
        <x:f>ABS(E1378-D1378)</x:f>
        <x:v>200</x:v>
      </x:c>
      <x:c r="L1378" s="11" t="n">
        <x:f>K1378-J1378</x:f>
        <x:v>773.1</x:v>
      </x:c>
      <x:c r="M1378" s="11" t="str">
        <x:f>IF(B1378="Butterfly",MAX(J1378,0),IF(C1378="call","Unlimited",MAX(2*E1378-D1378+J1378,J1378,0)))</x:f>
        <x:v>Unlimited</x:v>
      </x:c>
      <x:c r="N1378" s="11" t="str">
        <x:f>IF(B1378="Butterfly",IF(AND(J1378&gt;0,J1378&lt;K1378),D1378+J1378,"n.a."),IF(C1378="call",IF(AND(J1378&gt;0,J1378&lt;K1378),D1378+J1378,"n.a."),IF(AND(K1378&gt;J1378,2*E1378-D1378+J1378&gt;=0),2*E1378-D1378+J1378,"n.a.")))</x:f>
        <x:v>n.a.</x:v>
      </x:c>
      <x:c r="O1378" s="11" t="n">
        <x:f>IF(B1378="Butterfly",IF(AND(J1378&gt;0,J1378&lt;K1378),F1378-J1378,"n.a."),IF(C1378="call",IF(K1378&gt;J1378,2*E1378-D1378-J1378,"n.a."),IF(AND(J1378&gt;0,J1378&lt;K1378),D1378-J1378,"n.a.")))</x:f>
        <x:v>7573.1</x:v>
      </x:c>
      <x:c r="P1378" s="19" t="str">
        <x:f>IF(AND(B1378="Butterfly",J1378&gt;0,J1378&lt;K1378),L1378/J1378,"n.a.")</x:f>
        <x:v>n.a.</x:v>
      </x:c>
      <x:c r="Q1378" s="11" t="n">
        <x:f>J1378*'Model inputs'!$B$8</x:f>
        <x:v>-57310</x:v>
      </x:c>
      <x:c r="R1378" s="1" t="str">
        <x:v>Indicative only</x:v>
      </x:c>
      <x:c r="S1378" s="1" t="n">
        <x:v>219</x:v>
      </x:c>
      <x:c r="T1378" s="1" t="n">
        <x:v>238</x:v>
      </x:c>
    </x:row>
    <x:row r="1379" ht="21" customHeight="1">
      <x:c r="A1379" s="12" t="n">
        <x:v>46260</x:v>
      </x:c>
      <x:c r="B1379" s="1" t="str">
        <x:v>1x2 ratio</x:v>
      </x:c>
      <x:c r="C1379" s="1" t="str">
        <x:v>put</x:v>
      </x:c>
      <x:c r="D1379" s="11" t="n">
        <x:v>7000</x:v>
      </x:c>
      <x:c r="E1379" s="11" t="n">
        <x:v>6800</x:v>
      </x:c>
      <x:c r="F1379" s="11"/>
      <x:c r="G1379" s="11" t="n">
        <x:f>'Option source'!B756</x:f>
        <x:v>344.64</x:v>
      </x:c>
      <x:c r="H1379" s="11" t="n">
        <x:f>'Option source'!B737</x:f>
        <x:v>260.29</x:v>
      </x:c>
      <x:c r="I1379" s="11"/>
      <x:c r="J1379" s="11" t="n">
        <x:f>G1379-2*H1379+IF(B1379="Butterfly",I1379,0)</x:f>
        <x:v>-175.94000000000005</x:v>
      </x:c>
      <x:c r="K1379" s="11" t="n">
        <x:f>ABS(E1379-D1379)</x:f>
        <x:v>200</x:v>
      </x:c>
      <x:c r="L1379" s="11" t="n">
        <x:f>K1379-J1379</x:f>
        <x:v>375.94000000000005</x:v>
      </x:c>
      <x:c r="M1379" s="11" t="n">
        <x:f>IF(B1379="Butterfly",MAX(J1379,0),IF(C1379="call","Unlimited",MAX(2*E1379-D1379+J1379,J1379,0)))</x:f>
        <x:v>6424.0599999999995</x:v>
      </x:c>
      <x:c r="N1379" s="11" t="n">
        <x:f>IF(B1379="Butterfly",IF(AND(J1379&gt;0,J1379&lt;K1379),D1379+J1379,"n.a."),IF(C1379="call",IF(AND(J1379&gt;0,J1379&lt;K1379),D1379+J1379,"n.a."),IF(AND(K1379&gt;J1379,2*E1379-D1379+J1379&gt;=0),2*E1379-D1379+J1379,"n.a.")))</x:f>
        <x:v>6424.0599999999995</x:v>
      </x:c>
      <x:c r="O1379" s="11" t="str">
        <x:f>IF(B1379="Butterfly",IF(AND(J1379&gt;0,J1379&lt;K1379),F1379-J1379,"n.a."),IF(C1379="call",IF(K1379&gt;J1379,2*E1379-D1379-J1379,"n.a."),IF(AND(J1379&gt;0,J1379&lt;K1379),D1379-J1379,"n.a.")))</x:f>
        <x:v>n.a.</x:v>
      </x:c>
      <x:c r="P1379" s="19" t="str">
        <x:f>IF(AND(B1379="Butterfly",J1379&gt;0,J1379&lt;K1379),L1379/J1379,"n.a.")</x:f>
        <x:v>n.a.</x:v>
      </x:c>
      <x:c r="Q1379" s="11" t="n">
        <x:f>J1379*'Model inputs'!$B$8</x:f>
        <x:v>-17594.000000000007</x:v>
      </x:c>
      <x:c r="R1379" s="1" t="str">
        <x:v>Indicative only</x:v>
      </x:c>
      <x:c r="S1379" s="1" t="n">
        <x:v>751</x:v>
      </x:c>
      <x:c r="T1379" s="1" t="n">
        <x:v>732</x:v>
      </x:c>
    </x:row>
    <x:row r="1380" ht="21" customHeight="1">
      <x:c r="A1380" s="12" t="n">
        <x:v>46260</x:v>
      </x:c>
      <x:c r="B1380" s="1" t="str">
        <x:v>1x2 ratio</x:v>
      </x:c>
      <x:c r="C1380" s="1" t="str">
        <x:v>call</x:v>
      </x:c>
      <x:c r="D1380" s="11" t="n">
        <x:v>7200</x:v>
      </x:c>
      <x:c r="E1380" s="11" t="n">
        <x:v>7400</x:v>
      </x:c>
      <x:c r="F1380" s="11"/>
      <x:c r="G1380" s="11" t="n">
        <x:f>'Option source'!B281</x:f>
        <x:v>475.76</x:v>
      </x:c>
      <x:c r="H1380" s="11" t="n">
        <x:f>'Option source'!B300</x:f>
        <x:v>391.75</x:v>
      </x:c>
      <x:c r="I1380" s="11"/>
      <x:c r="J1380" s="11" t="n">
        <x:f>G1380-2*H1380+IF(B1380="Butterfly",I1380,0)</x:f>
        <x:v>-307.74</x:v>
      </x:c>
      <x:c r="K1380" s="11" t="n">
        <x:f>ABS(E1380-D1380)</x:f>
        <x:v>200</x:v>
      </x:c>
      <x:c r="L1380" s="11" t="n">
        <x:f>K1380-J1380</x:f>
        <x:v>507.74</x:v>
      </x:c>
      <x:c r="M1380" s="11" t="str">
        <x:f>IF(B1380="Butterfly",MAX(J1380,0),IF(C1380="call","Unlimited",MAX(2*E1380-D1380+J1380,J1380,0)))</x:f>
        <x:v>Unlimited</x:v>
      </x:c>
      <x:c r="N1380" s="11" t="str">
        <x:f>IF(B1380="Butterfly",IF(AND(J1380&gt;0,J1380&lt;K1380),D1380+J1380,"n.a."),IF(C1380="call",IF(AND(J1380&gt;0,J1380&lt;K1380),D1380+J1380,"n.a."),IF(AND(K1380&gt;J1380,2*E1380-D1380+J1380&gt;=0),2*E1380-D1380+J1380,"n.a.")))</x:f>
        <x:v>n.a.</x:v>
      </x:c>
      <x:c r="O1380" s="11" t="n">
        <x:f>IF(B1380="Butterfly",IF(AND(J1380&gt;0,J1380&lt;K1380),F1380-J1380,"n.a."),IF(C1380="call",IF(K1380&gt;J1380,2*E1380-D1380-J1380,"n.a."),IF(AND(J1380&gt;0,J1380&lt;K1380),D1380-J1380,"n.a.")))</x:f>
        <x:v>7907.74</x:v>
      </x:c>
      <x:c r="P1380" s="19" t="str">
        <x:f>IF(AND(B1380="Butterfly",J1380&gt;0,J1380&lt;K1380),L1380/J1380,"n.a.")</x:f>
        <x:v>n.a.</x:v>
      </x:c>
      <x:c r="Q1380" s="11" t="n">
        <x:f>J1380*'Model inputs'!$B$8</x:f>
        <x:v>-30774</x:v>
      </x:c>
      <x:c r="R1380" s="1" t="str">
        <x:v>Indicative only</x:v>
      </x:c>
      <x:c r="S1380" s="1" t="n">
        <x:v>276</x:v>
      </x:c>
      <x:c r="T1380" s="1" t="n">
        <x:v>295</x:v>
      </x:c>
    </x:row>
    <x:row r="1381" ht="21" customHeight="1">
      <x:c r="A1381" s="12" t="n">
        <x:v>46260</x:v>
      </x:c>
      <x:c r="B1381" s="1" t="str">
        <x:v>1x2 ratio</x:v>
      </x:c>
      <x:c r="C1381" s="1" t="str">
        <x:v>put</x:v>
      </x:c>
      <x:c r="D1381" s="11" t="n">
        <x:v>7600</x:v>
      </x:c>
      <x:c r="E1381" s="11" t="n">
        <x:v>7400</x:v>
      </x:c>
      <x:c r="F1381" s="11"/>
      <x:c r="G1381" s="11" t="n">
        <x:f>'Option source'!B813</x:f>
        <x:v>665</x:v>
      </x:c>
      <x:c r="H1381" s="11" t="n">
        <x:f>'Option source'!B794</x:f>
        <x:v>549.96</x:v>
      </x:c>
      <x:c r="I1381" s="11"/>
      <x:c r="J1381" s="11" t="n">
        <x:f>G1381-2*H1381+IF(B1381="Butterfly",I1381,0)</x:f>
        <x:v>-434.9200000000001</x:v>
      </x:c>
      <x:c r="K1381" s="11" t="n">
        <x:f>ABS(E1381-D1381)</x:f>
        <x:v>200</x:v>
      </x:c>
      <x:c r="L1381" s="11" t="n">
        <x:f>K1381-J1381</x:f>
        <x:v>634.9200000000001</x:v>
      </x:c>
      <x:c r="M1381" s="11" t="n">
        <x:f>IF(B1381="Butterfly",MAX(J1381,0),IF(C1381="call","Unlimited",MAX(2*E1381-D1381+J1381,J1381,0)))</x:f>
        <x:v>6765.08</x:v>
      </x:c>
      <x:c r="N1381" s="11" t="n">
        <x:f>IF(B1381="Butterfly",IF(AND(J1381&gt;0,J1381&lt;K1381),D1381+J1381,"n.a."),IF(C1381="call",IF(AND(J1381&gt;0,J1381&lt;K1381),D1381+J1381,"n.a."),IF(AND(K1381&gt;J1381,2*E1381-D1381+J1381&gt;=0),2*E1381-D1381+J1381,"n.a.")))</x:f>
        <x:v>6765.08</x:v>
      </x:c>
      <x:c r="O1381" s="11" t="str">
        <x:f>IF(B1381="Butterfly",IF(AND(J1381&gt;0,J1381&lt;K1381),F1381-J1381,"n.a."),IF(C1381="call",IF(K1381&gt;J1381,2*E1381-D1381-J1381,"n.a."),IF(AND(J1381&gt;0,J1381&lt;K1381),D1381-J1381,"n.a.")))</x:f>
        <x:v>n.a.</x:v>
      </x:c>
      <x:c r="P1381" s="19" t="str">
        <x:f>IF(AND(B1381="Butterfly",J1381&gt;0,J1381&lt;K1381),L1381/J1381,"n.a.")</x:f>
        <x:v>n.a.</x:v>
      </x:c>
      <x:c r="Q1381" s="11" t="n">
        <x:f>J1381*'Model inputs'!$B$8</x:f>
        <x:v>-43492.00000000001</x:v>
      </x:c>
      <x:c r="R1381" s="1" t="str">
        <x:v>Indicative only</x:v>
      </x:c>
      <x:c r="S1381" s="1" t="n">
        <x:v>808</x:v>
      </x:c>
      <x:c r="T1381" s="1" t="n">
        <x:v>789</x:v>
      </x:c>
    </x:row>
    <x:row r="1382" ht="21" customHeight="1">
      <x:c r="A1382" s="12" t="n">
        <x:v>46260</x:v>
      </x:c>
      <x:c r="B1382" s="1" t="str">
        <x:v>1x2 ratio</x:v>
      </x:c>
      <x:c r="C1382" s="1" t="str">
        <x:v>call</x:v>
      </x:c>
      <x:c r="D1382" s="11" t="n">
        <x:v>6400</x:v>
      </x:c>
      <x:c r="E1382" s="11" t="n">
        <x:v>6600</x:v>
      </x:c>
      <x:c r="F1382" s="11"/>
      <x:c r="G1382" s="11" t="n">
        <x:f>'Option source'!B205</x:f>
        <x:v>944.2</x:v>
      </x:c>
      <x:c r="H1382" s="11" t="n">
        <x:f>'Option source'!B224</x:f>
        <x:v>808.58</x:v>
      </x:c>
      <x:c r="I1382" s="11"/>
      <x:c r="J1382" s="11" t="n">
        <x:f>G1382-2*H1382+IF(B1382="Butterfly",I1382,0)</x:f>
        <x:v>-672.96</x:v>
      </x:c>
      <x:c r="K1382" s="11" t="n">
        <x:f>ABS(E1382-D1382)</x:f>
        <x:v>200</x:v>
      </x:c>
      <x:c r="L1382" s="11" t="n">
        <x:f>K1382-J1382</x:f>
        <x:v>872.96</x:v>
      </x:c>
      <x:c r="M1382" s="11" t="str">
        <x:f>IF(B1382="Butterfly",MAX(J1382,0),IF(C1382="call","Unlimited",MAX(2*E1382-D1382+J1382,J1382,0)))</x:f>
        <x:v>Unlimited</x:v>
      </x:c>
      <x:c r="N1382" s="11" t="str">
        <x:f>IF(B1382="Butterfly",IF(AND(J1382&gt;0,J1382&lt;K1382),D1382+J1382,"n.a."),IF(C1382="call",IF(AND(J1382&gt;0,J1382&lt;K1382),D1382+J1382,"n.a."),IF(AND(K1382&gt;J1382,2*E1382-D1382+J1382&gt;=0),2*E1382-D1382+J1382,"n.a.")))</x:f>
        <x:v>n.a.</x:v>
      </x:c>
      <x:c r="O1382" s="11" t="n">
        <x:f>IF(B1382="Butterfly",IF(AND(J1382&gt;0,J1382&lt;K1382),F1382-J1382,"n.a."),IF(C1382="call",IF(K1382&gt;J1382,2*E1382-D1382-J1382,"n.a."),IF(AND(J1382&gt;0,J1382&lt;K1382),D1382-J1382,"n.a.")))</x:f>
        <x:v>7472.96</x:v>
      </x:c>
      <x:c r="P1382" s="19" t="str">
        <x:f>IF(AND(B1382="Butterfly",J1382&gt;0,J1382&lt;K1382),L1382/J1382,"n.a.")</x:f>
        <x:v>n.a.</x:v>
      </x:c>
      <x:c r="Q1382" s="11" t="n">
        <x:f>J1382*'Model inputs'!$B$8</x:f>
        <x:v>-67296</x:v>
      </x:c>
      <x:c r="R1382" s="1" t="str">
        <x:v>Indicative only</x:v>
      </x:c>
      <x:c r="S1382" s="1" t="n">
        <x:v>200</x:v>
      </x:c>
      <x:c r="T1382" s="1" t="n">
        <x:v>219</x:v>
      </x:c>
    </x:row>
    <x:row r="1383" ht="21" customHeight="1">
      <x:c r="A1383" s="12" t="n">
        <x:v>46260</x:v>
      </x:c>
      <x:c r="B1383" s="1" t="str">
        <x:v>1x2 ratio</x:v>
      </x:c>
      <x:c r="C1383" s="1" t="str">
        <x:v>put</x:v>
      </x:c>
      <x:c r="D1383" s="11" t="n">
        <x:v>6800</x:v>
      </x:c>
      <x:c r="E1383" s="11" t="n">
        <x:v>6600</x:v>
      </x:c>
      <x:c r="F1383" s="11"/>
      <x:c r="G1383" s="11" t="n">
        <x:f>'Option source'!B737</x:f>
        <x:v>260.29</x:v>
      </x:c>
      <x:c r="H1383" s="11" t="n">
        <x:f>'Option source'!B718</x:f>
        <x:v>195.14</x:v>
      </x:c>
      <x:c r="I1383" s="11"/>
      <x:c r="J1383" s="11" t="n">
        <x:f>G1383-2*H1383+IF(B1383="Butterfly",I1383,0)</x:f>
        <x:v>-129.98999999999995</x:v>
      </x:c>
      <x:c r="K1383" s="11" t="n">
        <x:f>ABS(E1383-D1383)</x:f>
        <x:v>200</x:v>
      </x:c>
      <x:c r="L1383" s="11" t="n">
        <x:f>K1383-J1383</x:f>
        <x:v>329.98999999999995</x:v>
      </x:c>
      <x:c r="M1383" s="11" t="n">
        <x:f>IF(B1383="Butterfly",MAX(J1383,0),IF(C1383="call","Unlimited",MAX(2*E1383-D1383+J1383,J1383,0)))</x:f>
        <x:v>6270.01</x:v>
      </x:c>
      <x:c r="N1383" s="11" t="n">
        <x:f>IF(B1383="Butterfly",IF(AND(J1383&gt;0,J1383&lt;K1383),D1383+J1383,"n.a."),IF(C1383="call",IF(AND(J1383&gt;0,J1383&lt;K1383),D1383+J1383,"n.a."),IF(AND(K1383&gt;J1383,2*E1383-D1383+J1383&gt;=0),2*E1383-D1383+J1383,"n.a.")))</x:f>
        <x:v>6270.01</x:v>
      </x:c>
      <x:c r="O1383" s="11" t="str">
        <x:f>IF(B1383="Butterfly",IF(AND(J1383&gt;0,J1383&lt;K1383),F1383-J1383,"n.a."),IF(C1383="call",IF(K1383&gt;J1383,2*E1383-D1383-J1383,"n.a."),IF(AND(J1383&gt;0,J1383&lt;K1383),D1383-J1383,"n.a.")))</x:f>
        <x:v>n.a.</x:v>
      </x:c>
      <x:c r="P1383" s="19" t="str">
        <x:f>IF(AND(B1383="Butterfly",J1383&gt;0,J1383&lt;K1383),L1383/J1383,"n.a.")</x:f>
        <x:v>n.a.</x:v>
      </x:c>
      <x:c r="Q1383" s="11" t="n">
        <x:f>J1383*'Model inputs'!$B$8</x:f>
        <x:v>-12998.999999999995</x:v>
      </x:c>
      <x:c r="R1383" s="1" t="str">
        <x:v>Indicative only</x:v>
      </x:c>
      <x:c r="S1383" s="1" t="n">
        <x:v>732</x:v>
      </x:c>
      <x:c r="T1383" s="1" t="n">
        <x:v>713</x:v>
      </x:c>
    </x:row>
    <x:row r="1384" ht="21" customHeight="1">
      <x:c r="A1384" s="12" t="n">
        <x:v>46260</x:v>
      </x:c>
      <x:c r="B1384" s="1" t="str">
        <x:v>1x2 ratio</x:v>
      </x:c>
      <x:c r="C1384" s="1" t="str">
        <x:v>call</x:v>
      </x:c>
      <x:c r="D1384" s="11" t="n">
        <x:v>7400</x:v>
      </x:c>
      <x:c r="E1384" s="11" t="n">
        <x:v>7600</x:v>
      </x:c>
      <x:c r="F1384" s="11"/>
      <x:c r="G1384" s="11" t="n">
        <x:f>'Option source'!B300</x:f>
        <x:v>391.75</x:v>
      </x:c>
      <x:c r="H1384" s="11" t="n">
        <x:f>'Option source'!B319</x:f>
        <x:v>316.15</x:v>
      </x:c>
      <x:c r="I1384" s="11"/>
      <x:c r="J1384" s="11" t="n">
        <x:f>G1384-2*H1384+IF(B1384="Butterfly",I1384,0)</x:f>
        <x:v>-240.54999999999995</x:v>
      </x:c>
      <x:c r="K1384" s="11" t="n">
        <x:f>ABS(E1384-D1384)</x:f>
        <x:v>200</x:v>
      </x:c>
      <x:c r="L1384" s="11" t="n">
        <x:f>K1384-J1384</x:f>
        <x:v>440.54999999999995</x:v>
      </x:c>
      <x:c r="M1384" s="11" t="str">
        <x:f>IF(B1384="Butterfly",MAX(J1384,0),IF(C1384="call","Unlimited",MAX(2*E1384-D1384+J1384,J1384,0)))</x:f>
        <x:v>Unlimited</x:v>
      </x:c>
      <x:c r="N1384" s="11" t="str">
        <x:f>IF(B1384="Butterfly",IF(AND(J1384&gt;0,J1384&lt;K1384),D1384+J1384,"n.a."),IF(C1384="call",IF(AND(J1384&gt;0,J1384&lt;K1384),D1384+J1384,"n.a."),IF(AND(K1384&gt;J1384,2*E1384-D1384+J1384&gt;=0),2*E1384-D1384+J1384,"n.a.")))</x:f>
        <x:v>n.a.</x:v>
      </x:c>
      <x:c r="O1384" s="11" t="n">
        <x:f>IF(B1384="Butterfly",IF(AND(J1384&gt;0,J1384&lt;K1384),F1384-J1384,"n.a."),IF(C1384="call",IF(K1384&gt;J1384,2*E1384-D1384-J1384,"n.a."),IF(AND(J1384&gt;0,J1384&lt;K1384),D1384-J1384,"n.a.")))</x:f>
        <x:v>8040.55</x:v>
      </x:c>
      <x:c r="P1384" s="19" t="str">
        <x:f>IF(AND(B1384="Butterfly",J1384&gt;0,J1384&lt;K1384),L1384/J1384,"n.a.")</x:f>
        <x:v>n.a.</x:v>
      </x:c>
      <x:c r="Q1384" s="11" t="n">
        <x:f>J1384*'Model inputs'!$B$8</x:f>
        <x:v>-24054.999999999996</x:v>
      </x:c>
      <x:c r="R1384" s="1" t="str">
        <x:v>Indicative only</x:v>
      </x:c>
      <x:c r="S1384" s="1" t="n">
        <x:v>295</x:v>
      </x:c>
      <x:c r="T1384" s="1" t="n">
        <x:v>314</x:v>
      </x:c>
    </x:row>
    <x:row r="1385" ht="21" customHeight="1">
      <x:c r="A1385" s="12" t="n">
        <x:v>46260</x:v>
      </x:c>
      <x:c r="B1385" s="1" t="str">
        <x:v>1x2 ratio</x:v>
      </x:c>
      <x:c r="C1385" s="1" t="str">
        <x:v>put</x:v>
      </x:c>
      <x:c r="D1385" s="11" t="n">
        <x:v>6600</x:v>
      </x:c>
      <x:c r="E1385" s="11" t="n">
        <x:v>6400</x:v>
      </x:c>
      <x:c r="F1385" s="11"/>
      <x:c r="G1385" s="11" t="n">
        <x:f>'Option source'!B718</x:f>
        <x:v>195.14</x:v>
      </x:c>
      <x:c r="H1385" s="11" t="n">
        <x:f>'Option source'!B699</x:f>
        <x:v>135.93</x:v>
      </x:c>
      <x:c r="I1385" s="11"/>
      <x:c r="J1385" s="11" t="n">
        <x:f>G1385-2*H1385+IF(B1385="Butterfly",I1385,0)</x:f>
        <x:v>-76.72000000000003</x:v>
      </x:c>
      <x:c r="K1385" s="11" t="n">
        <x:f>ABS(E1385-D1385)</x:f>
        <x:v>200</x:v>
      </x:c>
      <x:c r="L1385" s="11" t="n">
        <x:f>K1385-J1385</x:f>
        <x:v>276.72</x:v>
      </x:c>
      <x:c r="M1385" s="11" t="n">
        <x:f>IF(B1385="Butterfly",MAX(J1385,0),IF(C1385="call","Unlimited",MAX(2*E1385-D1385+J1385,J1385,0)))</x:f>
        <x:v>6123.28</x:v>
      </x:c>
      <x:c r="N1385" s="11" t="n">
        <x:f>IF(B1385="Butterfly",IF(AND(J1385&gt;0,J1385&lt;K1385),D1385+J1385,"n.a."),IF(C1385="call",IF(AND(J1385&gt;0,J1385&lt;K1385),D1385+J1385,"n.a."),IF(AND(K1385&gt;J1385,2*E1385-D1385+J1385&gt;=0),2*E1385-D1385+J1385,"n.a.")))</x:f>
        <x:v>6123.28</x:v>
      </x:c>
      <x:c r="O1385" s="11" t="str">
        <x:f>IF(B1385="Butterfly",IF(AND(J1385&gt;0,J1385&lt;K1385),F1385-J1385,"n.a."),IF(C1385="call",IF(K1385&gt;J1385,2*E1385-D1385-J1385,"n.a."),IF(AND(J1385&gt;0,J1385&lt;K1385),D1385-J1385,"n.a.")))</x:f>
        <x:v>n.a.</x:v>
      </x:c>
      <x:c r="P1385" s="19" t="str">
        <x:f>IF(AND(B1385="Butterfly",J1385&gt;0,J1385&lt;K1385),L1385/J1385,"n.a.")</x:f>
        <x:v>n.a.</x:v>
      </x:c>
      <x:c r="Q1385" s="11" t="n">
        <x:f>J1385*'Model inputs'!$B$8</x:f>
        <x:v>-7672.000000000003</x:v>
      </x:c>
      <x:c r="R1385" s="1" t="str">
        <x:v>Indicative only</x:v>
      </x:c>
      <x:c r="S1385" s="1" t="n">
        <x:v>713</x:v>
      </x:c>
      <x:c r="T1385" s="1" t="n">
        <x:v>694</x:v>
      </x:c>
    </x:row>
    <x:row r="1386" ht="21" customHeight="1">
      <x:c r="A1386" s="12" t="n">
        <x:v>46260</x:v>
      </x:c>
      <x:c r="B1386" s="1" t="str">
        <x:v>1x2 ratio</x:v>
      </x:c>
      <x:c r="C1386" s="1" t="str">
        <x:v>call</x:v>
      </x:c>
      <x:c r="D1386" s="11" t="n">
        <x:v>7600</x:v>
      </x:c>
      <x:c r="E1386" s="11" t="n">
        <x:v>7800</x:v>
      </x:c>
      <x:c r="F1386" s="11"/>
      <x:c r="G1386" s="11" t="n">
        <x:f>'Option source'!B319</x:f>
        <x:v>316.15</x:v>
      </x:c>
      <x:c r="H1386" s="11" t="n">
        <x:f>'Option source'!B338</x:f>
        <x:v>250.53</x:v>
      </x:c>
      <x:c r="I1386" s="11"/>
      <x:c r="J1386" s="11" t="n">
        <x:f>G1386-2*H1386+IF(B1386="Butterfly",I1386,0)</x:f>
        <x:v>-184.91000000000003</x:v>
      </x:c>
      <x:c r="K1386" s="11" t="n">
        <x:f>ABS(E1386-D1386)</x:f>
        <x:v>200</x:v>
      </x:c>
      <x:c r="L1386" s="11" t="n">
        <x:f>K1386-J1386</x:f>
        <x:v>384.91</x:v>
      </x:c>
      <x:c r="M1386" s="11" t="str">
        <x:f>IF(B1386="Butterfly",MAX(J1386,0),IF(C1386="call","Unlimited",MAX(2*E1386-D1386+J1386,J1386,0)))</x:f>
        <x:v>Unlimited</x:v>
      </x:c>
      <x:c r="N1386" s="11" t="str">
        <x:f>IF(B1386="Butterfly",IF(AND(J1386&gt;0,J1386&lt;K1386),D1386+J1386,"n.a."),IF(C1386="call",IF(AND(J1386&gt;0,J1386&lt;K1386),D1386+J1386,"n.a."),IF(AND(K1386&gt;J1386,2*E1386-D1386+J1386&gt;=0),2*E1386-D1386+J1386,"n.a.")))</x:f>
        <x:v>n.a.</x:v>
      </x:c>
      <x:c r="O1386" s="11" t="n">
        <x:f>IF(B1386="Butterfly",IF(AND(J1386&gt;0,J1386&lt;K1386),F1386-J1386,"n.a."),IF(C1386="call",IF(K1386&gt;J1386,2*E1386-D1386-J1386,"n.a."),IF(AND(J1386&gt;0,J1386&lt;K1386),D1386-J1386,"n.a.")))</x:f>
        <x:v>8184.91</x:v>
      </x:c>
      <x:c r="P1386" s="19" t="str">
        <x:f>IF(AND(B1386="Butterfly",J1386&gt;0,J1386&lt;K1386),L1386/J1386,"n.a.")</x:f>
        <x:v>n.a.</x:v>
      </x:c>
      <x:c r="Q1386" s="11" t="n">
        <x:f>J1386*'Model inputs'!$B$8</x:f>
        <x:v>-18491.000000000004</x:v>
      </x:c>
      <x:c r="R1386" s="1" t="str">
        <x:v>Indicative only</x:v>
      </x:c>
      <x:c r="S1386" s="1" t="n">
        <x:v>314</x:v>
      </x:c>
      <x:c r="T1386" s="1" t="n">
        <x:v>333</x:v>
      </x:c>
    </x:row>
    <x:row r="1387" ht="21" customHeight="1">
      <x:c r="A1387" s="12" t="n">
        <x:v>46260</x:v>
      </x:c>
      <x:c r="B1387" s="1" t="str">
        <x:v>1x2 ratio</x:v>
      </x:c>
      <x:c r="C1387" s="1" t="str">
        <x:v>put</x:v>
      </x:c>
      <x:c r="D1387" s="11" t="n">
        <x:v>6400</x:v>
      </x:c>
      <x:c r="E1387" s="11" t="n">
        <x:v>6200</x:v>
      </x:c>
      <x:c r="F1387" s="11"/>
      <x:c r="G1387" s="11" t="n">
        <x:f>'Option source'!B699</x:f>
        <x:v>135.93</x:v>
      </x:c>
      <x:c r="H1387" s="11" t="n">
        <x:f>'Option source'!B680</x:f>
        <x:v>92.32</x:v>
      </x:c>
      <x:c r="I1387" s="11"/>
      <x:c r="J1387" s="11" t="n">
        <x:f>G1387-2*H1387+IF(B1387="Butterfly",I1387,0)</x:f>
        <x:v>-48.70999999999998</x:v>
      </x:c>
      <x:c r="K1387" s="11" t="n">
        <x:f>ABS(E1387-D1387)</x:f>
        <x:v>200</x:v>
      </x:c>
      <x:c r="L1387" s="11" t="n">
        <x:f>K1387-J1387</x:f>
        <x:v>248.70999999999998</x:v>
      </x:c>
      <x:c r="M1387" s="11" t="n">
        <x:f>IF(B1387="Butterfly",MAX(J1387,0),IF(C1387="call","Unlimited",MAX(2*E1387-D1387+J1387,J1387,0)))</x:f>
        <x:v>5951.29</x:v>
      </x:c>
      <x:c r="N1387" s="11" t="n">
        <x:f>IF(B1387="Butterfly",IF(AND(J1387&gt;0,J1387&lt;K1387),D1387+J1387,"n.a."),IF(C1387="call",IF(AND(J1387&gt;0,J1387&lt;K1387),D1387+J1387,"n.a."),IF(AND(K1387&gt;J1387,2*E1387-D1387+J1387&gt;=0),2*E1387-D1387+J1387,"n.a.")))</x:f>
        <x:v>5951.29</x:v>
      </x:c>
      <x:c r="O1387" s="11" t="str">
        <x:f>IF(B1387="Butterfly",IF(AND(J1387&gt;0,J1387&lt;K1387),F1387-J1387,"n.a."),IF(C1387="call",IF(K1387&gt;J1387,2*E1387-D1387-J1387,"n.a."),IF(AND(J1387&gt;0,J1387&lt;K1387),D1387-J1387,"n.a.")))</x:f>
        <x:v>n.a.</x:v>
      </x:c>
      <x:c r="P1387" s="19" t="str">
        <x:f>IF(AND(B1387="Butterfly",J1387&gt;0,J1387&lt;K1387),L1387/J1387,"n.a.")</x:f>
        <x:v>n.a.</x:v>
      </x:c>
      <x:c r="Q1387" s="11" t="n">
        <x:f>J1387*'Model inputs'!$B$8</x:f>
        <x:v>-4870.999999999998</x:v>
      </x:c>
      <x:c r="R1387" s="1" t="str">
        <x:v>Indicative only</x:v>
      </x:c>
      <x:c r="S1387" s="1" t="n">
        <x:v>694</x:v>
      </x:c>
      <x:c r="T1387" s="1" t="n">
        <x:v>675</x:v>
      </x:c>
    </x:row>
    <x:row r="1388" ht="21" customHeight="1">
      <x:c r="A1388" s="12" t="n">
        <x:v>46260</x:v>
      </x:c>
      <x:c r="B1388" s="1" t="str">
        <x:v>1x2 ratio</x:v>
      </x:c>
      <x:c r="C1388" s="1" t="str">
        <x:v>call</x:v>
      </x:c>
      <x:c r="D1388" s="11" t="n">
        <x:v>7800</x:v>
      </x:c>
      <x:c r="E1388" s="11" t="n">
        <x:v>8000</x:v>
      </x:c>
      <x:c r="F1388" s="11"/>
      <x:c r="G1388" s="11" t="n">
        <x:f>'Option source'!B338</x:f>
        <x:v>250.53</x:v>
      </x:c>
      <x:c r="H1388" s="11" t="n">
        <x:f>'Option source'!B357</x:f>
        <x:v>199.33</x:v>
      </x:c>
      <x:c r="I1388" s="11"/>
      <x:c r="J1388" s="11" t="n">
        <x:f>G1388-2*H1388+IF(B1388="Butterfly",I1388,0)</x:f>
        <x:v>-148.13000000000002</x:v>
      </x:c>
      <x:c r="K1388" s="11" t="n">
        <x:f>ABS(E1388-D1388)</x:f>
        <x:v>200</x:v>
      </x:c>
      <x:c r="L1388" s="11" t="n">
        <x:f>K1388-J1388</x:f>
        <x:v>348.13</x:v>
      </x:c>
      <x:c r="M1388" s="11" t="str">
        <x:f>IF(B1388="Butterfly",MAX(J1388,0),IF(C1388="call","Unlimited",MAX(2*E1388-D1388+J1388,J1388,0)))</x:f>
        <x:v>Unlimited</x:v>
      </x:c>
      <x:c r="N1388" s="11" t="str">
        <x:f>IF(B1388="Butterfly",IF(AND(J1388&gt;0,J1388&lt;K1388),D1388+J1388,"n.a."),IF(C1388="call",IF(AND(J1388&gt;0,J1388&lt;K1388),D1388+J1388,"n.a."),IF(AND(K1388&gt;J1388,2*E1388-D1388+J1388&gt;=0),2*E1388-D1388+J1388,"n.a.")))</x:f>
        <x:v>n.a.</x:v>
      </x:c>
      <x:c r="O1388" s="11" t="n">
        <x:f>IF(B1388="Butterfly",IF(AND(J1388&gt;0,J1388&lt;K1388),F1388-J1388,"n.a."),IF(C1388="call",IF(K1388&gt;J1388,2*E1388-D1388-J1388,"n.a."),IF(AND(J1388&gt;0,J1388&lt;K1388),D1388-J1388,"n.a.")))</x:f>
        <x:v>8348.13</x:v>
      </x:c>
      <x:c r="P1388" s="19" t="str">
        <x:f>IF(AND(B1388="Butterfly",J1388&gt;0,J1388&lt;K1388),L1388/J1388,"n.a.")</x:f>
        <x:v>n.a.</x:v>
      </x:c>
      <x:c r="Q1388" s="11" t="n">
        <x:f>J1388*'Model inputs'!$B$8</x:f>
        <x:v>-14813.000000000002</x:v>
      </x:c>
      <x:c r="R1388" s="1" t="str">
        <x:v>Indicative only</x:v>
      </x:c>
      <x:c r="S1388" s="1" t="n">
        <x:v>333</x:v>
      </x:c>
      <x:c r="T1388" s="1" t="n">
        <x:v>352</x:v>
      </x:c>
    </x:row>
    <x:row r="1389" ht="21" customHeight="1">
      <x:c r="A1389" s="12" t="n">
        <x:v>46260</x:v>
      </x:c>
      <x:c r="B1389" s="1" t="str">
        <x:v>1x2 ratio</x:v>
      </x:c>
      <x:c r="C1389" s="1" t="str">
        <x:v>put</x:v>
      </x:c>
      <x:c r="D1389" s="11" t="n">
        <x:v>6200</x:v>
      </x:c>
      <x:c r="E1389" s="11" t="n">
        <x:v>6000</x:v>
      </x:c>
      <x:c r="F1389" s="11"/>
      <x:c r="G1389" s="11" t="n">
        <x:f>'Option source'!B680</x:f>
        <x:v>92.32</x:v>
      </x:c>
      <x:c r="H1389" s="11" t="n">
        <x:f>'Option source'!B661</x:f>
        <x:v>59.56</x:v>
      </x:c>
      <x:c r="I1389" s="11"/>
      <x:c r="J1389" s="11" t="n">
        <x:f>G1389-2*H1389+IF(B1389="Butterfly",I1389,0)</x:f>
        <x:v>-26.80000000000001</x:v>
      </x:c>
      <x:c r="K1389" s="11" t="n">
        <x:f>ABS(E1389-D1389)</x:f>
        <x:v>200</x:v>
      </x:c>
      <x:c r="L1389" s="11" t="n">
        <x:f>K1389-J1389</x:f>
        <x:v>226.8</x:v>
      </x:c>
      <x:c r="M1389" s="11" t="n">
        <x:f>IF(B1389="Butterfly",MAX(J1389,0),IF(C1389="call","Unlimited",MAX(2*E1389-D1389+J1389,J1389,0)))</x:f>
        <x:v>5773.2</x:v>
      </x:c>
      <x:c r="N1389" s="11" t="n">
        <x:f>IF(B1389="Butterfly",IF(AND(J1389&gt;0,J1389&lt;K1389),D1389+J1389,"n.a."),IF(C1389="call",IF(AND(J1389&gt;0,J1389&lt;K1389),D1389+J1389,"n.a."),IF(AND(K1389&gt;J1389,2*E1389-D1389+J1389&gt;=0),2*E1389-D1389+J1389,"n.a.")))</x:f>
        <x:v>5773.2</x:v>
      </x:c>
      <x:c r="O1389" s="11" t="str">
        <x:f>IF(B1389="Butterfly",IF(AND(J1389&gt;0,J1389&lt;K1389),F1389-J1389,"n.a."),IF(C1389="call",IF(K1389&gt;J1389,2*E1389-D1389-J1389,"n.a."),IF(AND(J1389&gt;0,J1389&lt;K1389),D1389-J1389,"n.a.")))</x:f>
        <x:v>n.a.</x:v>
      </x:c>
      <x:c r="P1389" s="19" t="str">
        <x:f>IF(AND(B1389="Butterfly",J1389&gt;0,J1389&lt;K1389),L1389/J1389,"n.a.")</x:f>
        <x:v>n.a.</x:v>
      </x:c>
      <x:c r="Q1389" s="11" t="n">
        <x:f>J1389*'Model inputs'!$B$8</x:f>
        <x:v>-2680.000000000001</x:v>
      </x:c>
      <x:c r="R1389" s="1" t="str">
        <x:v>Indicative only</x:v>
      </x:c>
      <x:c r="S1389" s="1" t="n">
        <x:v>675</x:v>
      </x:c>
      <x:c r="T1389" s="1" t="n">
        <x:v>656</x:v>
      </x:c>
    </x:row>
    <x:row r="1390" ht="21" customHeight="1">
      <x:c r="A1390" s="12" t="n">
        <x:v>46260</x:v>
      </x:c>
      <x:c r="B1390" s="1" t="str">
        <x:v>1x2 ratio</x:v>
      </x:c>
      <x:c r="C1390" s="1" t="str">
        <x:v>put</x:v>
      </x:c>
      <x:c r="D1390" s="11" t="n">
        <x:v>6000</x:v>
      </x:c>
      <x:c r="E1390" s="11" t="n">
        <x:v>5800</x:v>
      </x:c>
      <x:c r="F1390" s="11"/>
      <x:c r="G1390" s="11" t="n">
        <x:f>'Option source'!B661</x:f>
        <x:v>59.56</x:v>
      </x:c>
      <x:c r="H1390" s="11" t="n">
        <x:f>'Option source'!B642</x:f>
        <x:v>35.84</x:v>
      </x:c>
      <x:c r="I1390" s="11"/>
      <x:c r="J1390" s="11" t="n">
        <x:f>G1390-2*H1390+IF(B1390="Butterfly",I1390,0)</x:f>
        <x:v>-12.120000000000005</x:v>
      </x:c>
      <x:c r="K1390" s="11" t="n">
        <x:f>ABS(E1390-D1390)</x:f>
        <x:v>200</x:v>
      </x:c>
      <x:c r="L1390" s="11" t="n">
        <x:f>K1390-J1390</x:f>
        <x:v>212.12</x:v>
      </x:c>
      <x:c r="M1390" s="11" t="n">
        <x:f>IF(B1390="Butterfly",MAX(J1390,0),IF(C1390="call","Unlimited",MAX(2*E1390-D1390+J1390,J1390,0)))</x:f>
        <x:v>5587.88</x:v>
      </x:c>
      <x:c r="N1390" s="11" t="n">
        <x:f>IF(B1390="Butterfly",IF(AND(J1390&gt;0,J1390&lt;K1390),D1390+J1390,"n.a."),IF(C1390="call",IF(AND(J1390&gt;0,J1390&lt;K1390),D1390+J1390,"n.a."),IF(AND(K1390&gt;J1390,2*E1390-D1390+J1390&gt;=0),2*E1390-D1390+J1390,"n.a.")))</x:f>
        <x:v>5587.88</x:v>
      </x:c>
      <x:c r="O1390" s="11" t="str">
        <x:f>IF(B1390="Butterfly",IF(AND(J1390&gt;0,J1390&lt;K1390),F1390-J1390,"n.a."),IF(C1390="call",IF(K1390&gt;J1390,2*E1390-D1390-J1390,"n.a."),IF(AND(J1390&gt;0,J1390&lt;K1390),D1390-J1390,"n.a.")))</x:f>
        <x:v>n.a.</x:v>
      </x:c>
      <x:c r="P1390" s="19" t="str">
        <x:f>IF(AND(B1390="Butterfly",J1390&gt;0,J1390&lt;K1390),L1390/J1390,"n.a.")</x:f>
        <x:v>n.a.</x:v>
      </x:c>
      <x:c r="Q1390" s="11" t="n">
        <x:f>J1390*'Model inputs'!$B$8</x:f>
        <x:v>-1212.0000000000005</x:v>
      </x:c>
      <x:c r="R1390" s="1" t="str">
        <x:v>Indicative only</x:v>
      </x:c>
      <x:c r="S1390" s="1" t="n">
        <x:v>656</x:v>
      </x:c>
      <x:c r="T1390" s="1" t="n">
        <x:v>637</x:v>
      </x:c>
    </x:row>
    <x:row r="1391" ht="21" customHeight="1">
      <x:c r="A1391" s="12" t="n">
        <x:v>46260</x:v>
      </x:c>
      <x:c r="B1391" s="1" t="str">
        <x:v>1x2 ratio</x:v>
      </x:c>
      <x:c r="C1391" s="1" t="str">
        <x:v>call</x:v>
      </x:c>
      <x:c r="D1391" s="11" t="n">
        <x:v>8000</x:v>
      </x:c>
      <x:c r="E1391" s="11" t="n">
        <x:v>8300</x:v>
      </x:c>
      <x:c r="F1391" s="11"/>
      <x:c r="G1391" s="11" t="n">
        <x:f>'Option source'!B357</x:f>
        <x:v>199.33</x:v>
      </x:c>
      <x:c r="H1391" s="11" t="n">
        <x:f>'Option source'!B376</x:f>
        <x:v>139.65</x:v>
      </x:c>
      <x:c r="I1391" s="11"/>
      <x:c r="J1391" s="11" t="n">
        <x:f>G1391-2*H1391+IF(B1391="Butterfly",I1391,0)</x:f>
        <x:v>-79.97</x:v>
      </x:c>
      <x:c r="K1391" s="11" t="n">
        <x:f>ABS(E1391-D1391)</x:f>
        <x:v>300</x:v>
      </x:c>
      <x:c r="L1391" s="11" t="n">
        <x:f>K1391-J1391</x:f>
        <x:v>379.97</x:v>
      </x:c>
      <x:c r="M1391" s="11" t="str">
        <x:f>IF(B1391="Butterfly",MAX(J1391,0),IF(C1391="call","Unlimited",MAX(2*E1391-D1391+J1391,J1391,0)))</x:f>
        <x:v>Unlimited</x:v>
      </x:c>
      <x:c r="N1391" s="11" t="str">
        <x:f>IF(B1391="Butterfly",IF(AND(J1391&gt;0,J1391&lt;K1391),D1391+J1391,"n.a."),IF(C1391="call",IF(AND(J1391&gt;0,J1391&lt;K1391),D1391+J1391,"n.a."),IF(AND(K1391&gt;J1391,2*E1391-D1391+J1391&gt;=0),2*E1391-D1391+J1391,"n.a.")))</x:f>
        <x:v>n.a.</x:v>
      </x:c>
      <x:c r="O1391" s="11" t="n">
        <x:f>IF(B1391="Butterfly",IF(AND(J1391&gt;0,J1391&lt;K1391),F1391-J1391,"n.a."),IF(C1391="call",IF(K1391&gt;J1391,2*E1391-D1391-J1391,"n.a."),IF(AND(J1391&gt;0,J1391&lt;K1391),D1391-J1391,"n.a.")))</x:f>
        <x:v>8679.97</x:v>
      </x:c>
      <x:c r="P1391" s="19" t="str">
        <x:f>IF(AND(B1391="Butterfly",J1391&gt;0,J1391&lt;K1391),L1391/J1391,"n.a.")</x:f>
        <x:v>n.a.</x:v>
      </x:c>
      <x:c r="Q1391" s="11" t="n">
        <x:f>J1391*'Model inputs'!$B$8</x:f>
        <x:v>-7997</x:v>
      </x:c>
      <x:c r="R1391" s="1" t="str">
        <x:v>Indicative only</x:v>
      </x:c>
      <x:c r="S1391" s="1" t="n">
        <x:v>352</x:v>
      </x:c>
      <x:c r="T1391" s="1" t="n">
        <x:v>371</x:v>
      </x:c>
    </x:row>
    <x:row r="1392" ht="21" customHeight="1">
      <x:c r="A1392" s="12" t="n">
        <x:v>46260</x:v>
      </x:c>
      <x:c r="B1392" s="1" t="str">
        <x:v>1x2 ratio</x:v>
      </x:c>
      <x:c r="C1392" s="1" t="str">
        <x:v>put</x:v>
      </x:c>
      <x:c r="D1392" s="11" t="n">
        <x:v>5800</x:v>
      </x:c>
      <x:c r="E1392" s="11" t="n">
        <x:v>5600</x:v>
      </x:c>
      <x:c r="F1392" s="11"/>
      <x:c r="G1392" s="11" t="n">
        <x:f>'Option source'!B642</x:f>
        <x:v>35.84</x:v>
      </x:c>
      <x:c r="H1392" s="11" t="n">
        <x:f>'Option source'!B623</x:f>
        <x:v>22.39</x:v>
      </x:c>
      <x:c r="I1392" s="11"/>
      <x:c r="J1392" s="11" t="n">
        <x:f>G1392-2*H1392+IF(B1392="Butterfly",I1392,0)</x:f>
        <x:v>-8.939999999999998</x:v>
      </x:c>
      <x:c r="K1392" s="11" t="n">
        <x:f>ABS(E1392-D1392)</x:f>
        <x:v>200</x:v>
      </x:c>
      <x:c r="L1392" s="11" t="n">
        <x:f>K1392-J1392</x:f>
        <x:v>208.94</x:v>
      </x:c>
      <x:c r="M1392" s="11" t="n">
        <x:f>IF(B1392="Butterfly",MAX(J1392,0),IF(C1392="call","Unlimited",MAX(2*E1392-D1392+J1392,J1392,0)))</x:f>
        <x:v>5391.06</x:v>
      </x:c>
      <x:c r="N1392" s="11" t="n">
        <x:f>IF(B1392="Butterfly",IF(AND(J1392&gt;0,J1392&lt;K1392),D1392+J1392,"n.a."),IF(C1392="call",IF(AND(J1392&gt;0,J1392&lt;K1392),D1392+J1392,"n.a."),IF(AND(K1392&gt;J1392,2*E1392-D1392+J1392&gt;=0),2*E1392-D1392+J1392,"n.a.")))</x:f>
        <x:v>5391.06</x:v>
      </x:c>
      <x:c r="O1392" s="11" t="str">
        <x:f>IF(B1392="Butterfly",IF(AND(J1392&gt;0,J1392&lt;K1392),F1392-J1392,"n.a."),IF(C1392="call",IF(K1392&gt;J1392,2*E1392-D1392-J1392,"n.a."),IF(AND(J1392&gt;0,J1392&lt;K1392),D1392-J1392,"n.a.")))</x:f>
        <x:v>n.a.</x:v>
      </x:c>
      <x:c r="P1392" s="19" t="str">
        <x:f>IF(AND(B1392="Butterfly",J1392&gt;0,J1392&lt;K1392),L1392/J1392,"n.a.")</x:f>
        <x:v>n.a.</x:v>
      </x:c>
      <x:c r="Q1392" s="11" t="n">
        <x:f>J1392*'Model inputs'!$B$8</x:f>
        <x:v>-893.9999999999998</x:v>
      </x:c>
      <x:c r="R1392" s="1" t="str">
        <x:v>Indicative only</x:v>
      </x:c>
      <x:c r="S1392" s="1" t="n">
        <x:v>637</x:v>
      </x:c>
      <x:c r="T1392" s="1" t="n">
        <x:v>618</x:v>
      </x:c>
    </x:row>
    <x:row r="1393" ht="21" customHeight="1">
      <x:c r="A1393" s="12" t="n">
        <x:v>46260</x:v>
      </x:c>
      <x:c r="B1393" s="1" t="str">
        <x:v>1x2 ratio</x:v>
      </x:c>
      <x:c r="C1393" s="1" t="str">
        <x:v>call</x:v>
      </x:c>
      <x:c r="D1393" s="11" t="n">
        <x:v>8300</x:v>
      </x:c>
      <x:c r="E1393" s="11" t="n">
        <x:v>8600</x:v>
      </x:c>
      <x:c r="F1393" s="11"/>
      <x:c r="G1393" s="11" t="n">
        <x:f>'Option source'!B376</x:f>
        <x:v>139.65</x:v>
      </x:c>
      <x:c r="H1393" s="11" t="n">
        <x:f>'Option source'!B395</x:f>
        <x:v>92.25</x:v>
      </x:c>
      <x:c r="I1393" s="11"/>
      <x:c r="J1393" s="11" t="n">
        <x:f>G1393-2*H1393+IF(B1393="Butterfly",I1393,0)</x:f>
        <x:v>-44.849999999999994</x:v>
      </x:c>
      <x:c r="K1393" s="11" t="n">
        <x:f>ABS(E1393-D1393)</x:f>
        <x:v>300</x:v>
      </x:c>
      <x:c r="L1393" s="11" t="n">
        <x:f>K1393-J1393</x:f>
        <x:v>344.85</x:v>
      </x:c>
      <x:c r="M1393" s="11" t="str">
        <x:f>IF(B1393="Butterfly",MAX(J1393,0),IF(C1393="call","Unlimited",MAX(2*E1393-D1393+J1393,J1393,0)))</x:f>
        <x:v>Unlimited</x:v>
      </x:c>
      <x:c r="N1393" s="11" t="str">
        <x:f>IF(B1393="Butterfly",IF(AND(J1393&gt;0,J1393&lt;K1393),D1393+J1393,"n.a."),IF(C1393="call",IF(AND(J1393&gt;0,J1393&lt;K1393),D1393+J1393,"n.a."),IF(AND(K1393&gt;J1393,2*E1393-D1393+J1393&gt;=0),2*E1393-D1393+J1393,"n.a.")))</x:f>
        <x:v>n.a.</x:v>
      </x:c>
      <x:c r="O1393" s="11" t="n">
        <x:f>IF(B1393="Butterfly",IF(AND(J1393&gt;0,J1393&lt;K1393),F1393-J1393,"n.a."),IF(C1393="call",IF(K1393&gt;J1393,2*E1393-D1393-J1393,"n.a."),IF(AND(J1393&gt;0,J1393&lt;K1393),D1393-J1393,"n.a.")))</x:f>
        <x:v>8944.85</x:v>
      </x:c>
      <x:c r="P1393" s="19" t="str">
        <x:f>IF(AND(B1393="Butterfly",J1393&gt;0,J1393&lt;K1393),L1393/J1393,"n.a.")</x:f>
        <x:v>n.a.</x:v>
      </x:c>
      <x:c r="Q1393" s="11" t="n">
        <x:f>J1393*'Model inputs'!$B$8</x:f>
        <x:v>-4484.999999999999</x:v>
      </x:c>
      <x:c r="R1393" s="1" t="str">
        <x:v>Indicative only</x:v>
      </x:c>
      <x:c r="S1393" s="1" t="n">
        <x:v>371</x:v>
      </x:c>
      <x:c r="T1393" s="1" t="n">
        <x:v>390</x:v>
      </x:c>
    </x:row>
    <x:row r="1394" ht="21" customHeight="1">
      <x:c r="A1394" s="12" t="n">
        <x:v>46260</x:v>
      </x:c>
      <x:c r="B1394" s="1" t="str">
        <x:v>1x2 ratio</x:v>
      </x:c>
      <x:c r="C1394" s="1" t="str">
        <x:v>put</x:v>
      </x:c>
      <x:c r="D1394" s="11" t="n">
        <x:v>5600</x:v>
      </x:c>
      <x:c r="E1394" s="11" t="n">
        <x:v>5400</x:v>
      </x:c>
      <x:c r="F1394" s="11"/>
      <x:c r="G1394" s="11" t="n">
        <x:f>'Option source'!B623</x:f>
        <x:v>22.39</x:v>
      </x:c>
      <x:c r="H1394" s="11" t="n">
        <x:f>'Option source'!B604</x:f>
        <x:v>13.97</x:v>
      </x:c>
      <x:c r="I1394" s="11"/>
      <x:c r="J1394" s="11" t="n">
        <x:f>G1394-2*H1394+IF(B1394="Butterfly",I1394,0)</x:f>
        <x:v>-5.550000000000001</x:v>
      </x:c>
      <x:c r="K1394" s="11" t="n">
        <x:f>ABS(E1394-D1394)</x:f>
        <x:v>200</x:v>
      </x:c>
      <x:c r="L1394" s="11" t="n">
        <x:f>K1394-J1394</x:f>
        <x:v>205.55</x:v>
      </x:c>
      <x:c r="M1394" s="11" t="n">
        <x:f>IF(B1394="Butterfly",MAX(J1394,0),IF(C1394="call","Unlimited",MAX(2*E1394-D1394+J1394,J1394,0)))</x:f>
        <x:v>5194.45</x:v>
      </x:c>
      <x:c r="N1394" s="11" t="n">
        <x:f>IF(B1394="Butterfly",IF(AND(J1394&gt;0,J1394&lt;K1394),D1394+J1394,"n.a."),IF(C1394="call",IF(AND(J1394&gt;0,J1394&lt;K1394),D1394+J1394,"n.a."),IF(AND(K1394&gt;J1394,2*E1394-D1394+J1394&gt;=0),2*E1394-D1394+J1394,"n.a.")))</x:f>
        <x:v>5194.45</x:v>
      </x:c>
      <x:c r="O1394" s="11" t="str">
        <x:f>IF(B1394="Butterfly",IF(AND(J1394&gt;0,J1394&lt;K1394),F1394-J1394,"n.a."),IF(C1394="call",IF(K1394&gt;J1394,2*E1394-D1394-J1394,"n.a."),IF(AND(J1394&gt;0,J1394&lt;K1394),D1394-J1394,"n.a.")))</x:f>
        <x:v>n.a.</x:v>
      </x:c>
      <x:c r="P1394" s="19" t="str">
        <x:f>IF(AND(B1394="Butterfly",J1394&gt;0,J1394&lt;K1394),L1394/J1394,"n.a.")</x:f>
        <x:v>n.a.</x:v>
      </x:c>
      <x:c r="Q1394" s="11" t="n">
        <x:f>J1394*'Model inputs'!$B$8</x:f>
        <x:v>-555.0000000000001</x:v>
      </x:c>
      <x:c r="R1394" s="1" t="str">
        <x:v>Indicative only</x:v>
      </x:c>
      <x:c r="S1394" s="1" t="n">
        <x:v>618</x:v>
      </x:c>
      <x:c r="T1394" s="1" t="n">
        <x:v>599</x:v>
      </x:c>
    </x:row>
    <x:row r="1395" ht="21" customHeight="1">
      <x:c r="A1395" s="12" t="n">
        <x:v>46260</x:v>
      </x:c>
      <x:c r="B1395" s="1" t="str">
        <x:v>1x2 ratio</x:v>
      </x:c>
      <x:c r="C1395" s="1" t="str">
        <x:v>put</x:v>
      </x:c>
      <x:c r="D1395" s="11" t="n">
        <x:v>5400</x:v>
      </x:c>
      <x:c r="E1395" s="11" t="n">
        <x:v>5200</x:v>
      </x:c>
      <x:c r="F1395" s="11"/>
      <x:c r="G1395" s="11" t="n">
        <x:f>'Option source'!B604</x:f>
        <x:v>13.97</x:v>
      </x:c>
      <x:c r="H1395" s="11" t="n">
        <x:f>'Option source'!B585</x:f>
        <x:v>8.81</x:v>
      </x:c>
      <x:c r="I1395" s="11"/>
      <x:c r="J1395" s="11" t="n">
        <x:f>G1395-2*H1395+IF(B1395="Butterfly",I1395,0)</x:f>
        <x:v>-3.6500000000000004</x:v>
      </x:c>
      <x:c r="K1395" s="11" t="n">
        <x:f>ABS(E1395-D1395)</x:f>
        <x:v>200</x:v>
      </x:c>
      <x:c r="L1395" s="11" t="n">
        <x:f>K1395-J1395</x:f>
        <x:v>203.65</x:v>
      </x:c>
      <x:c r="M1395" s="11" t="n">
        <x:f>IF(B1395="Butterfly",MAX(J1395,0),IF(C1395="call","Unlimited",MAX(2*E1395-D1395+J1395,J1395,0)))</x:f>
        <x:v>4996.35</x:v>
      </x:c>
      <x:c r="N1395" s="11" t="n">
        <x:f>IF(B1395="Butterfly",IF(AND(J1395&gt;0,J1395&lt;K1395),D1395+J1395,"n.a."),IF(C1395="call",IF(AND(J1395&gt;0,J1395&lt;K1395),D1395+J1395,"n.a."),IF(AND(K1395&gt;J1395,2*E1395-D1395+J1395&gt;=0),2*E1395-D1395+J1395,"n.a.")))</x:f>
        <x:v>4996.35</x:v>
      </x:c>
      <x:c r="O1395" s="11" t="str">
        <x:f>IF(B1395="Butterfly",IF(AND(J1395&gt;0,J1395&lt;K1395),F1395-J1395,"n.a."),IF(C1395="call",IF(K1395&gt;J1395,2*E1395-D1395-J1395,"n.a."),IF(AND(J1395&gt;0,J1395&lt;K1395),D1395-J1395,"n.a.")))</x:f>
        <x:v>n.a.</x:v>
      </x:c>
      <x:c r="P1395" s="19" t="str">
        <x:f>IF(AND(B1395="Butterfly",J1395&gt;0,J1395&lt;K1395),L1395/J1395,"n.a.")</x:f>
        <x:v>n.a.</x:v>
      </x:c>
      <x:c r="Q1395" s="11" t="n">
        <x:f>J1395*'Model inputs'!$B$8</x:f>
        <x:v>-365.00000000000006</x:v>
      </x:c>
      <x:c r="R1395" s="1" t="str">
        <x:v>Indicative only</x:v>
      </x:c>
      <x:c r="S1395" s="1" t="n">
        <x:v>599</x:v>
      </x:c>
      <x:c r="T1395" s="1" t="n">
        <x:v>580</x:v>
      </x:c>
    </x:row>
    <x:row r="1396" ht="21" customHeight="1">
      <x:c r="A1396" s="12" t="n">
        <x:v>46260</x:v>
      </x:c>
      <x:c r="B1396" s="1" t="str">
        <x:v>1x2 ratio</x:v>
      </x:c>
      <x:c r="C1396" s="1" t="str">
        <x:v>call</x:v>
      </x:c>
      <x:c r="D1396" s="11" t="n">
        <x:v>8600</x:v>
      </x:c>
      <x:c r="E1396" s="11" t="n">
        <x:v>8900</x:v>
      </x:c>
      <x:c r="F1396" s="11"/>
      <x:c r="G1396" s="11" t="n">
        <x:f>'Option source'!B395</x:f>
        <x:v>92.25</x:v>
      </x:c>
      <x:c r="H1396" s="11" t="n">
        <x:f>'Option source'!B414</x:f>
        <x:v>66.03</x:v>
      </x:c>
      <x:c r="I1396" s="11"/>
      <x:c r="J1396" s="11" t="n">
        <x:f>G1396-2*H1396+IF(B1396="Butterfly",I1396,0)</x:f>
        <x:v>-39.81</x:v>
      </x:c>
      <x:c r="K1396" s="11" t="n">
        <x:f>ABS(E1396-D1396)</x:f>
        <x:v>300</x:v>
      </x:c>
      <x:c r="L1396" s="11" t="n">
        <x:f>K1396-J1396</x:f>
        <x:v>339.81</x:v>
      </x:c>
      <x:c r="M1396" s="11" t="str">
        <x:f>IF(B1396="Butterfly",MAX(J1396,0),IF(C1396="call","Unlimited",MAX(2*E1396-D1396+J1396,J1396,0)))</x:f>
        <x:v>Unlimited</x:v>
      </x:c>
      <x:c r="N1396" s="11" t="str">
        <x:f>IF(B1396="Butterfly",IF(AND(J1396&gt;0,J1396&lt;K1396),D1396+J1396,"n.a."),IF(C1396="call",IF(AND(J1396&gt;0,J1396&lt;K1396),D1396+J1396,"n.a."),IF(AND(K1396&gt;J1396,2*E1396-D1396+J1396&gt;=0),2*E1396-D1396+J1396,"n.a.")))</x:f>
        <x:v>n.a.</x:v>
      </x:c>
      <x:c r="O1396" s="11" t="n">
        <x:f>IF(B1396="Butterfly",IF(AND(J1396&gt;0,J1396&lt;K1396),F1396-J1396,"n.a."),IF(C1396="call",IF(K1396&gt;J1396,2*E1396-D1396-J1396,"n.a."),IF(AND(J1396&gt;0,J1396&lt;K1396),D1396-J1396,"n.a.")))</x:f>
        <x:v>9239.81</x:v>
      </x:c>
      <x:c r="P1396" s="19" t="str">
        <x:f>IF(AND(B1396="Butterfly",J1396&gt;0,J1396&lt;K1396),L1396/J1396,"n.a.")</x:f>
        <x:v>n.a.</x:v>
      </x:c>
      <x:c r="Q1396" s="11" t="n">
        <x:f>J1396*'Model inputs'!$B$8</x:f>
        <x:v>-3981</x:v>
      </x:c>
      <x:c r="R1396" s="1" t="str">
        <x:v>Indicative only</x:v>
      </x:c>
      <x:c r="S1396" s="1" t="n">
        <x:v>390</x:v>
      </x:c>
      <x:c r="T1396" s="1" t="n">
        <x:v>409</x:v>
      </x:c>
    </x:row>
    <x:row r="1397" ht="21" customHeight="1">
      <x:c r="A1397" s="12" t="n">
        <x:v>46260</x:v>
      </x:c>
      <x:c r="B1397" s="1" t="str">
        <x:v>1x2 ratio</x:v>
      </x:c>
      <x:c r="C1397" s="1" t="str">
        <x:v>put</x:v>
      </x:c>
      <x:c r="D1397" s="11" t="n">
        <x:v>5200</x:v>
      </x:c>
      <x:c r="E1397" s="11" t="n">
        <x:v>5000</x:v>
      </x:c>
      <x:c r="F1397" s="11"/>
      <x:c r="G1397" s="11" t="n">
        <x:f>'Option source'!B585</x:f>
        <x:v>8.81</x:v>
      </x:c>
      <x:c r="H1397" s="11" t="n">
        <x:f>'Option source'!B566</x:f>
        <x:v>6.06</x:v>
      </x:c>
      <x:c r="I1397" s="11"/>
      <x:c r="J1397" s="11" t="n">
        <x:f>G1397-2*H1397+IF(B1397="Butterfly",I1397,0)</x:f>
        <x:v>-3.3099999999999987</x:v>
      </x:c>
      <x:c r="K1397" s="11" t="n">
        <x:f>ABS(E1397-D1397)</x:f>
        <x:v>200</x:v>
      </x:c>
      <x:c r="L1397" s="11" t="n">
        <x:f>K1397-J1397</x:f>
        <x:v>203.31</x:v>
      </x:c>
      <x:c r="M1397" s="11" t="n">
        <x:f>IF(B1397="Butterfly",MAX(J1397,0),IF(C1397="call","Unlimited",MAX(2*E1397-D1397+J1397,J1397,0)))</x:f>
        <x:v>4796.69</x:v>
      </x:c>
      <x:c r="N1397" s="11" t="n">
        <x:f>IF(B1397="Butterfly",IF(AND(J1397&gt;0,J1397&lt;K1397),D1397+J1397,"n.a."),IF(C1397="call",IF(AND(J1397&gt;0,J1397&lt;K1397),D1397+J1397,"n.a."),IF(AND(K1397&gt;J1397,2*E1397-D1397+J1397&gt;=0),2*E1397-D1397+J1397,"n.a.")))</x:f>
        <x:v>4796.69</x:v>
      </x:c>
      <x:c r="O1397" s="11" t="str">
        <x:f>IF(B1397="Butterfly",IF(AND(J1397&gt;0,J1397&lt;K1397),F1397-J1397,"n.a."),IF(C1397="call",IF(K1397&gt;J1397,2*E1397-D1397-J1397,"n.a."),IF(AND(J1397&gt;0,J1397&lt;K1397),D1397-J1397,"n.a.")))</x:f>
        <x:v>n.a.</x:v>
      </x:c>
      <x:c r="P1397" s="19" t="str">
        <x:f>IF(AND(B1397="Butterfly",J1397&gt;0,J1397&lt;K1397),L1397/J1397,"n.a.")</x:f>
        <x:v>n.a.</x:v>
      </x:c>
      <x:c r="Q1397" s="11" t="n">
        <x:f>J1397*'Model inputs'!$B$8</x:f>
        <x:v>-330.9999999999999</x:v>
      </x:c>
      <x:c r="R1397" s="1" t="str">
        <x:v>Indicative only</x:v>
      </x:c>
      <x:c r="S1397" s="1" t="n">
        <x:v>580</x:v>
      </x:c>
      <x:c r="T1397" s="1" t="n">
        <x:v>561</x:v>
      </x:c>
    </x:row>
    <x:row r="1398" ht="21" customHeight="1">
      <x:c r="A1398" s="12" t="n">
        <x:v>46260</x:v>
      </x:c>
      <x:c r="B1398" s="1" t="str">
        <x:v>1x2 ratio</x:v>
      </x:c>
      <x:c r="C1398" s="1" t="str">
        <x:v>call</x:v>
      </x:c>
      <x:c r="D1398" s="11" t="n">
        <x:v>8900</x:v>
      </x:c>
      <x:c r="E1398" s="11" t="n">
        <x:v>9200</x:v>
      </x:c>
      <x:c r="F1398" s="11"/>
      <x:c r="G1398" s="11" t="n">
        <x:f>'Option source'!B414</x:f>
        <x:v>66.03</x:v>
      </x:c>
      <x:c r="H1398" s="11" t="n">
        <x:f>'Option source'!B433</x:f>
        <x:v>41.09</x:v>
      </x:c>
      <x:c r="I1398" s="11"/>
      <x:c r="J1398" s="11" t="n">
        <x:f>G1398-2*H1398+IF(B1398="Butterfly",I1398,0)</x:f>
        <x:v>-16.150000000000006</x:v>
      </x:c>
      <x:c r="K1398" s="11" t="n">
        <x:f>ABS(E1398-D1398)</x:f>
        <x:v>300</x:v>
      </x:c>
      <x:c r="L1398" s="11" t="n">
        <x:f>K1398-J1398</x:f>
        <x:v>316.15</x:v>
      </x:c>
      <x:c r="M1398" s="11" t="str">
        <x:f>IF(B1398="Butterfly",MAX(J1398,0),IF(C1398="call","Unlimited",MAX(2*E1398-D1398+J1398,J1398,0)))</x:f>
        <x:v>Unlimited</x:v>
      </x:c>
      <x:c r="N1398" s="11" t="str">
        <x:f>IF(B1398="Butterfly",IF(AND(J1398&gt;0,J1398&lt;K1398),D1398+J1398,"n.a."),IF(C1398="call",IF(AND(J1398&gt;0,J1398&lt;K1398),D1398+J1398,"n.a."),IF(AND(K1398&gt;J1398,2*E1398-D1398+J1398&gt;=0),2*E1398-D1398+J1398,"n.a.")))</x:f>
        <x:v>n.a.</x:v>
      </x:c>
      <x:c r="O1398" s="11" t="n">
        <x:f>IF(B1398="Butterfly",IF(AND(J1398&gt;0,J1398&lt;K1398),F1398-J1398,"n.a."),IF(C1398="call",IF(K1398&gt;J1398,2*E1398-D1398-J1398,"n.a."),IF(AND(J1398&gt;0,J1398&lt;K1398),D1398-J1398,"n.a.")))</x:f>
        <x:v>9516.15</x:v>
      </x:c>
      <x:c r="P1398" s="19" t="str">
        <x:f>IF(AND(B1398="Butterfly",J1398&gt;0,J1398&lt;K1398),L1398/J1398,"n.a.")</x:f>
        <x:v>n.a.</x:v>
      </x:c>
      <x:c r="Q1398" s="11" t="n">
        <x:f>J1398*'Model inputs'!$B$8</x:f>
        <x:v>-1615.0000000000005</x:v>
      </x:c>
      <x:c r="R1398" s="1" t="str">
        <x:v>Indicative only</x:v>
      </x:c>
      <x:c r="S1398" s="1" t="n">
        <x:v>409</x:v>
      </x:c>
      <x:c r="T1398" s="1" t="n">
        <x:v>428</x:v>
      </x:c>
    </x:row>
    <x:row r="1399" ht="21" customHeight="1">
      <x:c r="A1399" s="12" t="n">
        <x:v>46260</x:v>
      </x:c>
      <x:c r="B1399" s="1" t="str">
        <x:v>1x2 ratio</x:v>
      </x:c>
      <x:c r="C1399" s="1" t="str">
        <x:v>put</x:v>
      </x:c>
      <x:c r="D1399" s="11" t="n">
        <x:v>5000</x:v>
      </x:c>
      <x:c r="E1399" s="11" t="n">
        <x:v>4800</x:v>
      </x:c>
      <x:c r="F1399" s="11"/>
      <x:c r="G1399" s="11" t="n">
        <x:f>'Option source'!B566</x:f>
        <x:v>6.06</x:v>
      </x:c>
      <x:c r="H1399" s="11" t="n">
        <x:f>'Option source'!B547</x:f>
        <x:v>4.1</x:v>
      </x:c>
      <x:c r="I1399" s="11"/>
      <x:c r="J1399" s="11" t="n">
        <x:f>G1399-2*H1399+IF(B1399="Butterfly",I1399,0)</x:f>
        <x:v>-2.1399999999999997</x:v>
      </x:c>
      <x:c r="K1399" s="11" t="n">
        <x:f>ABS(E1399-D1399)</x:f>
        <x:v>200</x:v>
      </x:c>
      <x:c r="L1399" s="11" t="n">
        <x:f>K1399-J1399</x:f>
        <x:v>202.14</x:v>
      </x:c>
      <x:c r="M1399" s="11" t="n">
        <x:f>IF(B1399="Butterfly",MAX(J1399,0),IF(C1399="call","Unlimited",MAX(2*E1399-D1399+J1399,J1399,0)))</x:f>
        <x:v>4597.86</x:v>
      </x:c>
      <x:c r="N1399" s="11" t="n">
        <x:f>IF(B1399="Butterfly",IF(AND(J1399&gt;0,J1399&lt;K1399),D1399+J1399,"n.a."),IF(C1399="call",IF(AND(J1399&gt;0,J1399&lt;K1399),D1399+J1399,"n.a."),IF(AND(K1399&gt;J1399,2*E1399-D1399+J1399&gt;=0),2*E1399-D1399+J1399,"n.a.")))</x:f>
        <x:v>4597.86</x:v>
      </x:c>
      <x:c r="O1399" s="11" t="str">
        <x:f>IF(B1399="Butterfly",IF(AND(J1399&gt;0,J1399&lt;K1399),F1399-J1399,"n.a."),IF(C1399="call",IF(K1399&gt;J1399,2*E1399-D1399-J1399,"n.a."),IF(AND(J1399&gt;0,J1399&lt;K1399),D1399-J1399,"n.a.")))</x:f>
        <x:v>n.a.</x:v>
      </x:c>
      <x:c r="P1399" s="19" t="str">
        <x:f>IF(AND(B1399="Butterfly",J1399&gt;0,J1399&lt;K1399),L1399/J1399,"n.a.")</x:f>
        <x:v>n.a.</x:v>
      </x:c>
      <x:c r="Q1399" s="11" t="n">
        <x:f>J1399*'Model inputs'!$B$8</x:f>
        <x:v>-213.99999999999997</x:v>
      </x:c>
      <x:c r="R1399" s="1" t="str">
        <x:v>Indicative only</x:v>
      </x:c>
      <x:c r="S1399" s="1" t="n">
        <x:v>561</x:v>
      </x:c>
      <x:c r="T1399" s="1" t="n">
        <x:v>542</x:v>
      </x:c>
    </x:row>
    <x:row r="1400" ht="21" customHeight="1">
      <x:c r="A1400" s="12" t="n">
        <x:v>46260</x:v>
      </x:c>
      <x:c r="B1400" s="1" t="str">
        <x:v>1x2 ratio</x:v>
      </x:c>
      <x:c r="C1400" s="1" t="str">
        <x:v>put</x:v>
      </x:c>
      <x:c r="D1400" s="11" t="n">
        <x:v>4800</x:v>
      </x:c>
      <x:c r="E1400" s="11" t="n">
        <x:v>4600</x:v>
      </x:c>
      <x:c r="F1400" s="11"/>
      <x:c r="G1400" s="11" t="n">
        <x:f>'Option source'!B547</x:f>
        <x:v>4.1</x:v>
      </x:c>
      <x:c r="H1400" s="11" t="n">
        <x:f>'Option source'!B528</x:f>
        <x:v>3.41</x:v>
      </x:c>
      <x:c r="I1400" s="11"/>
      <x:c r="J1400" s="11" t="n">
        <x:f>G1400-2*H1400+IF(B1400="Butterfly",I1400,0)</x:f>
        <x:v>-2.7200000000000006</x:v>
      </x:c>
      <x:c r="K1400" s="11" t="n">
        <x:f>ABS(E1400-D1400)</x:f>
        <x:v>200</x:v>
      </x:c>
      <x:c r="L1400" s="11" t="n">
        <x:f>K1400-J1400</x:f>
        <x:v>202.72</x:v>
      </x:c>
      <x:c r="M1400" s="11" t="n">
        <x:f>IF(B1400="Butterfly",MAX(J1400,0),IF(C1400="call","Unlimited",MAX(2*E1400-D1400+J1400,J1400,0)))</x:f>
        <x:v>4397.28</x:v>
      </x:c>
      <x:c r="N1400" s="11" t="n">
        <x:f>IF(B1400="Butterfly",IF(AND(J1400&gt;0,J1400&lt;K1400),D1400+J1400,"n.a."),IF(C1400="call",IF(AND(J1400&gt;0,J1400&lt;K1400),D1400+J1400,"n.a."),IF(AND(K1400&gt;J1400,2*E1400-D1400+J1400&gt;=0),2*E1400-D1400+J1400,"n.a.")))</x:f>
        <x:v>4397.28</x:v>
      </x:c>
      <x:c r="O1400" s="11" t="str">
        <x:f>IF(B1400="Butterfly",IF(AND(J1400&gt;0,J1400&lt;K1400),F1400-J1400,"n.a."),IF(C1400="call",IF(K1400&gt;J1400,2*E1400-D1400-J1400,"n.a."),IF(AND(J1400&gt;0,J1400&lt;K1400),D1400-J1400,"n.a.")))</x:f>
        <x:v>n.a.</x:v>
      </x:c>
      <x:c r="P1400" s="19" t="str">
        <x:f>IF(AND(B1400="Butterfly",J1400&gt;0,J1400&lt;K1400),L1400/J1400,"n.a.")</x:f>
        <x:v>n.a.</x:v>
      </x:c>
      <x:c r="Q1400" s="11" t="n">
        <x:f>J1400*'Model inputs'!$B$8</x:f>
        <x:v>-272.00000000000006</x:v>
      </x:c>
      <x:c r="R1400" s="1" t="str">
        <x:v>Indicative only</x:v>
      </x:c>
      <x:c r="S1400" s="1" t="n">
        <x:v>542</x:v>
      </x:c>
      <x:c r="T1400" s="1" t="n">
        <x:v>523</x:v>
      </x:c>
    </x:row>
    <x:row r="1401" ht="21" customHeight="1">
      <x:c r="A1401" s="12" t="n">
        <x:v>46260</x:v>
      </x:c>
      <x:c r="B1401" s="1" t="str">
        <x:v>1x2 ratio</x:v>
      </x:c>
      <x:c r="C1401" s="1" t="str">
        <x:v>call</x:v>
      </x:c>
      <x:c r="D1401" s="11" t="n">
        <x:v>9200</x:v>
      </x:c>
      <x:c r="E1401" s="11" t="n">
        <x:v>9500</x:v>
      </x:c>
      <x:c r="F1401" s="11"/>
      <x:c r="G1401" s="11" t="n">
        <x:f>'Option source'!B433</x:f>
        <x:v>41.09</x:v>
      </x:c>
      <x:c r="H1401" s="11" t="n">
        <x:f>'Option source'!B452</x:f>
        <x:v>27.58</x:v>
      </x:c>
      <x:c r="I1401" s="11"/>
      <x:c r="J1401" s="11" t="n">
        <x:f>G1401-2*H1401+IF(B1401="Butterfly",I1401,0)</x:f>
        <x:v>-14.069999999999993</x:v>
      </x:c>
      <x:c r="K1401" s="11" t="n">
        <x:f>ABS(E1401-D1401)</x:f>
        <x:v>300</x:v>
      </x:c>
      <x:c r="L1401" s="11" t="n">
        <x:f>K1401-J1401</x:f>
        <x:v>314.07</x:v>
      </x:c>
      <x:c r="M1401" s="11" t="str">
        <x:f>IF(B1401="Butterfly",MAX(J1401,0),IF(C1401="call","Unlimited",MAX(2*E1401-D1401+J1401,J1401,0)))</x:f>
        <x:v>Unlimited</x:v>
      </x:c>
      <x:c r="N1401" s="11" t="str">
        <x:f>IF(B1401="Butterfly",IF(AND(J1401&gt;0,J1401&lt;K1401),D1401+J1401,"n.a."),IF(C1401="call",IF(AND(J1401&gt;0,J1401&lt;K1401),D1401+J1401,"n.a."),IF(AND(K1401&gt;J1401,2*E1401-D1401+J1401&gt;=0),2*E1401-D1401+J1401,"n.a.")))</x:f>
        <x:v>n.a.</x:v>
      </x:c>
      <x:c r="O1401" s="11" t="n">
        <x:f>IF(B1401="Butterfly",IF(AND(J1401&gt;0,J1401&lt;K1401),F1401-J1401,"n.a."),IF(C1401="call",IF(K1401&gt;J1401,2*E1401-D1401-J1401,"n.a."),IF(AND(J1401&gt;0,J1401&lt;K1401),D1401-J1401,"n.a.")))</x:f>
        <x:v>9814.07</x:v>
      </x:c>
      <x:c r="P1401" s="19" t="str">
        <x:f>IF(AND(B1401="Butterfly",J1401&gt;0,J1401&lt;K1401),L1401/J1401,"n.a.")</x:f>
        <x:v>n.a.</x:v>
      </x:c>
      <x:c r="Q1401" s="11" t="n">
        <x:f>J1401*'Model inputs'!$B$8</x:f>
        <x:v>-1406.9999999999993</x:v>
      </x:c>
      <x:c r="R1401" s="1" t="str">
        <x:v>Indicative only</x:v>
      </x:c>
      <x:c r="S1401" s="1" t="n">
        <x:v>428</x:v>
      </x:c>
      <x:c r="T1401" s="1" t="n">
        <x:v>447</x:v>
      </x:c>
    </x:row>
    <x:row r="1402" ht="21" customHeight="1">
      <x:c r="A1402" s="12" t="n">
        <x:v>46260</x:v>
      </x:c>
      <x:c r="B1402" s="1" t="str">
        <x:v>1x2 ratio</x:v>
      </x:c>
      <x:c r="C1402" s="1" t="str">
        <x:v>put</x:v>
      </x:c>
      <x:c r="D1402" s="11" t="n">
        <x:v>4600</x:v>
      </x:c>
      <x:c r="E1402" s="11" t="n">
        <x:v>4400</x:v>
      </x:c>
      <x:c r="F1402" s="11"/>
      <x:c r="G1402" s="11" t="n">
        <x:f>'Option source'!B528</x:f>
        <x:v>3.41</x:v>
      </x:c>
      <x:c r="H1402" s="11" t="n">
        <x:f>'Option source'!B509</x:f>
        <x:v>2.68</x:v>
      </x:c>
      <x:c r="I1402" s="11"/>
      <x:c r="J1402" s="11" t="n">
        <x:f>G1402-2*H1402+IF(B1402="Butterfly",I1402,0)</x:f>
        <x:v>-1.9500000000000002</x:v>
      </x:c>
      <x:c r="K1402" s="11" t="n">
        <x:f>ABS(E1402-D1402)</x:f>
        <x:v>200</x:v>
      </x:c>
      <x:c r="L1402" s="11" t="n">
        <x:f>K1402-J1402</x:f>
        <x:v>201.95</x:v>
      </x:c>
      <x:c r="M1402" s="11" t="n">
        <x:f>IF(B1402="Butterfly",MAX(J1402,0),IF(C1402="call","Unlimited",MAX(2*E1402-D1402+J1402,J1402,0)))</x:f>
        <x:v>4198.05</x:v>
      </x:c>
      <x:c r="N1402" s="11" t="n">
        <x:f>IF(B1402="Butterfly",IF(AND(J1402&gt;0,J1402&lt;K1402),D1402+J1402,"n.a."),IF(C1402="call",IF(AND(J1402&gt;0,J1402&lt;K1402),D1402+J1402,"n.a."),IF(AND(K1402&gt;J1402,2*E1402-D1402+J1402&gt;=0),2*E1402-D1402+J1402,"n.a.")))</x:f>
        <x:v>4198.05</x:v>
      </x:c>
      <x:c r="O1402" s="11" t="str">
        <x:f>IF(B1402="Butterfly",IF(AND(J1402&gt;0,J1402&lt;K1402),F1402-J1402,"n.a."),IF(C1402="call",IF(K1402&gt;J1402,2*E1402-D1402-J1402,"n.a."),IF(AND(J1402&gt;0,J1402&lt;K1402),D1402-J1402,"n.a.")))</x:f>
        <x:v>n.a.</x:v>
      </x:c>
      <x:c r="P1402" s="19" t="str">
        <x:f>IF(AND(B1402="Butterfly",J1402&gt;0,J1402&lt;K1402),L1402/J1402,"n.a.")</x:f>
        <x:v>n.a.</x:v>
      </x:c>
      <x:c r="Q1402" s="11" t="n">
        <x:f>J1402*'Model inputs'!$B$8</x:f>
        <x:v>-195.00000000000003</x:v>
      </x:c>
      <x:c r="R1402" s="1" t="str">
        <x:v>Indicative only</x:v>
      </x:c>
      <x:c r="S1402" s="1" t="n">
        <x:v>523</x:v>
      </x:c>
      <x:c r="T1402" s="1" t="n">
        <x:v>504</x:v>
      </x:c>
    </x:row>
    <x:row r="1403" ht="21" customHeight="1">
      <x:c r="A1403" s="12" t="n">
        <x:v>46260</x:v>
      </x:c>
      <x:c r="B1403" s="1" t="str">
        <x:v>1x2 ratio</x:v>
      </x:c>
      <x:c r="C1403" s="1" t="str">
        <x:v>put</x:v>
      </x:c>
      <x:c r="D1403" s="11" t="n">
        <x:v>4400</x:v>
      </x:c>
      <x:c r="E1403" s="11" t="n">
        <x:v>4200</x:v>
      </x:c>
      <x:c r="F1403" s="11"/>
      <x:c r="G1403" s="11" t="n">
        <x:f>'Option source'!B509</x:f>
        <x:v>2.68</x:v>
      </x:c>
      <x:c r="H1403" s="11" t="n">
        <x:f>'Option source'!B490</x:f>
        <x:v>2.59</x:v>
      </x:c>
      <x:c r="I1403" s="11"/>
      <x:c r="J1403" s="11" t="n">
        <x:f>G1403-2*H1403+IF(B1403="Butterfly",I1403,0)</x:f>
        <x:v>-2.4999999999999996</x:v>
      </x:c>
      <x:c r="K1403" s="11" t="n">
        <x:f>ABS(E1403-D1403)</x:f>
        <x:v>200</x:v>
      </x:c>
      <x:c r="L1403" s="11" t="n">
        <x:f>K1403-J1403</x:f>
        <x:v>202.5</x:v>
      </x:c>
      <x:c r="M1403" s="11" t="n">
        <x:f>IF(B1403="Butterfly",MAX(J1403,0),IF(C1403="call","Unlimited",MAX(2*E1403-D1403+J1403,J1403,0)))</x:f>
        <x:v>3997.5</x:v>
      </x:c>
      <x:c r="N1403" s="11" t="n">
        <x:f>IF(B1403="Butterfly",IF(AND(J1403&gt;0,J1403&lt;K1403),D1403+J1403,"n.a."),IF(C1403="call",IF(AND(J1403&gt;0,J1403&lt;K1403),D1403+J1403,"n.a."),IF(AND(K1403&gt;J1403,2*E1403-D1403+J1403&gt;=0),2*E1403-D1403+J1403,"n.a.")))</x:f>
        <x:v>3997.5</x:v>
      </x:c>
      <x:c r="O1403" s="11" t="str">
        <x:f>IF(B1403="Butterfly",IF(AND(J1403&gt;0,J1403&lt;K1403),F1403-J1403,"n.a."),IF(C1403="call",IF(K1403&gt;J1403,2*E1403-D1403-J1403,"n.a."),IF(AND(J1403&gt;0,J1403&lt;K1403),D1403-J1403,"n.a.")))</x:f>
        <x:v>n.a.</x:v>
      </x:c>
      <x:c r="P1403" s="19" t="str">
        <x:f>IF(AND(B1403="Butterfly",J1403&gt;0,J1403&lt;K1403),L1403/J1403,"n.a.")</x:f>
        <x:v>n.a.</x:v>
      </x:c>
      <x:c r="Q1403" s="11" t="n">
        <x:f>J1403*'Model inputs'!$B$8</x:f>
        <x:v>-249.99999999999994</x:v>
      </x:c>
      <x:c r="R1403" s="1" t="str">
        <x:v>Indicative only</x:v>
      </x:c>
      <x:c r="S1403" s="1" t="n">
        <x:v>504</x:v>
      </x:c>
      <x:c r="T1403" s="1" t="n">
        <x:v>485</x:v>
      </x:c>
    </x:row>
    <x:row r="1404" ht="21" customHeight="1">
      <x:c r="A1404" s="12" t="n">
        <x:v>46260</x:v>
      </x:c>
      <x:c r="B1404" s="1" t="str">
        <x:v>1x2 ratio</x:v>
      </x:c>
      <x:c r="C1404" s="1" t="str">
        <x:v>call</x:v>
      </x:c>
      <x:c r="D1404" s="11" t="n">
        <x:v>9500</x:v>
      </x:c>
      <x:c r="E1404" s="11" t="n">
        <x:v>9900</x:v>
      </x:c>
      <x:c r="F1404" s="11"/>
      <x:c r="G1404" s="11" t="n">
        <x:f>'Option source'!B452</x:f>
        <x:v>27.58</x:v>
      </x:c>
      <x:c r="H1404" s="11" t="n">
        <x:f>'Option source'!B471</x:f>
        <x:v>16.5</x:v>
      </x:c>
      <x:c r="I1404" s="11"/>
      <x:c r="J1404" s="11" t="n">
        <x:f>G1404-2*H1404+IF(B1404="Butterfly",I1404,0)</x:f>
        <x:v>-5.420000000000002</x:v>
      </x:c>
      <x:c r="K1404" s="11" t="n">
        <x:f>ABS(E1404-D1404)</x:f>
        <x:v>400</x:v>
      </x:c>
      <x:c r="L1404" s="11" t="n">
        <x:f>K1404-J1404</x:f>
        <x:v>405.42</x:v>
      </x:c>
      <x:c r="M1404" s="11" t="str">
        <x:f>IF(B1404="Butterfly",MAX(J1404,0),IF(C1404="call","Unlimited",MAX(2*E1404-D1404+J1404,J1404,0)))</x:f>
        <x:v>Unlimited</x:v>
      </x:c>
      <x:c r="N1404" s="11" t="str">
        <x:f>IF(B1404="Butterfly",IF(AND(J1404&gt;0,J1404&lt;K1404),D1404+J1404,"n.a."),IF(C1404="call",IF(AND(J1404&gt;0,J1404&lt;K1404),D1404+J1404,"n.a."),IF(AND(K1404&gt;J1404,2*E1404-D1404+J1404&gt;=0),2*E1404-D1404+J1404,"n.a.")))</x:f>
        <x:v>n.a.</x:v>
      </x:c>
      <x:c r="O1404" s="11" t="n">
        <x:f>IF(B1404="Butterfly",IF(AND(J1404&gt;0,J1404&lt;K1404),F1404-J1404,"n.a."),IF(C1404="call",IF(K1404&gt;J1404,2*E1404-D1404-J1404,"n.a."),IF(AND(J1404&gt;0,J1404&lt;K1404),D1404-J1404,"n.a.")))</x:f>
        <x:v>10305.42</x:v>
      </x:c>
      <x:c r="P1404" s="19" t="str">
        <x:f>IF(AND(B1404="Butterfly",J1404&gt;0,J1404&lt;K1404),L1404/J1404,"n.a.")</x:f>
        <x:v>n.a.</x:v>
      </x:c>
      <x:c r="Q1404" s="11" t="n">
        <x:f>J1404*'Model inputs'!$B$8</x:f>
        <x:v>-542.0000000000002</x:v>
      </x:c>
      <x:c r="R1404" s="1" t="str">
        <x:v>Indicative only</x:v>
      </x:c>
      <x:c r="S1404" s="1" t="n">
        <x:v>447</x:v>
      </x:c>
      <x:c r="T1404" s="1" t="n">
        <x:v>466</x:v>
      </x:c>
    </x:row>
    <x:row r="1405" ht="21" customHeight="1">
      <x:c r="A1405" s="12" t="n">
        <x:v>46260</x:v>
      </x:c>
      <x:c r="B1405" s="1" t="str">
        <x:v>1x2 ratio</x:v>
      </x:c>
      <x:c r="C1405" s="1" t="str">
        <x:v>put</x:v>
      </x:c>
      <x:c r="D1405" s="11" t="n">
        <x:v>7800</x:v>
      </x:c>
      <x:c r="E1405" s="11" t="n">
        <x:v>7600</x:v>
      </x:c>
      <x:c r="F1405" s="11"/>
      <x:c r="G1405" s="11" t="n">
        <x:f>'Option source'!B832</x:f>
        <x:v>800</x:v>
      </x:c>
      <x:c r="H1405" s="11" t="n">
        <x:f>'Option source'!B813</x:f>
        <x:v>665</x:v>
      </x:c>
      <x:c r="I1405" s="11"/>
      <x:c r="J1405" s="11" t="n">
        <x:f>G1405-2*H1405+IF(B1405="Butterfly",I1405,0)</x:f>
        <x:v>-530</x:v>
      </x:c>
      <x:c r="K1405" s="11" t="n">
        <x:f>ABS(E1405-D1405)</x:f>
        <x:v>200</x:v>
      </x:c>
      <x:c r="L1405" s="11" t="n">
        <x:f>K1405-J1405</x:f>
        <x:v>730</x:v>
      </x:c>
      <x:c r="M1405" s="11" t="n">
        <x:f>IF(B1405="Butterfly",MAX(J1405,0),IF(C1405="call","Unlimited",MAX(2*E1405-D1405+J1405,J1405,0)))</x:f>
        <x:v>6870</x:v>
      </x:c>
      <x:c r="N1405" s="11" t="n">
        <x:f>IF(B1405="Butterfly",IF(AND(J1405&gt;0,J1405&lt;K1405),D1405+J1405,"n.a."),IF(C1405="call",IF(AND(J1405&gt;0,J1405&lt;K1405),D1405+J1405,"n.a."),IF(AND(K1405&gt;J1405,2*E1405-D1405+J1405&gt;=0),2*E1405-D1405+J1405,"n.a.")))</x:f>
        <x:v>6870</x:v>
      </x:c>
      <x:c r="O1405" s="11" t="str">
        <x:f>IF(B1405="Butterfly",IF(AND(J1405&gt;0,J1405&lt;K1405),F1405-J1405,"n.a."),IF(C1405="call",IF(K1405&gt;J1405,2*E1405-D1405-J1405,"n.a."),IF(AND(J1405&gt;0,J1405&lt;K1405),D1405-J1405,"n.a.")))</x:f>
        <x:v>n.a.</x:v>
      </x:c>
      <x:c r="P1405" s="19" t="str">
        <x:f>IF(AND(B1405="Butterfly",J1405&gt;0,J1405&lt;K1405),L1405/J1405,"n.a.")</x:f>
        <x:v>n.a.</x:v>
      </x:c>
      <x:c r="Q1405" s="11" t="n">
        <x:f>J1405*'Model inputs'!$B$8</x:f>
        <x:v>-53000</x:v>
      </x:c>
      <x:c r="R1405" s="1" t="str">
        <x:v>Flagged leg data</x:v>
      </x:c>
      <x:c r="S1405" s="1" t="n">
        <x:v>827</x:v>
      </x:c>
      <x:c r="T1405" s="1" t="n">
        <x:v>808</x:v>
      </x:c>
    </x:row>
    <x:row r="1406" ht="21" customHeight="1">
      <x:c r="A1406" s="12" t="n">
        <x:v>46260</x:v>
      </x:c>
      <x:c r="B1406" s="1" t="str">
        <x:v>1x2 ratio</x:v>
      </x:c>
      <x:c r="C1406" s="1" t="str">
        <x:v>call</x:v>
      </x:c>
      <x:c r="D1406" s="11" t="n">
        <x:v>6200</x:v>
      </x:c>
      <x:c r="E1406" s="11" t="n">
        <x:v>6400</x:v>
      </x:c>
      <x:c r="F1406" s="11"/>
      <x:c r="G1406" s="11" t="n">
        <x:f>'Option source'!B186</x:f>
        <x:v>1000</x:v>
      </x:c>
      <x:c r="H1406" s="11" t="n">
        <x:f>'Option source'!B205</x:f>
        <x:v>944.2</x:v>
      </x:c>
      <x:c r="I1406" s="11"/>
      <x:c r="J1406" s="11" t="n">
        <x:f>G1406-2*H1406+IF(B1406="Butterfly",I1406,0)</x:f>
        <x:v>-888.4000000000001</x:v>
      </x:c>
      <x:c r="K1406" s="11" t="n">
        <x:f>ABS(E1406-D1406)</x:f>
        <x:v>200</x:v>
      </x:c>
      <x:c r="L1406" s="11" t="n">
        <x:f>K1406-J1406</x:f>
        <x:v>1088.4</x:v>
      </x:c>
      <x:c r="M1406" s="11" t="str">
        <x:f>IF(B1406="Butterfly",MAX(J1406,0),IF(C1406="call","Unlimited",MAX(2*E1406-D1406+J1406,J1406,0)))</x:f>
        <x:v>Unlimited</x:v>
      </x:c>
      <x:c r="N1406" s="11" t="str">
        <x:f>IF(B1406="Butterfly",IF(AND(J1406&gt;0,J1406&lt;K1406),D1406+J1406,"n.a."),IF(C1406="call",IF(AND(J1406&gt;0,J1406&lt;K1406),D1406+J1406,"n.a."),IF(AND(K1406&gt;J1406,2*E1406-D1406+J1406&gt;=0),2*E1406-D1406+J1406,"n.a.")))</x:f>
        <x:v>n.a.</x:v>
      </x:c>
      <x:c r="O1406" s="11" t="n">
        <x:f>IF(B1406="Butterfly",IF(AND(J1406&gt;0,J1406&lt;K1406),F1406-J1406,"n.a."),IF(C1406="call",IF(K1406&gt;J1406,2*E1406-D1406-J1406,"n.a."),IF(AND(J1406&gt;0,J1406&lt;K1406),D1406-J1406,"n.a.")))</x:f>
        <x:v>7488.4</x:v>
      </x:c>
      <x:c r="P1406" s="19" t="str">
        <x:f>IF(AND(B1406="Butterfly",J1406&gt;0,J1406&lt;K1406),L1406/J1406,"n.a.")</x:f>
        <x:v>n.a.</x:v>
      </x:c>
      <x:c r="Q1406" s="11" t="n">
        <x:f>J1406*'Model inputs'!$B$8</x:f>
        <x:v>-88840.00000000001</x:v>
      </x:c>
      <x:c r="R1406" s="1" t="str">
        <x:v>Flagged leg data</x:v>
      </x:c>
      <x:c r="S1406" s="1" t="n">
        <x:v>181</x:v>
      </x:c>
      <x:c r="T1406" s="1" t="n">
        <x:v>200</x:v>
      </x:c>
    </x:row>
    <x:row r="1407" ht="21" customHeight="1">
      <x:c r="A1407" s="12" t="n">
        <x:v>46260</x:v>
      </x:c>
      <x:c r="B1407" s="1" t="str">
        <x:v>1x2 ratio</x:v>
      </x:c>
      <x:c r="C1407" s="1" t="str">
        <x:v>put</x:v>
      </x:c>
      <x:c r="D1407" s="11" t="n">
        <x:v>8000</x:v>
      </x:c>
      <x:c r="E1407" s="11" t="n">
        <x:v>7800</x:v>
      </x:c>
      <x:c r="F1407" s="11"/>
      <x:c r="G1407" s="11" t="n">
        <x:f>'Option source'!B851</x:f>
        <x:v>990</x:v>
      </x:c>
      <x:c r="H1407" s="11" t="n">
        <x:f>'Option source'!B832</x:f>
        <x:v>800</x:v>
      </x:c>
      <x:c r="I1407" s="11"/>
      <x:c r="J1407" s="11" t="n">
        <x:f>G1407-2*H1407+IF(B1407="Butterfly",I1407,0)</x:f>
        <x:v>-610</x:v>
      </x:c>
      <x:c r="K1407" s="11" t="n">
        <x:f>ABS(E1407-D1407)</x:f>
        <x:v>200</x:v>
      </x:c>
      <x:c r="L1407" s="11" t="n">
        <x:f>K1407-J1407</x:f>
        <x:v>810</x:v>
      </x:c>
      <x:c r="M1407" s="11" t="n">
        <x:f>IF(B1407="Butterfly",MAX(J1407,0),IF(C1407="call","Unlimited",MAX(2*E1407-D1407+J1407,J1407,0)))</x:f>
        <x:v>6990</x:v>
      </x:c>
      <x:c r="N1407" s="11" t="n">
        <x:f>IF(B1407="Butterfly",IF(AND(J1407&gt;0,J1407&lt;K1407),D1407+J1407,"n.a."),IF(C1407="call",IF(AND(J1407&gt;0,J1407&lt;K1407),D1407+J1407,"n.a."),IF(AND(K1407&gt;J1407,2*E1407-D1407+J1407&gt;=0),2*E1407-D1407+J1407,"n.a.")))</x:f>
        <x:v>6990</x:v>
      </x:c>
      <x:c r="O1407" s="11" t="str">
        <x:f>IF(B1407="Butterfly",IF(AND(J1407&gt;0,J1407&lt;K1407),F1407-J1407,"n.a."),IF(C1407="call",IF(K1407&gt;J1407,2*E1407-D1407-J1407,"n.a."),IF(AND(J1407&gt;0,J1407&lt;K1407),D1407-J1407,"n.a.")))</x:f>
        <x:v>n.a.</x:v>
      </x:c>
      <x:c r="P1407" s="19" t="str">
        <x:f>IF(AND(B1407="Butterfly",J1407&gt;0,J1407&lt;K1407),L1407/J1407,"n.a.")</x:f>
        <x:v>n.a.</x:v>
      </x:c>
      <x:c r="Q1407" s="11" t="n">
        <x:f>J1407*'Model inputs'!$B$8</x:f>
        <x:v>-61000</x:v>
      </x:c>
      <x:c r="R1407" s="1" t="str">
        <x:v>Flagged leg data</x:v>
      </x:c>
      <x:c r="S1407" s="1" t="n">
        <x:v>846</x:v>
      </x:c>
      <x:c r="T1407" s="1" t="n">
        <x:v>827</x:v>
      </x:c>
    </x:row>
    <x:row r="1408" ht="21" customHeight="1">
      <x:c r="A1408" s="12" t="n">
        <x:v>46260</x:v>
      </x:c>
      <x:c r="B1408" s="1" t="str">
        <x:v>1x2 ratio</x:v>
      </x:c>
      <x:c r="C1408" s="1" t="str">
        <x:v>call</x:v>
      </x:c>
      <x:c r="D1408" s="11" t="n">
        <x:v>6000</x:v>
      </x:c>
      <x:c r="E1408" s="11" t="n">
        <x:v>6200</x:v>
      </x:c>
      <x:c r="F1408" s="11"/>
      <x:c r="G1408" s="11" t="n">
        <x:f>'Option source'!B167</x:f>
        <x:v>1439.96</x:v>
      </x:c>
      <x:c r="H1408" s="11" t="n">
        <x:f>'Option source'!B186</x:f>
        <x:v>1000</x:v>
      </x:c>
      <x:c r="I1408" s="11"/>
      <x:c r="J1408" s="11" t="n">
        <x:f>G1408-2*H1408+IF(B1408="Butterfly",I1408,0)</x:f>
        <x:v>-560.04</x:v>
      </x:c>
      <x:c r="K1408" s="11" t="n">
        <x:f>ABS(E1408-D1408)</x:f>
        <x:v>200</x:v>
      </x:c>
      <x:c r="L1408" s="11" t="n">
        <x:f>K1408-J1408</x:f>
        <x:v>760.04</x:v>
      </x:c>
      <x:c r="M1408" s="11" t="str">
        <x:f>IF(B1408="Butterfly",MAX(J1408,0),IF(C1408="call","Unlimited",MAX(2*E1408-D1408+J1408,J1408,0)))</x:f>
        <x:v>Unlimited</x:v>
      </x:c>
      <x:c r="N1408" s="11" t="str">
        <x:f>IF(B1408="Butterfly",IF(AND(J1408&gt;0,J1408&lt;K1408),D1408+J1408,"n.a."),IF(C1408="call",IF(AND(J1408&gt;0,J1408&lt;K1408),D1408+J1408,"n.a."),IF(AND(K1408&gt;J1408,2*E1408-D1408+J1408&gt;=0),2*E1408-D1408+J1408,"n.a.")))</x:f>
        <x:v>n.a.</x:v>
      </x:c>
      <x:c r="O1408" s="11" t="n">
        <x:f>IF(B1408="Butterfly",IF(AND(J1408&gt;0,J1408&lt;K1408),F1408-J1408,"n.a."),IF(C1408="call",IF(K1408&gt;J1408,2*E1408-D1408-J1408,"n.a."),IF(AND(J1408&gt;0,J1408&lt;K1408),D1408-J1408,"n.a.")))</x:f>
        <x:v>6960.04</x:v>
      </x:c>
      <x:c r="P1408" s="19" t="str">
        <x:f>IF(AND(B1408="Butterfly",J1408&gt;0,J1408&lt;K1408),L1408/J1408,"n.a.")</x:f>
        <x:v>n.a.</x:v>
      </x:c>
      <x:c r="Q1408" s="11" t="n">
        <x:f>J1408*'Model inputs'!$B$8</x:f>
        <x:v>-56004</x:v>
      </x:c>
      <x:c r="R1408" s="1" t="str">
        <x:v>Flagged leg data</x:v>
      </x:c>
      <x:c r="S1408" s="1" t="n">
        <x:v>162</x:v>
      </x:c>
      <x:c r="T1408" s="1" t="n">
        <x:v>181</x:v>
      </x:c>
    </x:row>
    <x:row r="1409" ht="21" customHeight="1">
      <x:c r="A1409" s="12" t="n">
        <x:v>46260</x:v>
      </x:c>
      <x:c r="B1409" s="1" t="str">
        <x:v>1x2 ratio</x:v>
      </x:c>
      <x:c r="C1409" s="1" t="str">
        <x:v>put</x:v>
      </x:c>
      <x:c r="D1409" s="11" t="n">
        <x:v>8300</x:v>
      </x:c>
      <x:c r="E1409" s="11" t="n">
        <x:v>8000</x:v>
      </x:c>
      <x:c r="F1409" s="11"/>
      <x:c r="G1409" s="11" t="n">
        <x:f>'Option source'!B870</x:f>
        <x:v>1274.9</x:v>
      </x:c>
      <x:c r="H1409" s="11" t="n">
        <x:f>'Option source'!B851</x:f>
        <x:v>990</x:v>
      </x:c>
      <x:c r="I1409" s="11"/>
      <x:c r="J1409" s="11" t="n">
        <x:f>G1409-2*H1409+IF(B1409="Butterfly",I1409,0)</x:f>
        <x:v>-705.0999999999999</x:v>
      </x:c>
      <x:c r="K1409" s="11" t="n">
        <x:f>ABS(E1409-D1409)</x:f>
        <x:v>300</x:v>
      </x:c>
      <x:c r="L1409" s="11" t="n">
        <x:f>K1409-J1409</x:f>
        <x:v>1005.0999999999999</x:v>
      </x:c>
      <x:c r="M1409" s="11" t="n">
        <x:f>IF(B1409="Butterfly",MAX(J1409,0),IF(C1409="call","Unlimited",MAX(2*E1409-D1409+J1409,J1409,0)))</x:f>
        <x:v>6994.9</x:v>
      </x:c>
      <x:c r="N1409" s="11" t="n">
        <x:f>IF(B1409="Butterfly",IF(AND(J1409&gt;0,J1409&lt;K1409),D1409+J1409,"n.a."),IF(C1409="call",IF(AND(J1409&gt;0,J1409&lt;K1409),D1409+J1409,"n.a."),IF(AND(K1409&gt;J1409,2*E1409-D1409+J1409&gt;=0),2*E1409-D1409+J1409,"n.a.")))</x:f>
        <x:v>6994.9</x:v>
      </x:c>
      <x:c r="O1409" s="11" t="str">
        <x:f>IF(B1409="Butterfly",IF(AND(J1409&gt;0,J1409&lt;K1409),F1409-J1409,"n.a."),IF(C1409="call",IF(K1409&gt;J1409,2*E1409-D1409-J1409,"n.a."),IF(AND(J1409&gt;0,J1409&lt;K1409),D1409-J1409,"n.a.")))</x:f>
        <x:v>n.a.</x:v>
      </x:c>
      <x:c r="P1409" s="19" t="str">
        <x:f>IF(AND(B1409="Butterfly",J1409&gt;0,J1409&lt;K1409),L1409/J1409,"n.a.")</x:f>
        <x:v>n.a.</x:v>
      </x:c>
      <x:c r="Q1409" s="11" t="n">
        <x:f>J1409*'Model inputs'!$B$8</x:f>
        <x:v>-70509.99999999999</x:v>
      </x:c>
      <x:c r="R1409" s="1" t="str">
        <x:v>Flagged leg data</x:v>
      </x:c>
      <x:c r="S1409" s="1" t="n">
        <x:v>865</x:v>
      </x:c>
      <x:c r="T1409" s="1" t="n">
        <x:v>846</x:v>
      </x:c>
    </x:row>
    <x:row r="1410" ht="21" customHeight="1">
      <x:c r="A1410" s="12" t="n">
        <x:v>46260</x:v>
      </x:c>
      <x:c r="B1410" s="1" t="str">
        <x:v>1x2 ratio</x:v>
      </x:c>
      <x:c r="C1410" s="1" t="str">
        <x:v>call</x:v>
      </x:c>
      <x:c r="D1410" s="11" t="n">
        <x:v>5600</x:v>
      </x:c>
      <x:c r="E1410" s="11" t="n">
        <x:v>6000</x:v>
      </x:c>
      <x:c r="F1410" s="11"/>
      <x:c r="G1410" s="11" t="n">
        <x:f>'Option source'!B138</x:f>
        <x:v>1645</x:v>
      </x:c>
      <x:c r="H1410" s="11" t="n">
        <x:f>'Option source'!B167</x:f>
        <x:v>1439.96</x:v>
      </x:c>
      <x:c r="I1410" s="11"/>
      <x:c r="J1410" s="11" t="n">
        <x:f>G1410-2*H1410+IF(B1410="Butterfly",I1410,0)</x:f>
        <x:v>-1234.92</x:v>
      </x:c>
      <x:c r="K1410" s="11" t="n">
        <x:f>ABS(E1410-D1410)</x:f>
        <x:v>400</x:v>
      </x:c>
      <x:c r="L1410" s="11" t="n">
        <x:f>K1410-J1410</x:f>
        <x:v>1634.92</x:v>
      </x:c>
      <x:c r="M1410" s="11" t="str">
        <x:f>IF(B1410="Butterfly",MAX(J1410,0),IF(C1410="call","Unlimited",MAX(2*E1410-D1410+J1410,J1410,0)))</x:f>
        <x:v>Unlimited</x:v>
      </x:c>
      <x:c r="N1410" s="11" t="str">
        <x:f>IF(B1410="Butterfly",IF(AND(J1410&gt;0,J1410&lt;K1410),D1410+J1410,"n.a."),IF(C1410="call",IF(AND(J1410&gt;0,J1410&lt;K1410),D1410+J1410,"n.a."),IF(AND(K1410&gt;J1410,2*E1410-D1410+J1410&gt;=0),2*E1410-D1410+J1410,"n.a.")))</x:f>
        <x:v>n.a.</x:v>
      </x:c>
      <x:c r="O1410" s="11" t="n">
        <x:f>IF(B1410="Butterfly",IF(AND(J1410&gt;0,J1410&lt;K1410),F1410-J1410,"n.a."),IF(C1410="call",IF(K1410&gt;J1410,2*E1410-D1410-J1410,"n.a."),IF(AND(J1410&gt;0,J1410&lt;K1410),D1410-J1410,"n.a.")))</x:f>
        <x:v>7634.92</x:v>
      </x:c>
      <x:c r="P1410" s="19" t="str">
        <x:f>IF(AND(B1410="Butterfly",J1410&gt;0,J1410&lt;K1410),L1410/J1410,"n.a.")</x:f>
        <x:v>n.a.</x:v>
      </x:c>
      <x:c r="Q1410" s="11" t="n">
        <x:f>J1410*'Model inputs'!$B$8</x:f>
        <x:v>-123492</x:v>
      </x:c>
      <x:c r="R1410" s="1" t="str">
        <x:v>Flagged leg data</x:v>
      </x:c>
      <x:c r="S1410" s="1" t="n">
        <x:v>133</x:v>
      </x:c>
      <x:c r="T1410" s="1" t="n">
        <x:v>162</x:v>
      </x:c>
    </x:row>
    <x:row r="1411" ht="21" customHeight="1">
      <x:c r="A1411" s="12" t="n">
        <x:v>46260</x:v>
      </x:c>
      <x:c r="B1411" s="1" t="str">
        <x:v>1x2 ratio</x:v>
      </x:c>
      <x:c r="C1411" s="1" t="str">
        <x:v>put</x:v>
      </x:c>
      <x:c r="D1411" s="11" t="n">
        <x:v>8600</x:v>
      </x:c>
      <x:c r="E1411" s="11" t="n">
        <x:v>8300</x:v>
      </x:c>
      <x:c r="F1411" s="11"/>
      <x:c r="G1411" s="11" t="n">
        <x:f>'Option source'!B889</x:f>
        <x:v>1630</x:v>
      </x:c>
      <x:c r="H1411" s="11" t="n">
        <x:f>'Option source'!B870</x:f>
        <x:v>1274.9</x:v>
      </x:c>
      <x:c r="I1411" s="11"/>
      <x:c r="J1411" s="11" t="n">
        <x:f>G1411-2*H1411+IF(B1411="Butterfly",I1411,0)</x:f>
        <x:v>-919.8000000000002</x:v>
      </x:c>
      <x:c r="K1411" s="11" t="n">
        <x:f>ABS(E1411-D1411)</x:f>
        <x:v>300</x:v>
      </x:c>
      <x:c r="L1411" s="11" t="n">
        <x:f>K1411-J1411</x:f>
        <x:v>1219.8000000000002</x:v>
      </x:c>
      <x:c r="M1411" s="11" t="n">
        <x:f>IF(B1411="Butterfly",MAX(J1411,0),IF(C1411="call","Unlimited",MAX(2*E1411-D1411+J1411,J1411,0)))</x:f>
        <x:v>7080.2</x:v>
      </x:c>
      <x:c r="N1411" s="11" t="n">
        <x:f>IF(B1411="Butterfly",IF(AND(J1411&gt;0,J1411&lt;K1411),D1411+J1411,"n.a."),IF(C1411="call",IF(AND(J1411&gt;0,J1411&lt;K1411),D1411+J1411,"n.a."),IF(AND(K1411&gt;J1411,2*E1411-D1411+J1411&gt;=0),2*E1411-D1411+J1411,"n.a.")))</x:f>
        <x:v>7080.2</x:v>
      </x:c>
      <x:c r="O1411" s="11" t="str">
        <x:f>IF(B1411="Butterfly",IF(AND(J1411&gt;0,J1411&lt;K1411),F1411-J1411,"n.a."),IF(C1411="call",IF(K1411&gt;J1411,2*E1411-D1411-J1411,"n.a."),IF(AND(J1411&gt;0,J1411&lt;K1411),D1411-J1411,"n.a.")))</x:f>
        <x:v>n.a.</x:v>
      </x:c>
      <x:c r="P1411" s="19" t="str">
        <x:f>IF(AND(B1411="Butterfly",J1411&gt;0,J1411&lt;K1411),L1411/J1411,"n.a.")</x:f>
        <x:v>n.a.</x:v>
      </x:c>
      <x:c r="Q1411" s="11" t="n">
        <x:f>J1411*'Model inputs'!$B$8</x:f>
        <x:v>-91980.00000000001</x:v>
      </x:c>
      <x:c r="R1411" s="1" t="str">
        <x:v>Flagged leg data</x:v>
      </x:c>
      <x:c r="S1411" s="1" t="n">
        <x:v>884</x:v>
      </x:c>
      <x:c r="T1411" s="1" t="n">
        <x:v>865</x:v>
      </x:c>
    </x:row>
    <x:row r="1412" ht="21" customHeight="1">
      <x:c r="A1412" s="12" t="n">
        <x:v>46260</x:v>
      </x:c>
      <x:c r="B1412" s="1" t="str">
        <x:v>1x2 ratio</x:v>
      </x:c>
      <x:c r="C1412" s="1" t="str">
        <x:v>call</x:v>
      </x:c>
      <x:c r="D1412" s="11" t="n">
        <x:v>5400</x:v>
      </x:c>
      <x:c r="E1412" s="11" t="n">
        <x:v>5600</x:v>
      </x:c>
      <x:c r="F1412" s="11"/>
      <x:c r="G1412" s="11" t="n">
        <x:f>'Option source'!B120</x:f>
        <x:v>1752.86</x:v>
      </x:c>
      <x:c r="H1412" s="11" t="n">
        <x:f>'Option source'!B138</x:f>
        <x:v>1645</x:v>
      </x:c>
      <x:c r="I1412" s="11"/>
      <x:c r="J1412" s="11" t="n">
        <x:f>G1412-2*H1412+IF(B1412="Butterfly",I1412,0)</x:f>
        <x:v>-1537.14</x:v>
      </x:c>
      <x:c r="K1412" s="11" t="n">
        <x:f>ABS(E1412-D1412)</x:f>
        <x:v>200</x:v>
      </x:c>
      <x:c r="L1412" s="11" t="n">
        <x:f>K1412-J1412</x:f>
        <x:v>1737.14</x:v>
      </x:c>
      <x:c r="M1412" s="11" t="str">
        <x:f>IF(B1412="Butterfly",MAX(J1412,0),IF(C1412="call","Unlimited",MAX(2*E1412-D1412+J1412,J1412,0)))</x:f>
        <x:v>Unlimited</x:v>
      </x:c>
      <x:c r="N1412" s="11" t="str">
        <x:f>IF(B1412="Butterfly",IF(AND(J1412&gt;0,J1412&lt;K1412),D1412+J1412,"n.a."),IF(C1412="call",IF(AND(J1412&gt;0,J1412&lt;K1412),D1412+J1412,"n.a."),IF(AND(K1412&gt;J1412,2*E1412-D1412+J1412&gt;=0),2*E1412-D1412+J1412,"n.a.")))</x:f>
        <x:v>n.a.</x:v>
      </x:c>
      <x:c r="O1412" s="11" t="n">
        <x:f>IF(B1412="Butterfly",IF(AND(J1412&gt;0,J1412&lt;K1412),F1412-J1412,"n.a."),IF(C1412="call",IF(K1412&gt;J1412,2*E1412-D1412-J1412,"n.a."),IF(AND(J1412&gt;0,J1412&lt;K1412),D1412-J1412,"n.a.")))</x:f>
        <x:v>7337.14</x:v>
      </x:c>
      <x:c r="P1412" s="19" t="str">
        <x:f>IF(AND(B1412="Butterfly",J1412&gt;0,J1412&lt;K1412),L1412/J1412,"n.a.")</x:f>
        <x:v>n.a.</x:v>
      </x:c>
      <x:c r="Q1412" s="11" t="n">
        <x:f>J1412*'Model inputs'!$B$8</x:f>
        <x:v>-153714</x:v>
      </x:c>
      <x:c r="R1412" s="1" t="str">
        <x:v>Flagged leg data</x:v>
      </x:c>
      <x:c r="S1412" s="1" t="n">
        <x:v>115</x:v>
      </x:c>
      <x:c r="T1412" s="1" t="n">
        <x:v>133</x:v>
      </x:c>
    </x:row>
    <x:row r="1413" ht="21" customHeight="1">
      <x:c r="A1413" s="12" t="n">
        <x:v>46260</x:v>
      </x:c>
      <x:c r="B1413" s="1" t="str">
        <x:v>1x2 ratio</x:v>
      </x:c>
      <x:c r="C1413" s="1" t="str">
        <x:v>call</x:v>
      </x:c>
      <x:c r="D1413" s="11" t="n">
        <x:v>5200</x:v>
      </x:c>
      <x:c r="E1413" s="11" t="n">
        <x:v>5400</x:v>
      </x:c>
      <x:c r="F1413" s="11"/>
      <x:c r="G1413" s="11" t="n">
        <x:f>'Option source'!B101</x:f>
        <x:v>1981.15</x:v>
      </x:c>
      <x:c r="H1413" s="11" t="n">
        <x:f>'Option source'!B120</x:f>
        <x:v>1752.86</x:v>
      </x:c>
      <x:c r="I1413" s="11"/>
      <x:c r="J1413" s="11" t="n">
        <x:f>G1413-2*H1413+IF(B1413="Butterfly",I1413,0)</x:f>
        <x:v>-1524.5699999999997</x:v>
      </x:c>
      <x:c r="K1413" s="11" t="n">
        <x:f>ABS(E1413-D1413)</x:f>
        <x:v>200</x:v>
      </x:c>
      <x:c r="L1413" s="11" t="n">
        <x:f>K1413-J1413</x:f>
        <x:v>1724.5699999999997</x:v>
      </x:c>
      <x:c r="M1413" s="11" t="str">
        <x:f>IF(B1413="Butterfly",MAX(J1413,0),IF(C1413="call","Unlimited",MAX(2*E1413-D1413+J1413,J1413,0)))</x:f>
        <x:v>Unlimited</x:v>
      </x:c>
      <x:c r="N1413" s="11" t="str">
        <x:f>IF(B1413="Butterfly",IF(AND(J1413&gt;0,J1413&lt;K1413),D1413+J1413,"n.a."),IF(C1413="call",IF(AND(J1413&gt;0,J1413&lt;K1413),D1413+J1413,"n.a."),IF(AND(K1413&gt;J1413,2*E1413-D1413+J1413&gt;=0),2*E1413-D1413+J1413,"n.a.")))</x:f>
        <x:v>n.a.</x:v>
      </x:c>
      <x:c r="O1413" s="11" t="n">
        <x:f>IF(B1413="Butterfly",IF(AND(J1413&gt;0,J1413&lt;K1413),F1413-J1413,"n.a."),IF(C1413="call",IF(K1413&gt;J1413,2*E1413-D1413-J1413,"n.a."),IF(AND(J1413&gt;0,J1413&lt;K1413),D1413-J1413,"n.a.")))</x:f>
        <x:v>7124.57</x:v>
      </x:c>
      <x:c r="P1413" s="19" t="str">
        <x:f>IF(AND(B1413="Butterfly",J1413&gt;0,J1413&lt;K1413),L1413/J1413,"n.a.")</x:f>
        <x:v>n.a.</x:v>
      </x:c>
      <x:c r="Q1413" s="11" t="n">
        <x:f>J1413*'Model inputs'!$B$8</x:f>
        <x:v>-152456.99999999997</x:v>
      </x:c>
      <x:c r="R1413" s="1" t="str">
        <x:v>Flagged leg data</x:v>
      </x:c>
      <x:c r="S1413" s="1" t="n">
        <x:v>96</x:v>
      </x:c>
      <x:c r="T1413" s="1" t="n">
        <x:v>115</x:v>
      </x:c>
    </x:row>
    <x:row r="1414" ht="21" customHeight="1">
      <x:c r="A1414" s="12" t="n">
        <x:v>46260</x:v>
      </x:c>
      <x:c r="B1414" s="1" t="str">
        <x:v>1x2 ratio</x:v>
      </x:c>
      <x:c r="C1414" s="1" t="str">
        <x:v>call</x:v>
      </x:c>
      <x:c r="D1414" s="11" t="n">
        <x:v>5000</x:v>
      </x:c>
      <x:c r="E1414" s="11" t="n">
        <x:v>5200</x:v>
      </x:c>
      <x:c r="F1414" s="11"/>
      <x:c r="G1414" s="11" t="n">
        <x:f>'Option source'!B82</x:f>
        <x:v>2232.76</x:v>
      </x:c>
      <x:c r="H1414" s="11" t="n">
        <x:f>'Option source'!B101</x:f>
        <x:v>1981.15</x:v>
      </x:c>
      <x:c r="I1414" s="11"/>
      <x:c r="J1414" s="11" t="n">
        <x:f>G1414-2*H1414+IF(B1414="Butterfly",I1414,0)</x:f>
        <x:v>-1729.54</x:v>
      </x:c>
      <x:c r="K1414" s="11" t="n">
        <x:f>ABS(E1414-D1414)</x:f>
        <x:v>200</x:v>
      </x:c>
      <x:c r="L1414" s="11" t="n">
        <x:f>K1414-J1414</x:f>
        <x:v>1929.54</x:v>
      </x:c>
      <x:c r="M1414" s="11" t="str">
        <x:f>IF(B1414="Butterfly",MAX(J1414,0),IF(C1414="call","Unlimited",MAX(2*E1414-D1414+J1414,J1414,0)))</x:f>
        <x:v>Unlimited</x:v>
      </x:c>
      <x:c r="N1414" s="11" t="str">
        <x:f>IF(B1414="Butterfly",IF(AND(J1414&gt;0,J1414&lt;K1414),D1414+J1414,"n.a."),IF(C1414="call",IF(AND(J1414&gt;0,J1414&lt;K1414),D1414+J1414,"n.a."),IF(AND(K1414&gt;J1414,2*E1414-D1414+J1414&gt;=0),2*E1414-D1414+J1414,"n.a.")))</x:f>
        <x:v>n.a.</x:v>
      </x:c>
      <x:c r="O1414" s="11" t="n">
        <x:f>IF(B1414="Butterfly",IF(AND(J1414&gt;0,J1414&lt;K1414),F1414-J1414,"n.a."),IF(C1414="call",IF(K1414&gt;J1414,2*E1414-D1414-J1414,"n.a."),IF(AND(J1414&gt;0,J1414&lt;K1414),D1414-J1414,"n.a.")))</x:f>
        <x:v>7129.54</x:v>
      </x:c>
      <x:c r="P1414" s="19" t="str">
        <x:f>IF(AND(B1414="Butterfly",J1414&gt;0,J1414&lt;K1414),L1414/J1414,"n.a.")</x:f>
        <x:v>n.a.</x:v>
      </x:c>
      <x:c r="Q1414" s="11" t="n">
        <x:f>J1414*'Model inputs'!$B$8</x:f>
        <x:v>-172954</x:v>
      </x:c>
      <x:c r="R1414" s="1" t="str">
        <x:v>Flagged leg data</x:v>
      </x:c>
      <x:c r="S1414" s="1" t="n">
        <x:v>77</x:v>
      </x:c>
      <x:c r="T1414" s="1" t="n">
        <x:v>96</x:v>
      </x:c>
    </x:row>
    <x:row r="1415" ht="21" customHeight="1">
      <x:c r="A1415" s="12" t="n">
        <x:v>46260</x:v>
      </x:c>
      <x:c r="B1415" s="1" t="str">
        <x:v>1x2 ratio</x:v>
      </x:c>
      <x:c r="C1415" s="1" t="str">
        <x:v>call</x:v>
      </x:c>
      <x:c r="D1415" s="11" t="n">
        <x:v>4800</x:v>
      </x:c>
      <x:c r="E1415" s="11" t="n">
        <x:v>5000</x:v>
      </x:c>
      <x:c r="F1415" s="11"/>
      <x:c r="G1415" s="11" t="n">
        <x:f>'Option source'!B65</x:f>
        <x:v>2280</x:v>
      </x:c>
      <x:c r="H1415" s="11" t="n">
        <x:f>'Option source'!B82</x:f>
        <x:v>2232.76</x:v>
      </x:c>
      <x:c r="I1415" s="11"/>
      <x:c r="J1415" s="11" t="n">
        <x:f>G1415-2*H1415+IF(B1415="Butterfly",I1415,0)</x:f>
        <x:v>-2185.5200000000004</x:v>
      </x:c>
      <x:c r="K1415" s="11" t="n">
        <x:f>ABS(E1415-D1415)</x:f>
        <x:v>200</x:v>
      </x:c>
      <x:c r="L1415" s="11" t="n">
        <x:f>K1415-J1415</x:f>
        <x:v>2385.5200000000004</x:v>
      </x:c>
      <x:c r="M1415" s="11" t="str">
        <x:f>IF(B1415="Butterfly",MAX(J1415,0),IF(C1415="call","Unlimited",MAX(2*E1415-D1415+J1415,J1415,0)))</x:f>
        <x:v>Unlimited</x:v>
      </x:c>
      <x:c r="N1415" s="11" t="str">
        <x:f>IF(B1415="Butterfly",IF(AND(J1415&gt;0,J1415&lt;K1415),D1415+J1415,"n.a."),IF(C1415="call",IF(AND(J1415&gt;0,J1415&lt;K1415),D1415+J1415,"n.a."),IF(AND(K1415&gt;J1415,2*E1415-D1415+J1415&gt;=0),2*E1415-D1415+J1415,"n.a.")))</x:f>
        <x:v>n.a.</x:v>
      </x:c>
      <x:c r="O1415" s="11" t="n">
        <x:f>IF(B1415="Butterfly",IF(AND(J1415&gt;0,J1415&lt;K1415),F1415-J1415,"n.a."),IF(C1415="call",IF(K1415&gt;J1415,2*E1415-D1415-J1415,"n.a."),IF(AND(J1415&gt;0,J1415&lt;K1415),D1415-J1415,"n.a.")))</x:f>
        <x:v>7385.52</x:v>
      </x:c>
      <x:c r="P1415" s="19" t="str">
        <x:f>IF(AND(B1415="Butterfly",J1415&gt;0,J1415&lt;K1415),L1415/J1415,"n.a.")</x:f>
        <x:v>n.a.</x:v>
      </x:c>
      <x:c r="Q1415" s="11" t="n">
        <x:f>J1415*'Model inputs'!$B$8</x:f>
        <x:v>-218552.00000000006</x:v>
      </x:c>
      <x:c r="R1415" s="1" t="str">
        <x:v>Flagged leg data</x:v>
      </x:c>
      <x:c r="S1415" s="1" t="n">
        <x:v>60</x:v>
      </x:c>
      <x:c r="T1415" s="1" t="n">
        <x:v>77</x:v>
      </x:c>
    </x:row>
    <x:row r="1416" ht="21" customHeight="1">
      <x:c r="A1416" s="12" t="n">
        <x:v>46260</x:v>
      </x:c>
      <x:c r="B1416" s="1" t="str">
        <x:v>1x2 ratio</x:v>
      </x:c>
      <x:c r="C1416" s="1" t="str">
        <x:v>call</x:v>
      </x:c>
      <x:c r="D1416" s="11" t="n">
        <x:v>4600</x:v>
      </x:c>
      <x:c r="E1416" s="11" t="n">
        <x:v>4800</x:v>
      </x:c>
      <x:c r="F1416" s="11"/>
      <x:c r="G1416" s="11" t="n">
        <x:f>'Option source'!B48</x:f>
        <x:v>2493.23</x:v>
      </x:c>
      <x:c r="H1416" s="11" t="n">
        <x:f>'Option source'!B65</x:f>
        <x:v>2280</x:v>
      </x:c>
      <x:c r="I1416" s="11"/>
      <x:c r="J1416" s="11" t="n">
        <x:f>G1416-2*H1416+IF(B1416="Butterfly",I1416,0)</x:f>
        <x:v>-2066.77</x:v>
      </x:c>
      <x:c r="K1416" s="11" t="n">
        <x:f>ABS(E1416-D1416)</x:f>
        <x:v>200</x:v>
      </x:c>
      <x:c r="L1416" s="11" t="n">
        <x:f>K1416-J1416</x:f>
        <x:v>2266.77</x:v>
      </x:c>
      <x:c r="M1416" s="11" t="str">
        <x:f>IF(B1416="Butterfly",MAX(J1416,0),IF(C1416="call","Unlimited",MAX(2*E1416-D1416+J1416,J1416,0)))</x:f>
        <x:v>Unlimited</x:v>
      </x:c>
      <x:c r="N1416" s="11" t="str">
        <x:f>IF(B1416="Butterfly",IF(AND(J1416&gt;0,J1416&lt;K1416),D1416+J1416,"n.a."),IF(C1416="call",IF(AND(J1416&gt;0,J1416&lt;K1416),D1416+J1416,"n.a."),IF(AND(K1416&gt;J1416,2*E1416-D1416+J1416&gt;=0),2*E1416-D1416+J1416,"n.a.")))</x:f>
        <x:v>n.a.</x:v>
      </x:c>
      <x:c r="O1416" s="11" t="n">
        <x:f>IF(B1416="Butterfly",IF(AND(J1416&gt;0,J1416&lt;K1416),F1416-J1416,"n.a."),IF(C1416="call",IF(K1416&gt;J1416,2*E1416-D1416-J1416,"n.a."),IF(AND(J1416&gt;0,J1416&lt;K1416),D1416-J1416,"n.a.")))</x:f>
        <x:v>7066.77</x:v>
      </x:c>
      <x:c r="P1416" s="19" t="str">
        <x:f>IF(AND(B1416="Butterfly",J1416&gt;0,J1416&lt;K1416),L1416/J1416,"n.a.")</x:f>
        <x:v>n.a.</x:v>
      </x:c>
      <x:c r="Q1416" s="11" t="n">
        <x:f>J1416*'Model inputs'!$B$8</x:f>
        <x:v>-206677</x:v>
      </x:c>
      <x:c r="R1416" s="1" t="str">
        <x:v>Flagged leg data</x:v>
      </x:c>
      <x:c r="S1416" s="1" t="n">
        <x:v>43</x:v>
      </x:c>
      <x:c r="T1416" s="1" t="n">
        <x:v>60</x:v>
      </x:c>
    </x:row>
    <x:row r="1417" ht="21" customHeight="1">
      <x:c r="A1417" s="12" t="n">
        <x:v>46260</x:v>
      </x:c>
      <x:c r="B1417" s="1" t="str">
        <x:v>1x2 ratio</x:v>
      </x:c>
      <x:c r="C1417" s="1" t="str">
        <x:v>call</x:v>
      </x:c>
      <x:c r="D1417" s="11" t="n">
        <x:v>4400</x:v>
      </x:c>
      <x:c r="E1417" s="11" t="n">
        <x:v>4600</x:v>
      </x:c>
      <x:c r="F1417" s="11"/>
      <x:c r="G1417" s="11" t="n">
        <x:f>'Option source'!B29</x:f>
        <x:v>2387.12</x:v>
      </x:c>
      <x:c r="H1417" s="11" t="n">
        <x:f>'Option source'!B48</x:f>
        <x:v>2493.23</x:v>
      </x:c>
      <x:c r="I1417" s="11"/>
      <x:c r="J1417" s="11" t="n">
        <x:f>G1417-2*H1417+IF(B1417="Butterfly",I1417,0)</x:f>
        <x:v>-2599.34</x:v>
      </x:c>
      <x:c r="K1417" s="11" t="n">
        <x:f>ABS(E1417-D1417)</x:f>
        <x:v>200</x:v>
      </x:c>
      <x:c r="L1417" s="11" t="n">
        <x:f>K1417-J1417</x:f>
        <x:v>2799.34</x:v>
      </x:c>
      <x:c r="M1417" s="11" t="str">
        <x:f>IF(B1417="Butterfly",MAX(J1417,0),IF(C1417="call","Unlimited",MAX(2*E1417-D1417+J1417,J1417,0)))</x:f>
        <x:v>Unlimited</x:v>
      </x:c>
      <x:c r="N1417" s="11" t="str">
        <x:f>IF(B1417="Butterfly",IF(AND(J1417&gt;0,J1417&lt;K1417),D1417+J1417,"n.a."),IF(C1417="call",IF(AND(J1417&gt;0,J1417&lt;K1417),D1417+J1417,"n.a."),IF(AND(K1417&gt;J1417,2*E1417-D1417+J1417&gt;=0),2*E1417-D1417+J1417,"n.a.")))</x:f>
        <x:v>n.a.</x:v>
      </x:c>
      <x:c r="O1417" s="11" t="n">
        <x:f>IF(B1417="Butterfly",IF(AND(J1417&gt;0,J1417&lt;K1417),F1417-J1417,"n.a."),IF(C1417="call",IF(K1417&gt;J1417,2*E1417-D1417-J1417,"n.a."),IF(AND(J1417&gt;0,J1417&lt;K1417),D1417-J1417,"n.a.")))</x:f>
        <x:v>7399.34</x:v>
      </x:c>
      <x:c r="P1417" s="19" t="str">
        <x:f>IF(AND(B1417="Butterfly",J1417&gt;0,J1417&lt;K1417),L1417/J1417,"n.a.")</x:f>
        <x:v>n.a.</x:v>
      </x:c>
      <x:c r="Q1417" s="11" t="n">
        <x:f>J1417*'Model inputs'!$B$8</x:f>
        <x:v>-259934</x:v>
      </x:c>
      <x:c r="R1417" s="1" t="str">
        <x:v>Flagged leg data</x:v>
      </x:c>
      <x:c r="S1417" s="1" t="n">
        <x:v>24</x:v>
      </x:c>
      <x:c r="T1417" s="1" t="n">
        <x:v>43</x:v>
      </x:c>
    </x:row>
    <x:row r="1418" ht="21" customHeight="1">
      <x:c r="A1418" s="12" t="n">
        <x:v>46260</x:v>
      </x:c>
      <x:c r="B1418" s="1" t="str">
        <x:v>1x2 ratio</x:v>
      </x:c>
      <x:c r="C1418" s="1" t="str">
        <x:v>call</x:v>
      </x:c>
      <x:c r="D1418" s="11" t="n">
        <x:v>4200</x:v>
      </x:c>
      <x:c r="E1418" s="11" t="n">
        <x:v>4400</x:v>
      </x:c>
      <x:c r="F1418" s="11"/>
      <x:c r="G1418" s="11" t="n">
        <x:f>'Option source'!B10</x:f>
        <x:v>2914.64</x:v>
      </x:c>
      <x:c r="H1418" s="11" t="n">
        <x:f>'Option source'!B29</x:f>
        <x:v>2387.12</x:v>
      </x:c>
      <x:c r="I1418" s="11"/>
      <x:c r="J1418" s="11" t="n">
        <x:f>G1418-2*H1418+IF(B1418="Butterfly",I1418,0)</x:f>
        <x:v>-1859.6</x:v>
      </x:c>
      <x:c r="K1418" s="11" t="n">
        <x:f>ABS(E1418-D1418)</x:f>
        <x:v>200</x:v>
      </x:c>
      <x:c r="L1418" s="11" t="n">
        <x:f>K1418-J1418</x:f>
        <x:v>2059.6</x:v>
      </x:c>
      <x:c r="M1418" s="11" t="str">
        <x:f>IF(B1418="Butterfly",MAX(J1418,0),IF(C1418="call","Unlimited",MAX(2*E1418-D1418+J1418,J1418,0)))</x:f>
        <x:v>Unlimited</x:v>
      </x:c>
      <x:c r="N1418" s="11" t="str">
        <x:f>IF(B1418="Butterfly",IF(AND(J1418&gt;0,J1418&lt;K1418),D1418+J1418,"n.a."),IF(C1418="call",IF(AND(J1418&gt;0,J1418&lt;K1418),D1418+J1418,"n.a."),IF(AND(K1418&gt;J1418,2*E1418-D1418+J1418&gt;=0),2*E1418-D1418+J1418,"n.a.")))</x:f>
        <x:v>n.a.</x:v>
      </x:c>
      <x:c r="O1418" s="11" t="n">
        <x:f>IF(B1418="Butterfly",IF(AND(J1418&gt;0,J1418&lt;K1418),F1418-J1418,"n.a."),IF(C1418="call",IF(K1418&gt;J1418,2*E1418-D1418-J1418,"n.a."),IF(AND(J1418&gt;0,J1418&lt;K1418),D1418-J1418,"n.a.")))</x:f>
        <x:v>6459.6</x:v>
      </x:c>
      <x:c r="P1418" s="19" t="str">
        <x:f>IF(AND(B1418="Butterfly",J1418&gt;0,J1418&lt;K1418),L1418/J1418,"n.a.")</x:f>
        <x:v>n.a.</x:v>
      </x:c>
      <x:c r="Q1418" s="11" t="n">
        <x:f>J1418*'Model inputs'!$B$8</x:f>
        <x:v>-185960</x:v>
      </x:c>
      <x:c r="R1418" s="1" t="str">
        <x:v>Flagged leg data</x:v>
      </x:c>
      <x:c r="S1418" s="1" t="n">
        <x:v>5</x:v>
      </x:c>
      <x:c r="T1418" s="1" t="n">
        <x:v>24</x:v>
      </x:c>
    </x:row>
    <x:row r="1419" ht="21" customHeight="1">
      <x:c r="A1419" s="12" t="n">
        <x:v>46259</x:v>
      </x:c>
      <x:c r="B1419" s="1" t="str">
        <x:v>Butterfly</x:v>
      </x:c>
      <x:c r="C1419" s="1" t="str">
        <x:v>call</x:v>
      </x:c>
      <x:c r="D1419" s="11" t="n">
        <x:v>6800</x:v>
      </x:c>
      <x:c r="E1419" s="11" t="n">
        <x:v>7000</x:v>
      </x:c>
      <x:c r="F1419" s="11" t="n">
        <x:v>7200</x:v>
      </x:c>
      <x:c r="G1419" s="11" t="n">
        <x:f>'Option source'!B242</x:f>
        <x:v>720.8</x:v>
      </x:c>
      <x:c r="H1419" s="11" t="n">
        <x:f>'Option source'!B261</x:f>
        <x:v>604.66</x:v>
      </x:c>
      <x:c r="I1419" s="11" t="n">
        <x:f>'Option source'!B280</x:f>
        <x:v>501.24</x:v>
      </x:c>
      <x:c r="J1419" s="11" t="n">
        <x:f>G1419-2*H1419+IF(B1419="Butterfly",I1419,0)</x:f>
        <x:v>12.720000000000027</x:v>
      </x:c>
      <x:c r="K1419" s="11" t="n">
        <x:f>ABS(E1419-D1419)</x:f>
        <x:v>200</x:v>
      </x:c>
      <x:c r="L1419" s="11" t="n">
        <x:f>K1419-J1419</x:f>
        <x:v>187.27999999999997</x:v>
      </x:c>
      <x:c r="M1419" s="11" t="n">
        <x:f>IF(B1419="Butterfly",MAX(J1419,0),IF(C1419="call","Unlimited",MAX(2*E1419-D1419+J1419,J1419,0)))</x:f>
        <x:v>12.720000000000027</x:v>
      </x:c>
      <x:c r="N1419" s="11" t="n">
        <x:f>IF(B1419="Butterfly",IF(AND(J1419&gt;0,J1419&lt;K1419),D1419+J1419,"n.a."),IF(C1419="call",IF(AND(J1419&gt;0,J1419&lt;K1419),D1419+J1419,"n.a."),IF(AND(K1419&gt;J1419,2*E1419-D1419+J1419&gt;=0),2*E1419-D1419+J1419,"n.a.")))</x:f>
        <x:v>6812.72</x:v>
      </x:c>
      <x:c r="O1419" s="11" t="n">
        <x:f>IF(B1419="Butterfly",IF(AND(J1419&gt;0,J1419&lt;K1419),F1419-J1419,"n.a."),IF(C1419="call",IF(K1419&gt;J1419,2*E1419-D1419-J1419,"n.a."),IF(AND(J1419&gt;0,J1419&lt;K1419),D1419-J1419,"n.a.")))</x:f>
        <x:v>7187.28</x:v>
      </x:c>
      <x:c r="P1419" s="19" t="n">
        <x:f>IF(AND(B1419="Butterfly",J1419&gt;0,J1419&lt;K1419),L1419/J1419,"n.a.")</x:f>
        <x:v>14.723270440251538</x:v>
      </x:c>
      <x:c r="Q1419" s="11" t="n">
        <x:f>J1419*'Model inputs'!$B$8</x:f>
        <x:v>1272.0000000000027</x:v>
      </x:c>
      <x:c r="R1419" s="1" t="str">
        <x:v>Indicative only</x:v>
      </x:c>
      <x:c r="S1419" s="1" t="n">
        <x:v>237</x:v>
      </x:c>
      <x:c r="T1419" s="1" t="n">
        <x:v>256</x:v>
      </x:c>
    </x:row>
    <x:row r="1420" ht="21" customHeight="1">
      <x:c r="A1420" s="12" t="n">
        <x:v>46259</x:v>
      </x:c>
      <x:c r="B1420" s="1" t="str">
        <x:v>Butterfly</x:v>
      </x:c>
      <x:c r="C1420" s="1" t="str">
        <x:v>put</x:v>
      </x:c>
      <x:c r="D1420" s="11" t="n">
        <x:v>6800</x:v>
      </x:c>
      <x:c r="E1420" s="11" t="n">
        <x:v>7000</x:v>
      </x:c>
      <x:c r="F1420" s="11" t="n">
        <x:v>7200</x:v>
      </x:c>
      <x:c r="G1420" s="11" t="n">
        <x:f>'Option source'!B736</x:f>
        <x:v>251.5</x:v>
      </x:c>
      <x:c r="H1420" s="11" t="n">
        <x:f>'Option source'!B755</x:f>
        <x:v>333.44</x:v>
      </x:c>
      <x:c r="I1420" s="11" t="n">
        <x:f>'Option source'!B774</x:f>
        <x:v>428.03</x:v>
      </x:c>
      <x:c r="J1420" s="11" t="n">
        <x:f>G1420-2*H1420+IF(B1420="Butterfly",I1420,0)</x:f>
        <x:v>12.649999999999977</x:v>
      </x:c>
      <x:c r="K1420" s="11" t="n">
        <x:f>ABS(E1420-D1420)</x:f>
        <x:v>200</x:v>
      </x:c>
      <x:c r="L1420" s="11" t="n">
        <x:f>K1420-J1420</x:f>
        <x:v>187.35000000000002</x:v>
      </x:c>
      <x:c r="M1420" s="11" t="n">
        <x:f>IF(B1420="Butterfly",MAX(J1420,0),IF(C1420="call","Unlimited",MAX(2*E1420-D1420+J1420,J1420,0)))</x:f>
        <x:v>12.649999999999977</x:v>
      </x:c>
      <x:c r="N1420" s="11" t="n">
        <x:f>IF(B1420="Butterfly",IF(AND(J1420&gt;0,J1420&lt;K1420),D1420+J1420,"n.a."),IF(C1420="call",IF(AND(J1420&gt;0,J1420&lt;K1420),D1420+J1420,"n.a."),IF(AND(K1420&gt;J1420,2*E1420-D1420+J1420&gt;=0),2*E1420-D1420+J1420,"n.a.")))</x:f>
        <x:v>6812.65</x:v>
      </x:c>
      <x:c r="O1420" s="11" t="n">
        <x:f>IF(B1420="Butterfly",IF(AND(J1420&gt;0,J1420&lt;K1420),F1420-J1420,"n.a."),IF(C1420="call",IF(K1420&gt;J1420,2*E1420-D1420-J1420,"n.a."),IF(AND(J1420&gt;0,J1420&lt;K1420),D1420-J1420,"n.a.")))</x:f>
        <x:v>7187.35</x:v>
      </x:c>
      <x:c r="P1420" s="19" t="n">
        <x:f>IF(AND(B1420="Butterfly",J1420&gt;0,J1420&lt;K1420),L1420/J1420,"n.a.")</x:f>
        <x:v>14.810276679841925</x:v>
      </x:c>
      <x:c r="Q1420" s="11" t="n">
        <x:f>J1420*'Model inputs'!$B$8</x:f>
        <x:v>1264.9999999999977</x:v>
      </x:c>
      <x:c r="R1420" s="1" t="str">
        <x:v>Indicative only</x:v>
      </x:c>
      <x:c r="S1420" s="1" t="n">
        <x:v>731</x:v>
      </x:c>
      <x:c r="T1420" s="1" t="n">
        <x:v>750</x:v>
      </x:c>
    </x:row>
    <x:row r="1421" ht="21" customHeight="1">
      <x:c r="A1421" s="12" t="n">
        <x:v>46259</x:v>
      </x:c>
      <x:c r="B1421" s="1" t="str">
        <x:v>Butterfly</x:v>
      </x:c>
      <x:c r="C1421" s="1" t="str">
        <x:v>call</x:v>
      </x:c>
      <x:c r="D1421" s="11" t="n">
        <x:v>7000</x:v>
      </x:c>
      <x:c r="E1421" s="11" t="n">
        <x:v>7200</x:v>
      </x:c>
      <x:c r="F1421" s="11" t="n">
        <x:v>7400</x:v>
      </x:c>
      <x:c r="G1421" s="11" t="n">
        <x:f>'Option source'!B261</x:f>
        <x:v>604.66</x:v>
      </x:c>
      <x:c r="H1421" s="11" t="n">
        <x:f>'Option source'!B280</x:f>
        <x:v>501.24</x:v>
      </x:c>
      <x:c r="I1421" s="11" t="n">
        <x:f>'Option source'!B299</x:f>
        <x:v>414.81</x:v>
      </x:c>
      <x:c r="J1421" s="11" t="n">
        <x:f>G1421-2*H1421+IF(B1421="Butterfly",I1421,0)</x:f>
        <x:v>16.989999999999952</x:v>
      </x:c>
      <x:c r="K1421" s="11" t="n">
        <x:f>ABS(E1421-D1421)</x:f>
        <x:v>200</x:v>
      </x:c>
      <x:c r="L1421" s="11" t="n">
        <x:f>K1421-J1421</x:f>
        <x:v>183.01000000000005</x:v>
      </x:c>
      <x:c r="M1421" s="11" t="n">
        <x:f>IF(B1421="Butterfly",MAX(J1421,0),IF(C1421="call","Unlimited",MAX(2*E1421-D1421+J1421,J1421,0)))</x:f>
        <x:v>16.989999999999952</x:v>
      </x:c>
      <x:c r="N1421" s="11" t="n">
        <x:f>IF(B1421="Butterfly",IF(AND(J1421&gt;0,J1421&lt;K1421),D1421+J1421,"n.a."),IF(C1421="call",IF(AND(J1421&gt;0,J1421&lt;K1421),D1421+J1421,"n.a."),IF(AND(K1421&gt;J1421,2*E1421-D1421+J1421&gt;=0),2*E1421-D1421+J1421,"n.a.")))</x:f>
        <x:v>7016.99</x:v>
      </x:c>
      <x:c r="O1421" s="11" t="n">
        <x:f>IF(B1421="Butterfly",IF(AND(J1421&gt;0,J1421&lt;K1421),F1421-J1421,"n.a."),IF(C1421="call",IF(K1421&gt;J1421,2*E1421-D1421-J1421,"n.a."),IF(AND(J1421&gt;0,J1421&lt;K1421),D1421-J1421,"n.a.")))</x:f>
        <x:v>7383.01</x:v>
      </x:c>
      <x:c r="P1421" s="19" t="n">
        <x:f>IF(AND(B1421="Butterfly",J1421&gt;0,J1421&lt;K1421),L1421/J1421,"n.a.")</x:f>
        <x:v>10.77163037080639</x:v>
      </x:c>
      <x:c r="Q1421" s="11" t="n">
        <x:f>J1421*'Model inputs'!$B$8</x:f>
        <x:v>1698.9999999999952</x:v>
      </x:c>
      <x:c r="R1421" s="1" t="str">
        <x:v>Indicative only</x:v>
      </x:c>
      <x:c r="S1421" s="1" t="n">
        <x:v>256</x:v>
      </x:c>
      <x:c r="T1421" s="1" t="n">
        <x:v>275</x:v>
      </x:c>
    </x:row>
    <x:row r="1422" ht="21" customHeight="1">
      <x:c r="A1422" s="12" t="n">
        <x:v>46259</x:v>
      </x:c>
      <x:c r="B1422" s="1" t="str">
        <x:v>Butterfly</x:v>
      </x:c>
      <x:c r="C1422" s="1" t="str">
        <x:v>put</x:v>
      </x:c>
      <x:c r="D1422" s="11" t="n">
        <x:v>7000</x:v>
      </x:c>
      <x:c r="E1422" s="11" t="n">
        <x:v>7200</x:v>
      </x:c>
      <x:c r="F1422" s="11" t="n">
        <x:v>7400</x:v>
      </x:c>
      <x:c r="G1422" s="11" t="n">
        <x:f>'Option source'!B755</x:f>
        <x:v>333.44</x:v>
      </x:c>
      <x:c r="H1422" s="11" t="n">
        <x:f>'Option source'!B774</x:f>
        <x:v>428.03</x:v>
      </x:c>
      <x:c r="I1422" s="11" t="n">
        <x:f>'Option source'!B793</x:f>
        <x:v>535.8</x:v>
      </x:c>
      <x:c r="J1422" s="11" t="n">
        <x:f>G1422-2*H1422+IF(B1422="Butterfly",I1422,0)</x:f>
        <x:v>13.180000000000064</x:v>
      </x:c>
      <x:c r="K1422" s="11" t="n">
        <x:f>ABS(E1422-D1422)</x:f>
        <x:v>200</x:v>
      </x:c>
      <x:c r="L1422" s="11" t="n">
        <x:f>K1422-J1422</x:f>
        <x:v>186.81999999999994</x:v>
      </x:c>
      <x:c r="M1422" s="11" t="n">
        <x:f>IF(B1422="Butterfly",MAX(J1422,0),IF(C1422="call","Unlimited",MAX(2*E1422-D1422+J1422,J1422,0)))</x:f>
        <x:v>13.180000000000064</x:v>
      </x:c>
      <x:c r="N1422" s="11" t="n">
        <x:f>IF(B1422="Butterfly",IF(AND(J1422&gt;0,J1422&lt;K1422),D1422+J1422,"n.a."),IF(C1422="call",IF(AND(J1422&gt;0,J1422&lt;K1422),D1422+J1422,"n.a."),IF(AND(K1422&gt;J1422,2*E1422-D1422+J1422&gt;=0),2*E1422-D1422+J1422,"n.a.")))</x:f>
        <x:v>7013.18</x:v>
      </x:c>
      <x:c r="O1422" s="11" t="n">
        <x:f>IF(B1422="Butterfly",IF(AND(J1422&gt;0,J1422&lt;K1422),F1422-J1422,"n.a."),IF(C1422="call",IF(K1422&gt;J1422,2*E1422-D1422-J1422,"n.a."),IF(AND(J1422&gt;0,J1422&lt;K1422),D1422-J1422,"n.a.")))</x:f>
        <x:v>7386.82</x:v>
      </x:c>
      <x:c r="P1422" s="19" t="n">
        <x:f>IF(AND(B1422="Butterfly",J1422&gt;0,J1422&lt;K1422),L1422/J1422,"n.a.")</x:f>
        <x:v>14.174506828528</x:v>
      </x:c>
      <x:c r="Q1422" s="11" t="n">
        <x:f>J1422*'Model inputs'!$B$8</x:f>
        <x:v>1318.0000000000064</x:v>
      </x:c>
      <x:c r="R1422" s="1" t="str">
        <x:v>Indicative only</x:v>
      </x:c>
      <x:c r="S1422" s="1" t="n">
        <x:v>750</x:v>
      </x:c>
      <x:c r="T1422" s="1" t="n">
        <x:v>769</x:v>
      </x:c>
    </x:row>
    <x:row r="1423" ht="21" customHeight="1">
      <x:c r="A1423" s="12" t="n">
        <x:v>46259</x:v>
      </x:c>
      <x:c r="B1423" s="1" t="str">
        <x:v>Butterfly</x:v>
      </x:c>
      <x:c r="C1423" s="1" t="str">
        <x:v>call</x:v>
      </x:c>
      <x:c r="D1423" s="11" t="n">
        <x:v>6600</x:v>
      </x:c>
      <x:c r="E1423" s="11" t="n">
        <x:v>6800</x:v>
      </x:c>
      <x:c r="F1423" s="11" t="n">
        <x:v>7000</x:v>
      </x:c>
      <x:c r="G1423" s="11" t="n">
        <x:f>'Option source'!B223</x:f>
        <x:v>852.31</x:v>
      </x:c>
      <x:c r="H1423" s="11" t="n">
        <x:f>'Option source'!B242</x:f>
        <x:v>720.8</x:v>
      </x:c>
      <x:c r="I1423" s="11" t="n">
        <x:f>'Option source'!B261</x:f>
        <x:v>604.66</x:v>
      </x:c>
      <x:c r="J1423" s="11" t="n">
        <x:f>G1423-2*H1423+IF(B1423="Butterfly",I1423,0)</x:f>
        <x:v>15.370000000000005</x:v>
      </x:c>
      <x:c r="K1423" s="11" t="n">
        <x:f>ABS(E1423-D1423)</x:f>
        <x:v>200</x:v>
      </x:c>
      <x:c r="L1423" s="11" t="n">
        <x:f>K1423-J1423</x:f>
        <x:v>184.63</x:v>
      </x:c>
      <x:c r="M1423" s="11" t="n">
        <x:f>IF(B1423="Butterfly",MAX(J1423,0),IF(C1423="call","Unlimited",MAX(2*E1423-D1423+J1423,J1423,0)))</x:f>
        <x:v>15.370000000000005</x:v>
      </x:c>
      <x:c r="N1423" s="11" t="n">
        <x:f>IF(B1423="Butterfly",IF(AND(J1423&gt;0,J1423&lt;K1423),D1423+J1423,"n.a."),IF(C1423="call",IF(AND(J1423&gt;0,J1423&lt;K1423),D1423+J1423,"n.a."),IF(AND(K1423&gt;J1423,2*E1423-D1423+J1423&gt;=0),2*E1423-D1423+J1423,"n.a.")))</x:f>
        <x:v>6615.37</x:v>
      </x:c>
      <x:c r="O1423" s="11" t="n">
        <x:f>IF(B1423="Butterfly",IF(AND(J1423&gt;0,J1423&lt;K1423),F1423-J1423,"n.a."),IF(C1423="call",IF(K1423&gt;J1423,2*E1423-D1423-J1423,"n.a."),IF(AND(J1423&gt;0,J1423&lt;K1423),D1423-J1423,"n.a.")))</x:f>
        <x:v>6984.63</x:v>
      </x:c>
      <x:c r="P1423" s="19" t="n">
        <x:f>IF(AND(B1423="Butterfly",J1423&gt;0,J1423&lt;K1423),L1423/J1423,"n.a.")</x:f>
        <x:v>12.01236174365647</x:v>
      </x:c>
      <x:c r="Q1423" s="11" t="n">
        <x:f>J1423*'Model inputs'!$B$8</x:f>
        <x:v>1537.0000000000005</x:v>
      </x:c>
      <x:c r="R1423" s="1" t="str">
        <x:v>Indicative only</x:v>
      </x:c>
      <x:c r="S1423" s="1" t="n">
        <x:v>218</x:v>
      </x:c>
      <x:c r="T1423" s="1" t="n">
        <x:v>237</x:v>
      </x:c>
    </x:row>
    <x:row r="1424" ht="21" customHeight="1">
      <x:c r="A1424" s="12" t="n">
        <x:v>46259</x:v>
      </x:c>
      <x:c r="B1424" s="1" t="str">
        <x:v>Butterfly</x:v>
      </x:c>
      <x:c r="C1424" s="1" t="str">
        <x:v>put</x:v>
      </x:c>
      <x:c r="D1424" s="11" t="n">
        <x:v>6600</x:v>
      </x:c>
      <x:c r="E1424" s="11" t="n">
        <x:v>6800</x:v>
      </x:c>
      <x:c r="F1424" s="11" t="n">
        <x:v>7000</x:v>
      </x:c>
      <x:c r="G1424" s="11" t="n">
        <x:f>'Option source'!B717</x:f>
        <x:v>188.16</x:v>
      </x:c>
      <x:c r="H1424" s="11" t="n">
        <x:f>'Option source'!B736</x:f>
        <x:v>251.5</x:v>
      </x:c>
      <x:c r="I1424" s="11" t="n">
        <x:f>'Option source'!B755</x:f>
        <x:v>333.44</x:v>
      </x:c>
      <x:c r="J1424" s="11" t="n">
        <x:f>G1424-2*H1424+IF(B1424="Butterfly",I1424,0)</x:f>
        <x:v>18.599999999999966</x:v>
      </x:c>
      <x:c r="K1424" s="11" t="n">
        <x:f>ABS(E1424-D1424)</x:f>
        <x:v>200</x:v>
      </x:c>
      <x:c r="L1424" s="11" t="n">
        <x:f>K1424-J1424</x:f>
        <x:v>181.40000000000003</x:v>
      </x:c>
      <x:c r="M1424" s="11" t="n">
        <x:f>IF(B1424="Butterfly",MAX(J1424,0),IF(C1424="call","Unlimited",MAX(2*E1424-D1424+J1424,J1424,0)))</x:f>
        <x:v>18.599999999999966</x:v>
      </x:c>
      <x:c r="N1424" s="11" t="n">
        <x:f>IF(B1424="Butterfly",IF(AND(J1424&gt;0,J1424&lt;K1424),D1424+J1424,"n.a."),IF(C1424="call",IF(AND(J1424&gt;0,J1424&lt;K1424),D1424+J1424,"n.a."),IF(AND(K1424&gt;J1424,2*E1424-D1424+J1424&gt;=0),2*E1424-D1424+J1424,"n.a.")))</x:f>
        <x:v>6618.6</x:v>
      </x:c>
      <x:c r="O1424" s="11" t="n">
        <x:f>IF(B1424="Butterfly",IF(AND(J1424&gt;0,J1424&lt;K1424),F1424-J1424,"n.a."),IF(C1424="call",IF(K1424&gt;J1424,2*E1424-D1424-J1424,"n.a."),IF(AND(J1424&gt;0,J1424&lt;K1424),D1424-J1424,"n.a.")))</x:f>
        <x:v>6981.4</x:v>
      </x:c>
      <x:c r="P1424" s="19" t="n">
        <x:f>IF(AND(B1424="Butterfly",J1424&gt;0,J1424&lt;K1424),L1424/J1424,"n.a.")</x:f>
        <x:v>9.75268817204303</x:v>
      </x:c>
      <x:c r="Q1424" s="11" t="n">
        <x:f>J1424*'Model inputs'!$B$8</x:f>
        <x:v>1859.9999999999966</x:v>
      </x:c>
      <x:c r="R1424" s="1" t="str">
        <x:v>Indicative only</x:v>
      </x:c>
      <x:c r="S1424" s="1" t="n">
        <x:v>712</x:v>
      </x:c>
      <x:c r="T1424" s="1" t="n">
        <x:v>731</x:v>
      </x:c>
    </x:row>
    <x:row r="1425" ht="21" customHeight="1">
      <x:c r="A1425" s="12" t="n">
        <x:v>46259</x:v>
      </x:c>
      <x:c r="B1425" s="1" t="str">
        <x:v>Butterfly</x:v>
      </x:c>
      <x:c r="C1425" s="1" t="str">
        <x:v>call</x:v>
      </x:c>
      <x:c r="D1425" s="11" t="n">
        <x:v>7200</x:v>
      </x:c>
      <x:c r="E1425" s="11" t="n">
        <x:v>7400</x:v>
      </x:c>
      <x:c r="F1425" s="11" t="n">
        <x:v>7600</x:v>
      </x:c>
      <x:c r="G1425" s="11" t="n">
        <x:f>'Option source'!B280</x:f>
        <x:v>501.24</x:v>
      </x:c>
      <x:c r="H1425" s="11" t="n">
        <x:f>'Option source'!B299</x:f>
        <x:v>414.81</x:v>
      </x:c>
      <x:c r="I1425" s="11" t="n">
        <x:f>'Option source'!B318</x:f>
        <x:v>334.73</x:v>
      </x:c>
      <x:c r="J1425" s="11" t="n">
        <x:f>G1425-2*H1425+IF(B1425="Butterfly",I1425,0)</x:f>
        <x:v>6.350000000000023</x:v>
      </x:c>
      <x:c r="K1425" s="11" t="n">
        <x:f>ABS(E1425-D1425)</x:f>
        <x:v>200</x:v>
      </x:c>
      <x:c r="L1425" s="11" t="n">
        <x:f>K1425-J1425</x:f>
        <x:v>193.64999999999998</x:v>
      </x:c>
      <x:c r="M1425" s="11" t="n">
        <x:f>IF(B1425="Butterfly",MAX(J1425,0),IF(C1425="call","Unlimited",MAX(2*E1425-D1425+J1425,J1425,0)))</x:f>
        <x:v>6.350000000000023</x:v>
      </x:c>
      <x:c r="N1425" s="11" t="n">
        <x:f>IF(B1425="Butterfly",IF(AND(J1425&gt;0,J1425&lt;K1425),D1425+J1425,"n.a."),IF(C1425="call",IF(AND(J1425&gt;0,J1425&lt;K1425),D1425+J1425,"n.a."),IF(AND(K1425&gt;J1425,2*E1425-D1425+J1425&gt;=0),2*E1425-D1425+J1425,"n.a.")))</x:f>
        <x:v>7206.35</x:v>
      </x:c>
      <x:c r="O1425" s="11" t="n">
        <x:f>IF(B1425="Butterfly",IF(AND(J1425&gt;0,J1425&lt;K1425),F1425-J1425,"n.a."),IF(C1425="call",IF(K1425&gt;J1425,2*E1425-D1425-J1425,"n.a."),IF(AND(J1425&gt;0,J1425&lt;K1425),D1425-J1425,"n.a.")))</x:f>
        <x:v>7593.65</x:v>
      </x:c>
      <x:c r="P1425" s="19" t="n">
        <x:f>IF(AND(B1425="Butterfly",J1425&gt;0,J1425&lt;K1425),L1425/J1425,"n.a.")</x:f>
        <x:v>30.49606299212587</x:v>
      </x:c>
      <x:c r="Q1425" s="11" t="n">
        <x:f>J1425*'Model inputs'!$B$8</x:f>
        <x:v>635.0000000000023</x:v>
      </x:c>
      <x:c r="R1425" s="1" t="str">
        <x:v>Indicative only</x:v>
      </x:c>
      <x:c r="S1425" s="1" t="n">
        <x:v>275</x:v>
      </x:c>
      <x:c r="T1425" s="1" t="n">
        <x:v>294</x:v>
      </x:c>
    </x:row>
    <x:row r="1426" ht="21" customHeight="1">
      <x:c r="A1426" s="12" t="n">
        <x:v>46259</x:v>
      </x:c>
      <x:c r="B1426" s="1" t="str">
        <x:v>Butterfly</x:v>
      </x:c>
      <x:c r="C1426" s="1" t="str">
        <x:v>put</x:v>
      </x:c>
      <x:c r="D1426" s="11" t="n">
        <x:v>7200</x:v>
      </x:c>
      <x:c r="E1426" s="11" t="n">
        <x:v>7400</x:v>
      </x:c>
      <x:c r="F1426" s="11" t="n">
        <x:v>7600</x:v>
      </x:c>
      <x:c r="G1426" s="11" t="n">
        <x:f>'Option source'!B774</x:f>
        <x:v>428.03</x:v>
      </x:c>
      <x:c r="H1426" s="11" t="n">
        <x:f>'Option source'!B793</x:f>
        <x:v>535.8</x:v>
      </x:c>
      <x:c r="I1426" s="11" t="n">
        <x:f>'Option source'!B812</x:f>
        <x:v>660</x:v>
      </x:c>
      <x:c r="J1426" s="11" t="n">
        <x:f>G1426-2*H1426+IF(B1426="Butterfly",I1426,0)</x:f>
        <x:v>16.430000000000064</x:v>
      </x:c>
      <x:c r="K1426" s="11" t="n">
        <x:f>ABS(E1426-D1426)</x:f>
        <x:v>200</x:v>
      </x:c>
      <x:c r="L1426" s="11" t="n">
        <x:f>K1426-J1426</x:f>
        <x:v>183.56999999999994</x:v>
      </x:c>
      <x:c r="M1426" s="11" t="n">
        <x:f>IF(B1426="Butterfly",MAX(J1426,0),IF(C1426="call","Unlimited",MAX(2*E1426-D1426+J1426,J1426,0)))</x:f>
        <x:v>16.430000000000064</x:v>
      </x:c>
      <x:c r="N1426" s="11" t="n">
        <x:f>IF(B1426="Butterfly",IF(AND(J1426&gt;0,J1426&lt;K1426),D1426+J1426,"n.a."),IF(C1426="call",IF(AND(J1426&gt;0,J1426&lt;K1426),D1426+J1426,"n.a."),IF(AND(K1426&gt;J1426,2*E1426-D1426+J1426&gt;=0),2*E1426-D1426+J1426,"n.a.")))</x:f>
        <x:v>7216.43</x:v>
      </x:c>
      <x:c r="O1426" s="11" t="n">
        <x:f>IF(B1426="Butterfly",IF(AND(J1426&gt;0,J1426&lt;K1426),F1426-J1426,"n.a."),IF(C1426="call",IF(K1426&gt;J1426,2*E1426-D1426-J1426,"n.a."),IF(AND(J1426&gt;0,J1426&lt;K1426),D1426-J1426,"n.a.")))</x:f>
        <x:v>7583.57</x:v>
      </x:c>
      <x:c r="P1426" s="19" t="n">
        <x:f>IF(AND(B1426="Butterfly",J1426&gt;0,J1426&lt;K1426),L1426/J1426,"n.a.")</x:f>
        <x:v>11.172854534388266</x:v>
      </x:c>
      <x:c r="Q1426" s="11" t="n">
        <x:f>J1426*'Model inputs'!$B$8</x:f>
        <x:v>1643.0000000000064</x:v>
      </x:c>
      <x:c r="R1426" s="1" t="str">
        <x:v>Indicative only</x:v>
      </x:c>
      <x:c r="S1426" s="1" t="n">
        <x:v>769</x:v>
      </x:c>
      <x:c r="T1426" s="1" t="n">
        <x:v>788</x:v>
      </x:c>
    </x:row>
    <x:row r="1427" ht="21" customHeight="1">
      <x:c r="A1427" s="12" t="n">
        <x:v>46259</x:v>
      </x:c>
      <x:c r="B1427" s="1" t="str">
        <x:v>Butterfly</x:v>
      </x:c>
      <x:c r="C1427" s="1" t="str">
        <x:v>put</x:v>
      </x:c>
      <x:c r="D1427" s="11" t="n">
        <x:v>6400</x:v>
      </x:c>
      <x:c r="E1427" s="11" t="n">
        <x:v>6600</x:v>
      </x:c>
      <x:c r="F1427" s="11" t="n">
        <x:v>6800</x:v>
      </x:c>
      <x:c r="G1427" s="11" t="n">
        <x:f>'Option source'!B698</x:f>
        <x:v>133.02</x:v>
      </x:c>
      <x:c r="H1427" s="11" t="n">
        <x:f>'Option source'!B717</x:f>
        <x:v>188.16</x:v>
      </x:c>
      <x:c r="I1427" s="11" t="n">
        <x:f>'Option source'!B736</x:f>
        <x:v>251.5</x:v>
      </x:c>
      <x:c r="J1427" s="11" t="n">
        <x:f>G1427-2*H1427+IF(B1427="Butterfly",I1427,0)</x:f>
        <x:v>8.200000000000017</x:v>
      </x:c>
      <x:c r="K1427" s="11" t="n">
        <x:f>ABS(E1427-D1427)</x:f>
        <x:v>200</x:v>
      </x:c>
      <x:c r="L1427" s="11" t="n">
        <x:f>K1427-J1427</x:f>
        <x:v>191.79999999999998</x:v>
      </x:c>
      <x:c r="M1427" s="11" t="n">
        <x:f>IF(B1427="Butterfly",MAX(J1427,0),IF(C1427="call","Unlimited",MAX(2*E1427-D1427+J1427,J1427,0)))</x:f>
        <x:v>8.200000000000017</x:v>
      </x:c>
      <x:c r="N1427" s="11" t="n">
        <x:f>IF(B1427="Butterfly",IF(AND(J1427&gt;0,J1427&lt;K1427),D1427+J1427,"n.a."),IF(C1427="call",IF(AND(J1427&gt;0,J1427&lt;K1427),D1427+J1427,"n.a."),IF(AND(K1427&gt;J1427,2*E1427-D1427+J1427&gt;=0),2*E1427-D1427+J1427,"n.a.")))</x:f>
        <x:v>6408.2</x:v>
      </x:c>
      <x:c r="O1427" s="11" t="n">
        <x:f>IF(B1427="Butterfly",IF(AND(J1427&gt;0,J1427&lt;K1427),F1427-J1427,"n.a."),IF(C1427="call",IF(K1427&gt;J1427,2*E1427-D1427-J1427,"n.a."),IF(AND(J1427&gt;0,J1427&lt;K1427),D1427-J1427,"n.a.")))</x:f>
        <x:v>6791.8</x:v>
      </x:c>
      <x:c r="P1427" s="19" t="n">
        <x:f>IF(AND(B1427="Butterfly",J1427&gt;0,J1427&lt;K1427),L1427/J1427,"n.a.")</x:f>
        <x:v>23.390243902438975</x:v>
      </x:c>
      <x:c r="Q1427" s="11" t="n">
        <x:f>J1427*'Model inputs'!$B$8</x:f>
        <x:v>820.0000000000017</x:v>
      </x:c>
      <x:c r="R1427" s="1" t="str">
        <x:v>Indicative only</x:v>
      </x:c>
      <x:c r="S1427" s="1" t="n">
        <x:v>693</x:v>
      </x:c>
      <x:c r="T1427" s="1" t="n">
        <x:v>712</x:v>
      </x:c>
    </x:row>
    <x:row r="1428" ht="21" customHeight="1">
      <x:c r="A1428" s="12" t="n">
        <x:v>46259</x:v>
      </x:c>
      <x:c r="B1428" s="1" t="str">
        <x:v>Butterfly</x:v>
      </x:c>
      <x:c r="C1428" s="1" t="str">
        <x:v>call</x:v>
      </x:c>
      <x:c r="D1428" s="11" t="n">
        <x:v>7400</x:v>
      </x:c>
      <x:c r="E1428" s="11" t="n">
        <x:v>7600</x:v>
      </x:c>
      <x:c r="F1428" s="11" t="n">
        <x:v>7800</x:v>
      </x:c>
      <x:c r="G1428" s="11" t="n">
        <x:f>'Option source'!B299</x:f>
        <x:v>414.81</x:v>
      </x:c>
      <x:c r="H1428" s="11" t="n">
        <x:f>'Option source'!B318</x:f>
        <x:v>334.73</x:v>
      </x:c>
      <x:c r="I1428" s="11" t="n">
        <x:f>'Option source'!B337</x:f>
        <x:v>267.97</x:v>
      </x:c>
      <x:c r="J1428" s="11" t="n">
        <x:f>G1428-2*H1428+IF(B1428="Butterfly",I1428,0)</x:f>
        <x:v>13.319999999999993</x:v>
      </x:c>
      <x:c r="K1428" s="11" t="n">
        <x:f>ABS(E1428-D1428)</x:f>
        <x:v>200</x:v>
      </x:c>
      <x:c r="L1428" s="11" t="n">
        <x:f>K1428-J1428</x:f>
        <x:v>186.68</x:v>
      </x:c>
      <x:c r="M1428" s="11" t="n">
        <x:f>IF(B1428="Butterfly",MAX(J1428,0),IF(C1428="call","Unlimited",MAX(2*E1428-D1428+J1428,J1428,0)))</x:f>
        <x:v>13.319999999999993</x:v>
      </x:c>
      <x:c r="N1428" s="11" t="n">
        <x:f>IF(B1428="Butterfly",IF(AND(J1428&gt;0,J1428&lt;K1428),D1428+J1428,"n.a."),IF(C1428="call",IF(AND(J1428&gt;0,J1428&lt;K1428),D1428+J1428,"n.a."),IF(AND(K1428&gt;J1428,2*E1428-D1428+J1428&gt;=0),2*E1428-D1428+J1428,"n.a.")))</x:f>
        <x:v>7413.32</x:v>
      </x:c>
      <x:c r="O1428" s="11" t="n">
        <x:f>IF(B1428="Butterfly",IF(AND(J1428&gt;0,J1428&lt;K1428),F1428-J1428,"n.a."),IF(C1428="call",IF(K1428&gt;J1428,2*E1428-D1428-J1428,"n.a."),IF(AND(J1428&gt;0,J1428&lt;K1428),D1428-J1428,"n.a.")))</x:f>
        <x:v>7786.68</x:v>
      </x:c>
      <x:c r="P1428" s="19" t="n">
        <x:f>IF(AND(B1428="Butterfly",J1428&gt;0,J1428&lt;K1428),L1428/J1428,"n.a.")</x:f>
        <x:v>14.015015015015022</x:v>
      </x:c>
      <x:c r="Q1428" s="11" t="n">
        <x:f>J1428*'Model inputs'!$B$8</x:f>
        <x:v>1331.9999999999993</x:v>
      </x:c>
      <x:c r="R1428" s="1" t="str">
        <x:v>Indicative only</x:v>
      </x:c>
      <x:c r="S1428" s="1" t="n">
        <x:v>294</x:v>
      </x:c>
      <x:c r="T1428" s="1" t="n">
        <x:v>313</x:v>
      </x:c>
    </x:row>
    <x:row r="1429" ht="21" customHeight="1">
      <x:c r="A1429" s="12" t="n">
        <x:v>46259</x:v>
      </x:c>
      <x:c r="B1429" s="1" t="str">
        <x:v>Butterfly</x:v>
      </x:c>
      <x:c r="C1429" s="1" t="str">
        <x:v>put</x:v>
      </x:c>
      <x:c r="D1429" s="11" t="n">
        <x:v>6200</x:v>
      </x:c>
      <x:c r="E1429" s="11" t="n">
        <x:v>6400</x:v>
      </x:c>
      <x:c r="F1429" s="11" t="n">
        <x:v>6600</x:v>
      </x:c>
      <x:c r="G1429" s="11" t="n">
        <x:f>'Option source'!B679</x:f>
        <x:v>90.81</x:v>
      </x:c>
      <x:c r="H1429" s="11" t="n">
        <x:f>'Option source'!B698</x:f>
        <x:v>133.02</x:v>
      </x:c>
      <x:c r="I1429" s="11" t="n">
        <x:f>'Option source'!B717</x:f>
        <x:v>188.16</x:v>
      </x:c>
      <x:c r="J1429" s="11" t="n">
        <x:f>G1429-2*H1429+IF(B1429="Butterfly",I1429,0)</x:f>
        <x:v>12.929999999999978</x:v>
      </x:c>
      <x:c r="K1429" s="11" t="n">
        <x:f>ABS(E1429-D1429)</x:f>
        <x:v>200</x:v>
      </x:c>
      <x:c r="L1429" s="11" t="n">
        <x:f>K1429-J1429</x:f>
        <x:v>187.07000000000002</x:v>
      </x:c>
      <x:c r="M1429" s="11" t="n">
        <x:f>IF(B1429="Butterfly",MAX(J1429,0),IF(C1429="call","Unlimited",MAX(2*E1429-D1429+J1429,J1429,0)))</x:f>
        <x:v>12.929999999999978</x:v>
      </x:c>
      <x:c r="N1429" s="11" t="n">
        <x:f>IF(B1429="Butterfly",IF(AND(J1429&gt;0,J1429&lt;K1429),D1429+J1429,"n.a."),IF(C1429="call",IF(AND(J1429&gt;0,J1429&lt;K1429),D1429+J1429,"n.a."),IF(AND(K1429&gt;J1429,2*E1429-D1429+J1429&gt;=0),2*E1429-D1429+J1429,"n.a.")))</x:f>
        <x:v>6212.93</x:v>
      </x:c>
      <x:c r="O1429" s="11" t="n">
        <x:f>IF(B1429="Butterfly",IF(AND(J1429&gt;0,J1429&lt;K1429),F1429-J1429,"n.a."),IF(C1429="call",IF(K1429&gt;J1429,2*E1429-D1429-J1429,"n.a."),IF(AND(J1429&gt;0,J1429&lt;K1429),D1429-J1429,"n.a.")))</x:f>
        <x:v>6587.07</x:v>
      </x:c>
      <x:c r="P1429" s="19" t="n">
        <x:f>IF(AND(B1429="Butterfly",J1429&gt;0,J1429&lt;K1429),L1429/J1429,"n.a.")</x:f>
        <x:v>14.467904098994612</x:v>
      </x:c>
      <x:c r="Q1429" s="11" t="n">
        <x:f>J1429*'Model inputs'!$B$8</x:f>
        <x:v>1292.9999999999977</x:v>
      </x:c>
      <x:c r="R1429" s="1" t="str">
        <x:v>Indicative only</x:v>
      </x:c>
      <x:c r="S1429" s="1" t="n">
        <x:v>674</x:v>
      </x:c>
      <x:c r="T1429" s="1" t="n">
        <x:v>693</x:v>
      </x:c>
    </x:row>
    <x:row r="1430" ht="21" customHeight="1">
      <x:c r="A1430" s="12" t="n">
        <x:v>46259</x:v>
      </x:c>
      <x:c r="B1430" s="1" t="str">
        <x:v>Butterfly</x:v>
      </x:c>
      <x:c r="C1430" s="1" t="str">
        <x:v>call</x:v>
      </x:c>
      <x:c r="D1430" s="11" t="n">
        <x:v>7600</x:v>
      </x:c>
      <x:c r="E1430" s="11" t="n">
        <x:v>7800</x:v>
      </x:c>
      <x:c r="F1430" s="11" t="n">
        <x:v>8000</x:v>
      </x:c>
      <x:c r="G1430" s="11" t="n">
        <x:f>'Option source'!B318</x:f>
        <x:v>334.73</x:v>
      </x:c>
      <x:c r="H1430" s="11" t="n">
        <x:f>'Option source'!B337</x:f>
        <x:v>267.97</x:v>
      </x:c>
      <x:c r="I1430" s="11" t="n">
        <x:f>'Option source'!B356</x:f>
        <x:v>217.29</x:v>
      </x:c>
      <x:c r="J1430" s="11" t="n">
        <x:f>G1430-2*H1430+IF(B1430="Butterfly",I1430,0)</x:f>
        <x:v>16.079999999999956</x:v>
      </x:c>
      <x:c r="K1430" s="11" t="n">
        <x:f>ABS(E1430-D1430)</x:f>
        <x:v>200</x:v>
      </x:c>
      <x:c r="L1430" s="11" t="n">
        <x:f>K1430-J1430</x:f>
        <x:v>183.92000000000004</x:v>
      </x:c>
      <x:c r="M1430" s="11" t="n">
        <x:f>IF(B1430="Butterfly",MAX(J1430,0),IF(C1430="call","Unlimited",MAX(2*E1430-D1430+J1430,J1430,0)))</x:f>
        <x:v>16.079999999999956</x:v>
      </x:c>
      <x:c r="N1430" s="11" t="n">
        <x:f>IF(B1430="Butterfly",IF(AND(J1430&gt;0,J1430&lt;K1430),D1430+J1430,"n.a."),IF(C1430="call",IF(AND(J1430&gt;0,J1430&lt;K1430),D1430+J1430,"n.a."),IF(AND(K1430&gt;J1430,2*E1430-D1430+J1430&gt;=0),2*E1430-D1430+J1430,"n.a.")))</x:f>
        <x:v>7616.08</x:v>
      </x:c>
      <x:c r="O1430" s="11" t="n">
        <x:f>IF(B1430="Butterfly",IF(AND(J1430&gt;0,J1430&lt;K1430),F1430-J1430,"n.a."),IF(C1430="call",IF(K1430&gt;J1430,2*E1430-D1430-J1430,"n.a."),IF(AND(J1430&gt;0,J1430&lt;K1430),D1430-J1430,"n.a.")))</x:f>
        <x:v>7983.92</x:v>
      </x:c>
      <x:c r="P1430" s="19" t="n">
        <x:f>IF(AND(B1430="Butterfly",J1430&gt;0,J1430&lt;K1430),L1430/J1430,"n.a.")</x:f>
        <x:v>11.437810945273666</x:v>
      </x:c>
      <x:c r="Q1430" s="11" t="n">
        <x:f>J1430*'Model inputs'!$B$8</x:f>
        <x:v>1607.9999999999955</x:v>
      </x:c>
      <x:c r="R1430" s="1" t="str">
        <x:v>Indicative only</x:v>
      </x:c>
      <x:c r="S1430" s="1" t="n">
        <x:v>313</x:v>
      </x:c>
      <x:c r="T1430" s="1" t="n">
        <x:v>332</x:v>
      </x:c>
    </x:row>
    <x:row r="1431" ht="21" customHeight="1">
      <x:c r="A1431" s="12" t="n">
        <x:v>46259</x:v>
      </x:c>
      <x:c r="B1431" s="1" t="str">
        <x:v>Butterfly</x:v>
      </x:c>
      <x:c r="C1431" s="1" t="str">
        <x:v>put</x:v>
      </x:c>
      <x:c r="D1431" s="11" t="n">
        <x:v>6000</x:v>
      </x:c>
      <x:c r="E1431" s="11" t="n">
        <x:v>6200</x:v>
      </x:c>
      <x:c r="F1431" s="11" t="n">
        <x:v>6400</x:v>
      </x:c>
      <x:c r="G1431" s="11" t="n">
        <x:f>'Option source'!B660</x:f>
        <x:v>60.32</x:v>
      </x:c>
      <x:c r="H1431" s="11" t="n">
        <x:f>'Option source'!B679</x:f>
        <x:v>90.81</x:v>
      </x:c>
      <x:c r="I1431" s="11" t="n">
        <x:f>'Option source'!B698</x:f>
        <x:v>133.02</x:v>
      </x:c>
      <x:c r="J1431" s="11" t="n">
        <x:f>G1431-2*H1431+IF(B1431="Butterfly",I1431,0)</x:f>
        <x:v>11.719999999999999</x:v>
      </x:c>
      <x:c r="K1431" s="11" t="n">
        <x:f>ABS(E1431-D1431)</x:f>
        <x:v>200</x:v>
      </x:c>
      <x:c r="L1431" s="11" t="n">
        <x:f>K1431-J1431</x:f>
        <x:v>188.28</x:v>
      </x:c>
      <x:c r="M1431" s="11" t="n">
        <x:f>IF(B1431="Butterfly",MAX(J1431,0),IF(C1431="call","Unlimited",MAX(2*E1431-D1431+J1431,J1431,0)))</x:f>
        <x:v>11.719999999999999</x:v>
      </x:c>
      <x:c r="N1431" s="11" t="n">
        <x:f>IF(B1431="Butterfly",IF(AND(J1431&gt;0,J1431&lt;K1431),D1431+J1431,"n.a."),IF(C1431="call",IF(AND(J1431&gt;0,J1431&lt;K1431),D1431+J1431,"n.a."),IF(AND(K1431&gt;J1431,2*E1431-D1431+J1431&gt;=0),2*E1431-D1431+J1431,"n.a.")))</x:f>
        <x:v>6011.72</x:v>
      </x:c>
      <x:c r="O1431" s="11" t="n">
        <x:f>IF(B1431="Butterfly",IF(AND(J1431&gt;0,J1431&lt;K1431),F1431-J1431,"n.a."),IF(C1431="call",IF(K1431&gt;J1431,2*E1431-D1431-J1431,"n.a."),IF(AND(J1431&gt;0,J1431&lt;K1431),D1431-J1431,"n.a.")))</x:f>
        <x:v>6388.28</x:v>
      </x:c>
      <x:c r="P1431" s="19" t="n">
        <x:f>IF(AND(B1431="Butterfly",J1431&gt;0,J1431&lt;K1431),L1431/J1431,"n.a.")</x:f>
        <x:v>16.064846416382256</x:v>
      </x:c>
      <x:c r="Q1431" s="11" t="n">
        <x:f>J1431*'Model inputs'!$B$8</x:f>
        <x:v>1172</x:v>
      </x:c>
      <x:c r="R1431" s="1" t="str">
        <x:v>Indicative only</x:v>
      </x:c>
      <x:c r="S1431" s="1" t="n">
        <x:v>655</x:v>
      </x:c>
      <x:c r="T1431" s="1" t="n">
        <x:v>674</x:v>
      </x:c>
    </x:row>
    <x:row r="1432" ht="21" customHeight="1">
      <x:c r="A1432" s="12" t="n">
        <x:v>46259</x:v>
      </x:c>
      <x:c r="B1432" s="1" t="str">
        <x:v>Butterfly</x:v>
      </x:c>
      <x:c r="C1432" s="1" t="str">
        <x:v>put</x:v>
      </x:c>
      <x:c r="D1432" s="11" t="n">
        <x:v>5800</x:v>
      </x:c>
      <x:c r="E1432" s="11" t="n">
        <x:v>6000</x:v>
      </x:c>
      <x:c r="F1432" s="11" t="n">
        <x:v>6200</x:v>
      </x:c>
      <x:c r="G1432" s="11" t="n">
        <x:f>'Option source'!B641</x:f>
        <x:v>38.97</x:v>
      </x:c>
      <x:c r="H1432" s="11" t="n">
        <x:f>'Option source'!B660</x:f>
        <x:v>60.32</x:v>
      </x:c>
      <x:c r="I1432" s="11" t="n">
        <x:f>'Option source'!B679</x:f>
        <x:v>90.81</x:v>
      </x:c>
      <x:c r="J1432" s="11" t="n">
        <x:f>G1432-2*H1432+IF(B1432="Butterfly",I1432,0)</x:f>
        <x:v>9.14</x:v>
      </x:c>
      <x:c r="K1432" s="11" t="n">
        <x:f>ABS(E1432-D1432)</x:f>
        <x:v>200</x:v>
      </x:c>
      <x:c r="L1432" s="11" t="n">
        <x:f>K1432-J1432</x:f>
        <x:v>190.86</x:v>
      </x:c>
      <x:c r="M1432" s="11" t="n">
        <x:f>IF(B1432="Butterfly",MAX(J1432,0),IF(C1432="call","Unlimited",MAX(2*E1432-D1432+J1432,J1432,0)))</x:f>
        <x:v>9.14</x:v>
      </x:c>
      <x:c r="N1432" s="11" t="n">
        <x:f>IF(B1432="Butterfly",IF(AND(J1432&gt;0,J1432&lt;K1432),D1432+J1432,"n.a."),IF(C1432="call",IF(AND(J1432&gt;0,J1432&lt;K1432),D1432+J1432,"n.a."),IF(AND(K1432&gt;J1432,2*E1432-D1432+J1432&gt;=0),2*E1432-D1432+J1432,"n.a.")))</x:f>
        <x:v>5809.14</x:v>
      </x:c>
      <x:c r="O1432" s="11" t="n">
        <x:f>IF(B1432="Butterfly",IF(AND(J1432&gt;0,J1432&lt;K1432),F1432-J1432,"n.a."),IF(C1432="call",IF(K1432&gt;J1432,2*E1432-D1432-J1432,"n.a."),IF(AND(J1432&gt;0,J1432&lt;K1432),D1432-J1432,"n.a.")))</x:f>
        <x:v>6190.86</x:v>
      </x:c>
      <x:c r="P1432" s="19" t="n">
        <x:f>IF(AND(B1432="Butterfly",J1432&gt;0,J1432&lt;K1432),L1432/J1432,"n.a.")</x:f>
        <x:v>20.88183807439825</x:v>
      </x:c>
      <x:c r="Q1432" s="11" t="n">
        <x:f>J1432*'Model inputs'!$B$8</x:f>
        <x:v>914</x:v>
      </x:c>
      <x:c r="R1432" s="1" t="str">
        <x:v>Indicative only</x:v>
      </x:c>
      <x:c r="S1432" s="1" t="n">
        <x:v>636</x:v>
      </x:c>
      <x:c r="T1432" s="1" t="n">
        <x:v>655</x:v>
      </x:c>
    </x:row>
    <x:row r="1433" ht="21" customHeight="1">
      <x:c r="A1433" s="12" t="n">
        <x:v>46259</x:v>
      </x:c>
      <x:c r="B1433" s="1" t="str">
        <x:v>Butterfly</x:v>
      </x:c>
      <x:c r="C1433" s="1" t="str">
        <x:v>call</x:v>
      </x:c>
      <x:c r="D1433" s="11" t="n">
        <x:v>8000</x:v>
      </x:c>
      <x:c r="E1433" s="11" t="n">
        <x:v>8300</x:v>
      </x:c>
      <x:c r="F1433" s="11" t="n">
        <x:v>8600</x:v>
      </x:c>
      <x:c r="G1433" s="11" t="n">
        <x:f>'Option source'!B356</x:f>
        <x:v>217.29</x:v>
      </x:c>
      <x:c r="H1433" s="11" t="n">
        <x:f>'Option source'!B375</x:f>
        <x:v>152.23</x:v>
      </x:c>
      <x:c r="I1433" s="11" t="n">
        <x:f>'Option source'!B394</x:f>
        <x:v>104.86</x:v>
      </x:c>
      <x:c r="J1433" s="11" t="n">
        <x:f>G1433-2*H1433+IF(B1433="Butterfly",I1433,0)</x:f>
        <x:v>17.690000000000012</x:v>
      </x:c>
      <x:c r="K1433" s="11" t="n">
        <x:f>ABS(E1433-D1433)</x:f>
        <x:v>300</x:v>
      </x:c>
      <x:c r="L1433" s="11" t="n">
        <x:f>K1433-J1433</x:f>
        <x:v>282.31</x:v>
      </x:c>
      <x:c r="M1433" s="11" t="n">
        <x:f>IF(B1433="Butterfly",MAX(J1433,0),IF(C1433="call","Unlimited",MAX(2*E1433-D1433+J1433,J1433,0)))</x:f>
        <x:v>17.690000000000012</x:v>
      </x:c>
      <x:c r="N1433" s="11" t="n">
        <x:f>IF(B1433="Butterfly",IF(AND(J1433&gt;0,J1433&lt;K1433),D1433+J1433,"n.a."),IF(C1433="call",IF(AND(J1433&gt;0,J1433&lt;K1433),D1433+J1433,"n.a."),IF(AND(K1433&gt;J1433,2*E1433-D1433+J1433&gt;=0),2*E1433-D1433+J1433,"n.a.")))</x:f>
        <x:v>8017.69</x:v>
      </x:c>
      <x:c r="O1433" s="11" t="n">
        <x:f>IF(B1433="Butterfly",IF(AND(J1433&gt;0,J1433&lt;K1433),F1433-J1433,"n.a."),IF(C1433="call",IF(K1433&gt;J1433,2*E1433-D1433-J1433,"n.a."),IF(AND(J1433&gt;0,J1433&lt;K1433),D1433-J1433,"n.a.")))</x:f>
        <x:v>8582.31</x:v>
      </x:c>
      <x:c r="P1433" s="19" t="n">
        <x:f>IF(AND(B1433="Butterfly",J1433&gt;0,J1433&lt;K1433),L1433/J1433,"n.a.")</x:f>
        <x:v>15.958733747880148</x:v>
      </x:c>
      <x:c r="Q1433" s="11" t="n">
        <x:f>J1433*'Model inputs'!$B$8</x:f>
        <x:v>1769.0000000000011</x:v>
      </x:c>
      <x:c r="R1433" s="1" t="str">
        <x:v>Indicative only</x:v>
      </x:c>
      <x:c r="S1433" s="1" t="n">
        <x:v>351</x:v>
      </x:c>
      <x:c r="T1433" s="1" t="n">
        <x:v>370</x:v>
      </x:c>
    </x:row>
    <x:row r="1434" ht="21" customHeight="1">
      <x:c r="A1434" s="12" t="n">
        <x:v>46259</x:v>
      </x:c>
      <x:c r="B1434" s="1" t="str">
        <x:v>Butterfly</x:v>
      </x:c>
      <x:c r="C1434" s="1" t="str">
        <x:v>put</x:v>
      </x:c>
      <x:c r="D1434" s="11" t="n">
        <x:v>5600</x:v>
      </x:c>
      <x:c r="E1434" s="11" t="n">
        <x:v>5800</x:v>
      </x:c>
      <x:c r="F1434" s="11" t="n">
        <x:v>6000</x:v>
      </x:c>
      <x:c r="G1434" s="11" t="n">
        <x:f>'Option source'!B622</x:f>
        <x:v>24.16</x:v>
      </x:c>
      <x:c r="H1434" s="11" t="n">
        <x:f>'Option source'!B641</x:f>
        <x:v>38.97</x:v>
      </x:c>
      <x:c r="I1434" s="11" t="n">
        <x:f>'Option source'!B660</x:f>
        <x:v>60.32</x:v>
      </x:c>
      <x:c r="J1434" s="11" t="n">
        <x:f>G1434-2*H1434+IF(B1434="Butterfly",I1434,0)</x:f>
        <x:v>6.539999999999999</x:v>
      </x:c>
      <x:c r="K1434" s="11" t="n">
        <x:f>ABS(E1434-D1434)</x:f>
        <x:v>200</x:v>
      </x:c>
      <x:c r="L1434" s="11" t="n">
        <x:f>K1434-J1434</x:f>
        <x:v>193.46</x:v>
      </x:c>
      <x:c r="M1434" s="11" t="n">
        <x:f>IF(B1434="Butterfly",MAX(J1434,0),IF(C1434="call","Unlimited",MAX(2*E1434-D1434+J1434,J1434,0)))</x:f>
        <x:v>6.539999999999999</x:v>
      </x:c>
      <x:c r="N1434" s="11" t="n">
        <x:f>IF(B1434="Butterfly",IF(AND(J1434&gt;0,J1434&lt;K1434),D1434+J1434,"n.a."),IF(C1434="call",IF(AND(J1434&gt;0,J1434&lt;K1434),D1434+J1434,"n.a."),IF(AND(K1434&gt;J1434,2*E1434-D1434+J1434&gt;=0),2*E1434-D1434+J1434,"n.a.")))</x:f>
        <x:v>5606.54</x:v>
      </x:c>
      <x:c r="O1434" s="11" t="n">
        <x:f>IF(B1434="Butterfly",IF(AND(J1434&gt;0,J1434&lt;K1434),F1434-J1434,"n.a."),IF(C1434="call",IF(K1434&gt;J1434,2*E1434-D1434-J1434,"n.a."),IF(AND(J1434&gt;0,J1434&lt;K1434),D1434-J1434,"n.a.")))</x:f>
        <x:v>5993.46</x:v>
      </x:c>
      <x:c r="P1434" s="19" t="n">
        <x:f>IF(AND(B1434="Butterfly",J1434&gt;0,J1434&lt;K1434),L1434/J1434,"n.a.")</x:f>
        <x:v>29.581039755351686</x:v>
      </x:c>
      <x:c r="Q1434" s="11" t="n">
        <x:f>J1434*'Model inputs'!$B$8</x:f>
        <x:v>653.9999999999999</x:v>
      </x:c>
      <x:c r="R1434" s="1" t="str">
        <x:v>Indicative only</x:v>
      </x:c>
      <x:c r="S1434" s="1" t="n">
        <x:v>617</x:v>
      </x:c>
      <x:c r="T1434" s="1" t="n">
        <x:v>636</x:v>
      </x:c>
    </x:row>
    <x:row r="1435" ht="21" customHeight="1">
      <x:c r="A1435" s="12" t="n">
        <x:v>46259</x:v>
      </x:c>
      <x:c r="B1435" s="1" t="str">
        <x:v>Butterfly</x:v>
      </x:c>
      <x:c r="C1435" s="1" t="str">
        <x:v>put</x:v>
      </x:c>
      <x:c r="D1435" s="11" t="n">
        <x:v>5400</x:v>
      </x:c>
      <x:c r="E1435" s="11" t="n">
        <x:v>5600</x:v>
      </x:c>
      <x:c r="F1435" s="11" t="n">
        <x:v>5800</x:v>
      </x:c>
      <x:c r="G1435" s="11" t="n">
        <x:f>'Option source'!B603</x:f>
        <x:v>15.88</x:v>
      </x:c>
      <x:c r="H1435" s="11" t="n">
        <x:f>'Option source'!B622</x:f>
        <x:v>24.16</x:v>
      </x:c>
      <x:c r="I1435" s="11" t="n">
        <x:f>'Option source'!B641</x:f>
        <x:v>38.97</x:v>
      </x:c>
      <x:c r="J1435" s="11" t="n">
        <x:f>G1435-2*H1435+IF(B1435="Butterfly",I1435,0)</x:f>
        <x:v>6.530000000000001</x:v>
      </x:c>
      <x:c r="K1435" s="11" t="n">
        <x:f>ABS(E1435-D1435)</x:f>
        <x:v>200</x:v>
      </x:c>
      <x:c r="L1435" s="11" t="n">
        <x:f>K1435-J1435</x:f>
        <x:v>193.47</x:v>
      </x:c>
      <x:c r="M1435" s="11" t="n">
        <x:f>IF(B1435="Butterfly",MAX(J1435,0),IF(C1435="call","Unlimited",MAX(2*E1435-D1435+J1435,J1435,0)))</x:f>
        <x:v>6.530000000000001</x:v>
      </x:c>
      <x:c r="N1435" s="11" t="n">
        <x:f>IF(B1435="Butterfly",IF(AND(J1435&gt;0,J1435&lt;K1435),D1435+J1435,"n.a."),IF(C1435="call",IF(AND(J1435&gt;0,J1435&lt;K1435),D1435+J1435,"n.a."),IF(AND(K1435&gt;J1435,2*E1435-D1435+J1435&gt;=0),2*E1435-D1435+J1435,"n.a.")))</x:f>
        <x:v>5406.53</x:v>
      </x:c>
      <x:c r="O1435" s="11" t="n">
        <x:f>IF(B1435="Butterfly",IF(AND(J1435&gt;0,J1435&lt;K1435),F1435-J1435,"n.a."),IF(C1435="call",IF(K1435&gt;J1435,2*E1435-D1435-J1435,"n.a."),IF(AND(J1435&gt;0,J1435&lt;K1435),D1435-J1435,"n.a.")))</x:f>
        <x:v>5793.47</x:v>
      </x:c>
      <x:c r="P1435" s="19" t="n">
        <x:f>IF(AND(B1435="Butterfly",J1435&gt;0,J1435&lt;K1435),L1435/J1435,"n.a.")</x:f>
        <x:v>29.62787136294027</x:v>
      </x:c>
      <x:c r="Q1435" s="11" t="n">
        <x:f>J1435*'Model inputs'!$B$8</x:f>
        <x:v>653.0000000000001</x:v>
      </x:c>
      <x:c r="R1435" s="1" t="str">
        <x:v>Indicative only</x:v>
      </x:c>
      <x:c r="S1435" s="1" t="n">
        <x:v>598</x:v>
      </x:c>
      <x:c r="T1435" s="1" t="n">
        <x:v>617</x:v>
      </x:c>
    </x:row>
    <x:row r="1436" ht="21" customHeight="1">
      <x:c r="A1436" s="12" t="n">
        <x:v>46259</x:v>
      </x:c>
      <x:c r="B1436" s="1" t="str">
        <x:v>Butterfly</x:v>
      </x:c>
      <x:c r="C1436" s="1" t="str">
        <x:v>call</x:v>
      </x:c>
      <x:c r="D1436" s="11" t="n">
        <x:v>8300</x:v>
      </x:c>
      <x:c r="E1436" s="11" t="n">
        <x:v>8600</x:v>
      </x:c>
      <x:c r="F1436" s="11" t="n">
        <x:v>8900</x:v>
      </x:c>
      <x:c r="G1436" s="11" t="n">
        <x:f>'Option source'!B375</x:f>
        <x:v>152.23</x:v>
      </x:c>
      <x:c r="H1436" s="11" t="n">
        <x:f>'Option source'!B394</x:f>
        <x:v>104.86</x:v>
      </x:c>
      <x:c r="I1436" s="11" t="n">
        <x:f>'Option source'!B413</x:f>
        <x:v>65.33</x:v>
      </x:c>
      <x:c r="J1436" s="11" t="n">
        <x:f>G1436-2*H1436+IF(B1436="Butterfly",I1436,0)</x:f>
        <x:v>7.839999999999989</x:v>
      </x:c>
      <x:c r="K1436" s="11" t="n">
        <x:f>ABS(E1436-D1436)</x:f>
        <x:v>300</x:v>
      </x:c>
      <x:c r="L1436" s="11" t="n">
        <x:f>K1436-J1436</x:f>
        <x:v>292.16</x:v>
      </x:c>
      <x:c r="M1436" s="11" t="n">
        <x:f>IF(B1436="Butterfly",MAX(J1436,0),IF(C1436="call","Unlimited",MAX(2*E1436-D1436+J1436,J1436,0)))</x:f>
        <x:v>7.839999999999989</x:v>
      </x:c>
      <x:c r="N1436" s="11" t="n">
        <x:f>IF(B1436="Butterfly",IF(AND(J1436&gt;0,J1436&lt;K1436),D1436+J1436,"n.a."),IF(C1436="call",IF(AND(J1436&gt;0,J1436&lt;K1436),D1436+J1436,"n.a."),IF(AND(K1436&gt;J1436,2*E1436-D1436+J1436&gt;=0),2*E1436-D1436+J1436,"n.a.")))</x:f>
        <x:v>8307.84</x:v>
      </x:c>
      <x:c r="O1436" s="11" t="n">
        <x:f>IF(B1436="Butterfly",IF(AND(J1436&gt;0,J1436&lt;K1436),F1436-J1436,"n.a."),IF(C1436="call",IF(K1436&gt;J1436,2*E1436-D1436-J1436,"n.a."),IF(AND(J1436&gt;0,J1436&lt;K1436),D1436-J1436,"n.a.")))</x:f>
        <x:v>8892.16</x:v>
      </x:c>
      <x:c r="P1436" s="19" t="n">
        <x:f>IF(AND(B1436="Butterfly",J1436&gt;0,J1436&lt;K1436),L1436/J1436,"n.a.")</x:f>
        <x:v>37.26530612244903</x:v>
      </x:c>
      <x:c r="Q1436" s="11" t="n">
        <x:f>J1436*'Model inputs'!$B$8</x:f>
        <x:v>783.9999999999989</x:v>
      </x:c>
      <x:c r="R1436" s="1" t="str">
        <x:v>Indicative only</x:v>
      </x:c>
      <x:c r="S1436" s="1" t="n">
        <x:v>370</x:v>
      </x:c>
      <x:c r="T1436" s="1" t="n">
        <x:v>389</x:v>
      </x:c>
    </x:row>
    <x:row r="1437" ht="21" customHeight="1">
      <x:c r="A1437" s="12" t="n">
        <x:v>46259</x:v>
      </x:c>
      <x:c r="B1437" s="1" t="str">
        <x:v>Butterfly</x:v>
      </x:c>
      <x:c r="C1437" s="1" t="str">
        <x:v>put</x:v>
      </x:c>
      <x:c r="D1437" s="11" t="n">
        <x:v>5200</x:v>
      </x:c>
      <x:c r="E1437" s="11" t="n">
        <x:v>5400</x:v>
      </x:c>
      <x:c r="F1437" s="11" t="n">
        <x:v>5600</x:v>
      </x:c>
      <x:c r="G1437" s="11" t="n">
        <x:f>'Option source'!B584</x:f>
        <x:v>10.52</x:v>
      </x:c>
      <x:c r="H1437" s="11" t="n">
        <x:f>'Option source'!B603</x:f>
        <x:v>15.88</x:v>
      </x:c>
      <x:c r="I1437" s="11" t="n">
        <x:f>'Option source'!B622</x:f>
        <x:v>24.16</x:v>
      </x:c>
      <x:c r="J1437" s="11" t="n">
        <x:f>G1437-2*H1437+IF(B1437="Butterfly",I1437,0)</x:f>
        <x:v>2.919999999999998</x:v>
      </x:c>
      <x:c r="K1437" s="11" t="n">
        <x:f>ABS(E1437-D1437)</x:f>
        <x:v>200</x:v>
      </x:c>
      <x:c r="L1437" s="11" t="n">
        <x:f>K1437-J1437</x:f>
        <x:v>197.08</x:v>
      </x:c>
      <x:c r="M1437" s="11" t="n">
        <x:f>IF(B1437="Butterfly",MAX(J1437,0),IF(C1437="call","Unlimited",MAX(2*E1437-D1437+J1437,J1437,0)))</x:f>
        <x:v>2.919999999999998</x:v>
      </x:c>
      <x:c r="N1437" s="11" t="n">
        <x:f>IF(B1437="Butterfly",IF(AND(J1437&gt;0,J1437&lt;K1437),D1437+J1437,"n.a."),IF(C1437="call",IF(AND(J1437&gt;0,J1437&lt;K1437),D1437+J1437,"n.a."),IF(AND(K1437&gt;J1437,2*E1437-D1437+J1437&gt;=0),2*E1437-D1437+J1437,"n.a.")))</x:f>
        <x:v>5202.92</x:v>
      </x:c>
      <x:c r="O1437" s="11" t="n">
        <x:f>IF(B1437="Butterfly",IF(AND(J1437&gt;0,J1437&lt;K1437),F1437-J1437,"n.a."),IF(C1437="call",IF(K1437&gt;J1437,2*E1437-D1437-J1437,"n.a."),IF(AND(J1437&gt;0,J1437&lt;K1437),D1437-J1437,"n.a.")))</x:f>
        <x:v>5597.08</x:v>
      </x:c>
      <x:c r="P1437" s="19" t="n">
        <x:f>IF(AND(B1437="Butterfly",J1437&gt;0,J1437&lt;K1437),L1437/J1437,"n.a.")</x:f>
        <x:v>67.49315068493155</x:v>
      </x:c>
      <x:c r="Q1437" s="11" t="n">
        <x:f>J1437*'Model inputs'!$B$8</x:f>
        <x:v>291.99999999999983</x:v>
      </x:c>
      <x:c r="R1437" s="1" t="str">
        <x:v>Indicative only</x:v>
      </x:c>
      <x:c r="S1437" s="1" t="n">
        <x:v>579</x:v>
      </x:c>
      <x:c r="T1437" s="1" t="n">
        <x:v>598</x:v>
      </x:c>
    </x:row>
    <x:row r="1438" ht="21" customHeight="1">
      <x:c r="A1438" s="12" t="n">
        <x:v>46259</x:v>
      </x:c>
      <x:c r="B1438" s="1" t="str">
        <x:v>Butterfly</x:v>
      </x:c>
      <x:c r="C1438" s="1" t="str">
        <x:v>call</x:v>
      </x:c>
      <x:c r="D1438" s="11" t="n">
        <x:v>8600</x:v>
      </x:c>
      <x:c r="E1438" s="11" t="n">
        <x:v>8900</x:v>
      </x:c>
      <x:c r="F1438" s="11" t="n">
        <x:v>9200</x:v>
      </x:c>
      <x:c r="G1438" s="11" t="n">
        <x:f>'Option source'!B394</x:f>
        <x:v>104.86</x:v>
      </x:c>
      <x:c r="H1438" s="11" t="n">
        <x:f>'Option source'!B413</x:f>
        <x:v>65.33</x:v>
      </x:c>
      <x:c r="I1438" s="11" t="n">
        <x:f>'Option source'!B432</x:f>
        <x:v>45.53</x:v>
      </x:c>
      <x:c r="J1438" s="11" t="n">
        <x:f>G1438-2*H1438+IF(B1438="Butterfly",I1438,0)</x:f>
        <x:v>19.730000000000004</x:v>
      </x:c>
      <x:c r="K1438" s="11" t="n">
        <x:f>ABS(E1438-D1438)</x:f>
        <x:v>300</x:v>
      </x:c>
      <x:c r="L1438" s="11" t="n">
        <x:f>K1438-J1438</x:f>
        <x:v>280.27</x:v>
      </x:c>
      <x:c r="M1438" s="11" t="n">
        <x:f>IF(B1438="Butterfly",MAX(J1438,0),IF(C1438="call","Unlimited",MAX(2*E1438-D1438+J1438,J1438,0)))</x:f>
        <x:v>19.730000000000004</x:v>
      </x:c>
      <x:c r="N1438" s="11" t="n">
        <x:f>IF(B1438="Butterfly",IF(AND(J1438&gt;0,J1438&lt;K1438),D1438+J1438,"n.a."),IF(C1438="call",IF(AND(J1438&gt;0,J1438&lt;K1438),D1438+J1438,"n.a."),IF(AND(K1438&gt;J1438,2*E1438-D1438+J1438&gt;=0),2*E1438-D1438+J1438,"n.a.")))</x:f>
        <x:v>8619.73</x:v>
      </x:c>
      <x:c r="O1438" s="11" t="n">
        <x:f>IF(B1438="Butterfly",IF(AND(J1438&gt;0,J1438&lt;K1438),F1438-J1438,"n.a."),IF(C1438="call",IF(K1438&gt;J1438,2*E1438-D1438-J1438,"n.a."),IF(AND(J1438&gt;0,J1438&lt;K1438),D1438-J1438,"n.a.")))</x:f>
        <x:v>9180.27</x:v>
      </x:c>
      <x:c r="P1438" s="19" t="n">
        <x:f>IF(AND(B1438="Butterfly",J1438&gt;0,J1438&lt;K1438),L1438/J1438,"n.a.")</x:f>
        <x:v>14.205271160669028</x:v>
      </x:c>
      <x:c r="Q1438" s="11" t="n">
        <x:f>J1438*'Model inputs'!$B$8</x:f>
        <x:v>1973.0000000000005</x:v>
      </x:c>
      <x:c r="R1438" s="1" t="str">
        <x:v>Indicative only</x:v>
      </x:c>
      <x:c r="S1438" s="1" t="n">
        <x:v>389</x:v>
      </x:c>
      <x:c r="T1438" s="1" t="n">
        <x:v>408</x:v>
      </x:c>
    </x:row>
    <x:row r="1439" ht="21" customHeight="1">
      <x:c r="A1439" s="12" t="n">
        <x:v>46259</x:v>
      </x:c>
      <x:c r="B1439" s="1" t="str">
        <x:v>Butterfly</x:v>
      </x:c>
      <x:c r="C1439" s="1" t="str">
        <x:v>put</x:v>
      </x:c>
      <x:c r="D1439" s="11" t="n">
        <x:v>5000</x:v>
      </x:c>
      <x:c r="E1439" s="11" t="n">
        <x:v>5200</x:v>
      </x:c>
      <x:c r="F1439" s="11" t="n">
        <x:v>5400</x:v>
      </x:c>
      <x:c r="G1439" s="11" t="n">
        <x:f>'Option source'!B565</x:f>
        <x:v>7.17</x:v>
      </x:c>
      <x:c r="H1439" s="11" t="n">
        <x:f>'Option source'!B584</x:f>
        <x:v>10.52</x:v>
      </x:c>
      <x:c r="I1439" s="11" t="n">
        <x:f>'Option source'!B603</x:f>
        <x:v>15.88</x:v>
      </x:c>
      <x:c r="J1439" s="11" t="n">
        <x:f>G1439-2*H1439+IF(B1439="Butterfly",I1439,0)</x:f>
        <x:v>2.0100000000000016</x:v>
      </x:c>
      <x:c r="K1439" s="11" t="n">
        <x:f>ABS(E1439-D1439)</x:f>
        <x:v>200</x:v>
      </x:c>
      <x:c r="L1439" s="11" t="n">
        <x:f>K1439-J1439</x:f>
        <x:v>197.99</x:v>
      </x:c>
      <x:c r="M1439" s="11" t="n">
        <x:f>IF(B1439="Butterfly",MAX(J1439,0),IF(C1439="call","Unlimited",MAX(2*E1439-D1439+J1439,J1439,0)))</x:f>
        <x:v>2.0100000000000016</x:v>
      </x:c>
      <x:c r="N1439" s="11" t="n">
        <x:f>IF(B1439="Butterfly",IF(AND(J1439&gt;0,J1439&lt;K1439),D1439+J1439,"n.a."),IF(C1439="call",IF(AND(J1439&gt;0,J1439&lt;K1439),D1439+J1439,"n.a."),IF(AND(K1439&gt;J1439,2*E1439-D1439+J1439&gt;=0),2*E1439-D1439+J1439,"n.a.")))</x:f>
        <x:v>5002.01</x:v>
      </x:c>
      <x:c r="O1439" s="11" t="n">
        <x:f>IF(B1439="Butterfly",IF(AND(J1439&gt;0,J1439&lt;K1439),F1439-J1439,"n.a."),IF(C1439="call",IF(K1439&gt;J1439,2*E1439-D1439-J1439,"n.a."),IF(AND(J1439&gt;0,J1439&lt;K1439),D1439-J1439,"n.a.")))</x:f>
        <x:v>5397.99</x:v>
      </x:c>
      <x:c r="P1439" s="19" t="n">
        <x:f>IF(AND(B1439="Butterfly",J1439&gt;0,J1439&lt;K1439),L1439/J1439,"n.a.")</x:f>
        <x:v>98.50248756218899</x:v>
      </x:c>
      <x:c r="Q1439" s="11" t="n">
        <x:f>J1439*'Model inputs'!$B$8</x:f>
        <x:v>201.00000000000017</x:v>
      </x:c>
      <x:c r="R1439" s="1" t="str">
        <x:v>Indicative only</x:v>
      </x:c>
      <x:c r="S1439" s="1" t="n">
        <x:v>560</x:v>
      </x:c>
      <x:c r="T1439" s="1" t="n">
        <x:v>579</x:v>
      </x:c>
    </x:row>
    <x:row r="1440" ht="21" customHeight="1">
      <x:c r="A1440" s="12" t="n">
        <x:v>46259</x:v>
      </x:c>
      <x:c r="B1440" s="1" t="str">
        <x:v>Butterfly</x:v>
      </x:c>
      <x:c r="C1440" s="1" t="str">
        <x:v>put</x:v>
      </x:c>
      <x:c r="D1440" s="11" t="n">
        <x:v>4800</x:v>
      </x:c>
      <x:c r="E1440" s="11" t="n">
        <x:v>5000</x:v>
      </x:c>
      <x:c r="F1440" s="11" t="n">
        <x:v>5200</x:v>
      </x:c>
      <x:c r="G1440" s="11" t="n">
        <x:f>'Option source'!B546</x:f>
        <x:v>4.7</x:v>
      </x:c>
      <x:c r="H1440" s="11" t="n">
        <x:f>'Option source'!B565</x:f>
        <x:v>7.17</x:v>
      </x:c>
      <x:c r="I1440" s="11" t="n">
        <x:f>'Option source'!B584</x:f>
        <x:v>10.52</x:v>
      </x:c>
      <x:c r="J1440" s="11" t="n">
        <x:f>G1440-2*H1440+IF(B1440="Butterfly",I1440,0)</x:f>
        <x:v>0.879999999999999</x:v>
      </x:c>
      <x:c r="K1440" s="11" t="n">
        <x:f>ABS(E1440-D1440)</x:f>
        <x:v>200</x:v>
      </x:c>
      <x:c r="L1440" s="11" t="n">
        <x:f>K1440-J1440</x:f>
        <x:v>199.12</x:v>
      </x:c>
      <x:c r="M1440" s="11" t="n">
        <x:f>IF(B1440="Butterfly",MAX(J1440,0),IF(C1440="call","Unlimited",MAX(2*E1440-D1440+J1440,J1440,0)))</x:f>
        <x:v>0.879999999999999</x:v>
      </x:c>
      <x:c r="N1440" s="11" t="n">
        <x:f>IF(B1440="Butterfly",IF(AND(J1440&gt;0,J1440&lt;K1440),D1440+J1440,"n.a."),IF(C1440="call",IF(AND(J1440&gt;0,J1440&lt;K1440),D1440+J1440,"n.a."),IF(AND(K1440&gt;J1440,2*E1440-D1440+J1440&gt;=0),2*E1440-D1440+J1440,"n.a.")))</x:f>
        <x:v>4800.88</x:v>
      </x:c>
      <x:c r="O1440" s="11" t="n">
        <x:f>IF(B1440="Butterfly",IF(AND(J1440&gt;0,J1440&lt;K1440),F1440-J1440,"n.a."),IF(C1440="call",IF(K1440&gt;J1440,2*E1440-D1440-J1440,"n.a."),IF(AND(J1440&gt;0,J1440&lt;K1440),D1440-J1440,"n.a.")))</x:f>
        <x:v>5199.12</x:v>
      </x:c>
      <x:c r="P1440" s="19" t="n">
        <x:f>IF(AND(B1440="Butterfly",J1440&gt;0,J1440&lt;K1440),L1440/J1440,"n.a.")</x:f>
        <x:v>226.27272727272754</x:v>
      </x:c>
      <x:c r="Q1440" s="11" t="n">
        <x:f>J1440*'Model inputs'!$B$8</x:f>
        <x:v>87.9999999999999</x:v>
      </x:c>
      <x:c r="R1440" s="1" t="str">
        <x:v>Indicative only</x:v>
      </x:c>
      <x:c r="S1440" s="1" t="n">
        <x:v>541</x:v>
      </x:c>
      <x:c r="T1440" s="1" t="n">
        <x:v>560</x:v>
      </x:c>
    </x:row>
    <x:row r="1441" ht="21" customHeight="1">
      <x:c r="A1441" s="12" t="n">
        <x:v>46259</x:v>
      </x:c>
      <x:c r="B1441" s="1" t="str">
        <x:v>Butterfly</x:v>
      </x:c>
      <x:c r="C1441" s="1" t="str">
        <x:v>call</x:v>
      </x:c>
      <x:c r="D1441" s="11" t="n">
        <x:v>8900</x:v>
      </x:c>
      <x:c r="E1441" s="11" t="n">
        <x:v>9200</x:v>
      </x:c>
      <x:c r="F1441" s="11" t="n">
        <x:v>9500</x:v>
      </x:c>
      <x:c r="G1441" s="11" t="n">
        <x:f>'Option source'!B413</x:f>
        <x:v>65.33</x:v>
      </x:c>
      <x:c r="H1441" s="11" t="n">
        <x:f>'Option source'!B432</x:f>
        <x:v>45.53</x:v>
      </x:c>
      <x:c r="I1441" s="11" t="n">
        <x:f>'Option source'!B451</x:f>
        <x:v>28.95</x:v>
      </x:c>
      <x:c r="J1441" s="11" t="n">
        <x:f>G1441-2*H1441+IF(B1441="Butterfly",I1441,0)</x:f>
        <x:v>3.2199999999999953</x:v>
      </x:c>
      <x:c r="K1441" s="11" t="n">
        <x:f>ABS(E1441-D1441)</x:f>
        <x:v>300</x:v>
      </x:c>
      <x:c r="L1441" s="11" t="n">
        <x:f>K1441-J1441</x:f>
        <x:v>296.78000000000003</x:v>
      </x:c>
      <x:c r="M1441" s="11" t="n">
        <x:f>IF(B1441="Butterfly",MAX(J1441,0),IF(C1441="call","Unlimited",MAX(2*E1441-D1441+J1441,J1441,0)))</x:f>
        <x:v>3.2199999999999953</x:v>
      </x:c>
      <x:c r="N1441" s="11" t="n">
        <x:f>IF(B1441="Butterfly",IF(AND(J1441&gt;0,J1441&lt;K1441),D1441+J1441,"n.a."),IF(C1441="call",IF(AND(J1441&gt;0,J1441&lt;K1441),D1441+J1441,"n.a."),IF(AND(K1441&gt;J1441,2*E1441-D1441+J1441&gt;=0),2*E1441-D1441+J1441,"n.a.")))</x:f>
        <x:v>8903.22</x:v>
      </x:c>
      <x:c r="O1441" s="11" t="n">
        <x:f>IF(B1441="Butterfly",IF(AND(J1441&gt;0,J1441&lt;K1441),F1441-J1441,"n.a."),IF(C1441="call",IF(K1441&gt;J1441,2*E1441-D1441-J1441,"n.a."),IF(AND(J1441&gt;0,J1441&lt;K1441),D1441-J1441,"n.a.")))</x:f>
        <x:v>9496.78</x:v>
      </x:c>
      <x:c r="P1441" s="19" t="n">
        <x:f>IF(AND(B1441="Butterfly",J1441&gt;0,J1441&lt;K1441),L1441/J1441,"n.a.")</x:f>
        <x:v>92.16770186335418</x:v>
      </x:c>
      <x:c r="Q1441" s="11" t="n">
        <x:f>J1441*'Model inputs'!$B$8</x:f>
        <x:v>321.99999999999955</x:v>
      </x:c>
      <x:c r="R1441" s="1" t="str">
        <x:v>Indicative only</x:v>
      </x:c>
      <x:c r="S1441" s="1" t="n">
        <x:v>408</x:v>
      </x:c>
      <x:c r="T1441" s="1" t="n">
        <x:v>427</x:v>
      </x:c>
    </x:row>
    <x:row r="1442" ht="21" customHeight="1">
      <x:c r="A1442" s="12" t="n">
        <x:v>46259</x:v>
      </x:c>
      <x:c r="B1442" s="1" t="str">
        <x:v>Butterfly</x:v>
      </x:c>
      <x:c r="C1442" s="1" t="str">
        <x:v>put</x:v>
      </x:c>
      <x:c r="D1442" s="11" t="n">
        <x:v>4600</x:v>
      </x:c>
      <x:c r="E1442" s="11" t="n">
        <x:v>4800</x:v>
      </x:c>
      <x:c r="F1442" s="11" t="n">
        <x:v>5000</x:v>
      </x:c>
      <x:c r="G1442" s="11" t="n">
        <x:f>'Option source'!B527</x:f>
        <x:v>3.47</x:v>
      </x:c>
      <x:c r="H1442" s="11" t="n">
        <x:f>'Option source'!B546</x:f>
        <x:v>4.7</x:v>
      </x:c>
      <x:c r="I1442" s="11" t="n">
        <x:f>'Option source'!B565</x:f>
        <x:v>7.17</x:v>
      </x:c>
      <x:c r="J1442" s="11" t="n">
        <x:f>G1442-2*H1442+IF(B1442="Butterfly",I1442,0)</x:f>
        <x:v>1.2400000000000002</x:v>
      </x:c>
      <x:c r="K1442" s="11" t="n">
        <x:f>ABS(E1442-D1442)</x:f>
        <x:v>200</x:v>
      </x:c>
      <x:c r="L1442" s="11" t="n">
        <x:f>K1442-J1442</x:f>
        <x:v>198.76</x:v>
      </x:c>
      <x:c r="M1442" s="11" t="n">
        <x:f>IF(B1442="Butterfly",MAX(J1442,0),IF(C1442="call","Unlimited",MAX(2*E1442-D1442+J1442,J1442,0)))</x:f>
        <x:v>1.2400000000000002</x:v>
      </x:c>
      <x:c r="N1442" s="11" t="n">
        <x:f>IF(B1442="Butterfly",IF(AND(J1442&gt;0,J1442&lt;K1442),D1442+J1442,"n.a."),IF(C1442="call",IF(AND(J1442&gt;0,J1442&lt;K1442),D1442+J1442,"n.a."),IF(AND(K1442&gt;J1442,2*E1442-D1442+J1442&gt;=0),2*E1442-D1442+J1442,"n.a.")))</x:f>
        <x:v>4601.24</x:v>
      </x:c>
      <x:c r="O1442" s="11" t="n">
        <x:f>IF(B1442="Butterfly",IF(AND(J1442&gt;0,J1442&lt;K1442),F1442-J1442,"n.a."),IF(C1442="call",IF(K1442&gt;J1442,2*E1442-D1442-J1442,"n.a."),IF(AND(J1442&gt;0,J1442&lt;K1442),D1442-J1442,"n.a.")))</x:f>
        <x:v>4998.76</x:v>
      </x:c>
      <x:c r="P1442" s="19" t="n">
        <x:f>IF(AND(B1442="Butterfly",J1442&gt;0,J1442&lt;K1442),L1442/J1442,"n.a.")</x:f>
        <x:v>160.29032258064512</x:v>
      </x:c>
      <x:c r="Q1442" s="11" t="n">
        <x:f>J1442*'Model inputs'!$B$8</x:f>
        <x:v>124.00000000000003</x:v>
      </x:c>
      <x:c r="R1442" s="1" t="str">
        <x:v>Indicative only</x:v>
      </x:c>
      <x:c r="S1442" s="1" t="n">
        <x:v>522</x:v>
      </x:c>
      <x:c r="T1442" s="1" t="n">
        <x:v>541</x:v>
      </x:c>
    </x:row>
    <x:row r="1443" ht="21" customHeight="1">
      <x:c r="A1443" s="12" t="n">
        <x:v>46259</x:v>
      </x:c>
      <x:c r="B1443" s="1" t="str">
        <x:v>Butterfly</x:v>
      </x:c>
      <x:c r="C1443" s="1" t="str">
        <x:v>put</x:v>
      </x:c>
      <x:c r="D1443" s="11" t="n">
        <x:v>4400</x:v>
      </x:c>
      <x:c r="E1443" s="11" t="n">
        <x:v>4600</x:v>
      </x:c>
      <x:c r="F1443" s="11" t="n">
        <x:v>4800</x:v>
      </x:c>
      <x:c r="G1443" s="11" t="n">
        <x:f>'Option source'!B508</x:f>
        <x:v>3.02</x:v>
      </x:c>
      <x:c r="H1443" s="11" t="n">
        <x:f>'Option source'!B527</x:f>
        <x:v>3.47</x:v>
      </x:c>
      <x:c r="I1443" s="11" t="n">
        <x:f>'Option source'!B546</x:f>
        <x:v>4.7</x:v>
      </x:c>
      <x:c r="J1443" s="11" t="n">
        <x:f>G1443-2*H1443+IF(B1443="Butterfly",I1443,0)</x:f>
        <x:v>0.7799999999999998</x:v>
      </x:c>
      <x:c r="K1443" s="11" t="n">
        <x:f>ABS(E1443-D1443)</x:f>
        <x:v>200</x:v>
      </x:c>
      <x:c r="L1443" s="11" t="n">
        <x:f>K1443-J1443</x:f>
        <x:v>199.22</x:v>
      </x:c>
      <x:c r="M1443" s="11" t="n">
        <x:f>IF(B1443="Butterfly",MAX(J1443,0),IF(C1443="call","Unlimited",MAX(2*E1443-D1443+J1443,J1443,0)))</x:f>
        <x:v>0.7799999999999998</x:v>
      </x:c>
      <x:c r="N1443" s="11" t="n">
        <x:f>IF(B1443="Butterfly",IF(AND(J1443&gt;0,J1443&lt;K1443),D1443+J1443,"n.a."),IF(C1443="call",IF(AND(J1443&gt;0,J1443&lt;K1443),D1443+J1443,"n.a."),IF(AND(K1443&gt;J1443,2*E1443-D1443+J1443&gt;=0),2*E1443-D1443+J1443,"n.a.")))</x:f>
        <x:v>4400.78</x:v>
      </x:c>
      <x:c r="O1443" s="11" t="n">
        <x:f>IF(B1443="Butterfly",IF(AND(J1443&gt;0,J1443&lt;K1443),F1443-J1443,"n.a."),IF(C1443="call",IF(K1443&gt;J1443,2*E1443-D1443-J1443,"n.a."),IF(AND(J1443&gt;0,J1443&lt;K1443),D1443-J1443,"n.a.")))</x:f>
        <x:v>4799.22</x:v>
      </x:c>
      <x:c r="P1443" s="19" t="n">
        <x:f>IF(AND(B1443="Butterfly",J1443&gt;0,J1443&lt;K1443),L1443/J1443,"n.a.")</x:f>
        <x:v>255.41025641025647</x:v>
      </x:c>
      <x:c r="Q1443" s="11" t="n">
        <x:f>J1443*'Model inputs'!$B$8</x:f>
        <x:v>77.99999999999999</x:v>
      </x:c>
      <x:c r="R1443" s="1" t="str">
        <x:v>Indicative only</x:v>
      </x:c>
      <x:c r="S1443" s="1" t="n">
        <x:v>503</x:v>
      </x:c>
      <x:c r="T1443" s="1" t="n">
        <x:v>522</x:v>
      </x:c>
    </x:row>
    <x:row r="1444" ht="21" customHeight="1">
      <x:c r="A1444" s="12" t="n">
        <x:v>46259</x:v>
      </x:c>
      <x:c r="B1444" s="1" t="str">
        <x:v>Butterfly</x:v>
      </x:c>
      <x:c r="C1444" s="1" t="str">
        <x:v>call</x:v>
      </x:c>
      <x:c r="D1444" s="11" t="n">
        <x:v>6400</x:v>
      </x:c>
      <x:c r="E1444" s="11" t="n">
        <x:v>6600</x:v>
      </x:c>
      <x:c r="F1444" s="11" t="n">
        <x:v>6800</x:v>
      </x:c>
      <x:c r="G1444" s="11" t="n">
        <x:f>'Option source'!B204</x:f>
        <x:v>982.67</x:v>
      </x:c>
      <x:c r="H1444" s="11" t="n">
        <x:f>'Option source'!B223</x:f>
        <x:v>852.31</x:v>
      </x:c>
      <x:c r="I1444" s="11" t="n">
        <x:f>'Option source'!B242</x:f>
        <x:v>720.8</x:v>
      </x:c>
      <x:c r="J1444" s="11" t="n">
        <x:f>G1444-2*H1444+IF(B1444="Butterfly",I1444,0)</x:f>
        <x:v>-1.1499999999999773</x:v>
      </x:c>
      <x:c r="K1444" s="11" t="n">
        <x:f>ABS(E1444-D1444)</x:f>
        <x:v>200</x:v>
      </x:c>
      <x:c r="L1444" s="11" t="n">
        <x:f>K1444-J1444</x:f>
        <x:v>201.14999999999998</x:v>
      </x:c>
      <x:c r="M1444" s="11" t="n">
        <x:f>IF(B1444="Butterfly",MAX(J1444,0),IF(C1444="call","Unlimited",MAX(2*E1444-D1444+J1444,J1444,0)))</x:f>
        <x:v>0</x:v>
      </x:c>
      <x:c r="N1444" s="11" t="str">
        <x:f>IF(B1444="Butterfly",IF(AND(J1444&gt;0,J1444&lt;K1444),D1444+J1444,"n.a."),IF(C1444="call",IF(AND(J1444&gt;0,J1444&lt;K1444),D1444+J1444,"n.a."),IF(AND(K1444&gt;J1444,2*E1444-D1444+J1444&gt;=0),2*E1444-D1444+J1444,"n.a.")))</x:f>
        <x:v>n.a.</x:v>
      </x:c>
      <x:c r="O1444" s="11" t="str">
        <x:f>IF(B1444="Butterfly",IF(AND(J1444&gt;0,J1444&lt;K1444),F1444-J1444,"n.a."),IF(C1444="call",IF(K1444&gt;J1444,2*E1444-D1444-J1444,"n.a."),IF(AND(J1444&gt;0,J1444&lt;K1444),D1444-J1444,"n.a.")))</x:f>
        <x:v>n.a.</x:v>
      </x:c>
      <x:c r="P1444" s="19" t="str">
        <x:f>IF(AND(B1444="Butterfly",J1444&gt;0,J1444&lt;K1444),L1444/J1444,"n.a.")</x:f>
        <x:v>n.a.</x:v>
      </x:c>
      <x:c r="Q1444" s="11" t="n">
        <x:f>J1444*'Model inputs'!$B$8</x:f>
        <x:v>-114.99999999999773</x:v>
      </x:c>
      <x:c r="R1444" s="1" t="str">
        <x:v>Outside standard debit bounds</x:v>
      </x:c>
      <x:c r="S1444" s="1" t="n">
        <x:v>199</x:v>
      </x:c>
      <x:c r="T1444" s="1" t="n">
        <x:v>218</x:v>
      </x:c>
    </x:row>
    <x:row r="1445" ht="21" customHeight="1">
      <x:c r="A1445" s="12" t="n">
        <x:v>46259</x:v>
      </x:c>
      <x:c r="B1445" s="1" t="str">
        <x:v>Butterfly</x:v>
      </x:c>
      <x:c r="C1445" s="1" t="str">
        <x:v>put</x:v>
      </x:c>
      <x:c r="D1445" s="11" t="n">
        <x:v>7400</x:v>
      </x:c>
      <x:c r="E1445" s="11" t="n">
        <x:v>7600</x:v>
      </x:c>
      <x:c r="F1445" s="11" t="n">
        <x:v>7800</x:v>
      </x:c>
      <x:c r="G1445" s="11" t="n">
        <x:f>'Option source'!B793</x:f>
        <x:v>535.8</x:v>
      </x:c>
      <x:c r="H1445" s="11" t="n">
        <x:f>'Option source'!B812</x:f>
        <x:v>660</x:v>
      </x:c>
      <x:c r="I1445" s="11" t="n">
        <x:f>'Option source'!B831</x:f>
        <x:v>771</x:v>
      </x:c>
      <x:c r="J1445" s="11" t="n">
        <x:f>G1445-2*H1445+IF(B1445="Butterfly",I1445,0)</x:f>
        <x:v>-13.200000000000045</x:v>
      </x:c>
      <x:c r="K1445" s="11" t="n">
        <x:f>ABS(E1445-D1445)</x:f>
        <x:v>200</x:v>
      </x:c>
      <x:c r="L1445" s="11" t="n">
        <x:f>K1445-J1445</x:f>
        <x:v>213.20000000000005</x:v>
      </x:c>
      <x:c r="M1445" s="11" t="n">
        <x:f>IF(B1445="Butterfly",MAX(J1445,0),IF(C1445="call","Unlimited",MAX(2*E1445-D1445+J1445,J1445,0)))</x:f>
        <x:v>0</x:v>
      </x:c>
      <x:c r="N1445" s="11" t="str">
        <x:f>IF(B1445="Butterfly",IF(AND(J1445&gt;0,J1445&lt;K1445),D1445+J1445,"n.a."),IF(C1445="call",IF(AND(J1445&gt;0,J1445&lt;K1445),D1445+J1445,"n.a."),IF(AND(K1445&gt;J1445,2*E1445-D1445+J1445&gt;=0),2*E1445-D1445+J1445,"n.a.")))</x:f>
        <x:v>n.a.</x:v>
      </x:c>
      <x:c r="O1445" s="11" t="str">
        <x:f>IF(B1445="Butterfly",IF(AND(J1445&gt;0,J1445&lt;K1445),F1445-J1445,"n.a."),IF(C1445="call",IF(K1445&gt;J1445,2*E1445-D1445-J1445,"n.a."),IF(AND(J1445&gt;0,J1445&lt;K1445),D1445-J1445,"n.a.")))</x:f>
        <x:v>n.a.</x:v>
      </x:c>
      <x:c r="P1445" s="19" t="str">
        <x:f>IF(AND(B1445="Butterfly",J1445&gt;0,J1445&lt;K1445),L1445/J1445,"n.a.")</x:f>
        <x:v>n.a.</x:v>
      </x:c>
      <x:c r="Q1445" s="11" t="n">
        <x:f>J1445*'Model inputs'!$B$8</x:f>
        <x:v>-1320.0000000000045</x:v>
      </x:c>
      <x:c r="R1445" s="1" t="str">
        <x:v>Outside standard debit bounds</x:v>
      </x:c>
      <x:c r="S1445" s="1" t="n">
        <x:v>788</x:v>
      </x:c>
      <x:c r="T1445" s="1" t="n">
        <x:v>807</x:v>
      </x:c>
    </x:row>
    <x:row r="1446" ht="21" customHeight="1">
      <x:c r="A1446" s="12" t="n">
        <x:v>46259</x:v>
      </x:c>
      <x:c r="B1446" s="1" t="str">
        <x:v>Butterfly</x:v>
      </x:c>
      <x:c r="C1446" s="1" t="str">
        <x:v>call</x:v>
      </x:c>
      <x:c r="D1446" s="11" t="n">
        <x:v>6200</x:v>
      </x:c>
      <x:c r="E1446" s="11" t="n">
        <x:v>6400</x:v>
      </x:c>
      <x:c r="F1446" s="11" t="n">
        <x:v>6600</x:v>
      </x:c>
      <x:c r="G1446" s="11" t="n">
        <x:f>'Option source'!B185</x:f>
        <x:v>1000</x:v>
      </x:c>
      <x:c r="H1446" s="11" t="n">
        <x:f>'Option source'!B204</x:f>
        <x:v>982.67</x:v>
      </x:c>
      <x:c r="I1446" s="11" t="n">
        <x:f>'Option source'!B223</x:f>
        <x:v>852.31</x:v>
      </x:c>
      <x:c r="J1446" s="11" t="n">
        <x:f>G1446-2*H1446+IF(B1446="Butterfly",I1446,0)</x:f>
        <x:v>-113.02999999999997</x:v>
      </x:c>
      <x:c r="K1446" s="11" t="n">
        <x:f>ABS(E1446-D1446)</x:f>
        <x:v>200</x:v>
      </x:c>
      <x:c r="L1446" s="11" t="n">
        <x:f>K1446-J1446</x:f>
        <x:v>313.03</x:v>
      </x:c>
      <x:c r="M1446" s="11" t="n">
        <x:f>IF(B1446="Butterfly",MAX(J1446,0),IF(C1446="call","Unlimited",MAX(2*E1446-D1446+J1446,J1446,0)))</x:f>
        <x:v>0</x:v>
      </x:c>
      <x:c r="N1446" s="11" t="str">
        <x:f>IF(B1446="Butterfly",IF(AND(J1446&gt;0,J1446&lt;K1446),D1446+J1446,"n.a."),IF(C1446="call",IF(AND(J1446&gt;0,J1446&lt;K1446),D1446+J1446,"n.a."),IF(AND(K1446&gt;J1446,2*E1446-D1446+J1446&gt;=0),2*E1446-D1446+J1446,"n.a.")))</x:f>
        <x:v>n.a.</x:v>
      </x:c>
      <x:c r="O1446" s="11" t="str">
        <x:f>IF(B1446="Butterfly",IF(AND(J1446&gt;0,J1446&lt;K1446),F1446-J1446,"n.a."),IF(C1446="call",IF(K1446&gt;J1446,2*E1446-D1446-J1446,"n.a."),IF(AND(J1446&gt;0,J1446&lt;K1446),D1446-J1446,"n.a.")))</x:f>
        <x:v>n.a.</x:v>
      </x:c>
      <x:c r="P1446" s="19" t="str">
        <x:f>IF(AND(B1446="Butterfly",J1446&gt;0,J1446&lt;K1446),L1446/J1446,"n.a.")</x:f>
        <x:v>n.a.</x:v>
      </x:c>
      <x:c r="Q1446" s="11" t="n">
        <x:f>J1446*'Model inputs'!$B$8</x:f>
        <x:v>-11302.999999999996</x:v>
      </x:c>
      <x:c r="R1446" s="1" t="str">
        <x:v>Outside standard debit bounds</x:v>
      </x:c>
      <x:c r="S1446" s="1" t="n">
        <x:v>180</x:v>
      </x:c>
      <x:c r="T1446" s="1" t="n">
        <x:v>199</x:v>
      </x:c>
    </x:row>
    <x:row r="1447" ht="21" customHeight="1">
      <x:c r="A1447" s="12" t="n">
        <x:v>46259</x:v>
      </x:c>
      <x:c r="B1447" s="1" t="str">
        <x:v>Butterfly</x:v>
      </x:c>
      <x:c r="C1447" s="1" t="str">
        <x:v>put</x:v>
      </x:c>
      <x:c r="D1447" s="11" t="n">
        <x:v>7600</x:v>
      </x:c>
      <x:c r="E1447" s="11" t="n">
        <x:v>7800</x:v>
      </x:c>
      <x:c r="F1447" s="11" t="n">
        <x:v>8000</x:v>
      </x:c>
      <x:c r="G1447" s="11" t="n">
        <x:f>'Option source'!B812</x:f>
        <x:v>660</x:v>
      </x:c>
      <x:c r="H1447" s="11" t="n">
        <x:f>'Option source'!B831</x:f>
        <x:v>771</x:v>
      </x:c>
      <x:c r="I1447" s="11" t="n">
        <x:f>'Option source'!B850</x:f>
        <x:v>1024</x:v>
      </x:c>
      <x:c r="J1447" s="11" t="n">
        <x:f>G1447-2*H1447+IF(B1447="Butterfly",I1447,0)</x:f>
        <x:v>142</x:v>
      </x:c>
      <x:c r="K1447" s="11" t="n">
        <x:f>ABS(E1447-D1447)</x:f>
        <x:v>200</x:v>
      </x:c>
      <x:c r="L1447" s="11" t="n">
        <x:f>K1447-J1447</x:f>
        <x:v>58</x:v>
      </x:c>
      <x:c r="M1447" s="11" t="n">
        <x:f>IF(B1447="Butterfly",MAX(J1447,0),IF(C1447="call","Unlimited",MAX(2*E1447-D1447+J1447,J1447,0)))</x:f>
        <x:v>142</x:v>
      </x:c>
      <x:c r="N1447" s="11" t="n">
        <x:f>IF(B1447="Butterfly",IF(AND(J1447&gt;0,J1447&lt;K1447),D1447+J1447,"n.a."),IF(C1447="call",IF(AND(J1447&gt;0,J1447&lt;K1447),D1447+J1447,"n.a."),IF(AND(K1447&gt;J1447,2*E1447-D1447+J1447&gt;=0),2*E1447-D1447+J1447,"n.a.")))</x:f>
        <x:v>7742</x:v>
      </x:c>
      <x:c r="O1447" s="11" t="n">
        <x:f>IF(B1447="Butterfly",IF(AND(J1447&gt;0,J1447&lt;K1447),F1447-J1447,"n.a."),IF(C1447="call",IF(K1447&gt;J1447,2*E1447-D1447-J1447,"n.a."),IF(AND(J1447&gt;0,J1447&lt;K1447),D1447-J1447,"n.a.")))</x:f>
        <x:v>7858</x:v>
      </x:c>
      <x:c r="P1447" s="19" t="n">
        <x:f>IF(AND(B1447="Butterfly",J1447&gt;0,J1447&lt;K1447),L1447/J1447,"n.a.")</x:f>
        <x:v>0.4084507042253521</x:v>
      </x:c>
      <x:c r="Q1447" s="11" t="n">
        <x:f>J1447*'Model inputs'!$B$8</x:f>
        <x:v>14200</x:v>
      </x:c>
      <x:c r="R1447" s="1" t="str">
        <x:v>Flagged leg data</x:v>
      </x:c>
      <x:c r="S1447" s="1" t="n">
        <x:v>807</x:v>
      </x:c>
      <x:c r="T1447" s="1" t="n">
        <x:v>826</x:v>
      </x:c>
    </x:row>
    <x:row r="1448" ht="21" customHeight="1">
      <x:c r="A1448" s="12" t="n">
        <x:v>46259</x:v>
      </x:c>
      <x:c r="B1448" s="1" t="str">
        <x:v>Butterfly</x:v>
      </x:c>
      <x:c r="C1448" s="1" t="str">
        <x:v>call</x:v>
      </x:c>
      <x:c r="D1448" s="11" t="n">
        <x:v>6000</x:v>
      </x:c>
      <x:c r="E1448" s="11" t="n">
        <x:v>6200</x:v>
      </x:c>
      <x:c r="F1448" s="11" t="n">
        <x:v>6400</x:v>
      </x:c>
      <x:c r="G1448" s="11" t="n">
        <x:f>'Option source'!B166</x:f>
        <x:v>1200</x:v>
      </x:c>
      <x:c r="H1448" s="11" t="n">
        <x:f>'Option source'!B185</x:f>
        <x:v>1000</x:v>
      </x:c>
      <x:c r="I1448" s="11" t="n">
        <x:f>'Option source'!B204</x:f>
        <x:v>982.67</x:v>
      </x:c>
      <x:c r="J1448" s="11" t="n">
        <x:f>G1448-2*H1448+IF(B1448="Butterfly",I1448,0)</x:f>
        <x:v>182.66999999999996</x:v>
      </x:c>
      <x:c r="K1448" s="11" t="n">
        <x:f>ABS(E1448-D1448)</x:f>
        <x:v>200</x:v>
      </x:c>
      <x:c r="L1448" s="11" t="n">
        <x:f>K1448-J1448</x:f>
        <x:v>17.33000000000004</x:v>
      </x:c>
      <x:c r="M1448" s="11" t="n">
        <x:f>IF(B1448="Butterfly",MAX(J1448,0),IF(C1448="call","Unlimited",MAX(2*E1448-D1448+J1448,J1448,0)))</x:f>
        <x:v>182.66999999999996</x:v>
      </x:c>
      <x:c r="N1448" s="11" t="n">
        <x:f>IF(B1448="Butterfly",IF(AND(J1448&gt;0,J1448&lt;K1448),D1448+J1448,"n.a."),IF(C1448="call",IF(AND(J1448&gt;0,J1448&lt;K1448),D1448+J1448,"n.a."),IF(AND(K1448&gt;J1448,2*E1448-D1448+J1448&gt;=0),2*E1448-D1448+J1448,"n.a.")))</x:f>
        <x:v>6182.67</x:v>
      </x:c>
      <x:c r="O1448" s="11" t="n">
        <x:f>IF(B1448="Butterfly",IF(AND(J1448&gt;0,J1448&lt;K1448),F1448-J1448,"n.a."),IF(C1448="call",IF(K1448&gt;J1448,2*E1448-D1448-J1448,"n.a."),IF(AND(J1448&gt;0,J1448&lt;K1448),D1448-J1448,"n.a.")))</x:f>
        <x:v>6217.33</x:v>
      </x:c>
      <x:c r="P1448" s="19" t="n">
        <x:f>IF(AND(B1448="Butterfly",J1448&gt;0,J1448&lt;K1448),L1448/J1448,"n.a.")</x:f>
        <x:v>0.09487053155964331</x:v>
      </x:c>
      <x:c r="Q1448" s="11" t="n">
        <x:f>J1448*'Model inputs'!$B$8</x:f>
        <x:v>18266.999999999996</x:v>
      </x:c>
      <x:c r="R1448" s="1" t="str">
        <x:v>Flagged leg data</x:v>
      </x:c>
      <x:c r="S1448" s="1" t="n">
        <x:v>161</x:v>
      </x:c>
      <x:c r="T1448" s="1" t="n">
        <x:v>180</x:v>
      </x:c>
    </x:row>
    <x:row r="1449" ht="21" customHeight="1">
      <x:c r="A1449" s="12" t="n">
        <x:v>46259</x:v>
      </x:c>
      <x:c r="B1449" s="1" t="str">
        <x:v>Butterfly</x:v>
      </x:c>
      <x:c r="C1449" s="1" t="str">
        <x:v>put</x:v>
      </x:c>
      <x:c r="D1449" s="11" t="n">
        <x:v>8000</x:v>
      </x:c>
      <x:c r="E1449" s="11" t="n">
        <x:v>8300</x:v>
      </x:c>
      <x:c r="F1449" s="11" t="n">
        <x:v>8600</x:v>
      </x:c>
      <x:c r="G1449" s="11" t="n">
        <x:f>'Option source'!B850</x:f>
        <x:v>1024</x:v>
      </x:c>
      <x:c r="H1449" s="11" t="n">
        <x:f>'Option source'!B869</x:f>
        <x:v>1176.84</x:v>
      </x:c>
      <x:c r="I1449" s="11" t="n">
        <x:f>'Option source'!B888</x:f>
        <x:v>1460</x:v>
      </x:c>
      <x:c r="J1449" s="11" t="n">
        <x:f>G1449-2*H1449+IF(B1449="Butterfly",I1449,0)</x:f>
        <x:v>130.32000000000016</x:v>
      </x:c>
      <x:c r="K1449" s="11" t="n">
        <x:f>ABS(E1449-D1449)</x:f>
        <x:v>300</x:v>
      </x:c>
      <x:c r="L1449" s="11" t="n">
        <x:f>K1449-J1449</x:f>
        <x:v>169.67999999999984</x:v>
      </x:c>
      <x:c r="M1449" s="11" t="n">
        <x:f>IF(B1449="Butterfly",MAX(J1449,0),IF(C1449="call","Unlimited",MAX(2*E1449-D1449+J1449,J1449,0)))</x:f>
        <x:v>130.32000000000016</x:v>
      </x:c>
      <x:c r="N1449" s="11" t="n">
        <x:f>IF(B1449="Butterfly",IF(AND(J1449&gt;0,J1449&lt;K1449),D1449+J1449,"n.a."),IF(C1449="call",IF(AND(J1449&gt;0,J1449&lt;K1449),D1449+J1449,"n.a."),IF(AND(K1449&gt;J1449,2*E1449-D1449+J1449&gt;=0),2*E1449-D1449+J1449,"n.a.")))</x:f>
        <x:v>8130.32</x:v>
      </x:c>
      <x:c r="O1449" s="11" t="n">
        <x:f>IF(B1449="Butterfly",IF(AND(J1449&gt;0,J1449&lt;K1449),F1449-J1449,"n.a."),IF(C1449="call",IF(K1449&gt;J1449,2*E1449-D1449-J1449,"n.a."),IF(AND(J1449&gt;0,J1449&lt;K1449),D1449-J1449,"n.a.")))</x:f>
        <x:v>8469.68</x:v>
      </x:c>
      <x:c r="P1449" s="19" t="n">
        <x:f>IF(AND(B1449="Butterfly",J1449&gt;0,J1449&lt;K1449),L1449/J1449,"n.a.")</x:f>
        <x:v>1.3020257826887631</x:v>
      </x:c>
      <x:c r="Q1449" s="11" t="n">
        <x:f>J1449*'Model inputs'!$B$8</x:f>
        <x:v>13032.000000000016</x:v>
      </x:c>
      <x:c r="R1449" s="1" t="str">
        <x:v>Flagged leg data</x:v>
      </x:c>
      <x:c r="S1449" s="1" t="n">
        <x:v>845</x:v>
      </x:c>
      <x:c r="T1449" s="1" t="n">
        <x:v>864</x:v>
      </x:c>
    </x:row>
    <x:row r="1450" ht="21" customHeight="1">
      <x:c r="A1450" s="12" t="n">
        <x:v>46259</x:v>
      </x:c>
      <x:c r="B1450" s="1" t="str">
        <x:v>Butterfly</x:v>
      </x:c>
      <x:c r="C1450" s="1" t="str">
        <x:v>call</x:v>
      </x:c>
      <x:c r="D1450" s="11" t="n">
        <x:v>5200</x:v>
      </x:c>
      <x:c r="E1450" s="11" t="n">
        <x:v>5400</x:v>
      </x:c>
      <x:c r="F1450" s="11" t="n">
        <x:v>5600</x:v>
      </x:c>
      <x:c r="G1450" s="11" t="n">
        <x:f>'Option source'!B100</x:f>
        <x:v>1953.12</x:v>
      </x:c>
      <x:c r="H1450" s="11" t="n">
        <x:f>'Option source'!B119</x:f>
        <x:v>1752.86</x:v>
      </x:c>
      <x:c r="I1450" s="11" t="n">
        <x:f>'Option source'!B137</x:f>
        <x:v>1550.9</x:v>
      </x:c>
      <x:c r="J1450" s="11" t="n">
        <x:f>G1450-2*H1450+IF(B1450="Butterfly",I1450,0)</x:f>
        <x:v>-1.699999999999818</x:v>
      </x:c>
      <x:c r="K1450" s="11" t="n">
        <x:f>ABS(E1450-D1450)</x:f>
        <x:v>200</x:v>
      </x:c>
      <x:c r="L1450" s="11" t="n">
        <x:f>K1450-J1450</x:f>
        <x:v>201.69999999999982</x:v>
      </x:c>
      <x:c r="M1450" s="11" t="n">
        <x:f>IF(B1450="Butterfly",MAX(J1450,0),IF(C1450="call","Unlimited",MAX(2*E1450-D1450+J1450,J1450,0)))</x:f>
        <x:v>0</x:v>
      </x:c>
      <x:c r="N1450" s="11" t="str">
        <x:f>IF(B1450="Butterfly",IF(AND(J1450&gt;0,J1450&lt;K1450),D1450+J1450,"n.a."),IF(C1450="call",IF(AND(J1450&gt;0,J1450&lt;K1450),D1450+J1450,"n.a."),IF(AND(K1450&gt;J1450,2*E1450-D1450+J1450&gt;=0),2*E1450-D1450+J1450,"n.a.")))</x:f>
        <x:v>n.a.</x:v>
      </x:c>
      <x:c r="O1450" s="11" t="str">
        <x:f>IF(B1450="Butterfly",IF(AND(J1450&gt;0,J1450&lt;K1450),F1450-J1450,"n.a."),IF(C1450="call",IF(K1450&gt;J1450,2*E1450-D1450-J1450,"n.a."),IF(AND(J1450&gt;0,J1450&lt;K1450),D1450-J1450,"n.a.")))</x:f>
        <x:v>n.a.</x:v>
      </x:c>
      <x:c r="P1450" s="19" t="str">
        <x:f>IF(AND(B1450="Butterfly",J1450&gt;0,J1450&lt;K1450),L1450/J1450,"n.a.")</x:f>
        <x:v>n.a.</x:v>
      </x:c>
      <x:c r="Q1450" s="11" t="n">
        <x:f>J1450*'Model inputs'!$B$8</x:f>
        <x:v>-169.9999999999818</x:v>
      </x:c>
      <x:c r="R1450" s="1" t="str">
        <x:v>Outside standard debit bounds</x:v>
      </x:c>
      <x:c r="S1450" s="1" t="n">
        <x:v>95</x:v>
      </x:c>
      <x:c r="T1450" s="1" t="n">
        <x:v>114</x:v>
      </x:c>
    </x:row>
    <x:row r="1451" ht="21" customHeight="1">
      <x:c r="A1451" s="12" t="n">
        <x:v>46259</x:v>
      </x:c>
      <x:c r="B1451" s="1" t="str">
        <x:v>Butterfly</x:v>
      </x:c>
      <x:c r="C1451" s="1" t="str">
        <x:v>call</x:v>
      </x:c>
      <x:c r="D1451" s="11" t="n">
        <x:v>5000</x:v>
      </x:c>
      <x:c r="E1451" s="11" t="n">
        <x:v>5200</x:v>
      </x:c>
      <x:c r="F1451" s="11" t="n">
        <x:v>5400</x:v>
      </x:c>
      <x:c r="G1451" s="11" t="n">
        <x:f>'Option source'!B81</x:f>
        <x:v>2100</x:v>
      </x:c>
      <x:c r="H1451" s="11" t="n">
        <x:f>'Option source'!B100</x:f>
        <x:v>1953.12</x:v>
      </x:c>
      <x:c r="I1451" s="11" t="n">
        <x:f>'Option source'!B119</x:f>
        <x:v>1752.86</x:v>
      </x:c>
      <x:c r="J1451" s="11" t="n">
        <x:f>G1451-2*H1451+IF(B1451="Butterfly",I1451,0)</x:f>
        <x:v>-53.37999999999988</x:v>
      </x:c>
      <x:c r="K1451" s="11" t="n">
        <x:f>ABS(E1451-D1451)</x:f>
        <x:v>200</x:v>
      </x:c>
      <x:c r="L1451" s="11" t="n">
        <x:f>K1451-J1451</x:f>
        <x:v>253.37999999999988</x:v>
      </x:c>
      <x:c r="M1451" s="11" t="n">
        <x:f>IF(B1451="Butterfly",MAX(J1451,0),IF(C1451="call","Unlimited",MAX(2*E1451-D1451+J1451,J1451,0)))</x:f>
        <x:v>0</x:v>
      </x:c>
      <x:c r="N1451" s="11" t="str">
        <x:f>IF(B1451="Butterfly",IF(AND(J1451&gt;0,J1451&lt;K1451),D1451+J1451,"n.a."),IF(C1451="call",IF(AND(J1451&gt;0,J1451&lt;K1451),D1451+J1451,"n.a."),IF(AND(K1451&gt;J1451,2*E1451-D1451+J1451&gt;=0),2*E1451-D1451+J1451,"n.a.")))</x:f>
        <x:v>n.a.</x:v>
      </x:c>
      <x:c r="O1451" s="11" t="str">
        <x:f>IF(B1451="Butterfly",IF(AND(J1451&gt;0,J1451&lt;K1451),F1451-J1451,"n.a."),IF(C1451="call",IF(K1451&gt;J1451,2*E1451-D1451-J1451,"n.a."),IF(AND(J1451&gt;0,J1451&lt;K1451),D1451-J1451,"n.a.")))</x:f>
        <x:v>n.a.</x:v>
      </x:c>
      <x:c r="P1451" s="19" t="str">
        <x:f>IF(AND(B1451="Butterfly",J1451&gt;0,J1451&lt;K1451),L1451/J1451,"n.a.")</x:f>
        <x:v>n.a.</x:v>
      </x:c>
      <x:c r="Q1451" s="11" t="n">
        <x:f>J1451*'Model inputs'!$B$8</x:f>
        <x:v>-5337.999999999988</x:v>
      </x:c>
      <x:c r="R1451" s="1" t="str">
        <x:v>Outside standard debit bounds</x:v>
      </x:c>
      <x:c r="S1451" s="1" t="n">
        <x:v>76</x:v>
      </x:c>
      <x:c r="T1451" s="1" t="n">
        <x:v>95</x:v>
      </x:c>
    </x:row>
    <x:row r="1452" ht="21" customHeight="1">
      <x:c r="A1452" s="12" t="n">
        <x:v>46259</x:v>
      </x:c>
      <x:c r="B1452" s="1" t="str">
        <x:v>Butterfly</x:v>
      </x:c>
      <x:c r="C1452" s="1" t="str">
        <x:v>call</x:v>
      </x:c>
      <x:c r="D1452" s="11" t="n">
        <x:v>4800</x:v>
      </x:c>
      <x:c r="E1452" s="11" t="n">
        <x:v>5000</x:v>
      </x:c>
      <x:c r="F1452" s="11" t="n">
        <x:v>5200</x:v>
      </x:c>
      <x:c r="G1452" s="11" t="n">
        <x:f>'Option source'!B64</x:f>
        <x:v>2280</x:v>
      </x:c>
      <x:c r="H1452" s="11" t="n">
        <x:f>'Option source'!B81</x:f>
        <x:v>2100</x:v>
      </x:c>
      <x:c r="I1452" s="11" t="n">
        <x:f>'Option source'!B100</x:f>
        <x:v>1953.12</x:v>
      </x:c>
      <x:c r="J1452" s="11" t="n">
        <x:f>G1452-2*H1452+IF(B1452="Butterfly",I1452,0)</x:f>
        <x:v>33.11999999999989</x:v>
      </x:c>
      <x:c r="K1452" s="11" t="n">
        <x:f>ABS(E1452-D1452)</x:f>
        <x:v>200</x:v>
      </x:c>
      <x:c r="L1452" s="11" t="n">
        <x:f>K1452-J1452</x:f>
        <x:v>166.8800000000001</x:v>
      </x:c>
      <x:c r="M1452" s="11" t="n">
        <x:f>IF(B1452="Butterfly",MAX(J1452,0),IF(C1452="call","Unlimited",MAX(2*E1452-D1452+J1452,J1452,0)))</x:f>
        <x:v>33.11999999999989</x:v>
      </x:c>
      <x:c r="N1452" s="11" t="n">
        <x:f>IF(B1452="Butterfly",IF(AND(J1452&gt;0,J1452&lt;K1452),D1452+J1452,"n.a."),IF(C1452="call",IF(AND(J1452&gt;0,J1452&lt;K1452),D1452+J1452,"n.a."),IF(AND(K1452&gt;J1452,2*E1452-D1452+J1452&gt;=0),2*E1452-D1452+J1452,"n.a.")))</x:f>
        <x:v>4833.12</x:v>
      </x:c>
      <x:c r="O1452" s="11" t="n">
        <x:f>IF(B1452="Butterfly",IF(AND(J1452&gt;0,J1452&lt;K1452),F1452-J1452,"n.a."),IF(C1452="call",IF(K1452&gt;J1452,2*E1452-D1452-J1452,"n.a."),IF(AND(J1452&gt;0,J1452&lt;K1452),D1452-J1452,"n.a.")))</x:f>
        <x:v>5166.88</x:v>
      </x:c>
      <x:c r="P1452" s="19" t="n">
        <x:f>IF(AND(B1452="Butterfly",J1452&gt;0,J1452&lt;K1452),L1452/J1452,"n.a.")</x:f>
        <x:v>5.038647342995189</x:v>
      </x:c>
      <x:c r="Q1452" s="11" t="n">
        <x:f>J1452*'Model inputs'!$B$8</x:f>
        <x:v>3311.999999999989</x:v>
      </x:c>
      <x:c r="R1452" s="1" t="str">
        <x:v>Flagged leg data</x:v>
      </x:c>
      <x:c r="S1452" s="1" t="n">
        <x:v>59</x:v>
      </x:c>
      <x:c r="T1452" s="1" t="n">
        <x:v>76</x:v>
      </x:c>
    </x:row>
    <x:row r="1453" ht="21" customHeight="1">
      <x:c r="A1453" s="12" t="n">
        <x:v>46259</x:v>
      </x:c>
      <x:c r="B1453" s="1" t="str">
        <x:v>Butterfly</x:v>
      </x:c>
      <x:c r="C1453" s="1" t="str">
        <x:v>call</x:v>
      </x:c>
      <x:c r="D1453" s="11" t="n">
        <x:v>4600</x:v>
      </x:c>
      <x:c r="E1453" s="11" t="n">
        <x:v>4800</x:v>
      </x:c>
      <x:c r="F1453" s="11" t="n">
        <x:v>5000</x:v>
      </x:c>
      <x:c r="G1453" s="11" t="n">
        <x:f>'Option source'!B47</x:f>
        <x:v>2493.23</x:v>
      </x:c>
      <x:c r="H1453" s="11" t="n">
        <x:f>'Option source'!B64</x:f>
        <x:v>2280</x:v>
      </x:c>
      <x:c r="I1453" s="11" t="n">
        <x:f>'Option source'!B81</x:f>
        <x:v>2100</x:v>
      </x:c>
      <x:c r="J1453" s="11" t="n">
        <x:f>G1453-2*H1453+IF(B1453="Butterfly",I1453,0)</x:f>
        <x:v>33.23000000000002</x:v>
      </x:c>
      <x:c r="K1453" s="11" t="n">
        <x:f>ABS(E1453-D1453)</x:f>
        <x:v>200</x:v>
      </x:c>
      <x:c r="L1453" s="11" t="n">
        <x:f>K1453-J1453</x:f>
        <x:v>166.76999999999998</x:v>
      </x:c>
      <x:c r="M1453" s="11" t="n">
        <x:f>IF(B1453="Butterfly",MAX(J1453,0),IF(C1453="call","Unlimited",MAX(2*E1453-D1453+J1453,J1453,0)))</x:f>
        <x:v>33.23000000000002</x:v>
      </x:c>
      <x:c r="N1453" s="11" t="n">
        <x:f>IF(B1453="Butterfly",IF(AND(J1453&gt;0,J1453&lt;K1453),D1453+J1453,"n.a."),IF(C1453="call",IF(AND(J1453&gt;0,J1453&lt;K1453),D1453+J1453,"n.a."),IF(AND(K1453&gt;J1453,2*E1453-D1453+J1453&gt;=0),2*E1453-D1453+J1453,"n.a.")))</x:f>
        <x:v>4633.23</x:v>
      </x:c>
      <x:c r="O1453" s="11" t="n">
        <x:f>IF(B1453="Butterfly",IF(AND(J1453&gt;0,J1453&lt;K1453),F1453-J1453,"n.a."),IF(C1453="call",IF(K1453&gt;J1453,2*E1453-D1453-J1453,"n.a."),IF(AND(J1453&gt;0,J1453&lt;K1453),D1453-J1453,"n.a.")))</x:f>
        <x:v>4966.77</x:v>
      </x:c>
      <x:c r="P1453" s="19" t="n">
        <x:f>IF(AND(B1453="Butterfly",J1453&gt;0,J1453&lt;K1453),L1453/J1453,"n.a.")</x:f>
        <x:v>5.018657839301833</x:v>
      </x:c>
      <x:c r="Q1453" s="11" t="n">
        <x:f>J1453*'Model inputs'!$B$8</x:f>
        <x:v>3323.000000000002</x:v>
      </x:c>
      <x:c r="R1453" s="1" t="str">
        <x:v>Flagged leg data</x:v>
      </x:c>
      <x:c r="S1453" s="1" t="n">
        <x:v>42</x:v>
      </x:c>
      <x:c r="T1453" s="1" t="n">
        <x:v>59</x:v>
      </x:c>
    </x:row>
    <x:row r="1454" ht="21" customHeight="1">
      <x:c r="A1454" s="12" t="n">
        <x:v>46259</x:v>
      </x:c>
      <x:c r="B1454" s="1" t="str">
        <x:v>Butterfly</x:v>
      </x:c>
      <x:c r="C1454" s="1" t="str">
        <x:v>call</x:v>
      </x:c>
      <x:c r="D1454" s="11" t="n">
        <x:v>4400</x:v>
      </x:c>
      <x:c r="E1454" s="11" t="n">
        <x:v>4600</x:v>
      </x:c>
      <x:c r="F1454" s="11" t="n">
        <x:v>4800</x:v>
      </x:c>
      <x:c r="G1454" s="11" t="n">
        <x:f>'Option source'!B28</x:f>
        <x:v>2387.12</x:v>
      </x:c>
      <x:c r="H1454" s="11" t="n">
        <x:f>'Option source'!B47</x:f>
        <x:v>2493.23</x:v>
      </x:c>
      <x:c r="I1454" s="11" t="n">
        <x:f>'Option source'!B64</x:f>
        <x:v>2280</x:v>
      </x:c>
      <x:c r="J1454" s="11" t="n">
        <x:f>G1454-2*H1454+IF(B1454="Butterfly",I1454,0)</x:f>
        <x:v>-319.34000000000015</x:v>
      </x:c>
      <x:c r="K1454" s="11" t="n">
        <x:f>ABS(E1454-D1454)</x:f>
        <x:v>200</x:v>
      </x:c>
      <x:c r="L1454" s="11" t="n">
        <x:f>K1454-J1454</x:f>
        <x:v>519.3400000000001</x:v>
      </x:c>
      <x:c r="M1454" s="11" t="n">
        <x:f>IF(B1454="Butterfly",MAX(J1454,0),IF(C1454="call","Unlimited",MAX(2*E1454-D1454+J1454,J1454,0)))</x:f>
        <x:v>0</x:v>
      </x:c>
      <x:c r="N1454" s="11" t="str">
        <x:f>IF(B1454="Butterfly",IF(AND(J1454&gt;0,J1454&lt;K1454),D1454+J1454,"n.a."),IF(C1454="call",IF(AND(J1454&gt;0,J1454&lt;K1454),D1454+J1454,"n.a."),IF(AND(K1454&gt;J1454,2*E1454-D1454+J1454&gt;=0),2*E1454-D1454+J1454,"n.a.")))</x:f>
        <x:v>n.a.</x:v>
      </x:c>
      <x:c r="O1454" s="11" t="str">
        <x:f>IF(B1454="Butterfly",IF(AND(J1454&gt;0,J1454&lt;K1454),F1454-J1454,"n.a."),IF(C1454="call",IF(K1454&gt;J1454,2*E1454-D1454-J1454,"n.a."),IF(AND(J1454&gt;0,J1454&lt;K1454),D1454-J1454,"n.a.")))</x:f>
        <x:v>n.a.</x:v>
      </x:c>
      <x:c r="P1454" s="19" t="str">
        <x:f>IF(AND(B1454="Butterfly",J1454&gt;0,J1454&lt;K1454),L1454/J1454,"n.a.")</x:f>
        <x:v>n.a.</x:v>
      </x:c>
      <x:c r="Q1454" s="11" t="n">
        <x:f>J1454*'Model inputs'!$B$8</x:f>
        <x:v>-31934.000000000015</x:v>
      </x:c>
      <x:c r="R1454" s="1" t="str">
        <x:v>Outside standard debit bounds</x:v>
      </x:c>
      <x:c r="S1454" s="1" t="n">
        <x:v>23</x:v>
      </x:c>
      <x:c r="T1454" s="1" t="n">
        <x:v>42</x:v>
      </x:c>
    </x:row>
    <x:row r="1455" ht="21" customHeight="1">
      <x:c r="A1455" s="12" t="n">
        <x:v>46259</x:v>
      </x:c>
      <x:c r="B1455" s="1" t="str">
        <x:v>Butterfly</x:v>
      </x:c>
      <x:c r="C1455" s="1" t="str">
        <x:v>call</x:v>
      </x:c>
      <x:c r="D1455" s="11" t="n">
        <x:v>4200</x:v>
      </x:c>
      <x:c r="E1455" s="11" t="n">
        <x:v>4400</x:v>
      </x:c>
      <x:c r="F1455" s="11" t="n">
        <x:v>4600</x:v>
      </x:c>
      <x:c r="G1455" s="11" t="n">
        <x:f>'Option source'!B9</x:f>
        <x:v>2865.46</x:v>
      </x:c>
      <x:c r="H1455" s="11" t="n">
        <x:f>'Option source'!B28</x:f>
        <x:v>2387.12</x:v>
      </x:c>
      <x:c r="I1455" s="11" t="n">
        <x:f>'Option source'!B47</x:f>
        <x:v>2493.23</x:v>
      </x:c>
      <x:c r="J1455" s="11" t="n">
        <x:f>G1455-2*H1455+IF(B1455="Butterfly",I1455,0)</x:f>
        <x:v>584.4500000000003</x:v>
      </x:c>
      <x:c r="K1455" s="11" t="n">
        <x:f>ABS(E1455-D1455)</x:f>
        <x:v>200</x:v>
      </x:c>
      <x:c r="L1455" s="11" t="n">
        <x:f>K1455-J1455</x:f>
        <x:v>-384.4500000000003</x:v>
      </x:c>
      <x:c r="M1455" s="11" t="n">
        <x:f>IF(B1455="Butterfly",MAX(J1455,0),IF(C1455="call","Unlimited",MAX(2*E1455-D1455+J1455,J1455,0)))</x:f>
        <x:v>584.4500000000003</x:v>
      </x:c>
      <x:c r="N1455" s="11" t="str">
        <x:f>IF(B1455="Butterfly",IF(AND(J1455&gt;0,J1455&lt;K1455),D1455+J1455,"n.a."),IF(C1455="call",IF(AND(J1455&gt;0,J1455&lt;K1455),D1455+J1455,"n.a."),IF(AND(K1455&gt;J1455,2*E1455-D1455+J1455&gt;=0),2*E1455-D1455+J1455,"n.a.")))</x:f>
        <x:v>n.a.</x:v>
      </x:c>
      <x:c r="O1455" s="11" t="str">
        <x:f>IF(B1455="Butterfly",IF(AND(J1455&gt;0,J1455&lt;K1455),F1455-J1455,"n.a."),IF(C1455="call",IF(K1455&gt;J1455,2*E1455-D1455-J1455,"n.a."),IF(AND(J1455&gt;0,J1455&lt;K1455),D1455-J1455,"n.a.")))</x:f>
        <x:v>n.a.</x:v>
      </x:c>
      <x:c r="P1455" s="19" t="str">
        <x:f>IF(AND(B1455="Butterfly",J1455&gt;0,J1455&lt;K1455),L1455/J1455,"n.a.")</x:f>
        <x:v>n.a.</x:v>
      </x:c>
      <x:c r="Q1455" s="11" t="n">
        <x:f>J1455*'Model inputs'!$B$8</x:f>
        <x:v>58445.00000000003</x:v>
      </x:c>
      <x:c r="R1455" s="1" t="str">
        <x:v>Outside standard debit bounds</x:v>
      </x:c>
      <x:c r="S1455" s="1" t="n">
        <x:v>4</x:v>
      </x:c>
      <x:c r="T1455" s="1" t="n">
        <x:v>23</x:v>
      </x:c>
    </x:row>
    <x:row r="1456" ht="21" customHeight="1">
      <x:c r="A1456" s="12" t="n">
        <x:v>46259</x:v>
      </x:c>
      <x:c r="B1456" s="1" t="str">
        <x:v>Butterfly</x:v>
      </x:c>
      <x:c r="C1456" s="1" t="str">
        <x:v>put</x:v>
      </x:c>
      <x:c r="D1456" s="11" t="n">
        <x:v>4200</x:v>
      </x:c>
      <x:c r="E1456" s="11" t="n">
        <x:v>4400</x:v>
      </x:c>
      <x:c r="F1456" s="11" t="n">
        <x:v>4600</x:v>
      </x:c>
      <x:c r="G1456" s="11" t="n">
        <x:f>'Option source'!B489</x:f>
        <x:v>2.46</x:v>
      </x:c>
      <x:c r="H1456" s="11" t="n">
        <x:f>'Option source'!B508</x:f>
        <x:v>3.02</x:v>
      </x:c>
      <x:c r="I1456" s="11" t="n">
        <x:f>'Option source'!B527</x:f>
        <x:v>3.47</x:v>
      </x:c>
      <x:c r="J1456" s="11" t="n">
        <x:f>G1456-2*H1456+IF(B1456="Butterfly",I1456,0)</x:f>
        <x:v>-0.10999999999999988</x:v>
      </x:c>
      <x:c r="K1456" s="11" t="n">
        <x:f>ABS(E1456-D1456)</x:f>
        <x:v>200</x:v>
      </x:c>
      <x:c r="L1456" s="11" t="n">
        <x:f>K1456-J1456</x:f>
        <x:v>200.11</x:v>
      </x:c>
      <x:c r="M1456" s="11" t="n">
        <x:f>IF(B1456="Butterfly",MAX(J1456,0),IF(C1456="call","Unlimited",MAX(2*E1456-D1456+J1456,J1456,0)))</x:f>
        <x:v>0</x:v>
      </x:c>
      <x:c r="N1456" s="11" t="str">
        <x:f>IF(B1456="Butterfly",IF(AND(J1456&gt;0,J1456&lt;K1456),D1456+J1456,"n.a."),IF(C1456="call",IF(AND(J1456&gt;0,J1456&lt;K1456),D1456+J1456,"n.a."),IF(AND(K1456&gt;J1456,2*E1456-D1456+J1456&gt;=0),2*E1456-D1456+J1456,"n.a.")))</x:f>
        <x:v>n.a.</x:v>
      </x:c>
      <x:c r="O1456" s="11" t="str">
        <x:f>IF(B1456="Butterfly",IF(AND(J1456&gt;0,J1456&lt;K1456),F1456-J1456,"n.a."),IF(C1456="call",IF(K1456&gt;J1456,2*E1456-D1456-J1456,"n.a."),IF(AND(J1456&gt;0,J1456&lt;K1456),D1456-J1456,"n.a.")))</x:f>
        <x:v>n.a.</x:v>
      </x:c>
      <x:c r="P1456" s="19" t="str">
        <x:f>IF(AND(B1456="Butterfly",J1456&gt;0,J1456&lt;K1456),L1456/J1456,"n.a.")</x:f>
        <x:v>n.a.</x:v>
      </x:c>
      <x:c r="Q1456" s="11" t="n">
        <x:f>J1456*'Model inputs'!$B$8</x:f>
        <x:v>-10.999999999999988</x:v>
      </x:c>
      <x:c r="R1456" s="1" t="str">
        <x:v>Outside standard debit bounds</x:v>
      </x:c>
      <x:c r="S1456" s="1" t="n">
        <x:v>484</x:v>
      </x:c>
      <x:c r="T1456" s="1" t="n">
        <x:v>503</x:v>
      </x:c>
    </x:row>
    <x:row r="1457" ht="21" customHeight="1">
      <x:c r="A1457" s="12" t="n">
        <x:v>46259</x:v>
      </x:c>
      <x:c r="B1457" s="1" t="str">
        <x:v>1x2 ratio</x:v>
      </x:c>
      <x:c r="C1457" s="1" t="str">
        <x:v>call</x:v>
      </x:c>
      <x:c r="D1457" s="11" t="n">
        <x:v>6800</x:v>
      </x:c>
      <x:c r="E1457" s="11" t="n">
        <x:v>7000</x:v>
      </x:c>
      <x:c r="F1457" s="11"/>
      <x:c r="G1457" s="11" t="n">
        <x:f>'Option source'!B242</x:f>
        <x:v>720.8</x:v>
      </x:c>
      <x:c r="H1457" s="11" t="n">
        <x:f>'Option source'!B261</x:f>
        <x:v>604.66</x:v>
      </x:c>
      <x:c r="I1457" s="11"/>
      <x:c r="J1457" s="11" t="n">
        <x:f>G1457-2*H1457+IF(B1457="Butterfly",I1457,0)</x:f>
        <x:v>-488.52</x:v>
      </x:c>
      <x:c r="K1457" s="11" t="n">
        <x:f>ABS(E1457-D1457)</x:f>
        <x:v>200</x:v>
      </x:c>
      <x:c r="L1457" s="11" t="n">
        <x:f>K1457-J1457</x:f>
        <x:v>688.52</x:v>
      </x:c>
      <x:c r="M1457" s="11" t="str">
        <x:f>IF(B1457="Butterfly",MAX(J1457,0),IF(C1457="call","Unlimited",MAX(2*E1457-D1457+J1457,J1457,0)))</x:f>
        <x:v>Unlimited</x:v>
      </x:c>
      <x:c r="N1457" s="11" t="str">
        <x:f>IF(B1457="Butterfly",IF(AND(J1457&gt;0,J1457&lt;K1457),D1457+J1457,"n.a."),IF(C1457="call",IF(AND(J1457&gt;0,J1457&lt;K1457),D1457+J1457,"n.a."),IF(AND(K1457&gt;J1457,2*E1457-D1457+J1457&gt;=0),2*E1457-D1457+J1457,"n.a.")))</x:f>
        <x:v>n.a.</x:v>
      </x:c>
      <x:c r="O1457" s="11" t="n">
        <x:f>IF(B1457="Butterfly",IF(AND(J1457&gt;0,J1457&lt;K1457),F1457-J1457,"n.a."),IF(C1457="call",IF(K1457&gt;J1457,2*E1457-D1457-J1457,"n.a."),IF(AND(J1457&gt;0,J1457&lt;K1457),D1457-J1457,"n.a.")))</x:f>
        <x:v>7688.52</x:v>
      </x:c>
      <x:c r="P1457" s="19" t="str">
        <x:f>IF(AND(B1457="Butterfly",J1457&gt;0,J1457&lt;K1457),L1457/J1457,"n.a.")</x:f>
        <x:v>n.a.</x:v>
      </x:c>
      <x:c r="Q1457" s="11" t="n">
        <x:f>J1457*'Model inputs'!$B$8</x:f>
        <x:v>-48852</x:v>
      </x:c>
      <x:c r="R1457" s="1" t="str">
        <x:v>Indicative only</x:v>
      </x:c>
      <x:c r="S1457" s="1" t="n">
        <x:v>237</x:v>
      </x:c>
      <x:c r="T1457" s="1" t="n">
        <x:v>256</x:v>
      </x:c>
    </x:row>
    <x:row r="1458" ht="21" customHeight="1">
      <x:c r="A1458" s="12" t="n">
        <x:v>46259</x:v>
      </x:c>
      <x:c r="B1458" s="1" t="str">
        <x:v>1x2 ratio</x:v>
      </x:c>
      <x:c r="C1458" s="1" t="str">
        <x:v>put</x:v>
      </x:c>
      <x:c r="D1458" s="11" t="n">
        <x:v>7200</x:v>
      </x:c>
      <x:c r="E1458" s="11" t="n">
        <x:v>7000</x:v>
      </x:c>
      <x:c r="F1458" s="11"/>
      <x:c r="G1458" s="11" t="n">
        <x:f>'Option source'!B774</x:f>
        <x:v>428.03</x:v>
      </x:c>
      <x:c r="H1458" s="11" t="n">
        <x:f>'Option source'!B755</x:f>
        <x:v>333.44</x:v>
      </x:c>
      <x:c r="I1458" s="11"/>
      <x:c r="J1458" s="11" t="n">
        <x:f>G1458-2*H1458+IF(B1458="Butterfly",I1458,0)</x:f>
        <x:v>-238.85000000000002</x:v>
      </x:c>
      <x:c r="K1458" s="11" t="n">
        <x:f>ABS(E1458-D1458)</x:f>
        <x:v>200</x:v>
      </x:c>
      <x:c r="L1458" s="11" t="n">
        <x:f>K1458-J1458</x:f>
        <x:v>438.85</x:v>
      </x:c>
      <x:c r="M1458" s="11" t="n">
        <x:f>IF(B1458="Butterfly",MAX(J1458,0),IF(C1458="call","Unlimited",MAX(2*E1458-D1458+J1458,J1458,0)))</x:f>
        <x:v>6561.15</x:v>
      </x:c>
      <x:c r="N1458" s="11" t="n">
        <x:f>IF(B1458="Butterfly",IF(AND(J1458&gt;0,J1458&lt;K1458),D1458+J1458,"n.a."),IF(C1458="call",IF(AND(J1458&gt;0,J1458&lt;K1458),D1458+J1458,"n.a."),IF(AND(K1458&gt;J1458,2*E1458-D1458+J1458&gt;=0),2*E1458-D1458+J1458,"n.a.")))</x:f>
        <x:v>6561.15</x:v>
      </x:c>
      <x:c r="O1458" s="11" t="str">
        <x:f>IF(B1458="Butterfly",IF(AND(J1458&gt;0,J1458&lt;K1458),F1458-J1458,"n.a."),IF(C1458="call",IF(K1458&gt;J1458,2*E1458-D1458-J1458,"n.a."),IF(AND(J1458&gt;0,J1458&lt;K1458),D1458-J1458,"n.a.")))</x:f>
        <x:v>n.a.</x:v>
      </x:c>
      <x:c r="P1458" s="19" t="str">
        <x:f>IF(AND(B1458="Butterfly",J1458&gt;0,J1458&lt;K1458),L1458/J1458,"n.a.")</x:f>
        <x:v>n.a.</x:v>
      </x:c>
      <x:c r="Q1458" s="11" t="n">
        <x:f>J1458*'Model inputs'!$B$8</x:f>
        <x:v>-23885.000000000004</x:v>
      </x:c>
      <x:c r="R1458" s="1" t="str">
        <x:v>Indicative only</x:v>
      </x:c>
      <x:c r="S1458" s="1" t="n">
        <x:v>769</x:v>
      </x:c>
      <x:c r="T1458" s="1" t="n">
        <x:v>750</x:v>
      </x:c>
    </x:row>
    <x:row r="1459" ht="21" customHeight="1">
      <x:c r="A1459" s="12" t="n">
        <x:v>46259</x:v>
      </x:c>
      <x:c r="B1459" s="1" t="str">
        <x:v>1x2 ratio</x:v>
      </x:c>
      <x:c r="C1459" s="1" t="str">
        <x:v>call</x:v>
      </x:c>
      <x:c r="D1459" s="11" t="n">
        <x:v>7000</x:v>
      </x:c>
      <x:c r="E1459" s="11" t="n">
        <x:v>7200</x:v>
      </x:c>
      <x:c r="F1459" s="11"/>
      <x:c r="G1459" s="11" t="n">
        <x:f>'Option source'!B261</x:f>
        <x:v>604.66</x:v>
      </x:c>
      <x:c r="H1459" s="11" t="n">
        <x:f>'Option source'!B280</x:f>
        <x:v>501.24</x:v>
      </x:c>
      <x:c r="I1459" s="11"/>
      <x:c r="J1459" s="11" t="n">
        <x:f>G1459-2*H1459+IF(B1459="Butterfly",I1459,0)</x:f>
        <x:v>-397.82000000000005</x:v>
      </x:c>
      <x:c r="K1459" s="11" t="n">
        <x:f>ABS(E1459-D1459)</x:f>
        <x:v>200</x:v>
      </x:c>
      <x:c r="L1459" s="11" t="n">
        <x:f>K1459-J1459</x:f>
        <x:v>597.82</x:v>
      </x:c>
      <x:c r="M1459" s="11" t="str">
        <x:f>IF(B1459="Butterfly",MAX(J1459,0),IF(C1459="call","Unlimited",MAX(2*E1459-D1459+J1459,J1459,0)))</x:f>
        <x:v>Unlimited</x:v>
      </x:c>
      <x:c r="N1459" s="11" t="str">
        <x:f>IF(B1459="Butterfly",IF(AND(J1459&gt;0,J1459&lt;K1459),D1459+J1459,"n.a."),IF(C1459="call",IF(AND(J1459&gt;0,J1459&lt;K1459),D1459+J1459,"n.a."),IF(AND(K1459&gt;J1459,2*E1459-D1459+J1459&gt;=0),2*E1459-D1459+J1459,"n.a.")))</x:f>
        <x:v>n.a.</x:v>
      </x:c>
      <x:c r="O1459" s="11" t="n">
        <x:f>IF(B1459="Butterfly",IF(AND(J1459&gt;0,J1459&lt;K1459),F1459-J1459,"n.a."),IF(C1459="call",IF(K1459&gt;J1459,2*E1459-D1459-J1459,"n.a."),IF(AND(J1459&gt;0,J1459&lt;K1459),D1459-J1459,"n.a.")))</x:f>
        <x:v>7797.82</x:v>
      </x:c>
      <x:c r="P1459" s="19" t="str">
        <x:f>IF(AND(B1459="Butterfly",J1459&gt;0,J1459&lt;K1459),L1459/J1459,"n.a.")</x:f>
        <x:v>n.a.</x:v>
      </x:c>
      <x:c r="Q1459" s="11" t="n">
        <x:f>J1459*'Model inputs'!$B$8</x:f>
        <x:v>-39782.00000000001</x:v>
      </x:c>
      <x:c r="R1459" s="1" t="str">
        <x:v>Indicative only</x:v>
      </x:c>
      <x:c r="S1459" s="1" t="n">
        <x:v>256</x:v>
      </x:c>
      <x:c r="T1459" s="1" t="n">
        <x:v>275</x:v>
      </x:c>
    </x:row>
    <x:row r="1460" ht="21" customHeight="1">
      <x:c r="A1460" s="12" t="n">
        <x:v>46259</x:v>
      </x:c>
      <x:c r="B1460" s="1" t="str">
        <x:v>1x2 ratio</x:v>
      </x:c>
      <x:c r="C1460" s="1" t="str">
        <x:v>put</x:v>
      </x:c>
      <x:c r="D1460" s="11" t="n">
        <x:v>7400</x:v>
      </x:c>
      <x:c r="E1460" s="11" t="n">
        <x:v>7200</x:v>
      </x:c>
      <x:c r="F1460" s="11"/>
      <x:c r="G1460" s="11" t="n">
        <x:f>'Option source'!B793</x:f>
        <x:v>535.8</x:v>
      </x:c>
      <x:c r="H1460" s="11" t="n">
        <x:f>'Option source'!B774</x:f>
        <x:v>428.03</x:v>
      </x:c>
      <x:c r="I1460" s="11"/>
      <x:c r="J1460" s="11" t="n">
        <x:f>G1460-2*H1460+IF(B1460="Butterfly",I1460,0)</x:f>
        <x:v>-320.26</x:v>
      </x:c>
      <x:c r="K1460" s="11" t="n">
        <x:f>ABS(E1460-D1460)</x:f>
        <x:v>200</x:v>
      </x:c>
      <x:c r="L1460" s="11" t="n">
        <x:f>K1460-J1460</x:f>
        <x:v>520.26</x:v>
      </x:c>
      <x:c r="M1460" s="11" t="n">
        <x:f>IF(B1460="Butterfly",MAX(J1460,0),IF(C1460="call","Unlimited",MAX(2*E1460-D1460+J1460,J1460,0)))</x:f>
        <x:v>6679.74</x:v>
      </x:c>
      <x:c r="N1460" s="11" t="n">
        <x:f>IF(B1460="Butterfly",IF(AND(J1460&gt;0,J1460&lt;K1460),D1460+J1460,"n.a."),IF(C1460="call",IF(AND(J1460&gt;0,J1460&lt;K1460),D1460+J1460,"n.a."),IF(AND(K1460&gt;J1460,2*E1460-D1460+J1460&gt;=0),2*E1460-D1460+J1460,"n.a.")))</x:f>
        <x:v>6679.74</x:v>
      </x:c>
      <x:c r="O1460" s="11" t="str">
        <x:f>IF(B1460="Butterfly",IF(AND(J1460&gt;0,J1460&lt;K1460),F1460-J1460,"n.a."),IF(C1460="call",IF(K1460&gt;J1460,2*E1460-D1460-J1460,"n.a."),IF(AND(J1460&gt;0,J1460&lt;K1460),D1460-J1460,"n.a.")))</x:f>
        <x:v>n.a.</x:v>
      </x:c>
      <x:c r="P1460" s="19" t="str">
        <x:f>IF(AND(B1460="Butterfly",J1460&gt;0,J1460&lt;K1460),L1460/J1460,"n.a.")</x:f>
        <x:v>n.a.</x:v>
      </x:c>
      <x:c r="Q1460" s="11" t="n">
        <x:f>J1460*'Model inputs'!$B$8</x:f>
        <x:v>-32026</x:v>
      </x:c>
      <x:c r="R1460" s="1" t="str">
        <x:v>Indicative only</x:v>
      </x:c>
      <x:c r="S1460" s="1" t="n">
        <x:v>788</x:v>
      </x:c>
      <x:c r="T1460" s="1" t="n">
        <x:v>769</x:v>
      </x:c>
    </x:row>
    <x:row r="1461" ht="21" customHeight="1">
      <x:c r="A1461" s="12" t="n">
        <x:v>46259</x:v>
      </x:c>
      <x:c r="B1461" s="1" t="str">
        <x:v>1x2 ratio</x:v>
      </x:c>
      <x:c r="C1461" s="1" t="str">
        <x:v>call</x:v>
      </x:c>
      <x:c r="D1461" s="11" t="n">
        <x:v>6600</x:v>
      </x:c>
      <x:c r="E1461" s="11" t="n">
        <x:v>6800</x:v>
      </x:c>
      <x:c r="F1461" s="11"/>
      <x:c r="G1461" s="11" t="n">
        <x:f>'Option source'!B223</x:f>
        <x:v>852.31</x:v>
      </x:c>
      <x:c r="H1461" s="11" t="n">
        <x:f>'Option source'!B242</x:f>
        <x:v>720.8</x:v>
      </x:c>
      <x:c r="I1461" s="11"/>
      <x:c r="J1461" s="11" t="n">
        <x:f>G1461-2*H1461+IF(B1461="Butterfly",I1461,0)</x:f>
        <x:v>-589.29</x:v>
      </x:c>
      <x:c r="K1461" s="11" t="n">
        <x:f>ABS(E1461-D1461)</x:f>
        <x:v>200</x:v>
      </x:c>
      <x:c r="L1461" s="11" t="n">
        <x:f>K1461-J1461</x:f>
        <x:v>789.29</x:v>
      </x:c>
      <x:c r="M1461" s="11" t="str">
        <x:f>IF(B1461="Butterfly",MAX(J1461,0),IF(C1461="call","Unlimited",MAX(2*E1461-D1461+J1461,J1461,0)))</x:f>
        <x:v>Unlimited</x:v>
      </x:c>
      <x:c r="N1461" s="11" t="str">
        <x:f>IF(B1461="Butterfly",IF(AND(J1461&gt;0,J1461&lt;K1461),D1461+J1461,"n.a."),IF(C1461="call",IF(AND(J1461&gt;0,J1461&lt;K1461),D1461+J1461,"n.a."),IF(AND(K1461&gt;J1461,2*E1461-D1461+J1461&gt;=0),2*E1461-D1461+J1461,"n.a.")))</x:f>
        <x:v>n.a.</x:v>
      </x:c>
      <x:c r="O1461" s="11" t="n">
        <x:f>IF(B1461="Butterfly",IF(AND(J1461&gt;0,J1461&lt;K1461),F1461-J1461,"n.a."),IF(C1461="call",IF(K1461&gt;J1461,2*E1461-D1461-J1461,"n.a."),IF(AND(J1461&gt;0,J1461&lt;K1461),D1461-J1461,"n.a.")))</x:f>
        <x:v>7589.29</x:v>
      </x:c>
      <x:c r="P1461" s="19" t="str">
        <x:f>IF(AND(B1461="Butterfly",J1461&gt;0,J1461&lt;K1461),L1461/J1461,"n.a.")</x:f>
        <x:v>n.a.</x:v>
      </x:c>
      <x:c r="Q1461" s="11" t="n">
        <x:f>J1461*'Model inputs'!$B$8</x:f>
        <x:v>-58929</x:v>
      </x:c>
      <x:c r="R1461" s="1" t="str">
        <x:v>Indicative only</x:v>
      </x:c>
      <x:c r="S1461" s="1" t="n">
        <x:v>218</x:v>
      </x:c>
      <x:c r="T1461" s="1" t="n">
        <x:v>237</x:v>
      </x:c>
    </x:row>
    <x:row r="1462" ht="21" customHeight="1">
      <x:c r="A1462" s="12" t="n">
        <x:v>46259</x:v>
      </x:c>
      <x:c r="B1462" s="1" t="str">
        <x:v>1x2 ratio</x:v>
      </x:c>
      <x:c r="C1462" s="1" t="str">
        <x:v>put</x:v>
      </x:c>
      <x:c r="D1462" s="11" t="n">
        <x:v>7000</x:v>
      </x:c>
      <x:c r="E1462" s="11" t="n">
        <x:v>6800</x:v>
      </x:c>
      <x:c r="F1462" s="11"/>
      <x:c r="G1462" s="11" t="n">
        <x:f>'Option source'!B755</x:f>
        <x:v>333.44</x:v>
      </x:c>
      <x:c r="H1462" s="11" t="n">
        <x:f>'Option source'!B736</x:f>
        <x:v>251.5</x:v>
      </x:c>
      <x:c r="I1462" s="11"/>
      <x:c r="J1462" s="11" t="n">
        <x:f>G1462-2*H1462+IF(B1462="Butterfly",I1462,0)</x:f>
        <x:v>-169.56</x:v>
      </x:c>
      <x:c r="K1462" s="11" t="n">
        <x:f>ABS(E1462-D1462)</x:f>
        <x:v>200</x:v>
      </x:c>
      <x:c r="L1462" s="11" t="n">
        <x:f>K1462-J1462</x:f>
        <x:v>369.56</x:v>
      </x:c>
      <x:c r="M1462" s="11" t="n">
        <x:f>IF(B1462="Butterfly",MAX(J1462,0),IF(C1462="call","Unlimited",MAX(2*E1462-D1462+J1462,J1462,0)))</x:f>
        <x:v>6430.44</x:v>
      </x:c>
      <x:c r="N1462" s="11" t="n">
        <x:f>IF(B1462="Butterfly",IF(AND(J1462&gt;0,J1462&lt;K1462),D1462+J1462,"n.a."),IF(C1462="call",IF(AND(J1462&gt;0,J1462&lt;K1462),D1462+J1462,"n.a."),IF(AND(K1462&gt;J1462,2*E1462-D1462+J1462&gt;=0),2*E1462-D1462+J1462,"n.a.")))</x:f>
        <x:v>6430.44</x:v>
      </x:c>
      <x:c r="O1462" s="11" t="str">
        <x:f>IF(B1462="Butterfly",IF(AND(J1462&gt;0,J1462&lt;K1462),F1462-J1462,"n.a."),IF(C1462="call",IF(K1462&gt;J1462,2*E1462-D1462-J1462,"n.a."),IF(AND(J1462&gt;0,J1462&lt;K1462),D1462-J1462,"n.a.")))</x:f>
        <x:v>n.a.</x:v>
      </x:c>
      <x:c r="P1462" s="19" t="str">
        <x:f>IF(AND(B1462="Butterfly",J1462&gt;0,J1462&lt;K1462),L1462/J1462,"n.a.")</x:f>
        <x:v>n.a.</x:v>
      </x:c>
      <x:c r="Q1462" s="11" t="n">
        <x:f>J1462*'Model inputs'!$B$8</x:f>
        <x:v>-16956</x:v>
      </x:c>
      <x:c r="R1462" s="1" t="str">
        <x:v>Indicative only</x:v>
      </x:c>
      <x:c r="S1462" s="1" t="n">
        <x:v>750</x:v>
      </x:c>
      <x:c r="T1462" s="1" t="n">
        <x:v>731</x:v>
      </x:c>
    </x:row>
    <x:row r="1463" ht="21" customHeight="1">
      <x:c r="A1463" s="12" t="n">
        <x:v>46259</x:v>
      </x:c>
      <x:c r="B1463" s="1" t="str">
        <x:v>1x2 ratio</x:v>
      </x:c>
      <x:c r="C1463" s="1" t="str">
        <x:v>call</x:v>
      </x:c>
      <x:c r="D1463" s="11" t="n">
        <x:v>7200</x:v>
      </x:c>
      <x:c r="E1463" s="11" t="n">
        <x:v>7400</x:v>
      </x:c>
      <x:c r="F1463" s="11"/>
      <x:c r="G1463" s="11" t="n">
        <x:f>'Option source'!B280</x:f>
        <x:v>501.24</x:v>
      </x:c>
      <x:c r="H1463" s="11" t="n">
        <x:f>'Option source'!B299</x:f>
        <x:v>414.81</x:v>
      </x:c>
      <x:c r="I1463" s="11"/>
      <x:c r="J1463" s="11" t="n">
        <x:f>G1463-2*H1463+IF(B1463="Butterfly",I1463,0)</x:f>
        <x:v>-328.38</x:v>
      </x:c>
      <x:c r="K1463" s="11" t="n">
        <x:f>ABS(E1463-D1463)</x:f>
        <x:v>200</x:v>
      </x:c>
      <x:c r="L1463" s="11" t="n">
        <x:f>K1463-J1463</x:f>
        <x:v>528.38</x:v>
      </x:c>
      <x:c r="M1463" s="11" t="str">
        <x:f>IF(B1463="Butterfly",MAX(J1463,0),IF(C1463="call","Unlimited",MAX(2*E1463-D1463+J1463,J1463,0)))</x:f>
        <x:v>Unlimited</x:v>
      </x:c>
      <x:c r="N1463" s="11" t="str">
        <x:f>IF(B1463="Butterfly",IF(AND(J1463&gt;0,J1463&lt;K1463),D1463+J1463,"n.a."),IF(C1463="call",IF(AND(J1463&gt;0,J1463&lt;K1463),D1463+J1463,"n.a."),IF(AND(K1463&gt;J1463,2*E1463-D1463+J1463&gt;=0),2*E1463-D1463+J1463,"n.a.")))</x:f>
        <x:v>n.a.</x:v>
      </x:c>
      <x:c r="O1463" s="11" t="n">
        <x:f>IF(B1463="Butterfly",IF(AND(J1463&gt;0,J1463&lt;K1463),F1463-J1463,"n.a."),IF(C1463="call",IF(K1463&gt;J1463,2*E1463-D1463-J1463,"n.a."),IF(AND(J1463&gt;0,J1463&lt;K1463),D1463-J1463,"n.a.")))</x:f>
        <x:v>7928.38</x:v>
      </x:c>
      <x:c r="P1463" s="19" t="str">
        <x:f>IF(AND(B1463="Butterfly",J1463&gt;0,J1463&lt;K1463),L1463/J1463,"n.a.")</x:f>
        <x:v>n.a.</x:v>
      </x:c>
      <x:c r="Q1463" s="11" t="n">
        <x:f>J1463*'Model inputs'!$B$8</x:f>
        <x:v>-32838</x:v>
      </x:c>
      <x:c r="R1463" s="1" t="str">
        <x:v>Indicative only</x:v>
      </x:c>
      <x:c r="S1463" s="1" t="n">
        <x:v>275</x:v>
      </x:c>
      <x:c r="T1463" s="1" t="n">
        <x:v>294</x:v>
      </x:c>
    </x:row>
    <x:row r="1464" ht="21" customHeight="1">
      <x:c r="A1464" s="12" t="n">
        <x:v>46259</x:v>
      </x:c>
      <x:c r="B1464" s="1" t="str">
        <x:v>1x2 ratio</x:v>
      </x:c>
      <x:c r="C1464" s="1" t="str">
        <x:v>put</x:v>
      </x:c>
      <x:c r="D1464" s="11" t="n">
        <x:v>7600</x:v>
      </x:c>
      <x:c r="E1464" s="11" t="n">
        <x:v>7400</x:v>
      </x:c>
      <x:c r="F1464" s="11"/>
      <x:c r="G1464" s="11" t="n">
        <x:f>'Option source'!B812</x:f>
        <x:v>660</x:v>
      </x:c>
      <x:c r="H1464" s="11" t="n">
        <x:f>'Option source'!B793</x:f>
        <x:v>535.8</x:v>
      </x:c>
      <x:c r="I1464" s="11"/>
      <x:c r="J1464" s="11" t="n">
        <x:f>G1464-2*H1464+IF(B1464="Butterfly",I1464,0)</x:f>
        <x:v>-411.5999999999999</x:v>
      </x:c>
      <x:c r="K1464" s="11" t="n">
        <x:f>ABS(E1464-D1464)</x:f>
        <x:v>200</x:v>
      </x:c>
      <x:c r="L1464" s="11" t="n">
        <x:f>K1464-J1464</x:f>
        <x:v>611.5999999999999</x:v>
      </x:c>
      <x:c r="M1464" s="11" t="n">
        <x:f>IF(B1464="Butterfly",MAX(J1464,0),IF(C1464="call","Unlimited",MAX(2*E1464-D1464+J1464,J1464,0)))</x:f>
        <x:v>6788.4</x:v>
      </x:c>
      <x:c r="N1464" s="11" t="n">
        <x:f>IF(B1464="Butterfly",IF(AND(J1464&gt;0,J1464&lt;K1464),D1464+J1464,"n.a."),IF(C1464="call",IF(AND(J1464&gt;0,J1464&lt;K1464),D1464+J1464,"n.a."),IF(AND(K1464&gt;J1464,2*E1464-D1464+J1464&gt;=0),2*E1464-D1464+J1464,"n.a.")))</x:f>
        <x:v>6788.4</x:v>
      </x:c>
      <x:c r="O1464" s="11" t="str">
        <x:f>IF(B1464="Butterfly",IF(AND(J1464&gt;0,J1464&lt;K1464),F1464-J1464,"n.a."),IF(C1464="call",IF(K1464&gt;J1464,2*E1464-D1464-J1464,"n.a."),IF(AND(J1464&gt;0,J1464&lt;K1464),D1464-J1464,"n.a.")))</x:f>
        <x:v>n.a.</x:v>
      </x:c>
      <x:c r="P1464" s="19" t="str">
        <x:f>IF(AND(B1464="Butterfly",J1464&gt;0,J1464&lt;K1464),L1464/J1464,"n.a.")</x:f>
        <x:v>n.a.</x:v>
      </x:c>
      <x:c r="Q1464" s="11" t="n">
        <x:f>J1464*'Model inputs'!$B$8</x:f>
        <x:v>-41159.99999999999</x:v>
      </x:c>
      <x:c r="R1464" s="1" t="str">
        <x:v>Indicative only</x:v>
      </x:c>
      <x:c r="S1464" s="1" t="n">
        <x:v>807</x:v>
      </x:c>
      <x:c r="T1464" s="1" t="n">
        <x:v>788</x:v>
      </x:c>
    </x:row>
    <x:row r="1465" ht="21" customHeight="1">
      <x:c r="A1465" s="12" t="n">
        <x:v>46259</x:v>
      </x:c>
      <x:c r="B1465" s="1" t="str">
        <x:v>1x2 ratio</x:v>
      </x:c>
      <x:c r="C1465" s="1" t="str">
        <x:v>call</x:v>
      </x:c>
      <x:c r="D1465" s="11" t="n">
        <x:v>6400</x:v>
      </x:c>
      <x:c r="E1465" s="11" t="n">
        <x:v>6600</x:v>
      </x:c>
      <x:c r="F1465" s="11"/>
      <x:c r="G1465" s="11" t="n">
        <x:f>'Option source'!B204</x:f>
        <x:v>982.67</x:v>
      </x:c>
      <x:c r="H1465" s="11" t="n">
        <x:f>'Option source'!B223</x:f>
        <x:v>852.31</x:v>
      </x:c>
      <x:c r="I1465" s="11"/>
      <x:c r="J1465" s="11" t="n">
        <x:f>G1465-2*H1465+IF(B1465="Butterfly",I1465,0)</x:f>
        <x:v>-721.9499999999999</x:v>
      </x:c>
      <x:c r="K1465" s="11" t="n">
        <x:f>ABS(E1465-D1465)</x:f>
        <x:v>200</x:v>
      </x:c>
      <x:c r="L1465" s="11" t="n">
        <x:f>K1465-J1465</x:f>
        <x:v>921.9499999999999</x:v>
      </x:c>
      <x:c r="M1465" s="11" t="str">
        <x:f>IF(B1465="Butterfly",MAX(J1465,0),IF(C1465="call","Unlimited",MAX(2*E1465-D1465+J1465,J1465,0)))</x:f>
        <x:v>Unlimited</x:v>
      </x:c>
      <x:c r="N1465" s="11" t="str">
        <x:f>IF(B1465="Butterfly",IF(AND(J1465&gt;0,J1465&lt;K1465),D1465+J1465,"n.a."),IF(C1465="call",IF(AND(J1465&gt;0,J1465&lt;K1465),D1465+J1465,"n.a."),IF(AND(K1465&gt;J1465,2*E1465-D1465+J1465&gt;=0),2*E1465-D1465+J1465,"n.a.")))</x:f>
        <x:v>n.a.</x:v>
      </x:c>
      <x:c r="O1465" s="11" t="n">
        <x:f>IF(B1465="Butterfly",IF(AND(J1465&gt;0,J1465&lt;K1465),F1465-J1465,"n.a."),IF(C1465="call",IF(K1465&gt;J1465,2*E1465-D1465-J1465,"n.a."),IF(AND(J1465&gt;0,J1465&lt;K1465),D1465-J1465,"n.a.")))</x:f>
        <x:v>7521.95</x:v>
      </x:c>
      <x:c r="P1465" s="19" t="str">
        <x:f>IF(AND(B1465="Butterfly",J1465&gt;0,J1465&lt;K1465),L1465/J1465,"n.a.")</x:f>
        <x:v>n.a.</x:v>
      </x:c>
      <x:c r="Q1465" s="11" t="n">
        <x:f>J1465*'Model inputs'!$B$8</x:f>
        <x:v>-72195</x:v>
      </x:c>
      <x:c r="R1465" s="1" t="str">
        <x:v>Indicative only</x:v>
      </x:c>
      <x:c r="S1465" s="1" t="n">
        <x:v>199</x:v>
      </x:c>
      <x:c r="T1465" s="1" t="n">
        <x:v>218</x:v>
      </x:c>
    </x:row>
    <x:row r="1466" ht="21" customHeight="1">
      <x:c r="A1466" s="12" t="n">
        <x:v>46259</x:v>
      </x:c>
      <x:c r="B1466" s="1" t="str">
        <x:v>1x2 ratio</x:v>
      </x:c>
      <x:c r="C1466" s="1" t="str">
        <x:v>put</x:v>
      </x:c>
      <x:c r="D1466" s="11" t="n">
        <x:v>6800</x:v>
      </x:c>
      <x:c r="E1466" s="11" t="n">
        <x:v>6600</x:v>
      </x:c>
      <x:c r="F1466" s="11"/>
      <x:c r="G1466" s="11" t="n">
        <x:f>'Option source'!B736</x:f>
        <x:v>251.5</x:v>
      </x:c>
      <x:c r="H1466" s="11" t="n">
        <x:f>'Option source'!B717</x:f>
        <x:v>188.16</x:v>
      </x:c>
      <x:c r="I1466" s="11"/>
      <x:c r="J1466" s="11" t="n">
        <x:f>G1466-2*H1466+IF(B1466="Butterfly",I1466,0)</x:f>
        <x:v>-124.82</x:v>
      </x:c>
      <x:c r="K1466" s="11" t="n">
        <x:f>ABS(E1466-D1466)</x:f>
        <x:v>200</x:v>
      </x:c>
      <x:c r="L1466" s="11" t="n">
        <x:f>K1466-J1466</x:f>
        <x:v>324.82</x:v>
      </x:c>
      <x:c r="M1466" s="11" t="n">
        <x:f>IF(B1466="Butterfly",MAX(J1466,0),IF(C1466="call","Unlimited",MAX(2*E1466-D1466+J1466,J1466,0)))</x:f>
        <x:v>6275.18</x:v>
      </x:c>
      <x:c r="N1466" s="11" t="n">
        <x:f>IF(B1466="Butterfly",IF(AND(J1466&gt;0,J1466&lt;K1466),D1466+J1466,"n.a."),IF(C1466="call",IF(AND(J1466&gt;0,J1466&lt;K1466),D1466+J1466,"n.a."),IF(AND(K1466&gt;J1466,2*E1466-D1466+J1466&gt;=0),2*E1466-D1466+J1466,"n.a.")))</x:f>
        <x:v>6275.18</x:v>
      </x:c>
      <x:c r="O1466" s="11" t="str">
        <x:f>IF(B1466="Butterfly",IF(AND(J1466&gt;0,J1466&lt;K1466),F1466-J1466,"n.a."),IF(C1466="call",IF(K1466&gt;J1466,2*E1466-D1466-J1466,"n.a."),IF(AND(J1466&gt;0,J1466&lt;K1466),D1466-J1466,"n.a.")))</x:f>
        <x:v>n.a.</x:v>
      </x:c>
      <x:c r="P1466" s="19" t="str">
        <x:f>IF(AND(B1466="Butterfly",J1466&gt;0,J1466&lt;K1466),L1466/J1466,"n.a.")</x:f>
        <x:v>n.a.</x:v>
      </x:c>
      <x:c r="Q1466" s="11" t="n">
        <x:f>J1466*'Model inputs'!$B$8</x:f>
        <x:v>-12482</x:v>
      </x:c>
      <x:c r="R1466" s="1" t="str">
        <x:v>Indicative only</x:v>
      </x:c>
      <x:c r="S1466" s="1" t="n">
        <x:v>731</x:v>
      </x:c>
      <x:c r="T1466" s="1" t="n">
        <x:v>712</x:v>
      </x:c>
    </x:row>
    <x:row r="1467" ht="21" customHeight="1">
      <x:c r="A1467" s="12" t="n">
        <x:v>46259</x:v>
      </x:c>
      <x:c r="B1467" s="1" t="str">
        <x:v>1x2 ratio</x:v>
      </x:c>
      <x:c r="C1467" s="1" t="str">
        <x:v>call</x:v>
      </x:c>
      <x:c r="D1467" s="11" t="n">
        <x:v>7400</x:v>
      </x:c>
      <x:c r="E1467" s="11" t="n">
        <x:v>7600</x:v>
      </x:c>
      <x:c r="F1467" s="11"/>
      <x:c r="G1467" s="11" t="n">
        <x:f>'Option source'!B299</x:f>
        <x:v>414.81</x:v>
      </x:c>
      <x:c r="H1467" s="11" t="n">
        <x:f>'Option source'!B318</x:f>
        <x:v>334.73</x:v>
      </x:c>
      <x:c r="I1467" s="11"/>
      <x:c r="J1467" s="11" t="n">
        <x:f>G1467-2*H1467+IF(B1467="Butterfly",I1467,0)</x:f>
        <x:v>-254.65000000000003</x:v>
      </x:c>
      <x:c r="K1467" s="11" t="n">
        <x:f>ABS(E1467-D1467)</x:f>
        <x:v>200</x:v>
      </x:c>
      <x:c r="L1467" s="11" t="n">
        <x:f>K1467-J1467</x:f>
        <x:v>454.65000000000003</x:v>
      </x:c>
      <x:c r="M1467" s="11" t="str">
        <x:f>IF(B1467="Butterfly",MAX(J1467,0),IF(C1467="call","Unlimited",MAX(2*E1467-D1467+J1467,J1467,0)))</x:f>
        <x:v>Unlimited</x:v>
      </x:c>
      <x:c r="N1467" s="11" t="str">
        <x:f>IF(B1467="Butterfly",IF(AND(J1467&gt;0,J1467&lt;K1467),D1467+J1467,"n.a."),IF(C1467="call",IF(AND(J1467&gt;0,J1467&lt;K1467),D1467+J1467,"n.a."),IF(AND(K1467&gt;J1467,2*E1467-D1467+J1467&gt;=0),2*E1467-D1467+J1467,"n.a.")))</x:f>
        <x:v>n.a.</x:v>
      </x:c>
      <x:c r="O1467" s="11" t="n">
        <x:f>IF(B1467="Butterfly",IF(AND(J1467&gt;0,J1467&lt;K1467),F1467-J1467,"n.a."),IF(C1467="call",IF(K1467&gt;J1467,2*E1467-D1467-J1467,"n.a."),IF(AND(J1467&gt;0,J1467&lt;K1467),D1467-J1467,"n.a.")))</x:f>
        <x:v>8054.65</x:v>
      </x:c>
      <x:c r="P1467" s="19" t="str">
        <x:f>IF(AND(B1467="Butterfly",J1467&gt;0,J1467&lt;K1467),L1467/J1467,"n.a.")</x:f>
        <x:v>n.a.</x:v>
      </x:c>
      <x:c r="Q1467" s="11" t="n">
        <x:f>J1467*'Model inputs'!$B$8</x:f>
        <x:v>-25465.000000000004</x:v>
      </x:c>
      <x:c r="R1467" s="1" t="str">
        <x:v>Indicative only</x:v>
      </x:c>
      <x:c r="S1467" s="1" t="n">
        <x:v>294</x:v>
      </x:c>
      <x:c r="T1467" s="1" t="n">
        <x:v>313</x:v>
      </x:c>
    </x:row>
    <x:row r="1468" ht="21" customHeight="1">
      <x:c r="A1468" s="12" t="n">
        <x:v>46259</x:v>
      </x:c>
      <x:c r="B1468" s="1" t="str">
        <x:v>1x2 ratio</x:v>
      </x:c>
      <x:c r="C1468" s="1" t="str">
        <x:v>put</x:v>
      </x:c>
      <x:c r="D1468" s="11" t="n">
        <x:v>6600</x:v>
      </x:c>
      <x:c r="E1468" s="11" t="n">
        <x:v>6400</x:v>
      </x:c>
      <x:c r="F1468" s="11"/>
      <x:c r="G1468" s="11" t="n">
        <x:f>'Option source'!B717</x:f>
        <x:v>188.16</x:v>
      </x:c>
      <x:c r="H1468" s="11" t="n">
        <x:f>'Option source'!B698</x:f>
        <x:v>133.02</x:v>
      </x:c>
      <x:c r="I1468" s="11"/>
      <x:c r="J1468" s="11" t="n">
        <x:f>G1468-2*H1468+IF(B1468="Butterfly",I1468,0)</x:f>
        <x:v>-77.88000000000002</x:v>
      </x:c>
      <x:c r="K1468" s="11" t="n">
        <x:f>ABS(E1468-D1468)</x:f>
        <x:v>200</x:v>
      </x:c>
      <x:c r="L1468" s="11" t="n">
        <x:f>K1468-J1468</x:f>
        <x:v>277.88</x:v>
      </x:c>
      <x:c r="M1468" s="11" t="n">
        <x:f>IF(B1468="Butterfly",MAX(J1468,0),IF(C1468="call","Unlimited",MAX(2*E1468-D1468+J1468,J1468,0)))</x:f>
        <x:v>6122.12</x:v>
      </x:c>
      <x:c r="N1468" s="11" t="n">
        <x:f>IF(B1468="Butterfly",IF(AND(J1468&gt;0,J1468&lt;K1468),D1468+J1468,"n.a."),IF(C1468="call",IF(AND(J1468&gt;0,J1468&lt;K1468),D1468+J1468,"n.a."),IF(AND(K1468&gt;J1468,2*E1468-D1468+J1468&gt;=0),2*E1468-D1468+J1468,"n.a.")))</x:f>
        <x:v>6122.12</x:v>
      </x:c>
      <x:c r="O1468" s="11" t="str">
        <x:f>IF(B1468="Butterfly",IF(AND(J1468&gt;0,J1468&lt;K1468),F1468-J1468,"n.a."),IF(C1468="call",IF(K1468&gt;J1468,2*E1468-D1468-J1468,"n.a."),IF(AND(J1468&gt;0,J1468&lt;K1468),D1468-J1468,"n.a.")))</x:f>
        <x:v>n.a.</x:v>
      </x:c>
      <x:c r="P1468" s="19" t="str">
        <x:f>IF(AND(B1468="Butterfly",J1468&gt;0,J1468&lt;K1468),L1468/J1468,"n.a.")</x:f>
        <x:v>n.a.</x:v>
      </x:c>
      <x:c r="Q1468" s="11" t="n">
        <x:f>J1468*'Model inputs'!$B$8</x:f>
        <x:v>-7788.000000000003</x:v>
      </x:c>
      <x:c r="R1468" s="1" t="str">
        <x:v>Indicative only</x:v>
      </x:c>
      <x:c r="S1468" s="1" t="n">
        <x:v>712</x:v>
      </x:c>
      <x:c r="T1468" s="1" t="n">
        <x:v>693</x:v>
      </x:c>
    </x:row>
    <x:row r="1469" ht="21" customHeight="1">
      <x:c r="A1469" s="12" t="n">
        <x:v>46259</x:v>
      </x:c>
      <x:c r="B1469" s="1" t="str">
        <x:v>1x2 ratio</x:v>
      </x:c>
      <x:c r="C1469" s="1" t="str">
        <x:v>call</x:v>
      </x:c>
      <x:c r="D1469" s="11" t="n">
        <x:v>7600</x:v>
      </x:c>
      <x:c r="E1469" s="11" t="n">
        <x:v>7800</x:v>
      </x:c>
      <x:c r="F1469" s="11"/>
      <x:c r="G1469" s="11" t="n">
        <x:f>'Option source'!B318</x:f>
        <x:v>334.73</x:v>
      </x:c>
      <x:c r="H1469" s="11" t="n">
        <x:f>'Option source'!B337</x:f>
        <x:v>267.97</x:v>
      </x:c>
      <x:c r="I1469" s="11"/>
      <x:c r="J1469" s="11" t="n">
        <x:f>G1469-2*H1469+IF(B1469="Butterfly",I1469,0)</x:f>
        <x:v>-201.21000000000004</x:v>
      </x:c>
      <x:c r="K1469" s="11" t="n">
        <x:f>ABS(E1469-D1469)</x:f>
        <x:v>200</x:v>
      </x:c>
      <x:c r="L1469" s="11" t="n">
        <x:f>K1469-J1469</x:f>
        <x:v>401.21000000000004</x:v>
      </x:c>
      <x:c r="M1469" s="11" t="str">
        <x:f>IF(B1469="Butterfly",MAX(J1469,0),IF(C1469="call","Unlimited",MAX(2*E1469-D1469+J1469,J1469,0)))</x:f>
        <x:v>Unlimited</x:v>
      </x:c>
      <x:c r="N1469" s="11" t="str">
        <x:f>IF(B1469="Butterfly",IF(AND(J1469&gt;0,J1469&lt;K1469),D1469+J1469,"n.a."),IF(C1469="call",IF(AND(J1469&gt;0,J1469&lt;K1469),D1469+J1469,"n.a."),IF(AND(K1469&gt;J1469,2*E1469-D1469+J1469&gt;=0),2*E1469-D1469+J1469,"n.a.")))</x:f>
        <x:v>n.a.</x:v>
      </x:c>
      <x:c r="O1469" s="11" t="n">
        <x:f>IF(B1469="Butterfly",IF(AND(J1469&gt;0,J1469&lt;K1469),F1469-J1469,"n.a."),IF(C1469="call",IF(K1469&gt;J1469,2*E1469-D1469-J1469,"n.a."),IF(AND(J1469&gt;0,J1469&lt;K1469),D1469-J1469,"n.a.")))</x:f>
        <x:v>8201.21</x:v>
      </x:c>
      <x:c r="P1469" s="19" t="str">
        <x:f>IF(AND(B1469="Butterfly",J1469&gt;0,J1469&lt;K1469),L1469/J1469,"n.a.")</x:f>
        <x:v>n.a.</x:v>
      </x:c>
      <x:c r="Q1469" s="11" t="n">
        <x:f>J1469*'Model inputs'!$B$8</x:f>
        <x:v>-20121.000000000004</x:v>
      </x:c>
      <x:c r="R1469" s="1" t="str">
        <x:v>Indicative only</x:v>
      </x:c>
      <x:c r="S1469" s="1" t="n">
        <x:v>313</x:v>
      </x:c>
      <x:c r="T1469" s="1" t="n">
        <x:v>332</x:v>
      </x:c>
    </x:row>
    <x:row r="1470" ht="21" customHeight="1">
      <x:c r="A1470" s="12" t="n">
        <x:v>46259</x:v>
      </x:c>
      <x:c r="B1470" s="1" t="str">
        <x:v>1x2 ratio</x:v>
      </x:c>
      <x:c r="C1470" s="1" t="str">
        <x:v>put</x:v>
      </x:c>
      <x:c r="D1470" s="11" t="n">
        <x:v>6400</x:v>
      </x:c>
      <x:c r="E1470" s="11" t="n">
        <x:v>6200</x:v>
      </x:c>
      <x:c r="F1470" s="11"/>
      <x:c r="G1470" s="11" t="n">
        <x:f>'Option source'!B698</x:f>
        <x:v>133.02</x:v>
      </x:c>
      <x:c r="H1470" s="11" t="n">
        <x:f>'Option source'!B679</x:f>
        <x:v>90.81</x:v>
      </x:c>
      <x:c r="I1470" s="11"/>
      <x:c r="J1470" s="11" t="n">
        <x:f>G1470-2*H1470+IF(B1470="Butterfly",I1470,0)</x:f>
        <x:v>-48.599999999999994</x:v>
      </x:c>
      <x:c r="K1470" s="11" t="n">
        <x:f>ABS(E1470-D1470)</x:f>
        <x:v>200</x:v>
      </x:c>
      <x:c r="L1470" s="11" t="n">
        <x:f>K1470-J1470</x:f>
        <x:v>248.6</x:v>
      </x:c>
      <x:c r="M1470" s="11" t="n">
        <x:f>IF(B1470="Butterfly",MAX(J1470,0),IF(C1470="call","Unlimited",MAX(2*E1470-D1470+J1470,J1470,0)))</x:f>
        <x:v>5951.4</x:v>
      </x:c>
      <x:c r="N1470" s="11" t="n">
        <x:f>IF(B1470="Butterfly",IF(AND(J1470&gt;0,J1470&lt;K1470),D1470+J1470,"n.a."),IF(C1470="call",IF(AND(J1470&gt;0,J1470&lt;K1470),D1470+J1470,"n.a."),IF(AND(K1470&gt;J1470,2*E1470-D1470+J1470&gt;=0),2*E1470-D1470+J1470,"n.a.")))</x:f>
        <x:v>5951.4</x:v>
      </x:c>
      <x:c r="O1470" s="11" t="str">
        <x:f>IF(B1470="Butterfly",IF(AND(J1470&gt;0,J1470&lt;K1470),F1470-J1470,"n.a."),IF(C1470="call",IF(K1470&gt;J1470,2*E1470-D1470-J1470,"n.a."),IF(AND(J1470&gt;0,J1470&lt;K1470),D1470-J1470,"n.a.")))</x:f>
        <x:v>n.a.</x:v>
      </x:c>
      <x:c r="P1470" s="19" t="str">
        <x:f>IF(AND(B1470="Butterfly",J1470&gt;0,J1470&lt;K1470),L1470/J1470,"n.a.")</x:f>
        <x:v>n.a.</x:v>
      </x:c>
      <x:c r="Q1470" s="11" t="n">
        <x:f>J1470*'Model inputs'!$B$8</x:f>
        <x:v>-4859.999999999999</x:v>
      </x:c>
      <x:c r="R1470" s="1" t="str">
        <x:v>Indicative only</x:v>
      </x:c>
      <x:c r="S1470" s="1" t="n">
        <x:v>693</x:v>
      </x:c>
      <x:c r="T1470" s="1" t="n">
        <x:v>674</x:v>
      </x:c>
    </x:row>
    <x:row r="1471" ht="21" customHeight="1">
      <x:c r="A1471" s="12" t="n">
        <x:v>46259</x:v>
      </x:c>
      <x:c r="B1471" s="1" t="str">
        <x:v>1x2 ratio</x:v>
      </x:c>
      <x:c r="C1471" s="1" t="str">
        <x:v>call</x:v>
      </x:c>
      <x:c r="D1471" s="11" t="n">
        <x:v>7800</x:v>
      </x:c>
      <x:c r="E1471" s="11" t="n">
        <x:v>8000</x:v>
      </x:c>
      <x:c r="F1471" s="11"/>
      <x:c r="G1471" s="11" t="n">
        <x:f>'Option source'!B337</x:f>
        <x:v>267.97</x:v>
      </x:c>
      <x:c r="H1471" s="11" t="n">
        <x:f>'Option source'!B356</x:f>
        <x:v>217.29</x:v>
      </x:c>
      <x:c r="I1471" s="11"/>
      <x:c r="J1471" s="11" t="n">
        <x:f>G1471-2*H1471+IF(B1471="Butterfly",I1471,0)</x:f>
        <x:v>-166.60999999999996</x:v>
      </x:c>
      <x:c r="K1471" s="11" t="n">
        <x:f>ABS(E1471-D1471)</x:f>
        <x:v>200</x:v>
      </x:c>
      <x:c r="L1471" s="11" t="n">
        <x:f>K1471-J1471</x:f>
        <x:v>366.60999999999996</x:v>
      </x:c>
      <x:c r="M1471" s="11" t="str">
        <x:f>IF(B1471="Butterfly",MAX(J1471,0),IF(C1471="call","Unlimited",MAX(2*E1471-D1471+J1471,J1471,0)))</x:f>
        <x:v>Unlimited</x:v>
      </x:c>
      <x:c r="N1471" s="11" t="str">
        <x:f>IF(B1471="Butterfly",IF(AND(J1471&gt;0,J1471&lt;K1471),D1471+J1471,"n.a."),IF(C1471="call",IF(AND(J1471&gt;0,J1471&lt;K1471),D1471+J1471,"n.a."),IF(AND(K1471&gt;J1471,2*E1471-D1471+J1471&gt;=0),2*E1471-D1471+J1471,"n.a.")))</x:f>
        <x:v>n.a.</x:v>
      </x:c>
      <x:c r="O1471" s="11" t="n">
        <x:f>IF(B1471="Butterfly",IF(AND(J1471&gt;0,J1471&lt;K1471),F1471-J1471,"n.a."),IF(C1471="call",IF(K1471&gt;J1471,2*E1471-D1471-J1471,"n.a."),IF(AND(J1471&gt;0,J1471&lt;K1471),D1471-J1471,"n.a.")))</x:f>
        <x:v>8366.61</x:v>
      </x:c>
      <x:c r="P1471" s="19" t="str">
        <x:f>IF(AND(B1471="Butterfly",J1471&gt;0,J1471&lt;K1471),L1471/J1471,"n.a.")</x:f>
        <x:v>n.a.</x:v>
      </x:c>
      <x:c r="Q1471" s="11" t="n">
        <x:f>J1471*'Model inputs'!$B$8</x:f>
        <x:v>-16660.999999999996</x:v>
      </x:c>
      <x:c r="R1471" s="1" t="str">
        <x:v>Indicative only</x:v>
      </x:c>
      <x:c r="S1471" s="1" t="n">
        <x:v>332</x:v>
      </x:c>
      <x:c r="T1471" s="1" t="n">
        <x:v>351</x:v>
      </x:c>
    </x:row>
    <x:row r="1472" ht="21" customHeight="1">
      <x:c r="A1472" s="12" t="n">
        <x:v>46259</x:v>
      </x:c>
      <x:c r="B1472" s="1" t="str">
        <x:v>1x2 ratio</x:v>
      </x:c>
      <x:c r="C1472" s="1" t="str">
        <x:v>put</x:v>
      </x:c>
      <x:c r="D1472" s="11" t="n">
        <x:v>6200</x:v>
      </x:c>
      <x:c r="E1472" s="11" t="n">
        <x:v>6000</x:v>
      </x:c>
      <x:c r="F1472" s="11"/>
      <x:c r="G1472" s="11" t="n">
        <x:f>'Option source'!B679</x:f>
        <x:v>90.81</x:v>
      </x:c>
      <x:c r="H1472" s="11" t="n">
        <x:f>'Option source'!B660</x:f>
        <x:v>60.32</x:v>
      </x:c>
      <x:c r="I1472" s="11"/>
      <x:c r="J1472" s="11" t="n">
        <x:f>G1472-2*H1472+IF(B1472="Butterfly",I1472,0)</x:f>
        <x:v>-29.83</x:v>
      </x:c>
      <x:c r="K1472" s="11" t="n">
        <x:f>ABS(E1472-D1472)</x:f>
        <x:v>200</x:v>
      </x:c>
      <x:c r="L1472" s="11" t="n">
        <x:f>K1472-J1472</x:f>
        <x:v>229.82999999999998</x:v>
      </x:c>
      <x:c r="M1472" s="11" t="n">
        <x:f>IF(B1472="Butterfly",MAX(J1472,0),IF(C1472="call","Unlimited",MAX(2*E1472-D1472+J1472,J1472,0)))</x:f>
        <x:v>5770.17</x:v>
      </x:c>
      <x:c r="N1472" s="11" t="n">
        <x:f>IF(B1472="Butterfly",IF(AND(J1472&gt;0,J1472&lt;K1472),D1472+J1472,"n.a."),IF(C1472="call",IF(AND(J1472&gt;0,J1472&lt;K1472),D1472+J1472,"n.a."),IF(AND(K1472&gt;J1472,2*E1472-D1472+J1472&gt;=0),2*E1472-D1472+J1472,"n.a.")))</x:f>
        <x:v>5770.17</x:v>
      </x:c>
      <x:c r="O1472" s="11" t="str">
        <x:f>IF(B1472="Butterfly",IF(AND(J1472&gt;0,J1472&lt;K1472),F1472-J1472,"n.a."),IF(C1472="call",IF(K1472&gt;J1472,2*E1472-D1472-J1472,"n.a."),IF(AND(J1472&gt;0,J1472&lt;K1472),D1472-J1472,"n.a.")))</x:f>
        <x:v>n.a.</x:v>
      </x:c>
      <x:c r="P1472" s="19" t="str">
        <x:f>IF(AND(B1472="Butterfly",J1472&gt;0,J1472&lt;K1472),L1472/J1472,"n.a.")</x:f>
        <x:v>n.a.</x:v>
      </x:c>
      <x:c r="Q1472" s="11" t="n">
        <x:f>J1472*'Model inputs'!$B$8</x:f>
        <x:v>-2983</x:v>
      </x:c>
      <x:c r="R1472" s="1" t="str">
        <x:v>Indicative only</x:v>
      </x:c>
      <x:c r="S1472" s="1" t="n">
        <x:v>674</x:v>
      </x:c>
      <x:c r="T1472" s="1" t="n">
        <x:v>655</x:v>
      </x:c>
    </x:row>
    <x:row r="1473" ht="21" customHeight="1">
      <x:c r="A1473" s="12" t="n">
        <x:v>46259</x:v>
      </x:c>
      <x:c r="B1473" s="1" t="str">
        <x:v>1x2 ratio</x:v>
      </x:c>
      <x:c r="C1473" s="1" t="str">
        <x:v>call</x:v>
      </x:c>
      <x:c r="D1473" s="11" t="n">
        <x:v>8000</x:v>
      </x:c>
      <x:c r="E1473" s="11" t="n">
        <x:v>8300</x:v>
      </x:c>
      <x:c r="F1473" s="11"/>
      <x:c r="G1473" s="11" t="n">
        <x:f>'Option source'!B356</x:f>
        <x:v>217.29</x:v>
      </x:c>
      <x:c r="H1473" s="11" t="n">
        <x:f>'Option source'!B375</x:f>
        <x:v>152.23</x:v>
      </x:c>
      <x:c r="I1473" s="11"/>
      <x:c r="J1473" s="11" t="n">
        <x:f>G1473-2*H1473+IF(B1473="Butterfly",I1473,0)</x:f>
        <x:v>-87.16999999999999</x:v>
      </x:c>
      <x:c r="K1473" s="11" t="n">
        <x:f>ABS(E1473-D1473)</x:f>
        <x:v>300</x:v>
      </x:c>
      <x:c r="L1473" s="11" t="n">
        <x:f>K1473-J1473</x:f>
        <x:v>387.16999999999996</x:v>
      </x:c>
      <x:c r="M1473" s="11" t="str">
        <x:f>IF(B1473="Butterfly",MAX(J1473,0),IF(C1473="call","Unlimited",MAX(2*E1473-D1473+J1473,J1473,0)))</x:f>
        <x:v>Unlimited</x:v>
      </x:c>
      <x:c r="N1473" s="11" t="str">
        <x:f>IF(B1473="Butterfly",IF(AND(J1473&gt;0,J1473&lt;K1473),D1473+J1473,"n.a."),IF(C1473="call",IF(AND(J1473&gt;0,J1473&lt;K1473),D1473+J1473,"n.a."),IF(AND(K1473&gt;J1473,2*E1473-D1473+J1473&gt;=0),2*E1473-D1473+J1473,"n.a.")))</x:f>
        <x:v>n.a.</x:v>
      </x:c>
      <x:c r="O1473" s="11" t="n">
        <x:f>IF(B1473="Butterfly",IF(AND(J1473&gt;0,J1473&lt;K1473),F1473-J1473,"n.a."),IF(C1473="call",IF(K1473&gt;J1473,2*E1473-D1473-J1473,"n.a."),IF(AND(J1473&gt;0,J1473&lt;K1473),D1473-J1473,"n.a.")))</x:f>
        <x:v>8687.17</x:v>
      </x:c>
      <x:c r="P1473" s="19" t="str">
        <x:f>IF(AND(B1473="Butterfly",J1473&gt;0,J1473&lt;K1473),L1473/J1473,"n.a.")</x:f>
        <x:v>n.a.</x:v>
      </x:c>
      <x:c r="Q1473" s="11" t="n">
        <x:f>J1473*'Model inputs'!$B$8</x:f>
        <x:v>-8716.999999999998</x:v>
      </x:c>
      <x:c r="R1473" s="1" t="str">
        <x:v>Indicative only</x:v>
      </x:c>
      <x:c r="S1473" s="1" t="n">
        <x:v>351</x:v>
      </x:c>
      <x:c r="T1473" s="1" t="n">
        <x:v>370</x:v>
      </x:c>
    </x:row>
    <x:row r="1474" ht="21" customHeight="1">
      <x:c r="A1474" s="12" t="n">
        <x:v>46259</x:v>
      </x:c>
      <x:c r="B1474" s="1" t="str">
        <x:v>1x2 ratio</x:v>
      </x:c>
      <x:c r="C1474" s="1" t="str">
        <x:v>put</x:v>
      </x:c>
      <x:c r="D1474" s="11" t="n">
        <x:v>6000</x:v>
      </x:c>
      <x:c r="E1474" s="11" t="n">
        <x:v>5800</x:v>
      </x:c>
      <x:c r="F1474" s="11"/>
      <x:c r="G1474" s="11" t="n">
        <x:f>'Option source'!B660</x:f>
        <x:v>60.32</x:v>
      </x:c>
      <x:c r="H1474" s="11" t="n">
        <x:f>'Option source'!B641</x:f>
        <x:v>38.97</x:v>
      </x:c>
      <x:c r="I1474" s="11"/>
      <x:c r="J1474" s="11" t="n">
        <x:f>G1474-2*H1474+IF(B1474="Butterfly",I1474,0)</x:f>
        <x:v>-17.619999999999997</x:v>
      </x:c>
      <x:c r="K1474" s="11" t="n">
        <x:f>ABS(E1474-D1474)</x:f>
        <x:v>200</x:v>
      </x:c>
      <x:c r="L1474" s="11" t="n">
        <x:f>K1474-J1474</x:f>
        <x:v>217.62</x:v>
      </x:c>
      <x:c r="M1474" s="11" t="n">
        <x:f>IF(B1474="Butterfly",MAX(J1474,0),IF(C1474="call","Unlimited",MAX(2*E1474-D1474+J1474,J1474,0)))</x:f>
        <x:v>5582.38</x:v>
      </x:c>
      <x:c r="N1474" s="11" t="n">
        <x:f>IF(B1474="Butterfly",IF(AND(J1474&gt;0,J1474&lt;K1474),D1474+J1474,"n.a."),IF(C1474="call",IF(AND(J1474&gt;0,J1474&lt;K1474),D1474+J1474,"n.a."),IF(AND(K1474&gt;J1474,2*E1474-D1474+J1474&gt;=0),2*E1474-D1474+J1474,"n.a.")))</x:f>
        <x:v>5582.38</x:v>
      </x:c>
      <x:c r="O1474" s="11" t="str">
        <x:f>IF(B1474="Butterfly",IF(AND(J1474&gt;0,J1474&lt;K1474),F1474-J1474,"n.a."),IF(C1474="call",IF(K1474&gt;J1474,2*E1474-D1474-J1474,"n.a."),IF(AND(J1474&gt;0,J1474&lt;K1474),D1474-J1474,"n.a.")))</x:f>
        <x:v>n.a.</x:v>
      </x:c>
      <x:c r="P1474" s="19" t="str">
        <x:f>IF(AND(B1474="Butterfly",J1474&gt;0,J1474&lt;K1474),L1474/J1474,"n.a.")</x:f>
        <x:v>n.a.</x:v>
      </x:c>
      <x:c r="Q1474" s="11" t="n">
        <x:f>J1474*'Model inputs'!$B$8</x:f>
        <x:v>-1761.9999999999998</x:v>
      </x:c>
      <x:c r="R1474" s="1" t="str">
        <x:v>Indicative only</x:v>
      </x:c>
      <x:c r="S1474" s="1" t="n">
        <x:v>655</x:v>
      </x:c>
      <x:c r="T1474" s="1" t="n">
        <x:v>636</x:v>
      </x:c>
    </x:row>
    <x:row r="1475" ht="21" customHeight="1">
      <x:c r="A1475" s="12" t="n">
        <x:v>46259</x:v>
      </x:c>
      <x:c r="B1475" s="1" t="str">
        <x:v>1x2 ratio</x:v>
      </x:c>
      <x:c r="C1475" s="1" t="str">
        <x:v>put</x:v>
      </x:c>
      <x:c r="D1475" s="11" t="n">
        <x:v>5800</x:v>
      </x:c>
      <x:c r="E1475" s="11" t="n">
        <x:v>5600</x:v>
      </x:c>
      <x:c r="F1475" s="11"/>
      <x:c r="G1475" s="11" t="n">
        <x:f>'Option source'!B641</x:f>
        <x:v>38.97</x:v>
      </x:c>
      <x:c r="H1475" s="11" t="n">
        <x:f>'Option source'!B622</x:f>
        <x:v>24.16</x:v>
      </x:c>
      <x:c r="I1475" s="11"/>
      <x:c r="J1475" s="11" t="n">
        <x:f>G1475-2*H1475+IF(B1475="Butterfly",I1475,0)</x:f>
        <x:v>-9.350000000000001</x:v>
      </x:c>
      <x:c r="K1475" s="11" t="n">
        <x:f>ABS(E1475-D1475)</x:f>
        <x:v>200</x:v>
      </x:c>
      <x:c r="L1475" s="11" t="n">
        <x:f>K1475-J1475</x:f>
        <x:v>209.35</x:v>
      </x:c>
      <x:c r="M1475" s="11" t="n">
        <x:f>IF(B1475="Butterfly",MAX(J1475,0),IF(C1475="call","Unlimited",MAX(2*E1475-D1475+J1475,J1475,0)))</x:f>
        <x:v>5390.65</x:v>
      </x:c>
      <x:c r="N1475" s="11" t="n">
        <x:f>IF(B1475="Butterfly",IF(AND(J1475&gt;0,J1475&lt;K1475),D1475+J1475,"n.a."),IF(C1475="call",IF(AND(J1475&gt;0,J1475&lt;K1475),D1475+J1475,"n.a."),IF(AND(K1475&gt;J1475,2*E1475-D1475+J1475&gt;=0),2*E1475-D1475+J1475,"n.a.")))</x:f>
        <x:v>5390.65</x:v>
      </x:c>
      <x:c r="O1475" s="11" t="str">
        <x:f>IF(B1475="Butterfly",IF(AND(J1475&gt;0,J1475&lt;K1475),F1475-J1475,"n.a."),IF(C1475="call",IF(K1475&gt;J1475,2*E1475-D1475-J1475,"n.a."),IF(AND(J1475&gt;0,J1475&lt;K1475),D1475-J1475,"n.a.")))</x:f>
        <x:v>n.a.</x:v>
      </x:c>
      <x:c r="P1475" s="19" t="str">
        <x:f>IF(AND(B1475="Butterfly",J1475&gt;0,J1475&lt;K1475),L1475/J1475,"n.a.")</x:f>
        <x:v>n.a.</x:v>
      </x:c>
      <x:c r="Q1475" s="11" t="n">
        <x:f>J1475*'Model inputs'!$B$8</x:f>
        <x:v>-935.0000000000001</x:v>
      </x:c>
      <x:c r="R1475" s="1" t="str">
        <x:v>Indicative only</x:v>
      </x:c>
      <x:c r="S1475" s="1" t="n">
        <x:v>636</x:v>
      </x:c>
      <x:c r="T1475" s="1" t="n">
        <x:v>617</x:v>
      </x:c>
    </x:row>
    <x:row r="1476" ht="21" customHeight="1">
      <x:c r="A1476" s="12" t="n">
        <x:v>46259</x:v>
      </x:c>
      <x:c r="B1476" s="1" t="str">
        <x:v>1x2 ratio</x:v>
      </x:c>
      <x:c r="C1476" s="1" t="str">
        <x:v>call</x:v>
      </x:c>
      <x:c r="D1476" s="11" t="n">
        <x:v>8300</x:v>
      </x:c>
      <x:c r="E1476" s="11" t="n">
        <x:v>8600</x:v>
      </x:c>
      <x:c r="F1476" s="11"/>
      <x:c r="G1476" s="11" t="n">
        <x:f>'Option source'!B375</x:f>
        <x:v>152.23</x:v>
      </x:c>
      <x:c r="H1476" s="11" t="n">
        <x:f>'Option source'!B394</x:f>
        <x:v>104.86</x:v>
      </x:c>
      <x:c r="I1476" s="11"/>
      <x:c r="J1476" s="11" t="n">
        <x:f>G1476-2*H1476+IF(B1476="Butterfly",I1476,0)</x:f>
        <x:v>-57.49000000000001</x:v>
      </x:c>
      <x:c r="K1476" s="11" t="n">
        <x:f>ABS(E1476-D1476)</x:f>
        <x:v>300</x:v>
      </x:c>
      <x:c r="L1476" s="11" t="n">
        <x:f>K1476-J1476</x:f>
        <x:v>357.49</x:v>
      </x:c>
      <x:c r="M1476" s="11" t="str">
        <x:f>IF(B1476="Butterfly",MAX(J1476,0),IF(C1476="call","Unlimited",MAX(2*E1476-D1476+J1476,J1476,0)))</x:f>
        <x:v>Unlimited</x:v>
      </x:c>
      <x:c r="N1476" s="11" t="str">
        <x:f>IF(B1476="Butterfly",IF(AND(J1476&gt;0,J1476&lt;K1476),D1476+J1476,"n.a."),IF(C1476="call",IF(AND(J1476&gt;0,J1476&lt;K1476),D1476+J1476,"n.a."),IF(AND(K1476&gt;J1476,2*E1476-D1476+J1476&gt;=0),2*E1476-D1476+J1476,"n.a.")))</x:f>
        <x:v>n.a.</x:v>
      </x:c>
      <x:c r="O1476" s="11" t="n">
        <x:f>IF(B1476="Butterfly",IF(AND(J1476&gt;0,J1476&lt;K1476),F1476-J1476,"n.a."),IF(C1476="call",IF(K1476&gt;J1476,2*E1476-D1476-J1476,"n.a."),IF(AND(J1476&gt;0,J1476&lt;K1476),D1476-J1476,"n.a.")))</x:f>
        <x:v>8957.49</x:v>
      </x:c>
      <x:c r="P1476" s="19" t="str">
        <x:f>IF(AND(B1476="Butterfly",J1476&gt;0,J1476&lt;K1476),L1476/J1476,"n.a.")</x:f>
        <x:v>n.a.</x:v>
      </x:c>
      <x:c r="Q1476" s="11" t="n">
        <x:f>J1476*'Model inputs'!$B$8</x:f>
        <x:v>-5749.000000000001</x:v>
      </x:c>
      <x:c r="R1476" s="1" t="str">
        <x:v>Indicative only</x:v>
      </x:c>
      <x:c r="S1476" s="1" t="n">
        <x:v>370</x:v>
      </x:c>
      <x:c r="T1476" s="1" t="n">
        <x:v>389</x:v>
      </x:c>
    </x:row>
    <x:row r="1477" ht="21" customHeight="1">
      <x:c r="A1477" s="12" t="n">
        <x:v>46259</x:v>
      </x:c>
      <x:c r="B1477" s="1" t="str">
        <x:v>1x2 ratio</x:v>
      </x:c>
      <x:c r="C1477" s="1" t="str">
        <x:v>put</x:v>
      </x:c>
      <x:c r="D1477" s="11" t="n">
        <x:v>5600</x:v>
      </x:c>
      <x:c r="E1477" s="11" t="n">
        <x:v>5400</x:v>
      </x:c>
      <x:c r="F1477" s="11"/>
      <x:c r="G1477" s="11" t="n">
        <x:f>'Option source'!B622</x:f>
        <x:v>24.16</x:v>
      </x:c>
      <x:c r="H1477" s="11" t="n">
        <x:f>'Option source'!B603</x:f>
        <x:v>15.88</x:v>
      </x:c>
      <x:c r="I1477" s="11"/>
      <x:c r="J1477" s="11" t="n">
        <x:f>G1477-2*H1477+IF(B1477="Butterfly",I1477,0)</x:f>
        <x:v>-7.600000000000001</x:v>
      </x:c>
      <x:c r="K1477" s="11" t="n">
        <x:f>ABS(E1477-D1477)</x:f>
        <x:v>200</x:v>
      </x:c>
      <x:c r="L1477" s="11" t="n">
        <x:f>K1477-J1477</x:f>
        <x:v>207.6</x:v>
      </x:c>
      <x:c r="M1477" s="11" t="n">
        <x:f>IF(B1477="Butterfly",MAX(J1477,0),IF(C1477="call","Unlimited",MAX(2*E1477-D1477+J1477,J1477,0)))</x:f>
        <x:v>5192.4</x:v>
      </x:c>
      <x:c r="N1477" s="11" t="n">
        <x:f>IF(B1477="Butterfly",IF(AND(J1477&gt;0,J1477&lt;K1477),D1477+J1477,"n.a."),IF(C1477="call",IF(AND(J1477&gt;0,J1477&lt;K1477),D1477+J1477,"n.a."),IF(AND(K1477&gt;J1477,2*E1477-D1477+J1477&gt;=0),2*E1477-D1477+J1477,"n.a.")))</x:f>
        <x:v>5192.4</x:v>
      </x:c>
      <x:c r="O1477" s="11" t="str">
        <x:f>IF(B1477="Butterfly",IF(AND(J1477&gt;0,J1477&lt;K1477),F1477-J1477,"n.a."),IF(C1477="call",IF(K1477&gt;J1477,2*E1477-D1477-J1477,"n.a."),IF(AND(J1477&gt;0,J1477&lt;K1477),D1477-J1477,"n.a.")))</x:f>
        <x:v>n.a.</x:v>
      </x:c>
      <x:c r="P1477" s="19" t="str">
        <x:f>IF(AND(B1477="Butterfly",J1477&gt;0,J1477&lt;K1477),L1477/J1477,"n.a.")</x:f>
        <x:v>n.a.</x:v>
      </x:c>
      <x:c r="Q1477" s="11" t="n">
        <x:f>J1477*'Model inputs'!$B$8</x:f>
        <x:v>-760.0000000000001</x:v>
      </x:c>
      <x:c r="R1477" s="1" t="str">
        <x:v>Indicative only</x:v>
      </x:c>
      <x:c r="S1477" s="1" t="n">
        <x:v>617</x:v>
      </x:c>
      <x:c r="T1477" s="1" t="n">
        <x:v>598</x:v>
      </x:c>
    </x:row>
    <x:row r="1478" ht="21" customHeight="1">
      <x:c r="A1478" s="12" t="n">
        <x:v>46259</x:v>
      </x:c>
      <x:c r="B1478" s="1" t="str">
        <x:v>1x2 ratio</x:v>
      </x:c>
      <x:c r="C1478" s="1" t="str">
        <x:v>call</x:v>
      </x:c>
      <x:c r="D1478" s="11" t="n">
        <x:v>8600</x:v>
      </x:c>
      <x:c r="E1478" s="11" t="n">
        <x:v>8900</x:v>
      </x:c>
      <x:c r="F1478" s="11"/>
      <x:c r="G1478" s="11" t="n">
        <x:f>'Option source'!B394</x:f>
        <x:v>104.86</x:v>
      </x:c>
      <x:c r="H1478" s="11" t="n">
        <x:f>'Option source'!B413</x:f>
        <x:v>65.33</x:v>
      </x:c>
      <x:c r="I1478" s="11"/>
      <x:c r="J1478" s="11" t="n">
        <x:f>G1478-2*H1478+IF(B1478="Butterfly",I1478,0)</x:f>
        <x:v>-25.799999999999997</x:v>
      </x:c>
      <x:c r="K1478" s="11" t="n">
        <x:f>ABS(E1478-D1478)</x:f>
        <x:v>300</x:v>
      </x:c>
      <x:c r="L1478" s="11" t="n">
        <x:f>K1478-J1478</x:f>
        <x:v>325.8</x:v>
      </x:c>
      <x:c r="M1478" s="11" t="str">
        <x:f>IF(B1478="Butterfly",MAX(J1478,0),IF(C1478="call","Unlimited",MAX(2*E1478-D1478+J1478,J1478,0)))</x:f>
        <x:v>Unlimited</x:v>
      </x:c>
      <x:c r="N1478" s="11" t="str">
        <x:f>IF(B1478="Butterfly",IF(AND(J1478&gt;0,J1478&lt;K1478),D1478+J1478,"n.a."),IF(C1478="call",IF(AND(J1478&gt;0,J1478&lt;K1478),D1478+J1478,"n.a."),IF(AND(K1478&gt;J1478,2*E1478-D1478+J1478&gt;=0),2*E1478-D1478+J1478,"n.a.")))</x:f>
        <x:v>n.a.</x:v>
      </x:c>
      <x:c r="O1478" s="11" t="n">
        <x:f>IF(B1478="Butterfly",IF(AND(J1478&gt;0,J1478&lt;K1478),F1478-J1478,"n.a."),IF(C1478="call",IF(K1478&gt;J1478,2*E1478-D1478-J1478,"n.a."),IF(AND(J1478&gt;0,J1478&lt;K1478),D1478-J1478,"n.a.")))</x:f>
        <x:v>9225.8</x:v>
      </x:c>
      <x:c r="P1478" s="19" t="str">
        <x:f>IF(AND(B1478="Butterfly",J1478&gt;0,J1478&lt;K1478),L1478/J1478,"n.a.")</x:f>
        <x:v>n.a.</x:v>
      </x:c>
      <x:c r="Q1478" s="11" t="n">
        <x:f>J1478*'Model inputs'!$B$8</x:f>
        <x:v>-2579.9999999999995</x:v>
      </x:c>
      <x:c r="R1478" s="1" t="str">
        <x:v>Indicative only</x:v>
      </x:c>
      <x:c r="S1478" s="1" t="n">
        <x:v>389</x:v>
      </x:c>
      <x:c r="T1478" s="1" t="n">
        <x:v>408</x:v>
      </x:c>
    </x:row>
    <x:row r="1479" ht="21" customHeight="1">
      <x:c r="A1479" s="12" t="n">
        <x:v>46259</x:v>
      </x:c>
      <x:c r="B1479" s="1" t="str">
        <x:v>1x2 ratio</x:v>
      </x:c>
      <x:c r="C1479" s="1" t="str">
        <x:v>put</x:v>
      </x:c>
      <x:c r="D1479" s="11" t="n">
        <x:v>5400</x:v>
      </x:c>
      <x:c r="E1479" s="11" t="n">
        <x:v>5200</x:v>
      </x:c>
      <x:c r="F1479" s="11"/>
      <x:c r="G1479" s="11" t="n">
        <x:f>'Option source'!B603</x:f>
        <x:v>15.88</x:v>
      </x:c>
      <x:c r="H1479" s="11" t="n">
        <x:f>'Option source'!B584</x:f>
        <x:v>10.52</x:v>
      </x:c>
      <x:c r="I1479" s="11"/>
      <x:c r="J1479" s="11" t="n">
        <x:f>G1479-2*H1479+IF(B1479="Butterfly",I1479,0)</x:f>
        <x:v>-5.159999999999998</x:v>
      </x:c>
      <x:c r="K1479" s="11" t="n">
        <x:f>ABS(E1479-D1479)</x:f>
        <x:v>200</x:v>
      </x:c>
      <x:c r="L1479" s="11" t="n">
        <x:f>K1479-J1479</x:f>
        <x:v>205.16</x:v>
      </x:c>
      <x:c r="M1479" s="11" t="n">
        <x:f>IF(B1479="Butterfly",MAX(J1479,0),IF(C1479="call","Unlimited",MAX(2*E1479-D1479+J1479,J1479,0)))</x:f>
        <x:v>4994.84</x:v>
      </x:c>
      <x:c r="N1479" s="11" t="n">
        <x:f>IF(B1479="Butterfly",IF(AND(J1479&gt;0,J1479&lt;K1479),D1479+J1479,"n.a."),IF(C1479="call",IF(AND(J1479&gt;0,J1479&lt;K1479),D1479+J1479,"n.a."),IF(AND(K1479&gt;J1479,2*E1479-D1479+J1479&gt;=0),2*E1479-D1479+J1479,"n.a.")))</x:f>
        <x:v>4994.84</x:v>
      </x:c>
      <x:c r="O1479" s="11" t="str">
        <x:f>IF(B1479="Butterfly",IF(AND(J1479&gt;0,J1479&lt;K1479),F1479-J1479,"n.a."),IF(C1479="call",IF(K1479&gt;J1479,2*E1479-D1479-J1479,"n.a."),IF(AND(J1479&gt;0,J1479&lt;K1479),D1479-J1479,"n.a.")))</x:f>
        <x:v>n.a.</x:v>
      </x:c>
      <x:c r="P1479" s="19" t="str">
        <x:f>IF(AND(B1479="Butterfly",J1479&gt;0,J1479&lt;K1479),L1479/J1479,"n.a.")</x:f>
        <x:v>n.a.</x:v>
      </x:c>
      <x:c r="Q1479" s="11" t="n">
        <x:f>J1479*'Model inputs'!$B$8</x:f>
        <x:v>-515.9999999999999</x:v>
      </x:c>
      <x:c r="R1479" s="1" t="str">
        <x:v>Indicative only</x:v>
      </x:c>
      <x:c r="S1479" s="1" t="n">
        <x:v>598</x:v>
      </x:c>
      <x:c r="T1479" s="1" t="n">
        <x:v>579</x:v>
      </x:c>
    </x:row>
    <x:row r="1480" ht="21" customHeight="1">
      <x:c r="A1480" s="12" t="n">
        <x:v>46259</x:v>
      </x:c>
      <x:c r="B1480" s="1" t="str">
        <x:v>1x2 ratio</x:v>
      </x:c>
      <x:c r="C1480" s="1" t="str">
        <x:v>put</x:v>
      </x:c>
      <x:c r="D1480" s="11" t="n">
        <x:v>5200</x:v>
      </x:c>
      <x:c r="E1480" s="11" t="n">
        <x:v>5000</x:v>
      </x:c>
      <x:c r="F1480" s="11"/>
      <x:c r="G1480" s="11" t="n">
        <x:f>'Option source'!B584</x:f>
        <x:v>10.52</x:v>
      </x:c>
      <x:c r="H1480" s="11" t="n">
        <x:f>'Option source'!B565</x:f>
        <x:v>7.17</x:v>
      </x:c>
      <x:c r="I1480" s="11"/>
      <x:c r="J1480" s="11" t="n">
        <x:f>G1480-2*H1480+IF(B1480="Butterfly",I1480,0)</x:f>
        <x:v>-3.8200000000000003</x:v>
      </x:c>
      <x:c r="K1480" s="11" t="n">
        <x:f>ABS(E1480-D1480)</x:f>
        <x:v>200</x:v>
      </x:c>
      <x:c r="L1480" s="11" t="n">
        <x:f>K1480-J1480</x:f>
        <x:v>203.82</x:v>
      </x:c>
      <x:c r="M1480" s="11" t="n">
        <x:f>IF(B1480="Butterfly",MAX(J1480,0),IF(C1480="call","Unlimited",MAX(2*E1480-D1480+J1480,J1480,0)))</x:f>
        <x:v>4796.18</x:v>
      </x:c>
      <x:c r="N1480" s="11" t="n">
        <x:f>IF(B1480="Butterfly",IF(AND(J1480&gt;0,J1480&lt;K1480),D1480+J1480,"n.a."),IF(C1480="call",IF(AND(J1480&gt;0,J1480&lt;K1480),D1480+J1480,"n.a."),IF(AND(K1480&gt;J1480,2*E1480-D1480+J1480&gt;=0),2*E1480-D1480+J1480,"n.a.")))</x:f>
        <x:v>4796.18</x:v>
      </x:c>
      <x:c r="O1480" s="11" t="str">
        <x:f>IF(B1480="Butterfly",IF(AND(J1480&gt;0,J1480&lt;K1480),F1480-J1480,"n.a."),IF(C1480="call",IF(K1480&gt;J1480,2*E1480-D1480-J1480,"n.a."),IF(AND(J1480&gt;0,J1480&lt;K1480),D1480-J1480,"n.a.")))</x:f>
        <x:v>n.a.</x:v>
      </x:c>
      <x:c r="P1480" s="19" t="str">
        <x:f>IF(AND(B1480="Butterfly",J1480&gt;0,J1480&lt;K1480),L1480/J1480,"n.a.")</x:f>
        <x:v>n.a.</x:v>
      </x:c>
      <x:c r="Q1480" s="11" t="n">
        <x:f>J1480*'Model inputs'!$B$8</x:f>
        <x:v>-382</x:v>
      </x:c>
      <x:c r="R1480" s="1" t="str">
        <x:v>Indicative only</x:v>
      </x:c>
      <x:c r="S1480" s="1" t="n">
        <x:v>579</x:v>
      </x:c>
      <x:c r="T1480" s="1" t="n">
        <x:v>560</x:v>
      </x:c>
    </x:row>
    <x:row r="1481" ht="21" customHeight="1">
      <x:c r="A1481" s="12" t="n">
        <x:v>46259</x:v>
      </x:c>
      <x:c r="B1481" s="1" t="str">
        <x:v>1x2 ratio</x:v>
      </x:c>
      <x:c r="C1481" s="1" t="str">
        <x:v>call</x:v>
      </x:c>
      <x:c r="D1481" s="11" t="n">
        <x:v>8900</x:v>
      </x:c>
      <x:c r="E1481" s="11" t="n">
        <x:v>9200</x:v>
      </x:c>
      <x:c r="F1481" s="11"/>
      <x:c r="G1481" s="11" t="n">
        <x:f>'Option source'!B413</x:f>
        <x:v>65.33</x:v>
      </x:c>
      <x:c r="H1481" s="11" t="n">
        <x:f>'Option source'!B432</x:f>
        <x:v>45.53</x:v>
      </x:c>
      <x:c r="I1481" s="11"/>
      <x:c r="J1481" s="11" t="n">
        <x:f>G1481-2*H1481+IF(B1481="Butterfly",I1481,0)</x:f>
        <x:v>-25.730000000000004</x:v>
      </x:c>
      <x:c r="K1481" s="11" t="n">
        <x:f>ABS(E1481-D1481)</x:f>
        <x:v>300</x:v>
      </x:c>
      <x:c r="L1481" s="11" t="n">
        <x:f>K1481-J1481</x:f>
        <x:v>325.73</x:v>
      </x:c>
      <x:c r="M1481" s="11" t="str">
        <x:f>IF(B1481="Butterfly",MAX(J1481,0),IF(C1481="call","Unlimited",MAX(2*E1481-D1481+J1481,J1481,0)))</x:f>
        <x:v>Unlimited</x:v>
      </x:c>
      <x:c r="N1481" s="11" t="str">
        <x:f>IF(B1481="Butterfly",IF(AND(J1481&gt;0,J1481&lt;K1481),D1481+J1481,"n.a."),IF(C1481="call",IF(AND(J1481&gt;0,J1481&lt;K1481),D1481+J1481,"n.a."),IF(AND(K1481&gt;J1481,2*E1481-D1481+J1481&gt;=0),2*E1481-D1481+J1481,"n.a.")))</x:f>
        <x:v>n.a.</x:v>
      </x:c>
      <x:c r="O1481" s="11" t="n">
        <x:f>IF(B1481="Butterfly",IF(AND(J1481&gt;0,J1481&lt;K1481),F1481-J1481,"n.a."),IF(C1481="call",IF(K1481&gt;J1481,2*E1481-D1481-J1481,"n.a."),IF(AND(J1481&gt;0,J1481&lt;K1481),D1481-J1481,"n.a.")))</x:f>
        <x:v>9525.73</x:v>
      </x:c>
      <x:c r="P1481" s="19" t="str">
        <x:f>IF(AND(B1481="Butterfly",J1481&gt;0,J1481&lt;K1481),L1481/J1481,"n.a.")</x:f>
        <x:v>n.a.</x:v>
      </x:c>
      <x:c r="Q1481" s="11" t="n">
        <x:f>J1481*'Model inputs'!$B$8</x:f>
        <x:v>-2573.0000000000005</x:v>
      </x:c>
      <x:c r="R1481" s="1" t="str">
        <x:v>Indicative only</x:v>
      </x:c>
      <x:c r="S1481" s="1" t="n">
        <x:v>408</x:v>
      </x:c>
      <x:c r="T1481" s="1" t="n">
        <x:v>427</x:v>
      </x:c>
    </x:row>
    <x:row r="1482" ht="21" customHeight="1">
      <x:c r="A1482" s="12" t="n">
        <x:v>46259</x:v>
      </x:c>
      <x:c r="B1482" s="1" t="str">
        <x:v>1x2 ratio</x:v>
      </x:c>
      <x:c r="C1482" s="1" t="str">
        <x:v>put</x:v>
      </x:c>
      <x:c r="D1482" s="11" t="n">
        <x:v>5000</x:v>
      </x:c>
      <x:c r="E1482" s="11" t="n">
        <x:v>4800</x:v>
      </x:c>
      <x:c r="F1482" s="11"/>
      <x:c r="G1482" s="11" t="n">
        <x:f>'Option source'!B565</x:f>
        <x:v>7.17</x:v>
      </x:c>
      <x:c r="H1482" s="11" t="n">
        <x:f>'Option source'!B546</x:f>
        <x:v>4.7</x:v>
      </x:c>
      <x:c r="I1482" s="11"/>
      <x:c r="J1482" s="11" t="n">
        <x:f>G1482-2*H1482+IF(B1482="Butterfly",I1482,0)</x:f>
        <x:v>-2.2300000000000004</x:v>
      </x:c>
      <x:c r="K1482" s="11" t="n">
        <x:f>ABS(E1482-D1482)</x:f>
        <x:v>200</x:v>
      </x:c>
      <x:c r="L1482" s="11" t="n">
        <x:f>K1482-J1482</x:f>
        <x:v>202.23</x:v>
      </x:c>
      <x:c r="M1482" s="11" t="n">
        <x:f>IF(B1482="Butterfly",MAX(J1482,0),IF(C1482="call","Unlimited",MAX(2*E1482-D1482+J1482,J1482,0)))</x:f>
        <x:v>4597.77</x:v>
      </x:c>
      <x:c r="N1482" s="11" t="n">
        <x:f>IF(B1482="Butterfly",IF(AND(J1482&gt;0,J1482&lt;K1482),D1482+J1482,"n.a."),IF(C1482="call",IF(AND(J1482&gt;0,J1482&lt;K1482),D1482+J1482,"n.a."),IF(AND(K1482&gt;J1482,2*E1482-D1482+J1482&gt;=0),2*E1482-D1482+J1482,"n.a.")))</x:f>
        <x:v>4597.77</x:v>
      </x:c>
      <x:c r="O1482" s="11" t="str">
        <x:f>IF(B1482="Butterfly",IF(AND(J1482&gt;0,J1482&lt;K1482),F1482-J1482,"n.a."),IF(C1482="call",IF(K1482&gt;J1482,2*E1482-D1482-J1482,"n.a."),IF(AND(J1482&gt;0,J1482&lt;K1482),D1482-J1482,"n.a.")))</x:f>
        <x:v>n.a.</x:v>
      </x:c>
      <x:c r="P1482" s="19" t="str">
        <x:f>IF(AND(B1482="Butterfly",J1482&gt;0,J1482&lt;K1482),L1482/J1482,"n.a.")</x:f>
        <x:v>n.a.</x:v>
      </x:c>
      <x:c r="Q1482" s="11" t="n">
        <x:f>J1482*'Model inputs'!$B$8</x:f>
        <x:v>-223.00000000000006</x:v>
      </x:c>
      <x:c r="R1482" s="1" t="str">
        <x:v>Indicative only</x:v>
      </x:c>
      <x:c r="S1482" s="1" t="n">
        <x:v>560</x:v>
      </x:c>
      <x:c r="T1482" s="1" t="n">
        <x:v>541</x:v>
      </x:c>
    </x:row>
    <x:row r="1483" ht="21" customHeight="1">
      <x:c r="A1483" s="12" t="n">
        <x:v>46259</x:v>
      </x:c>
      <x:c r="B1483" s="1" t="str">
        <x:v>1x2 ratio</x:v>
      </x:c>
      <x:c r="C1483" s="1" t="str">
        <x:v>call</x:v>
      </x:c>
      <x:c r="D1483" s="11" t="n">
        <x:v>9200</x:v>
      </x:c>
      <x:c r="E1483" s="11" t="n">
        <x:v>9500</x:v>
      </x:c>
      <x:c r="F1483" s="11"/>
      <x:c r="G1483" s="11" t="n">
        <x:f>'Option source'!B432</x:f>
        <x:v>45.53</x:v>
      </x:c>
      <x:c r="H1483" s="11" t="n">
        <x:f>'Option source'!B451</x:f>
        <x:v>28.95</x:v>
      </x:c>
      <x:c r="I1483" s="11"/>
      <x:c r="J1483" s="11" t="n">
        <x:f>G1483-2*H1483+IF(B1483="Butterfly",I1483,0)</x:f>
        <x:v>-12.369999999999997</x:v>
      </x:c>
      <x:c r="K1483" s="11" t="n">
        <x:f>ABS(E1483-D1483)</x:f>
        <x:v>300</x:v>
      </x:c>
      <x:c r="L1483" s="11" t="n">
        <x:f>K1483-J1483</x:f>
        <x:v>312.37</x:v>
      </x:c>
      <x:c r="M1483" s="11" t="str">
        <x:f>IF(B1483="Butterfly",MAX(J1483,0),IF(C1483="call","Unlimited",MAX(2*E1483-D1483+J1483,J1483,0)))</x:f>
        <x:v>Unlimited</x:v>
      </x:c>
      <x:c r="N1483" s="11" t="str">
        <x:f>IF(B1483="Butterfly",IF(AND(J1483&gt;0,J1483&lt;K1483),D1483+J1483,"n.a."),IF(C1483="call",IF(AND(J1483&gt;0,J1483&lt;K1483),D1483+J1483,"n.a."),IF(AND(K1483&gt;J1483,2*E1483-D1483+J1483&gt;=0),2*E1483-D1483+J1483,"n.a.")))</x:f>
        <x:v>n.a.</x:v>
      </x:c>
      <x:c r="O1483" s="11" t="n">
        <x:f>IF(B1483="Butterfly",IF(AND(J1483&gt;0,J1483&lt;K1483),F1483-J1483,"n.a."),IF(C1483="call",IF(K1483&gt;J1483,2*E1483-D1483-J1483,"n.a."),IF(AND(J1483&gt;0,J1483&lt;K1483),D1483-J1483,"n.a.")))</x:f>
        <x:v>9812.37</x:v>
      </x:c>
      <x:c r="P1483" s="19" t="str">
        <x:f>IF(AND(B1483="Butterfly",J1483&gt;0,J1483&lt;K1483),L1483/J1483,"n.a.")</x:f>
        <x:v>n.a.</x:v>
      </x:c>
      <x:c r="Q1483" s="11" t="n">
        <x:f>J1483*'Model inputs'!$B$8</x:f>
        <x:v>-1236.9999999999998</x:v>
      </x:c>
      <x:c r="R1483" s="1" t="str">
        <x:v>Indicative only</x:v>
      </x:c>
      <x:c r="S1483" s="1" t="n">
        <x:v>427</x:v>
      </x:c>
      <x:c r="T1483" s="1" t="n">
        <x:v>446</x:v>
      </x:c>
    </x:row>
    <x:row r="1484" ht="21" customHeight="1">
      <x:c r="A1484" s="12" t="n">
        <x:v>46259</x:v>
      </x:c>
      <x:c r="B1484" s="1" t="str">
        <x:v>1x2 ratio</x:v>
      </x:c>
      <x:c r="C1484" s="1" t="str">
        <x:v>put</x:v>
      </x:c>
      <x:c r="D1484" s="11" t="n">
        <x:v>4800</x:v>
      </x:c>
      <x:c r="E1484" s="11" t="n">
        <x:v>4600</x:v>
      </x:c>
      <x:c r="F1484" s="11"/>
      <x:c r="G1484" s="11" t="n">
        <x:f>'Option source'!B546</x:f>
        <x:v>4.7</x:v>
      </x:c>
      <x:c r="H1484" s="11" t="n">
        <x:f>'Option source'!B527</x:f>
        <x:v>3.47</x:v>
      </x:c>
      <x:c r="I1484" s="11"/>
      <x:c r="J1484" s="11" t="n">
        <x:f>G1484-2*H1484+IF(B1484="Butterfly",I1484,0)</x:f>
        <x:v>-2.24</x:v>
      </x:c>
      <x:c r="K1484" s="11" t="n">
        <x:f>ABS(E1484-D1484)</x:f>
        <x:v>200</x:v>
      </x:c>
      <x:c r="L1484" s="11" t="n">
        <x:f>K1484-J1484</x:f>
        <x:v>202.24</x:v>
      </x:c>
      <x:c r="M1484" s="11" t="n">
        <x:f>IF(B1484="Butterfly",MAX(J1484,0),IF(C1484="call","Unlimited",MAX(2*E1484-D1484+J1484,J1484,0)))</x:f>
        <x:v>4397.76</x:v>
      </x:c>
      <x:c r="N1484" s="11" t="n">
        <x:f>IF(B1484="Butterfly",IF(AND(J1484&gt;0,J1484&lt;K1484),D1484+J1484,"n.a."),IF(C1484="call",IF(AND(J1484&gt;0,J1484&lt;K1484),D1484+J1484,"n.a."),IF(AND(K1484&gt;J1484,2*E1484-D1484+J1484&gt;=0),2*E1484-D1484+J1484,"n.a.")))</x:f>
        <x:v>4397.76</x:v>
      </x:c>
      <x:c r="O1484" s="11" t="str">
        <x:f>IF(B1484="Butterfly",IF(AND(J1484&gt;0,J1484&lt;K1484),F1484-J1484,"n.a."),IF(C1484="call",IF(K1484&gt;J1484,2*E1484-D1484-J1484,"n.a."),IF(AND(J1484&gt;0,J1484&lt;K1484),D1484-J1484,"n.a.")))</x:f>
        <x:v>n.a.</x:v>
      </x:c>
      <x:c r="P1484" s="19" t="str">
        <x:f>IF(AND(B1484="Butterfly",J1484&gt;0,J1484&lt;K1484),L1484/J1484,"n.a.")</x:f>
        <x:v>n.a.</x:v>
      </x:c>
      <x:c r="Q1484" s="11" t="n">
        <x:f>J1484*'Model inputs'!$B$8</x:f>
        <x:v>-224.00000000000003</x:v>
      </x:c>
      <x:c r="R1484" s="1" t="str">
        <x:v>Indicative only</x:v>
      </x:c>
      <x:c r="S1484" s="1" t="n">
        <x:v>541</x:v>
      </x:c>
      <x:c r="T1484" s="1" t="n">
        <x:v>522</x:v>
      </x:c>
    </x:row>
    <x:row r="1485" ht="21" customHeight="1">
      <x:c r="A1485" s="12" t="n">
        <x:v>46259</x:v>
      </x:c>
      <x:c r="B1485" s="1" t="str">
        <x:v>1x2 ratio</x:v>
      </x:c>
      <x:c r="C1485" s="1" t="str">
        <x:v>put</x:v>
      </x:c>
      <x:c r="D1485" s="11" t="n">
        <x:v>4600</x:v>
      </x:c>
      <x:c r="E1485" s="11" t="n">
        <x:v>4400</x:v>
      </x:c>
      <x:c r="F1485" s="11"/>
      <x:c r="G1485" s="11" t="n">
        <x:f>'Option source'!B527</x:f>
        <x:v>3.47</x:v>
      </x:c>
      <x:c r="H1485" s="11" t="n">
        <x:f>'Option source'!B508</x:f>
        <x:v>3.02</x:v>
      </x:c>
      <x:c r="I1485" s="11"/>
      <x:c r="J1485" s="11" t="n">
        <x:f>G1485-2*H1485+IF(B1485="Butterfly",I1485,0)</x:f>
        <x:v>-2.57</x:v>
      </x:c>
      <x:c r="K1485" s="11" t="n">
        <x:f>ABS(E1485-D1485)</x:f>
        <x:v>200</x:v>
      </x:c>
      <x:c r="L1485" s="11" t="n">
        <x:f>K1485-J1485</x:f>
        <x:v>202.57</x:v>
      </x:c>
      <x:c r="M1485" s="11" t="n">
        <x:f>IF(B1485="Butterfly",MAX(J1485,0),IF(C1485="call","Unlimited",MAX(2*E1485-D1485+J1485,J1485,0)))</x:f>
        <x:v>4197.43</x:v>
      </x:c>
      <x:c r="N1485" s="11" t="n">
        <x:f>IF(B1485="Butterfly",IF(AND(J1485&gt;0,J1485&lt;K1485),D1485+J1485,"n.a."),IF(C1485="call",IF(AND(J1485&gt;0,J1485&lt;K1485),D1485+J1485,"n.a."),IF(AND(K1485&gt;J1485,2*E1485-D1485+J1485&gt;=0),2*E1485-D1485+J1485,"n.a.")))</x:f>
        <x:v>4197.43</x:v>
      </x:c>
      <x:c r="O1485" s="11" t="str">
        <x:f>IF(B1485="Butterfly",IF(AND(J1485&gt;0,J1485&lt;K1485),F1485-J1485,"n.a."),IF(C1485="call",IF(K1485&gt;J1485,2*E1485-D1485-J1485,"n.a."),IF(AND(J1485&gt;0,J1485&lt;K1485),D1485-J1485,"n.a.")))</x:f>
        <x:v>n.a.</x:v>
      </x:c>
      <x:c r="P1485" s="19" t="str">
        <x:f>IF(AND(B1485="Butterfly",J1485&gt;0,J1485&lt;K1485),L1485/J1485,"n.a.")</x:f>
        <x:v>n.a.</x:v>
      </x:c>
      <x:c r="Q1485" s="11" t="n">
        <x:f>J1485*'Model inputs'!$B$8</x:f>
        <x:v>-257</x:v>
      </x:c>
      <x:c r="R1485" s="1" t="str">
        <x:v>Indicative only</x:v>
      </x:c>
      <x:c r="S1485" s="1" t="n">
        <x:v>522</x:v>
      </x:c>
      <x:c r="T1485" s="1" t="n">
        <x:v>503</x:v>
      </x:c>
    </x:row>
    <x:row r="1486" ht="21" customHeight="1">
      <x:c r="A1486" s="12" t="n">
        <x:v>46259</x:v>
      </x:c>
      <x:c r="B1486" s="1" t="str">
        <x:v>1x2 ratio</x:v>
      </x:c>
      <x:c r="C1486" s="1" t="str">
        <x:v>call</x:v>
      </x:c>
      <x:c r="D1486" s="11" t="n">
        <x:v>9500</x:v>
      </x:c>
      <x:c r="E1486" s="11" t="n">
        <x:v>9900</x:v>
      </x:c>
      <x:c r="F1486" s="11"/>
      <x:c r="G1486" s="11" t="n">
        <x:f>'Option source'!B451</x:f>
        <x:v>28.95</x:v>
      </x:c>
      <x:c r="H1486" s="11" t="n">
        <x:f>'Option source'!B470</x:f>
        <x:v>17.28</x:v>
      </x:c>
      <x:c r="I1486" s="11"/>
      <x:c r="J1486" s="11" t="n">
        <x:f>G1486-2*H1486+IF(B1486="Butterfly",I1486,0)</x:f>
        <x:v>-5.610000000000003</x:v>
      </x:c>
      <x:c r="K1486" s="11" t="n">
        <x:f>ABS(E1486-D1486)</x:f>
        <x:v>400</x:v>
      </x:c>
      <x:c r="L1486" s="11" t="n">
        <x:f>K1486-J1486</x:f>
        <x:v>405.61</x:v>
      </x:c>
      <x:c r="M1486" s="11" t="str">
        <x:f>IF(B1486="Butterfly",MAX(J1486,0),IF(C1486="call","Unlimited",MAX(2*E1486-D1486+J1486,J1486,0)))</x:f>
        <x:v>Unlimited</x:v>
      </x:c>
      <x:c r="N1486" s="11" t="str">
        <x:f>IF(B1486="Butterfly",IF(AND(J1486&gt;0,J1486&lt;K1486),D1486+J1486,"n.a."),IF(C1486="call",IF(AND(J1486&gt;0,J1486&lt;K1486),D1486+J1486,"n.a."),IF(AND(K1486&gt;J1486,2*E1486-D1486+J1486&gt;=0),2*E1486-D1486+J1486,"n.a.")))</x:f>
        <x:v>n.a.</x:v>
      </x:c>
      <x:c r="O1486" s="11" t="n">
        <x:f>IF(B1486="Butterfly",IF(AND(J1486&gt;0,J1486&lt;K1486),F1486-J1486,"n.a."),IF(C1486="call",IF(K1486&gt;J1486,2*E1486-D1486-J1486,"n.a."),IF(AND(J1486&gt;0,J1486&lt;K1486),D1486-J1486,"n.a.")))</x:f>
        <x:v>10305.61</x:v>
      </x:c>
      <x:c r="P1486" s="19" t="str">
        <x:f>IF(AND(B1486="Butterfly",J1486&gt;0,J1486&lt;K1486),L1486/J1486,"n.a.")</x:f>
        <x:v>n.a.</x:v>
      </x:c>
      <x:c r="Q1486" s="11" t="n">
        <x:f>J1486*'Model inputs'!$B$8</x:f>
        <x:v>-561.0000000000003</x:v>
      </x:c>
      <x:c r="R1486" s="1" t="str">
        <x:v>Indicative only</x:v>
      </x:c>
      <x:c r="S1486" s="1" t="n">
        <x:v>446</x:v>
      </x:c>
      <x:c r="T1486" s="1" t="n">
        <x:v>465</x:v>
      </x:c>
    </x:row>
    <x:row r="1487" ht="21" customHeight="1">
      <x:c r="A1487" s="12" t="n">
        <x:v>46259</x:v>
      </x:c>
      <x:c r="B1487" s="1" t="str">
        <x:v>1x2 ratio</x:v>
      </x:c>
      <x:c r="C1487" s="1" t="str">
        <x:v>put</x:v>
      </x:c>
      <x:c r="D1487" s="11" t="n">
        <x:v>4400</x:v>
      </x:c>
      <x:c r="E1487" s="11" t="n">
        <x:v>4200</x:v>
      </x:c>
      <x:c r="F1487" s="11"/>
      <x:c r="G1487" s="11" t="n">
        <x:f>'Option source'!B508</x:f>
        <x:v>3.02</x:v>
      </x:c>
      <x:c r="H1487" s="11" t="n">
        <x:f>'Option source'!B489</x:f>
        <x:v>2.46</x:v>
      </x:c>
      <x:c r="I1487" s="11"/>
      <x:c r="J1487" s="11" t="n">
        <x:f>G1487-2*H1487+IF(B1487="Butterfly",I1487,0)</x:f>
        <x:v>-1.9</x:v>
      </x:c>
      <x:c r="K1487" s="11" t="n">
        <x:f>ABS(E1487-D1487)</x:f>
        <x:v>200</x:v>
      </x:c>
      <x:c r="L1487" s="11" t="n">
        <x:f>K1487-J1487</x:f>
        <x:v>201.9</x:v>
      </x:c>
      <x:c r="M1487" s="11" t="n">
        <x:f>IF(B1487="Butterfly",MAX(J1487,0),IF(C1487="call","Unlimited",MAX(2*E1487-D1487+J1487,J1487,0)))</x:f>
        <x:v>3998.1</x:v>
      </x:c>
      <x:c r="N1487" s="11" t="n">
        <x:f>IF(B1487="Butterfly",IF(AND(J1487&gt;0,J1487&lt;K1487),D1487+J1487,"n.a."),IF(C1487="call",IF(AND(J1487&gt;0,J1487&lt;K1487),D1487+J1487,"n.a."),IF(AND(K1487&gt;J1487,2*E1487-D1487+J1487&gt;=0),2*E1487-D1487+J1487,"n.a.")))</x:f>
        <x:v>3998.1</x:v>
      </x:c>
      <x:c r="O1487" s="11" t="str">
        <x:f>IF(B1487="Butterfly",IF(AND(J1487&gt;0,J1487&lt;K1487),F1487-J1487,"n.a."),IF(C1487="call",IF(K1487&gt;J1487,2*E1487-D1487-J1487,"n.a."),IF(AND(J1487&gt;0,J1487&lt;K1487),D1487-J1487,"n.a.")))</x:f>
        <x:v>n.a.</x:v>
      </x:c>
      <x:c r="P1487" s="19" t="str">
        <x:f>IF(AND(B1487="Butterfly",J1487&gt;0,J1487&lt;K1487),L1487/J1487,"n.a.")</x:f>
        <x:v>n.a.</x:v>
      </x:c>
      <x:c r="Q1487" s="11" t="n">
        <x:f>J1487*'Model inputs'!$B$8</x:f>
        <x:v>-190</x:v>
      </x:c>
      <x:c r="R1487" s="1" t="str">
        <x:v>Indicative only</x:v>
      </x:c>
      <x:c r="S1487" s="1" t="n">
        <x:v>503</x:v>
      </x:c>
      <x:c r="T1487" s="1" t="n">
        <x:v>484</x:v>
      </x:c>
    </x:row>
    <x:row r="1488" ht="21" customHeight="1">
      <x:c r="A1488" s="12" t="n">
        <x:v>46259</x:v>
      </x:c>
      <x:c r="B1488" s="1" t="str">
        <x:v>1x2 ratio</x:v>
      </x:c>
      <x:c r="C1488" s="1" t="str">
        <x:v>put</x:v>
      </x:c>
      <x:c r="D1488" s="11" t="n">
        <x:v>7800</x:v>
      </x:c>
      <x:c r="E1488" s="11" t="n">
        <x:v>7600</x:v>
      </x:c>
      <x:c r="F1488" s="11"/>
      <x:c r="G1488" s="11" t="n">
        <x:f>'Option source'!B831</x:f>
        <x:v>771</x:v>
      </x:c>
      <x:c r="H1488" s="11" t="n">
        <x:f>'Option source'!B812</x:f>
        <x:v>660</x:v>
      </x:c>
      <x:c r="I1488" s="11"/>
      <x:c r="J1488" s="11" t="n">
        <x:f>G1488-2*H1488+IF(B1488="Butterfly",I1488,0)</x:f>
        <x:v>-549</x:v>
      </x:c>
      <x:c r="K1488" s="11" t="n">
        <x:f>ABS(E1488-D1488)</x:f>
        <x:v>200</x:v>
      </x:c>
      <x:c r="L1488" s="11" t="n">
        <x:f>K1488-J1488</x:f>
        <x:v>749</x:v>
      </x:c>
      <x:c r="M1488" s="11" t="n">
        <x:f>IF(B1488="Butterfly",MAX(J1488,0),IF(C1488="call","Unlimited",MAX(2*E1488-D1488+J1488,J1488,0)))</x:f>
        <x:v>6851</x:v>
      </x:c>
      <x:c r="N1488" s="11" t="n">
        <x:f>IF(B1488="Butterfly",IF(AND(J1488&gt;0,J1488&lt;K1488),D1488+J1488,"n.a."),IF(C1488="call",IF(AND(J1488&gt;0,J1488&lt;K1488),D1488+J1488,"n.a."),IF(AND(K1488&gt;J1488,2*E1488-D1488+J1488&gt;=0),2*E1488-D1488+J1488,"n.a.")))</x:f>
        <x:v>6851</x:v>
      </x:c>
      <x:c r="O1488" s="11" t="str">
        <x:f>IF(B1488="Butterfly",IF(AND(J1488&gt;0,J1488&lt;K1488),F1488-J1488,"n.a."),IF(C1488="call",IF(K1488&gt;J1488,2*E1488-D1488-J1488,"n.a."),IF(AND(J1488&gt;0,J1488&lt;K1488),D1488-J1488,"n.a.")))</x:f>
        <x:v>n.a.</x:v>
      </x:c>
      <x:c r="P1488" s="19" t="str">
        <x:f>IF(AND(B1488="Butterfly",J1488&gt;0,J1488&lt;K1488),L1488/J1488,"n.a.")</x:f>
        <x:v>n.a.</x:v>
      </x:c>
      <x:c r="Q1488" s="11" t="n">
        <x:f>J1488*'Model inputs'!$B$8</x:f>
        <x:v>-54900</x:v>
      </x:c>
      <x:c r="R1488" s="1" t="str">
        <x:v>Flagged leg data</x:v>
      </x:c>
      <x:c r="S1488" s="1" t="n">
        <x:v>826</x:v>
      </x:c>
      <x:c r="T1488" s="1" t="n">
        <x:v>807</x:v>
      </x:c>
    </x:row>
    <x:row r="1489" ht="21" customHeight="1">
      <x:c r="A1489" s="12" t="n">
        <x:v>46259</x:v>
      </x:c>
      <x:c r="B1489" s="1" t="str">
        <x:v>1x2 ratio</x:v>
      </x:c>
      <x:c r="C1489" s="1" t="str">
        <x:v>call</x:v>
      </x:c>
      <x:c r="D1489" s="11" t="n">
        <x:v>6200</x:v>
      </x:c>
      <x:c r="E1489" s="11" t="n">
        <x:v>6400</x:v>
      </x:c>
      <x:c r="F1489" s="11"/>
      <x:c r="G1489" s="11" t="n">
        <x:f>'Option source'!B185</x:f>
        <x:v>1000</x:v>
      </x:c>
      <x:c r="H1489" s="11" t="n">
        <x:f>'Option source'!B204</x:f>
        <x:v>982.67</x:v>
      </x:c>
      <x:c r="I1489" s="11"/>
      <x:c r="J1489" s="11" t="n">
        <x:f>G1489-2*H1489+IF(B1489="Butterfly",I1489,0)</x:f>
        <x:v>-965.3399999999999</x:v>
      </x:c>
      <x:c r="K1489" s="11" t="n">
        <x:f>ABS(E1489-D1489)</x:f>
        <x:v>200</x:v>
      </x:c>
      <x:c r="L1489" s="11" t="n">
        <x:f>K1489-J1489</x:f>
        <x:v>1165.34</x:v>
      </x:c>
      <x:c r="M1489" s="11" t="str">
        <x:f>IF(B1489="Butterfly",MAX(J1489,0),IF(C1489="call","Unlimited",MAX(2*E1489-D1489+J1489,J1489,0)))</x:f>
        <x:v>Unlimited</x:v>
      </x:c>
      <x:c r="N1489" s="11" t="str">
        <x:f>IF(B1489="Butterfly",IF(AND(J1489&gt;0,J1489&lt;K1489),D1489+J1489,"n.a."),IF(C1489="call",IF(AND(J1489&gt;0,J1489&lt;K1489),D1489+J1489,"n.a."),IF(AND(K1489&gt;J1489,2*E1489-D1489+J1489&gt;=0),2*E1489-D1489+J1489,"n.a.")))</x:f>
        <x:v>n.a.</x:v>
      </x:c>
      <x:c r="O1489" s="11" t="n">
        <x:f>IF(B1489="Butterfly",IF(AND(J1489&gt;0,J1489&lt;K1489),F1489-J1489,"n.a."),IF(C1489="call",IF(K1489&gt;J1489,2*E1489-D1489-J1489,"n.a."),IF(AND(J1489&gt;0,J1489&lt;K1489),D1489-J1489,"n.a.")))</x:f>
        <x:v>7565.34</x:v>
      </x:c>
      <x:c r="P1489" s="19" t="str">
        <x:f>IF(AND(B1489="Butterfly",J1489&gt;0,J1489&lt;K1489),L1489/J1489,"n.a.")</x:f>
        <x:v>n.a.</x:v>
      </x:c>
      <x:c r="Q1489" s="11" t="n">
        <x:f>J1489*'Model inputs'!$B$8</x:f>
        <x:v>-96533.99999999999</x:v>
      </x:c>
      <x:c r="R1489" s="1" t="str">
        <x:v>Flagged leg data</x:v>
      </x:c>
      <x:c r="S1489" s="1" t="n">
        <x:v>180</x:v>
      </x:c>
      <x:c r="T1489" s="1" t="n">
        <x:v>199</x:v>
      </x:c>
    </x:row>
    <x:row r="1490" ht="21" customHeight="1">
      <x:c r="A1490" s="12" t="n">
        <x:v>46259</x:v>
      </x:c>
      <x:c r="B1490" s="1" t="str">
        <x:v>1x2 ratio</x:v>
      </x:c>
      <x:c r="C1490" s="1" t="str">
        <x:v>put</x:v>
      </x:c>
      <x:c r="D1490" s="11" t="n">
        <x:v>8000</x:v>
      </x:c>
      <x:c r="E1490" s="11" t="n">
        <x:v>7800</x:v>
      </x:c>
      <x:c r="F1490" s="11"/>
      <x:c r="G1490" s="11" t="n">
        <x:f>'Option source'!B850</x:f>
        <x:v>1024</x:v>
      </x:c>
      <x:c r="H1490" s="11" t="n">
        <x:f>'Option source'!B831</x:f>
        <x:v>771</x:v>
      </x:c>
      <x:c r="I1490" s="11"/>
      <x:c r="J1490" s="11" t="n">
        <x:f>G1490-2*H1490+IF(B1490="Butterfly",I1490,0)</x:f>
        <x:v>-518</x:v>
      </x:c>
      <x:c r="K1490" s="11" t="n">
        <x:f>ABS(E1490-D1490)</x:f>
        <x:v>200</x:v>
      </x:c>
      <x:c r="L1490" s="11" t="n">
        <x:f>K1490-J1490</x:f>
        <x:v>718</x:v>
      </x:c>
      <x:c r="M1490" s="11" t="n">
        <x:f>IF(B1490="Butterfly",MAX(J1490,0),IF(C1490="call","Unlimited",MAX(2*E1490-D1490+J1490,J1490,0)))</x:f>
        <x:v>7082</x:v>
      </x:c>
      <x:c r="N1490" s="11" t="n">
        <x:f>IF(B1490="Butterfly",IF(AND(J1490&gt;0,J1490&lt;K1490),D1490+J1490,"n.a."),IF(C1490="call",IF(AND(J1490&gt;0,J1490&lt;K1490),D1490+J1490,"n.a."),IF(AND(K1490&gt;J1490,2*E1490-D1490+J1490&gt;=0),2*E1490-D1490+J1490,"n.a.")))</x:f>
        <x:v>7082</x:v>
      </x:c>
      <x:c r="O1490" s="11" t="str">
        <x:f>IF(B1490="Butterfly",IF(AND(J1490&gt;0,J1490&lt;K1490),F1490-J1490,"n.a."),IF(C1490="call",IF(K1490&gt;J1490,2*E1490-D1490-J1490,"n.a."),IF(AND(J1490&gt;0,J1490&lt;K1490),D1490-J1490,"n.a.")))</x:f>
        <x:v>n.a.</x:v>
      </x:c>
      <x:c r="P1490" s="19" t="str">
        <x:f>IF(AND(B1490="Butterfly",J1490&gt;0,J1490&lt;K1490),L1490/J1490,"n.a.")</x:f>
        <x:v>n.a.</x:v>
      </x:c>
      <x:c r="Q1490" s="11" t="n">
        <x:f>J1490*'Model inputs'!$B$8</x:f>
        <x:v>-51800</x:v>
      </x:c>
      <x:c r="R1490" s="1" t="str">
        <x:v>Flagged leg data</x:v>
      </x:c>
      <x:c r="S1490" s="1" t="n">
        <x:v>845</x:v>
      </x:c>
      <x:c r="T1490" s="1" t="n">
        <x:v>826</x:v>
      </x:c>
    </x:row>
    <x:row r="1491" ht="21" customHeight="1">
      <x:c r="A1491" s="12" t="n">
        <x:v>46259</x:v>
      </x:c>
      <x:c r="B1491" s="1" t="str">
        <x:v>1x2 ratio</x:v>
      </x:c>
      <x:c r="C1491" s="1" t="str">
        <x:v>call</x:v>
      </x:c>
      <x:c r="D1491" s="11" t="n">
        <x:v>6000</x:v>
      </x:c>
      <x:c r="E1491" s="11" t="n">
        <x:v>6200</x:v>
      </x:c>
      <x:c r="F1491" s="11"/>
      <x:c r="G1491" s="11" t="n">
        <x:f>'Option source'!B166</x:f>
        <x:v>1200</x:v>
      </x:c>
      <x:c r="H1491" s="11" t="n">
        <x:f>'Option source'!B185</x:f>
        <x:v>1000</x:v>
      </x:c>
      <x:c r="I1491" s="11"/>
      <x:c r="J1491" s="11" t="n">
        <x:f>G1491-2*H1491+IF(B1491="Butterfly",I1491,0)</x:f>
        <x:v>-800</x:v>
      </x:c>
      <x:c r="K1491" s="11" t="n">
        <x:f>ABS(E1491-D1491)</x:f>
        <x:v>200</x:v>
      </x:c>
      <x:c r="L1491" s="11" t="n">
        <x:f>K1491-J1491</x:f>
        <x:v>1000</x:v>
      </x:c>
      <x:c r="M1491" s="11" t="str">
        <x:f>IF(B1491="Butterfly",MAX(J1491,0),IF(C1491="call","Unlimited",MAX(2*E1491-D1491+J1491,J1491,0)))</x:f>
        <x:v>Unlimited</x:v>
      </x:c>
      <x:c r="N1491" s="11" t="str">
        <x:f>IF(B1491="Butterfly",IF(AND(J1491&gt;0,J1491&lt;K1491),D1491+J1491,"n.a."),IF(C1491="call",IF(AND(J1491&gt;0,J1491&lt;K1491),D1491+J1491,"n.a."),IF(AND(K1491&gt;J1491,2*E1491-D1491+J1491&gt;=0),2*E1491-D1491+J1491,"n.a.")))</x:f>
        <x:v>n.a.</x:v>
      </x:c>
      <x:c r="O1491" s="11" t="n">
        <x:f>IF(B1491="Butterfly",IF(AND(J1491&gt;0,J1491&lt;K1491),F1491-J1491,"n.a."),IF(C1491="call",IF(K1491&gt;J1491,2*E1491-D1491-J1491,"n.a."),IF(AND(J1491&gt;0,J1491&lt;K1491),D1491-J1491,"n.a.")))</x:f>
        <x:v>7200</x:v>
      </x:c>
      <x:c r="P1491" s="19" t="str">
        <x:f>IF(AND(B1491="Butterfly",J1491&gt;0,J1491&lt;K1491),L1491/J1491,"n.a.")</x:f>
        <x:v>n.a.</x:v>
      </x:c>
      <x:c r="Q1491" s="11" t="n">
        <x:f>J1491*'Model inputs'!$B$8</x:f>
        <x:v>-80000</x:v>
      </x:c>
      <x:c r="R1491" s="1" t="str">
        <x:v>Flagged leg data</x:v>
      </x:c>
      <x:c r="S1491" s="1" t="n">
        <x:v>161</x:v>
      </x:c>
      <x:c r="T1491" s="1" t="n">
        <x:v>180</x:v>
      </x:c>
    </x:row>
    <x:row r="1492" ht="21" customHeight="1">
      <x:c r="A1492" s="12" t="n">
        <x:v>46259</x:v>
      </x:c>
      <x:c r="B1492" s="1" t="str">
        <x:v>1x2 ratio</x:v>
      </x:c>
      <x:c r="C1492" s="1" t="str">
        <x:v>put</x:v>
      </x:c>
      <x:c r="D1492" s="11" t="n">
        <x:v>8300</x:v>
      </x:c>
      <x:c r="E1492" s="11" t="n">
        <x:v>8000</x:v>
      </x:c>
      <x:c r="F1492" s="11"/>
      <x:c r="G1492" s="11" t="n">
        <x:f>'Option source'!B869</x:f>
        <x:v>1176.84</x:v>
      </x:c>
      <x:c r="H1492" s="11" t="n">
        <x:f>'Option source'!B850</x:f>
        <x:v>1024</x:v>
      </x:c>
      <x:c r="I1492" s="11"/>
      <x:c r="J1492" s="11" t="n">
        <x:f>G1492-2*H1492+IF(B1492="Butterfly",I1492,0)</x:f>
        <x:v>-871.1600000000001</x:v>
      </x:c>
      <x:c r="K1492" s="11" t="n">
        <x:f>ABS(E1492-D1492)</x:f>
        <x:v>300</x:v>
      </x:c>
      <x:c r="L1492" s="11" t="n">
        <x:f>K1492-J1492</x:f>
        <x:v>1171.16</x:v>
      </x:c>
      <x:c r="M1492" s="11" t="n">
        <x:f>IF(B1492="Butterfly",MAX(J1492,0),IF(C1492="call","Unlimited",MAX(2*E1492-D1492+J1492,J1492,0)))</x:f>
        <x:v>6828.84</x:v>
      </x:c>
      <x:c r="N1492" s="11" t="n">
        <x:f>IF(B1492="Butterfly",IF(AND(J1492&gt;0,J1492&lt;K1492),D1492+J1492,"n.a."),IF(C1492="call",IF(AND(J1492&gt;0,J1492&lt;K1492),D1492+J1492,"n.a."),IF(AND(K1492&gt;J1492,2*E1492-D1492+J1492&gt;=0),2*E1492-D1492+J1492,"n.a.")))</x:f>
        <x:v>6828.84</x:v>
      </x:c>
      <x:c r="O1492" s="11" t="str">
        <x:f>IF(B1492="Butterfly",IF(AND(J1492&gt;0,J1492&lt;K1492),F1492-J1492,"n.a."),IF(C1492="call",IF(K1492&gt;J1492,2*E1492-D1492-J1492,"n.a."),IF(AND(J1492&gt;0,J1492&lt;K1492),D1492-J1492,"n.a.")))</x:f>
        <x:v>n.a.</x:v>
      </x:c>
      <x:c r="P1492" s="19" t="str">
        <x:f>IF(AND(B1492="Butterfly",J1492&gt;0,J1492&lt;K1492),L1492/J1492,"n.a.")</x:f>
        <x:v>n.a.</x:v>
      </x:c>
      <x:c r="Q1492" s="11" t="n">
        <x:f>J1492*'Model inputs'!$B$8</x:f>
        <x:v>-87116.00000000001</x:v>
      </x:c>
      <x:c r="R1492" s="1" t="str">
        <x:v>Flagged leg data</x:v>
      </x:c>
      <x:c r="S1492" s="1" t="n">
        <x:v>864</x:v>
      </x:c>
      <x:c r="T1492" s="1" t="n">
        <x:v>845</x:v>
      </x:c>
    </x:row>
    <x:row r="1493" ht="21" customHeight="1">
      <x:c r="A1493" s="12" t="n">
        <x:v>46259</x:v>
      </x:c>
      <x:c r="B1493" s="1" t="str">
        <x:v>1x2 ratio</x:v>
      </x:c>
      <x:c r="C1493" s="1" t="str">
        <x:v>call</x:v>
      </x:c>
      <x:c r="D1493" s="11" t="n">
        <x:v>5600</x:v>
      </x:c>
      <x:c r="E1493" s="11" t="n">
        <x:v>6000</x:v>
      </x:c>
      <x:c r="F1493" s="11"/>
      <x:c r="G1493" s="11" t="n">
        <x:f>'Option source'!B137</x:f>
        <x:v>1550.9</x:v>
      </x:c>
      <x:c r="H1493" s="11" t="n">
        <x:f>'Option source'!B166</x:f>
        <x:v>1200</x:v>
      </x:c>
      <x:c r="I1493" s="11"/>
      <x:c r="J1493" s="11" t="n">
        <x:f>G1493-2*H1493+IF(B1493="Butterfly",I1493,0)</x:f>
        <x:v>-849.0999999999999</x:v>
      </x:c>
      <x:c r="K1493" s="11" t="n">
        <x:f>ABS(E1493-D1493)</x:f>
        <x:v>400</x:v>
      </x:c>
      <x:c r="L1493" s="11" t="n">
        <x:f>K1493-J1493</x:f>
        <x:v>1249.1</x:v>
      </x:c>
      <x:c r="M1493" s="11" t="str">
        <x:f>IF(B1493="Butterfly",MAX(J1493,0),IF(C1493="call","Unlimited",MAX(2*E1493-D1493+J1493,J1493,0)))</x:f>
        <x:v>Unlimited</x:v>
      </x:c>
      <x:c r="N1493" s="11" t="str">
        <x:f>IF(B1493="Butterfly",IF(AND(J1493&gt;0,J1493&lt;K1493),D1493+J1493,"n.a."),IF(C1493="call",IF(AND(J1493&gt;0,J1493&lt;K1493),D1493+J1493,"n.a."),IF(AND(K1493&gt;J1493,2*E1493-D1493+J1493&gt;=0),2*E1493-D1493+J1493,"n.a.")))</x:f>
        <x:v>n.a.</x:v>
      </x:c>
      <x:c r="O1493" s="11" t="n">
        <x:f>IF(B1493="Butterfly",IF(AND(J1493&gt;0,J1493&lt;K1493),F1493-J1493,"n.a."),IF(C1493="call",IF(K1493&gt;J1493,2*E1493-D1493-J1493,"n.a."),IF(AND(J1493&gt;0,J1493&lt;K1493),D1493-J1493,"n.a.")))</x:f>
        <x:v>7249.1</x:v>
      </x:c>
      <x:c r="P1493" s="19" t="str">
        <x:f>IF(AND(B1493="Butterfly",J1493&gt;0,J1493&lt;K1493),L1493/J1493,"n.a.")</x:f>
        <x:v>n.a.</x:v>
      </x:c>
      <x:c r="Q1493" s="11" t="n">
        <x:f>J1493*'Model inputs'!$B$8</x:f>
        <x:v>-84909.99999999999</x:v>
      </x:c>
      <x:c r="R1493" s="1" t="str">
        <x:v>Flagged leg data</x:v>
      </x:c>
      <x:c r="S1493" s="1" t="n">
        <x:v>132</x:v>
      </x:c>
      <x:c r="T1493" s="1" t="n">
        <x:v>161</x:v>
      </x:c>
    </x:row>
    <x:row r="1494" ht="21" customHeight="1">
      <x:c r="A1494" s="12" t="n">
        <x:v>46259</x:v>
      </x:c>
      <x:c r="B1494" s="1" t="str">
        <x:v>1x2 ratio</x:v>
      </x:c>
      <x:c r="C1494" s="1" t="str">
        <x:v>put</x:v>
      </x:c>
      <x:c r="D1494" s="11" t="n">
        <x:v>8600</x:v>
      </x:c>
      <x:c r="E1494" s="11" t="n">
        <x:v>8300</x:v>
      </x:c>
      <x:c r="F1494" s="11"/>
      <x:c r="G1494" s="11" t="n">
        <x:f>'Option source'!B888</x:f>
        <x:v>1460</x:v>
      </x:c>
      <x:c r="H1494" s="11" t="n">
        <x:f>'Option source'!B869</x:f>
        <x:v>1176.84</x:v>
      </x:c>
      <x:c r="I1494" s="11"/>
      <x:c r="J1494" s="11" t="n">
        <x:f>G1494-2*H1494+IF(B1494="Butterfly",I1494,0)</x:f>
        <x:v>-893.6799999999998</x:v>
      </x:c>
      <x:c r="K1494" s="11" t="n">
        <x:f>ABS(E1494-D1494)</x:f>
        <x:v>300</x:v>
      </x:c>
      <x:c r="L1494" s="11" t="n">
        <x:f>K1494-J1494</x:f>
        <x:v>1193.6799999999998</x:v>
      </x:c>
      <x:c r="M1494" s="11" t="n">
        <x:f>IF(B1494="Butterfly",MAX(J1494,0),IF(C1494="call","Unlimited",MAX(2*E1494-D1494+J1494,J1494,0)))</x:f>
        <x:v>7106.32</x:v>
      </x:c>
      <x:c r="N1494" s="11" t="n">
        <x:f>IF(B1494="Butterfly",IF(AND(J1494&gt;0,J1494&lt;K1494),D1494+J1494,"n.a."),IF(C1494="call",IF(AND(J1494&gt;0,J1494&lt;K1494),D1494+J1494,"n.a."),IF(AND(K1494&gt;J1494,2*E1494-D1494+J1494&gt;=0),2*E1494-D1494+J1494,"n.a.")))</x:f>
        <x:v>7106.32</x:v>
      </x:c>
      <x:c r="O1494" s="11" t="str">
        <x:f>IF(B1494="Butterfly",IF(AND(J1494&gt;0,J1494&lt;K1494),F1494-J1494,"n.a."),IF(C1494="call",IF(K1494&gt;J1494,2*E1494-D1494-J1494,"n.a."),IF(AND(J1494&gt;0,J1494&lt;K1494),D1494-J1494,"n.a.")))</x:f>
        <x:v>n.a.</x:v>
      </x:c>
      <x:c r="P1494" s="19" t="str">
        <x:f>IF(AND(B1494="Butterfly",J1494&gt;0,J1494&lt;K1494),L1494/J1494,"n.a.")</x:f>
        <x:v>n.a.</x:v>
      </x:c>
      <x:c r="Q1494" s="11" t="n">
        <x:f>J1494*'Model inputs'!$B$8</x:f>
        <x:v>-89367.99999999999</x:v>
      </x:c>
      <x:c r="R1494" s="1" t="str">
        <x:v>Flagged leg data</x:v>
      </x:c>
      <x:c r="S1494" s="1" t="n">
        <x:v>883</x:v>
      </x:c>
      <x:c r="T1494" s="1" t="n">
        <x:v>864</x:v>
      </x:c>
    </x:row>
    <x:row r="1495" ht="21" customHeight="1">
      <x:c r="A1495" s="12" t="n">
        <x:v>46259</x:v>
      </x:c>
      <x:c r="B1495" s="1" t="str">
        <x:v>1x2 ratio</x:v>
      </x:c>
      <x:c r="C1495" s="1" t="str">
        <x:v>call</x:v>
      </x:c>
      <x:c r="D1495" s="11" t="n">
        <x:v>5400</x:v>
      </x:c>
      <x:c r="E1495" s="11" t="n">
        <x:v>5600</x:v>
      </x:c>
      <x:c r="F1495" s="11"/>
      <x:c r="G1495" s="11" t="n">
        <x:f>'Option source'!B119</x:f>
        <x:v>1752.86</x:v>
      </x:c>
      <x:c r="H1495" s="11" t="n">
        <x:f>'Option source'!B137</x:f>
        <x:v>1550.9</x:v>
      </x:c>
      <x:c r="I1495" s="11"/>
      <x:c r="J1495" s="11" t="n">
        <x:f>G1495-2*H1495+IF(B1495="Butterfly",I1495,0)</x:f>
        <x:v>-1348.9400000000003</x:v>
      </x:c>
      <x:c r="K1495" s="11" t="n">
        <x:f>ABS(E1495-D1495)</x:f>
        <x:v>200</x:v>
      </x:c>
      <x:c r="L1495" s="11" t="n">
        <x:f>K1495-J1495</x:f>
        <x:v>1548.9400000000003</x:v>
      </x:c>
      <x:c r="M1495" s="11" t="str">
        <x:f>IF(B1495="Butterfly",MAX(J1495,0),IF(C1495="call","Unlimited",MAX(2*E1495-D1495+J1495,J1495,0)))</x:f>
        <x:v>Unlimited</x:v>
      </x:c>
      <x:c r="N1495" s="11" t="str">
        <x:f>IF(B1495="Butterfly",IF(AND(J1495&gt;0,J1495&lt;K1495),D1495+J1495,"n.a."),IF(C1495="call",IF(AND(J1495&gt;0,J1495&lt;K1495),D1495+J1495,"n.a."),IF(AND(K1495&gt;J1495,2*E1495-D1495+J1495&gt;=0),2*E1495-D1495+J1495,"n.a.")))</x:f>
        <x:v>n.a.</x:v>
      </x:c>
      <x:c r="O1495" s="11" t="n">
        <x:f>IF(B1495="Butterfly",IF(AND(J1495&gt;0,J1495&lt;K1495),F1495-J1495,"n.a."),IF(C1495="call",IF(K1495&gt;J1495,2*E1495-D1495-J1495,"n.a."),IF(AND(J1495&gt;0,J1495&lt;K1495),D1495-J1495,"n.a.")))</x:f>
        <x:v>7148.9400000000005</x:v>
      </x:c>
      <x:c r="P1495" s="19" t="str">
        <x:f>IF(AND(B1495="Butterfly",J1495&gt;0,J1495&lt;K1495),L1495/J1495,"n.a.")</x:f>
        <x:v>n.a.</x:v>
      </x:c>
      <x:c r="Q1495" s="11" t="n">
        <x:f>J1495*'Model inputs'!$B$8</x:f>
        <x:v>-134894.00000000003</x:v>
      </x:c>
      <x:c r="R1495" s="1" t="str">
        <x:v>Flagged leg data</x:v>
      </x:c>
      <x:c r="S1495" s="1" t="n">
        <x:v>114</x:v>
      </x:c>
      <x:c r="T1495" s="1" t="n">
        <x:v>132</x:v>
      </x:c>
    </x:row>
    <x:row r="1496" ht="21" customHeight="1">
      <x:c r="A1496" s="12" t="n">
        <x:v>46259</x:v>
      </x:c>
      <x:c r="B1496" s="1" t="str">
        <x:v>1x2 ratio</x:v>
      </x:c>
      <x:c r="C1496" s="1" t="str">
        <x:v>call</x:v>
      </x:c>
      <x:c r="D1496" s="11" t="n">
        <x:v>5200</x:v>
      </x:c>
      <x:c r="E1496" s="11" t="n">
        <x:v>5400</x:v>
      </x:c>
      <x:c r="F1496" s="11"/>
      <x:c r="G1496" s="11" t="n">
        <x:f>'Option source'!B100</x:f>
        <x:v>1953.12</x:v>
      </x:c>
      <x:c r="H1496" s="11" t="n">
        <x:f>'Option source'!B119</x:f>
        <x:v>1752.86</x:v>
      </x:c>
      <x:c r="I1496" s="11"/>
      <x:c r="J1496" s="11" t="n">
        <x:f>G1496-2*H1496+IF(B1496="Butterfly",I1496,0)</x:f>
        <x:v>-1552.6</x:v>
      </x:c>
      <x:c r="K1496" s="11" t="n">
        <x:f>ABS(E1496-D1496)</x:f>
        <x:v>200</x:v>
      </x:c>
      <x:c r="L1496" s="11" t="n">
        <x:f>K1496-J1496</x:f>
        <x:v>1752.6</x:v>
      </x:c>
      <x:c r="M1496" s="11" t="str">
        <x:f>IF(B1496="Butterfly",MAX(J1496,0),IF(C1496="call","Unlimited",MAX(2*E1496-D1496+J1496,J1496,0)))</x:f>
        <x:v>Unlimited</x:v>
      </x:c>
      <x:c r="N1496" s="11" t="str">
        <x:f>IF(B1496="Butterfly",IF(AND(J1496&gt;0,J1496&lt;K1496),D1496+J1496,"n.a."),IF(C1496="call",IF(AND(J1496&gt;0,J1496&lt;K1496),D1496+J1496,"n.a."),IF(AND(K1496&gt;J1496,2*E1496-D1496+J1496&gt;=0),2*E1496-D1496+J1496,"n.a.")))</x:f>
        <x:v>n.a.</x:v>
      </x:c>
      <x:c r="O1496" s="11" t="n">
        <x:f>IF(B1496="Butterfly",IF(AND(J1496&gt;0,J1496&lt;K1496),F1496-J1496,"n.a."),IF(C1496="call",IF(K1496&gt;J1496,2*E1496-D1496-J1496,"n.a."),IF(AND(J1496&gt;0,J1496&lt;K1496),D1496-J1496,"n.a.")))</x:f>
        <x:v>7152.6</x:v>
      </x:c>
      <x:c r="P1496" s="19" t="str">
        <x:f>IF(AND(B1496="Butterfly",J1496&gt;0,J1496&lt;K1496),L1496/J1496,"n.a.")</x:f>
        <x:v>n.a.</x:v>
      </x:c>
      <x:c r="Q1496" s="11" t="n">
        <x:f>J1496*'Model inputs'!$B$8</x:f>
        <x:v>-155260</x:v>
      </x:c>
      <x:c r="R1496" s="1" t="str">
        <x:v>Flagged leg data</x:v>
      </x:c>
      <x:c r="S1496" s="1" t="n">
        <x:v>95</x:v>
      </x:c>
      <x:c r="T1496" s="1" t="n">
        <x:v>114</x:v>
      </x:c>
    </x:row>
    <x:row r="1497" ht="21" customHeight="1">
      <x:c r="A1497" s="12" t="n">
        <x:v>46259</x:v>
      </x:c>
      <x:c r="B1497" s="1" t="str">
        <x:v>1x2 ratio</x:v>
      </x:c>
      <x:c r="C1497" s="1" t="str">
        <x:v>call</x:v>
      </x:c>
      <x:c r="D1497" s="11" t="n">
        <x:v>5000</x:v>
      </x:c>
      <x:c r="E1497" s="11" t="n">
        <x:v>5200</x:v>
      </x:c>
      <x:c r="F1497" s="11"/>
      <x:c r="G1497" s="11" t="n">
        <x:f>'Option source'!B81</x:f>
        <x:v>2100</x:v>
      </x:c>
      <x:c r="H1497" s="11" t="n">
        <x:f>'Option source'!B100</x:f>
        <x:v>1953.12</x:v>
      </x:c>
      <x:c r="I1497" s="11"/>
      <x:c r="J1497" s="11" t="n">
        <x:f>G1497-2*H1497+IF(B1497="Butterfly",I1497,0)</x:f>
        <x:v>-1806.2399999999998</x:v>
      </x:c>
      <x:c r="K1497" s="11" t="n">
        <x:f>ABS(E1497-D1497)</x:f>
        <x:v>200</x:v>
      </x:c>
      <x:c r="L1497" s="11" t="n">
        <x:f>K1497-J1497</x:f>
        <x:v>2006.2399999999998</x:v>
      </x:c>
      <x:c r="M1497" s="11" t="str">
        <x:f>IF(B1497="Butterfly",MAX(J1497,0),IF(C1497="call","Unlimited",MAX(2*E1497-D1497+J1497,J1497,0)))</x:f>
        <x:v>Unlimited</x:v>
      </x:c>
      <x:c r="N1497" s="11" t="str">
        <x:f>IF(B1497="Butterfly",IF(AND(J1497&gt;0,J1497&lt;K1497),D1497+J1497,"n.a."),IF(C1497="call",IF(AND(J1497&gt;0,J1497&lt;K1497),D1497+J1497,"n.a."),IF(AND(K1497&gt;J1497,2*E1497-D1497+J1497&gt;=0),2*E1497-D1497+J1497,"n.a.")))</x:f>
        <x:v>n.a.</x:v>
      </x:c>
      <x:c r="O1497" s="11" t="n">
        <x:f>IF(B1497="Butterfly",IF(AND(J1497&gt;0,J1497&lt;K1497),F1497-J1497,"n.a."),IF(C1497="call",IF(K1497&gt;J1497,2*E1497-D1497-J1497,"n.a."),IF(AND(J1497&gt;0,J1497&lt;K1497),D1497-J1497,"n.a.")))</x:f>
        <x:v>7206.24</x:v>
      </x:c>
      <x:c r="P1497" s="19" t="str">
        <x:f>IF(AND(B1497="Butterfly",J1497&gt;0,J1497&lt;K1497),L1497/J1497,"n.a.")</x:f>
        <x:v>n.a.</x:v>
      </x:c>
      <x:c r="Q1497" s="11" t="n">
        <x:f>J1497*'Model inputs'!$B$8</x:f>
        <x:v>-180623.99999999997</x:v>
      </x:c>
      <x:c r="R1497" s="1" t="str">
        <x:v>Flagged leg data</x:v>
      </x:c>
      <x:c r="S1497" s="1" t="n">
        <x:v>76</x:v>
      </x:c>
      <x:c r="T1497" s="1" t="n">
        <x:v>95</x:v>
      </x:c>
    </x:row>
    <x:row r="1498" ht="21" customHeight="1">
      <x:c r="A1498" s="12" t="n">
        <x:v>46259</x:v>
      </x:c>
      <x:c r="B1498" s="1" t="str">
        <x:v>1x2 ratio</x:v>
      </x:c>
      <x:c r="C1498" s="1" t="str">
        <x:v>call</x:v>
      </x:c>
      <x:c r="D1498" s="11" t="n">
        <x:v>4800</x:v>
      </x:c>
      <x:c r="E1498" s="11" t="n">
        <x:v>5000</x:v>
      </x:c>
      <x:c r="F1498" s="11"/>
      <x:c r="G1498" s="11" t="n">
        <x:f>'Option source'!B64</x:f>
        <x:v>2280</x:v>
      </x:c>
      <x:c r="H1498" s="11" t="n">
        <x:f>'Option source'!B81</x:f>
        <x:v>2100</x:v>
      </x:c>
      <x:c r="I1498" s="11"/>
      <x:c r="J1498" s="11" t="n">
        <x:f>G1498-2*H1498+IF(B1498="Butterfly",I1498,0)</x:f>
        <x:v>-1920</x:v>
      </x:c>
      <x:c r="K1498" s="11" t="n">
        <x:f>ABS(E1498-D1498)</x:f>
        <x:v>200</x:v>
      </x:c>
      <x:c r="L1498" s="11" t="n">
        <x:f>K1498-J1498</x:f>
        <x:v>2120</x:v>
      </x:c>
      <x:c r="M1498" s="11" t="str">
        <x:f>IF(B1498="Butterfly",MAX(J1498,0),IF(C1498="call","Unlimited",MAX(2*E1498-D1498+J1498,J1498,0)))</x:f>
        <x:v>Unlimited</x:v>
      </x:c>
      <x:c r="N1498" s="11" t="str">
        <x:f>IF(B1498="Butterfly",IF(AND(J1498&gt;0,J1498&lt;K1498),D1498+J1498,"n.a."),IF(C1498="call",IF(AND(J1498&gt;0,J1498&lt;K1498),D1498+J1498,"n.a."),IF(AND(K1498&gt;J1498,2*E1498-D1498+J1498&gt;=0),2*E1498-D1498+J1498,"n.a.")))</x:f>
        <x:v>n.a.</x:v>
      </x:c>
      <x:c r="O1498" s="11" t="n">
        <x:f>IF(B1498="Butterfly",IF(AND(J1498&gt;0,J1498&lt;K1498),F1498-J1498,"n.a."),IF(C1498="call",IF(K1498&gt;J1498,2*E1498-D1498-J1498,"n.a."),IF(AND(J1498&gt;0,J1498&lt;K1498),D1498-J1498,"n.a.")))</x:f>
        <x:v>7120</x:v>
      </x:c>
      <x:c r="P1498" s="19" t="str">
        <x:f>IF(AND(B1498="Butterfly",J1498&gt;0,J1498&lt;K1498),L1498/J1498,"n.a.")</x:f>
        <x:v>n.a.</x:v>
      </x:c>
      <x:c r="Q1498" s="11" t="n">
        <x:f>J1498*'Model inputs'!$B$8</x:f>
        <x:v>-192000</x:v>
      </x:c>
      <x:c r="R1498" s="1" t="str">
        <x:v>Flagged leg data</x:v>
      </x:c>
      <x:c r="S1498" s="1" t="n">
        <x:v>59</x:v>
      </x:c>
      <x:c r="T1498" s="1" t="n">
        <x:v>76</x:v>
      </x:c>
    </x:row>
    <x:row r="1499" ht="21" customHeight="1">
      <x:c r="A1499" s="12" t="n">
        <x:v>46259</x:v>
      </x:c>
      <x:c r="B1499" s="1" t="str">
        <x:v>1x2 ratio</x:v>
      </x:c>
      <x:c r="C1499" s="1" t="str">
        <x:v>call</x:v>
      </x:c>
      <x:c r="D1499" s="11" t="n">
        <x:v>4600</x:v>
      </x:c>
      <x:c r="E1499" s="11" t="n">
        <x:v>4800</x:v>
      </x:c>
      <x:c r="F1499" s="11"/>
      <x:c r="G1499" s="11" t="n">
        <x:f>'Option source'!B47</x:f>
        <x:v>2493.23</x:v>
      </x:c>
      <x:c r="H1499" s="11" t="n">
        <x:f>'Option source'!B64</x:f>
        <x:v>2280</x:v>
      </x:c>
      <x:c r="I1499" s="11"/>
      <x:c r="J1499" s="11" t="n">
        <x:f>G1499-2*H1499+IF(B1499="Butterfly",I1499,0)</x:f>
        <x:v>-2066.77</x:v>
      </x:c>
      <x:c r="K1499" s="11" t="n">
        <x:f>ABS(E1499-D1499)</x:f>
        <x:v>200</x:v>
      </x:c>
      <x:c r="L1499" s="11" t="n">
        <x:f>K1499-J1499</x:f>
        <x:v>2266.77</x:v>
      </x:c>
      <x:c r="M1499" s="11" t="str">
        <x:f>IF(B1499="Butterfly",MAX(J1499,0),IF(C1499="call","Unlimited",MAX(2*E1499-D1499+J1499,J1499,0)))</x:f>
        <x:v>Unlimited</x:v>
      </x:c>
      <x:c r="N1499" s="11" t="str">
        <x:f>IF(B1499="Butterfly",IF(AND(J1499&gt;0,J1499&lt;K1499),D1499+J1499,"n.a."),IF(C1499="call",IF(AND(J1499&gt;0,J1499&lt;K1499),D1499+J1499,"n.a."),IF(AND(K1499&gt;J1499,2*E1499-D1499+J1499&gt;=0),2*E1499-D1499+J1499,"n.a.")))</x:f>
        <x:v>n.a.</x:v>
      </x:c>
      <x:c r="O1499" s="11" t="n">
        <x:f>IF(B1499="Butterfly",IF(AND(J1499&gt;0,J1499&lt;K1499),F1499-J1499,"n.a."),IF(C1499="call",IF(K1499&gt;J1499,2*E1499-D1499-J1499,"n.a."),IF(AND(J1499&gt;0,J1499&lt;K1499),D1499-J1499,"n.a.")))</x:f>
        <x:v>7066.77</x:v>
      </x:c>
      <x:c r="P1499" s="19" t="str">
        <x:f>IF(AND(B1499="Butterfly",J1499&gt;0,J1499&lt;K1499),L1499/J1499,"n.a.")</x:f>
        <x:v>n.a.</x:v>
      </x:c>
      <x:c r="Q1499" s="11" t="n">
        <x:f>J1499*'Model inputs'!$B$8</x:f>
        <x:v>-206677</x:v>
      </x:c>
      <x:c r="R1499" s="1" t="str">
        <x:v>Flagged leg data</x:v>
      </x:c>
      <x:c r="S1499" s="1" t="n">
        <x:v>42</x:v>
      </x:c>
      <x:c r="T1499" s="1" t="n">
        <x:v>59</x:v>
      </x:c>
    </x:row>
    <x:row r="1500" ht="21" customHeight="1">
      <x:c r="A1500" s="12" t="n">
        <x:v>46259</x:v>
      </x:c>
      <x:c r="B1500" s="1" t="str">
        <x:v>1x2 ratio</x:v>
      </x:c>
      <x:c r="C1500" s="1" t="str">
        <x:v>call</x:v>
      </x:c>
      <x:c r="D1500" s="11" t="n">
        <x:v>4400</x:v>
      </x:c>
      <x:c r="E1500" s="11" t="n">
        <x:v>4600</x:v>
      </x:c>
      <x:c r="F1500" s="11"/>
      <x:c r="G1500" s="11" t="n">
        <x:f>'Option source'!B28</x:f>
        <x:v>2387.12</x:v>
      </x:c>
      <x:c r="H1500" s="11" t="n">
        <x:f>'Option source'!B47</x:f>
        <x:v>2493.23</x:v>
      </x:c>
      <x:c r="I1500" s="11"/>
      <x:c r="J1500" s="11" t="n">
        <x:f>G1500-2*H1500+IF(B1500="Butterfly",I1500,0)</x:f>
        <x:v>-2599.34</x:v>
      </x:c>
      <x:c r="K1500" s="11" t="n">
        <x:f>ABS(E1500-D1500)</x:f>
        <x:v>200</x:v>
      </x:c>
      <x:c r="L1500" s="11" t="n">
        <x:f>K1500-J1500</x:f>
        <x:v>2799.34</x:v>
      </x:c>
      <x:c r="M1500" s="11" t="str">
        <x:f>IF(B1500="Butterfly",MAX(J1500,0),IF(C1500="call","Unlimited",MAX(2*E1500-D1500+J1500,J1500,0)))</x:f>
        <x:v>Unlimited</x:v>
      </x:c>
      <x:c r="N1500" s="11" t="str">
        <x:f>IF(B1500="Butterfly",IF(AND(J1500&gt;0,J1500&lt;K1500),D1500+J1500,"n.a."),IF(C1500="call",IF(AND(J1500&gt;0,J1500&lt;K1500),D1500+J1500,"n.a."),IF(AND(K1500&gt;J1500,2*E1500-D1500+J1500&gt;=0),2*E1500-D1500+J1500,"n.a.")))</x:f>
        <x:v>n.a.</x:v>
      </x:c>
      <x:c r="O1500" s="11" t="n">
        <x:f>IF(B1500="Butterfly",IF(AND(J1500&gt;0,J1500&lt;K1500),F1500-J1500,"n.a."),IF(C1500="call",IF(K1500&gt;J1500,2*E1500-D1500-J1500,"n.a."),IF(AND(J1500&gt;0,J1500&lt;K1500),D1500-J1500,"n.a.")))</x:f>
        <x:v>7399.34</x:v>
      </x:c>
      <x:c r="P1500" s="19" t="str">
        <x:f>IF(AND(B1500="Butterfly",J1500&gt;0,J1500&lt;K1500),L1500/J1500,"n.a.")</x:f>
        <x:v>n.a.</x:v>
      </x:c>
      <x:c r="Q1500" s="11" t="n">
        <x:f>J1500*'Model inputs'!$B$8</x:f>
        <x:v>-259934</x:v>
      </x:c>
      <x:c r="R1500" s="1" t="str">
        <x:v>Flagged leg data</x:v>
      </x:c>
      <x:c r="S1500" s="1" t="n">
        <x:v>23</x:v>
      </x:c>
      <x:c r="T1500" s="1" t="n">
        <x:v>42</x:v>
      </x:c>
    </x:row>
    <x:row r="1501" ht="21" customHeight="1">
      <x:c r="A1501" s="12" t="n">
        <x:v>46259</x:v>
      </x:c>
      <x:c r="B1501" s="1" t="str">
        <x:v>1x2 ratio</x:v>
      </x:c>
      <x:c r="C1501" s="1" t="str">
        <x:v>call</x:v>
      </x:c>
      <x:c r="D1501" s="11" t="n">
        <x:v>4200</x:v>
      </x:c>
      <x:c r="E1501" s="11" t="n">
        <x:v>4400</x:v>
      </x:c>
      <x:c r="F1501" s="11"/>
      <x:c r="G1501" s="11" t="n">
        <x:f>'Option source'!B9</x:f>
        <x:v>2865.46</x:v>
      </x:c>
      <x:c r="H1501" s="11" t="n">
        <x:f>'Option source'!B28</x:f>
        <x:v>2387.12</x:v>
      </x:c>
      <x:c r="I1501" s="11"/>
      <x:c r="J1501" s="11" t="n">
        <x:f>G1501-2*H1501+IF(B1501="Butterfly",I1501,0)</x:f>
        <x:v>-1908.7799999999997</x:v>
      </x:c>
      <x:c r="K1501" s="11" t="n">
        <x:f>ABS(E1501-D1501)</x:f>
        <x:v>200</x:v>
      </x:c>
      <x:c r="L1501" s="11" t="n">
        <x:f>K1501-J1501</x:f>
        <x:v>2108.7799999999997</x:v>
      </x:c>
      <x:c r="M1501" s="11" t="str">
        <x:f>IF(B1501="Butterfly",MAX(J1501,0),IF(C1501="call","Unlimited",MAX(2*E1501-D1501+J1501,J1501,0)))</x:f>
        <x:v>Unlimited</x:v>
      </x:c>
      <x:c r="N1501" s="11" t="str">
        <x:f>IF(B1501="Butterfly",IF(AND(J1501&gt;0,J1501&lt;K1501),D1501+J1501,"n.a."),IF(C1501="call",IF(AND(J1501&gt;0,J1501&lt;K1501),D1501+J1501,"n.a."),IF(AND(K1501&gt;J1501,2*E1501-D1501+J1501&gt;=0),2*E1501-D1501+J1501,"n.a.")))</x:f>
        <x:v>n.a.</x:v>
      </x:c>
      <x:c r="O1501" s="11" t="n">
        <x:f>IF(B1501="Butterfly",IF(AND(J1501&gt;0,J1501&lt;K1501),F1501-J1501,"n.a."),IF(C1501="call",IF(K1501&gt;J1501,2*E1501-D1501-J1501,"n.a."),IF(AND(J1501&gt;0,J1501&lt;K1501),D1501-J1501,"n.a.")))</x:f>
        <x:v>6508.78</x:v>
      </x:c>
      <x:c r="P1501" s="19" t="str">
        <x:f>IF(AND(B1501="Butterfly",J1501&gt;0,J1501&lt;K1501),L1501/J1501,"n.a.")</x:f>
        <x:v>n.a.</x:v>
      </x:c>
      <x:c r="Q1501" s="11" t="n">
        <x:f>J1501*'Model inputs'!$B$8</x:f>
        <x:v>-190877.99999999997</x:v>
      </x:c>
      <x:c r="R1501" s="1" t="str">
        <x:v>Flagged leg data</x:v>
      </x:c>
      <x:c r="S1501" s="1" t="n">
        <x:v>4</x:v>
      </x:c>
      <x:c r="T1501" s="1" t="n">
        <x:v>23</x:v>
      </x:c>
    </x:row>
    <x:row r="1502" ht="21" customHeight="1">
      <x:c r="A1502" s="12" t="n">
        <x:v>46258</x:v>
      </x:c>
      <x:c r="B1502" s="1" t="str">
        <x:v>Butterfly</x:v>
      </x:c>
      <x:c r="C1502" s="1" t="str">
        <x:v>call</x:v>
      </x:c>
      <x:c r="D1502" s="11" t="n">
        <x:v>6800</x:v>
      </x:c>
      <x:c r="E1502" s="11" t="n">
        <x:v>7000</x:v>
      </x:c>
      <x:c r="F1502" s="11" t="n">
        <x:v>7200</x:v>
      </x:c>
      <x:c r="G1502" s="11" t="n">
        <x:f>'Option source'!B241</x:f>
        <x:v>686.77</x:v>
      </x:c>
      <x:c r="H1502" s="11" t="n">
        <x:f>'Option source'!B260</x:f>
        <x:v>579.21</x:v>
      </x:c>
      <x:c r="I1502" s="11" t="n">
        <x:f>'Option source'!B279</x:f>
        <x:v>485.19</x:v>
      </x:c>
      <x:c r="J1502" s="11" t="n">
        <x:f>G1502-2*H1502+IF(B1502="Butterfly",I1502,0)</x:f>
        <x:v>13.539999999999907</x:v>
      </x:c>
      <x:c r="K1502" s="11" t="n">
        <x:f>ABS(E1502-D1502)</x:f>
        <x:v>200</x:v>
      </x:c>
      <x:c r="L1502" s="11" t="n">
        <x:f>K1502-J1502</x:f>
        <x:v>186.4600000000001</x:v>
      </x:c>
      <x:c r="M1502" s="11" t="n">
        <x:f>IF(B1502="Butterfly",MAX(J1502,0),IF(C1502="call","Unlimited",MAX(2*E1502-D1502+J1502,J1502,0)))</x:f>
        <x:v>13.539999999999907</x:v>
      </x:c>
      <x:c r="N1502" s="11" t="n">
        <x:f>IF(B1502="Butterfly",IF(AND(J1502&gt;0,J1502&lt;K1502),D1502+J1502,"n.a."),IF(C1502="call",IF(AND(J1502&gt;0,J1502&lt;K1502),D1502+J1502,"n.a."),IF(AND(K1502&gt;J1502,2*E1502-D1502+J1502&gt;=0),2*E1502-D1502+J1502,"n.a.")))</x:f>
        <x:v>6813.54</x:v>
      </x:c>
      <x:c r="O1502" s="11" t="n">
        <x:f>IF(B1502="Butterfly",IF(AND(J1502&gt;0,J1502&lt;K1502),F1502-J1502,"n.a."),IF(C1502="call",IF(K1502&gt;J1502,2*E1502-D1502-J1502,"n.a."),IF(AND(J1502&gt;0,J1502&lt;K1502),D1502-J1502,"n.a.")))</x:f>
        <x:v>7186.46</x:v>
      </x:c>
      <x:c r="P1502" s="19" t="n">
        <x:f>IF(AND(B1502="Butterfly",J1502&gt;0,J1502&lt;K1502),L1502/J1502,"n.a.")</x:f>
        <x:v>13.771048744460959</x:v>
      </x:c>
      <x:c r="Q1502" s="11" t="n">
        <x:f>J1502*'Model inputs'!$B$8</x:f>
        <x:v>1353.9999999999907</x:v>
      </x:c>
      <x:c r="R1502" s="1" t="str">
        <x:v>Indicative only</x:v>
      </x:c>
      <x:c r="S1502" s="1" t="n">
        <x:v>236</x:v>
      </x:c>
      <x:c r="T1502" s="1" t="n">
        <x:v>255</x:v>
      </x:c>
    </x:row>
    <x:row r="1503" ht="21" customHeight="1">
      <x:c r="A1503" s="12" t="n">
        <x:v>46258</x:v>
      </x:c>
      <x:c r="B1503" s="1" t="str">
        <x:v>Butterfly</x:v>
      </x:c>
      <x:c r="C1503" s="1" t="str">
        <x:v>put</x:v>
      </x:c>
      <x:c r="D1503" s="11" t="n">
        <x:v>6800</x:v>
      </x:c>
      <x:c r="E1503" s="11" t="n">
        <x:v>7000</x:v>
      </x:c>
      <x:c r="F1503" s="11" t="n">
        <x:v>7200</x:v>
      </x:c>
      <x:c r="G1503" s="11" t="n">
        <x:f>'Option source'!B735</x:f>
        <x:v>309</x:v>
      </x:c>
      <x:c r="H1503" s="11" t="n">
        <x:f>'Option source'!B754</x:f>
        <x:v>400.7</x:v>
      </x:c>
      <x:c r="I1503" s="11" t="n">
        <x:f>'Option source'!B773</x:f>
        <x:v>509.16</x:v>
      </x:c>
      <x:c r="J1503" s="11" t="n">
        <x:f>G1503-2*H1503+IF(B1503="Butterfly",I1503,0)</x:f>
        <x:v>16.760000000000048</x:v>
      </x:c>
      <x:c r="K1503" s="11" t="n">
        <x:f>ABS(E1503-D1503)</x:f>
        <x:v>200</x:v>
      </x:c>
      <x:c r="L1503" s="11" t="n">
        <x:f>K1503-J1503</x:f>
        <x:v>183.23999999999995</x:v>
      </x:c>
      <x:c r="M1503" s="11" t="n">
        <x:f>IF(B1503="Butterfly",MAX(J1503,0),IF(C1503="call","Unlimited",MAX(2*E1503-D1503+J1503,J1503,0)))</x:f>
        <x:v>16.760000000000048</x:v>
      </x:c>
      <x:c r="N1503" s="11" t="n">
        <x:f>IF(B1503="Butterfly",IF(AND(J1503&gt;0,J1503&lt;K1503),D1503+J1503,"n.a."),IF(C1503="call",IF(AND(J1503&gt;0,J1503&lt;K1503),D1503+J1503,"n.a."),IF(AND(K1503&gt;J1503,2*E1503-D1503+J1503&gt;=0),2*E1503-D1503+J1503,"n.a.")))</x:f>
        <x:v>6816.76</x:v>
      </x:c>
      <x:c r="O1503" s="11" t="n">
        <x:f>IF(B1503="Butterfly",IF(AND(J1503&gt;0,J1503&lt;K1503),F1503-J1503,"n.a."),IF(C1503="call",IF(K1503&gt;J1503,2*E1503-D1503-J1503,"n.a."),IF(AND(J1503&gt;0,J1503&lt;K1503),D1503-J1503,"n.a.")))</x:f>
        <x:v>7183.24</x:v>
      </x:c>
      <x:c r="P1503" s="19" t="n">
        <x:f>IF(AND(B1503="Butterfly",J1503&gt;0,J1503&lt;K1503),L1503/J1503,"n.a.")</x:f>
        <x:v>10.933174224343642</x:v>
      </x:c>
      <x:c r="Q1503" s="11" t="n">
        <x:f>J1503*'Model inputs'!$B$8</x:f>
        <x:v>1676.0000000000048</x:v>
      </x:c>
      <x:c r="R1503" s="1" t="str">
        <x:v>Indicative only</x:v>
      </x:c>
      <x:c r="S1503" s="1" t="n">
        <x:v>730</x:v>
      </x:c>
      <x:c r="T1503" s="1" t="n">
        <x:v>749</x:v>
      </x:c>
    </x:row>
    <x:row r="1504" ht="21" customHeight="1">
      <x:c r="A1504" s="12" t="n">
        <x:v>46258</x:v>
      </x:c>
      <x:c r="B1504" s="1" t="str">
        <x:v>Butterfly</x:v>
      </x:c>
      <x:c r="C1504" s="1" t="str">
        <x:v>call</x:v>
      </x:c>
      <x:c r="D1504" s="11" t="n">
        <x:v>6600</x:v>
      </x:c>
      <x:c r="E1504" s="11" t="n">
        <x:v>6800</x:v>
      </x:c>
      <x:c r="F1504" s="11" t="n">
        <x:v>7000</x:v>
      </x:c>
      <x:c r="G1504" s="11" t="n">
        <x:f>'Option source'!B222</x:f>
        <x:v>801.3</x:v>
      </x:c>
      <x:c r="H1504" s="11" t="n">
        <x:f>'Option source'!B241</x:f>
        <x:v>686.77</x:v>
      </x:c>
      <x:c r="I1504" s="11" t="n">
        <x:f>'Option source'!B260</x:f>
        <x:v>579.21</x:v>
      </x:c>
      <x:c r="J1504" s="11" t="n">
        <x:f>G1504-2*H1504+IF(B1504="Butterfly",I1504,0)</x:f>
        <x:v>6.970000000000027</x:v>
      </x:c>
      <x:c r="K1504" s="11" t="n">
        <x:f>ABS(E1504-D1504)</x:f>
        <x:v>200</x:v>
      </x:c>
      <x:c r="L1504" s="11" t="n">
        <x:f>K1504-J1504</x:f>
        <x:v>193.02999999999997</x:v>
      </x:c>
      <x:c r="M1504" s="11" t="n">
        <x:f>IF(B1504="Butterfly",MAX(J1504,0),IF(C1504="call","Unlimited",MAX(2*E1504-D1504+J1504,J1504,0)))</x:f>
        <x:v>6.970000000000027</x:v>
      </x:c>
      <x:c r="N1504" s="11" t="n">
        <x:f>IF(B1504="Butterfly",IF(AND(J1504&gt;0,J1504&lt;K1504),D1504+J1504,"n.a."),IF(C1504="call",IF(AND(J1504&gt;0,J1504&lt;K1504),D1504+J1504,"n.a."),IF(AND(K1504&gt;J1504,2*E1504-D1504+J1504&gt;=0),2*E1504-D1504+J1504,"n.a.")))</x:f>
        <x:v>6606.97</x:v>
      </x:c>
      <x:c r="O1504" s="11" t="n">
        <x:f>IF(B1504="Butterfly",IF(AND(J1504&gt;0,J1504&lt;K1504),F1504-J1504,"n.a."),IF(C1504="call",IF(K1504&gt;J1504,2*E1504-D1504-J1504,"n.a."),IF(AND(J1504&gt;0,J1504&lt;K1504),D1504-J1504,"n.a.")))</x:f>
        <x:v>6993.03</x:v>
      </x:c>
      <x:c r="P1504" s="19" t="n">
        <x:f>IF(AND(B1504="Butterfly",J1504&gt;0,J1504&lt;K1504),L1504/J1504,"n.a.")</x:f>
        <x:v>27.69440459110462</x:v>
      </x:c>
      <x:c r="Q1504" s="11" t="n">
        <x:f>J1504*'Model inputs'!$B$8</x:f>
        <x:v>697.0000000000027</x:v>
      </x:c>
      <x:c r="R1504" s="1" t="str">
        <x:v>Indicative only</x:v>
      </x:c>
      <x:c r="S1504" s="1" t="n">
        <x:v>217</x:v>
      </x:c>
      <x:c r="T1504" s="1" t="n">
        <x:v>236</x:v>
      </x:c>
    </x:row>
    <x:row r="1505" ht="21" customHeight="1">
      <x:c r="A1505" s="12" t="n">
        <x:v>46258</x:v>
      </x:c>
      <x:c r="B1505" s="1" t="str">
        <x:v>Butterfly</x:v>
      </x:c>
      <x:c r="C1505" s="1" t="str">
        <x:v>put</x:v>
      </x:c>
      <x:c r="D1505" s="11" t="n">
        <x:v>6600</x:v>
      </x:c>
      <x:c r="E1505" s="11" t="n">
        <x:v>6800</x:v>
      </x:c>
      <x:c r="F1505" s="11" t="n">
        <x:v>7000</x:v>
      </x:c>
      <x:c r="G1505" s="11" t="n">
        <x:f>'Option source'!B716</x:f>
        <x:v>235.77</x:v>
      </x:c>
      <x:c r="H1505" s="11" t="n">
        <x:f>'Option source'!B735</x:f>
        <x:v>309</x:v>
      </x:c>
      <x:c r="I1505" s="11" t="n">
        <x:f>'Option source'!B754</x:f>
        <x:v>400.7</x:v>
      </x:c>
      <x:c r="J1505" s="11" t="n">
        <x:f>G1505-2*H1505+IF(B1505="Butterfly",I1505,0)</x:f>
        <x:v>18.46999999999997</x:v>
      </x:c>
      <x:c r="K1505" s="11" t="n">
        <x:f>ABS(E1505-D1505)</x:f>
        <x:v>200</x:v>
      </x:c>
      <x:c r="L1505" s="11" t="n">
        <x:f>K1505-J1505</x:f>
        <x:v>181.53000000000003</x:v>
      </x:c>
      <x:c r="M1505" s="11" t="n">
        <x:f>IF(B1505="Butterfly",MAX(J1505,0),IF(C1505="call","Unlimited",MAX(2*E1505-D1505+J1505,J1505,0)))</x:f>
        <x:v>18.46999999999997</x:v>
      </x:c>
      <x:c r="N1505" s="11" t="n">
        <x:f>IF(B1505="Butterfly",IF(AND(J1505&gt;0,J1505&lt;K1505),D1505+J1505,"n.a."),IF(C1505="call",IF(AND(J1505&gt;0,J1505&lt;K1505),D1505+J1505,"n.a."),IF(AND(K1505&gt;J1505,2*E1505-D1505+J1505&gt;=0),2*E1505-D1505+J1505,"n.a.")))</x:f>
        <x:v>6618.47</x:v>
      </x:c>
      <x:c r="O1505" s="11" t="n">
        <x:f>IF(B1505="Butterfly",IF(AND(J1505&gt;0,J1505&lt;K1505),F1505-J1505,"n.a."),IF(C1505="call",IF(K1505&gt;J1505,2*E1505-D1505-J1505,"n.a."),IF(AND(J1505&gt;0,J1505&lt;K1505),D1505-J1505,"n.a.")))</x:f>
        <x:v>6981.53</x:v>
      </x:c>
      <x:c r="P1505" s="19" t="n">
        <x:f>IF(AND(B1505="Butterfly",J1505&gt;0,J1505&lt;K1505),L1505/J1505,"n.a.")</x:f>
        <x:v>9.828370330265312</x:v>
      </x:c>
      <x:c r="Q1505" s="11" t="n">
        <x:f>J1505*'Model inputs'!$B$8</x:f>
        <x:v>1846.999999999997</x:v>
      </x:c>
      <x:c r="R1505" s="1" t="str">
        <x:v>Indicative only</x:v>
      </x:c>
      <x:c r="S1505" s="1" t="n">
        <x:v>711</x:v>
      </x:c>
      <x:c r="T1505" s="1" t="n">
        <x:v>730</x:v>
      </x:c>
    </x:row>
    <x:row r="1506" ht="21" customHeight="1">
      <x:c r="A1506" s="12" t="n">
        <x:v>46258</x:v>
      </x:c>
      <x:c r="B1506" s="1" t="str">
        <x:v>Butterfly</x:v>
      </x:c>
      <x:c r="C1506" s="1" t="str">
        <x:v>call</x:v>
      </x:c>
      <x:c r="D1506" s="11" t="n">
        <x:v>7000</x:v>
      </x:c>
      <x:c r="E1506" s="11" t="n">
        <x:v>7200</x:v>
      </x:c>
      <x:c r="F1506" s="11" t="n">
        <x:v>7400</x:v>
      </x:c>
      <x:c r="G1506" s="11" t="n">
        <x:f>'Option source'!B260</x:f>
        <x:v>579.21</x:v>
      </x:c>
      <x:c r="H1506" s="11" t="n">
        <x:f>'Option source'!B279</x:f>
        <x:v>485.19</x:v>
      </x:c>
      <x:c r="I1506" s="11" t="n">
        <x:f>'Option source'!B298</x:f>
        <x:v>396.15</x:v>
      </x:c>
      <x:c r="J1506" s="11" t="n">
        <x:f>G1506-2*H1506+IF(B1506="Butterfly",I1506,0)</x:f>
        <x:v>4.980000000000018</x:v>
      </x:c>
      <x:c r="K1506" s="11" t="n">
        <x:f>ABS(E1506-D1506)</x:f>
        <x:v>200</x:v>
      </x:c>
      <x:c r="L1506" s="11" t="n">
        <x:f>K1506-J1506</x:f>
        <x:v>195.01999999999998</x:v>
      </x:c>
      <x:c r="M1506" s="11" t="n">
        <x:f>IF(B1506="Butterfly",MAX(J1506,0),IF(C1506="call","Unlimited",MAX(2*E1506-D1506+J1506,J1506,0)))</x:f>
        <x:v>4.980000000000018</x:v>
      </x:c>
      <x:c r="N1506" s="11" t="n">
        <x:f>IF(B1506="Butterfly",IF(AND(J1506&gt;0,J1506&lt;K1506),D1506+J1506,"n.a."),IF(C1506="call",IF(AND(J1506&gt;0,J1506&lt;K1506),D1506+J1506,"n.a."),IF(AND(K1506&gt;J1506,2*E1506-D1506+J1506&gt;=0),2*E1506-D1506+J1506,"n.a.")))</x:f>
        <x:v>7004.98</x:v>
      </x:c>
      <x:c r="O1506" s="11" t="n">
        <x:f>IF(B1506="Butterfly",IF(AND(J1506&gt;0,J1506&lt;K1506),F1506-J1506,"n.a."),IF(C1506="call",IF(K1506&gt;J1506,2*E1506-D1506-J1506,"n.a."),IF(AND(J1506&gt;0,J1506&lt;K1506),D1506-J1506,"n.a.")))</x:f>
        <x:v>7395.02</x:v>
      </x:c>
      <x:c r="P1506" s="19" t="n">
        <x:f>IF(AND(B1506="Butterfly",J1506&gt;0,J1506&lt;K1506),L1506/J1506,"n.a.")</x:f>
        <x:v>39.16064257028098</x:v>
      </x:c>
      <x:c r="Q1506" s="11" t="n">
        <x:f>J1506*'Model inputs'!$B$8</x:f>
        <x:v>498.0000000000018</x:v>
      </x:c>
      <x:c r="R1506" s="1" t="str">
        <x:v>Indicative only</x:v>
      </x:c>
      <x:c r="S1506" s="1" t="n">
        <x:v>255</x:v>
      </x:c>
      <x:c r="T1506" s="1" t="n">
        <x:v>274</x:v>
      </x:c>
    </x:row>
    <x:row r="1507" ht="21" customHeight="1">
      <x:c r="A1507" s="12" t="n">
        <x:v>46258</x:v>
      </x:c>
      <x:c r="B1507" s="1" t="str">
        <x:v>Butterfly</x:v>
      </x:c>
      <x:c r="C1507" s="1" t="str">
        <x:v>put</x:v>
      </x:c>
      <x:c r="D1507" s="11" t="n">
        <x:v>7000</x:v>
      </x:c>
      <x:c r="E1507" s="11" t="n">
        <x:v>7200</x:v>
      </x:c>
      <x:c r="F1507" s="11" t="n">
        <x:v>7400</x:v>
      </x:c>
      <x:c r="G1507" s="11" t="n">
        <x:f>'Option source'!B754</x:f>
        <x:v>400.7</x:v>
      </x:c>
      <x:c r="H1507" s="11" t="n">
        <x:f>'Option source'!B773</x:f>
        <x:v>509.16</x:v>
      </x:c>
      <x:c r="I1507" s="11" t="n">
        <x:f>'Option source'!B792</x:f>
        <x:v>620</x:v>
      </x:c>
      <x:c r="J1507" s="11" t="n">
        <x:f>G1507-2*H1507+IF(B1507="Butterfly",I1507,0)</x:f>
        <x:v>2.3799999999998818</x:v>
      </x:c>
      <x:c r="K1507" s="11" t="n">
        <x:f>ABS(E1507-D1507)</x:f>
        <x:v>200</x:v>
      </x:c>
      <x:c r="L1507" s="11" t="n">
        <x:f>K1507-J1507</x:f>
        <x:v>197.62000000000012</x:v>
      </x:c>
      <x:c r="M1507" s="11" t="n">
        <x:f>IF(B1507="Butterfly",MAX(J1507,0),IF(C1507="call","Unlimited",MAX(2*E1507-D1507+J1507,J1507,0)))</x:f>
        <x:v>2.3799999999998818</x:v>
      </x:c>
      <x:c r="N1507" s="11" t="n">
        <x:f>IF(B1507="Butterfly",IF(AND(J1507&gt;0,J1507&lt;K1507),D1507+J1507,"n.a."),IF(C1507="call",IF(AND(J1507&gt;0,J1507&lt;K1507),D1507+J1507,"n.a."),IF(AND(K1507&gt;J1507,2*E1507-D1507+J1507&gt;=0),2*E1507-D1507+J1507,"n.a.")))</x:f>
        <x:v>7002.38</x:v>
      </x:c>
      <x:c r="O1507" s="11" t="n">
        <x:f>IF(B1507="Butterfly",IF(AND(J1507&gt;0,J1507&lt;K1507),F1507-J1507,"n.a."),IF(C1507="call",IF(K1507&gt;J1507,2*E1507-D1507-J1507,"n.a."),IF(AND(J1507&gt;0,J1507&lt;K1507),D1507-J1507,"n.a.")))</x:f>
        <x:v>7397.62</x:v>
      </x:c>
      <x:c r="P1507" s="19" t="n">
        <x:f>IF(AND(B1507="Butterfly",J1507&gt;0,J1507&lt;K1507),L1507/J1507,"n.a.")</x:f>
        <x:v>83.03361344538233</x:v>
      </x:c>
      <x:c r="Q1507" s="11" t="n">
        <x:f>J1507*'Model inputs'!$B$8</x:f>
        <x:v>237.99999999998818</x:v>
      </x:c>
      <x:c r="R1507" s="1" t="str">
        <x:v>Indicative only</x:v>
      </x:c>
      <x:c r="S1507" s="1" t="n">
        <x:v>749</x:v>
      </x:c>
      <x:c r="T1507" s="1" t="n">
        <x:v>768</x:v>
      </x:c>
    </x:row>
    <x:row r="1508" ht="21" customHeight="1">
      <x:c r="A1508" s="12" t="n">
        <x:v>46258</x:v>
      </x:c>
      <x:c r="B1508" s="1" t="str">
        <x:v>Butterfly</x:v>
      </x:c>
      <x:c r="C1508" s="1" t="str">
        <x:v>call</x:v>
      </x:c>
      <x:c r="D1508" s="11" t="n">
        <x:v>6400</x:v>
      </x:c>
      <x:c r="E1508" s="11" t="n">
        <x:v>6600</x:v>
      </x:c>
      <x:c r="F1508" s="11" t="n">
        <x:v>6800</x:v>
      </x:c>
      <x:c r="G1508" s="11" t="n">
        <x:f>'Option source'!B203</x:f>
        <x:v>918.25</x:v>
      </x:c>
      <x:c r="H1508" s="11" t="n">
        <x:f>'Option source'!B222</x:f>
        <x:v>801.3</x:v>
      </x:c>
      <x:c r="I1508" s="11" t="n">
        <x:f>'Option source'!B241</x:f>
        <x:v>686.77</x:v>
      </x:c>
      <x:c r="J1508" s="11" t="n">
        <x:f>G1508-2*H1508+IF(B1508="Butterfly",I1508,0)</x:f>
        <x:v>2.4200000000000728</x:v>
      </x:c>
      <x:c r="K1508" s="11" t="n">
        <x:f>ABS(E1508-D1508)</x:f>
        <x:v>200</x:v>
      </x:c>
      <x:c r="L1508" s="11" t="n">
        <x:f>K1508-J1508</x:f>
        <x:v>197.57999999999993</x:v>
      </x:c>
      <x:c r="M1508" s="11" t="n">
        <x:f>IF(B1508="Butterfly",MAX(J1508,0),IF(C1508="call","Unlimited",MAX(2*E1508-D1508+J1508,J1508,0)))</x:f>
        <x:v>2.4200000000000728</x:v>
      </x:c>
      <x:c r="N1508" s="11" t="n">
        <x:f>IF(B1508="Butterfly",IF(AND(J1508&gt;0,J1508&lt;K1508),D1508+J1508,"n.a."),IF(C1508="call",IF(AND(J1508&gt;0,J1508&lt;K1508),D1508+J1508,"n.a."),IF(AND(K1508&gt;J1508,2*E1508-D1508+J1508&gt;=0),2*E1508-D1508+J1508,"n.a.")))</x:f>
        <x:v>6402.42</x:v>
      </x:c>
      <x:c r="O1508" s="11" t="n">
        <x:f>IF(B1508="Butterfly",IF(AND(J1508&gt;0,J1508&lt;K1508),F1508-J1508,"n.a."),IF(C1508="call",IF(K1508&gt;J1508,2*E1508-D1508-J1508,"n.a."),IF(AND(J1508&gt;0,J1508&lt;K1508),D1508-J1508,"n.a.")))</x:f>
        <x:v>6797.58</x:v>
      </x:c>
      <x:c r="P1508" s="19" t="n">
        <x:f>IF(AND(B1508="Butterfly",J1508&gt;0,J1508&lt;K1508),L1508/J1508,"n.a.")</x:f>
        <x:v>81.64462809917107</x:v>
      </x:c>
      <x:c r="Q1508" s="11" t="n">
        <x:f>J1508*'Model inputs'!$B$8</x:f>
        <x:v>242.00000000000728</x:v>
      </x:c>
      <x:c r="R1508" s="1" t="str">
        <x:v>Indicative only</x:v>
      </x:c>
      <x:c r="S1508" s="1" t="n">
        <x:v>198</x:v>
      </x:c>
      <x:c r="T1508" s="1" t="n">
        <x:v>217</x:v>
      </x:c>
    </x:row>
    <x:row r="1509" ht="21" customHeight="1">
      <x:c r="A1509" s="12" t="n">
        <x:v>46258</x:v>
      </x:c>
      <x:c r="B1509" s="1" t="str">
        <x:v>Butterfly</x:v>
      </x:c>
      <x:c r="C1509" s="1" t="str">
        <x:v>put</x:v>
      </x:c>
      <x:c r="D1509" s="11" t="n">
        <x:v>6400</x:v>
      </x:c>
      <x:c r="E1509" s="11" t="n">
        <x:v>6600</x:v>
      </x:c>
      <x:c r="F1509" s="11" t="n">
        <x:v>6800</x:v>
      </x:c>
      <x:c r="G1509" s="11" t="n">
        <x:f>'Option source'!B697</x:f>
        <x:v>175.6</x:v>
      </x:c>
      <x:c r="H1509" s="11" t="n">
        <x:f>'Option source'!B716</x:f>
        <x:v>235.77</x:v>
      </x:c>
      <x:c r="I1509" s="11" t="n">
        <x:f>'Option source'!B735</x:f>
        <x:v>309</x:v>
      </x:c>
      <x:c r="J1509" s="11" t="n">
        <x:f>G1509-2*H1509+IF(B1509="Butterfly",I1509,0)</x:f>
        <x:v>13.059999999999945</x:v>
      </x:c>
      <x:c r="K1509" s="11" t="n">
        <x:f>ABS(E1509-D1509)</x:f>
        <x:v>200</x:v>
      </x:c>
      <x:c r="L1509" s="11" t="n">
        <x:f>K1509-J1509</x:f>
        <x:v>186.94000000000005</x:v>
      </x:c>
      <x:c r="M1509" s="11" t="n">
        <x:f>IF(B1509="Butterfly",MAX(J1509,0),IF(C1509="call","Unlimited",MAX(2*E1509-D1509+J1509,J1509,0)))</x:f>
        <x:v>13.059999999999945</x:v>
      </x:c>
      <x:c r="N1509" s="11" t="n">
        <x:f>IF(B1509="Butterfly",IF(AND(J1509&gt;0,J1509&lt;K1509),D1509+J1509,"n.a."),IF(C1509="call",IF(AND(J1509&gt;0,J1509&lt;K1509),D1509+J1509,"n.a."),IF(AND(K1509&gt;J1509,2*E1509-D1509+J1509&gt;=0),2*E1509-D1509+J1509,"n.a.")))</x:f>
        <x:v>6413.0599999999995</x:v>
      </x:c>
      <x:c r="O1509" s="11" t="n">
        <x:f>IF(B1509="Butterfly",IF(AND(J1509&gt;0,J1509&lt;K1509),F1509-J1509,"n.a."),IF(C1509="call",IF(K1509&gt;J1509,2*E1509-D1509-J1509,"n.a."),IF(AND(J1509&gt;0,J1509&lt;K1509),D1509-J1509,"n.a.")))</x:f>
        <x:v>6786.9400000000005</x:v>
      </x:c>
      <x:c r="P1509" s="19" t="n">
        <x:f>IF(AND(B1509="Butterfly",J1509&gt;0,J1509&lt;K1509),L1509/J1509,"n.a.")</x:f>
        <x:v>14.313935681470202</x:v>
      </x:c>
      <x:c r="Q1509" s="11" t="n">
        <x:f>J1509*'Model inputs'!$B$8</x:f>
        <x:v>1305.9999999999945</x:v>
      </x:c>
      <x:c r="R1509" s="1" t="str">
        <x:v>Indicative only</x:v>
      </x:c>
      <x:c r="S1509" s="1" t="n">
        <x:v>692</x:v>
      </x:c>
      <x:c r="T1509" s="1" t="n">
        <x:v>711</x:v>
      </x:c>
    </x:row>
    <x:row r="1510" ht="21" customHeight="1">
      <x:c r="A1510" s="12" t="n">
        <x:v>46258</x:v>
      </x:c>
      <x:c r="B1510" s="1" t="str">
        <x:v>Butterfly</x:v>
      </x:c>
      <x:c r="C1510" s="1" t="str">
        <x:v>call</x:v>
      </x:c>
      <x:c r="D1510" s="11" t="n">
        <x:v>7200</x:v>
      </x:c>
      <x:c r="E1510" s="11" t="n">
        <x:v>7400</x:v>
      </x:c>
      <x:c r="F1510" s="11" t="n">
        <x:v>7600</x:v>
      </x:c>
      <x:c r="G1510" s="11" t="n">
        <x:f>'Option source'!B279</x:f>
        <x:v>485.19</x:v>
      </x:c>
      <x:c r="H1510" s="11" t="n">
        <x:f>'Option source'!B298</x:f>
        <x:v>396.15</x:v>
      </x:c>
      <x:c r="I1510" s="11" t="n">
        <x:f>'Option source'!B317</x:f>
        <x:v>327.63</x:v>
      </x:c>
      <x:c r="J1510" s="11" t="n">
        <x:f>G1510-2*H1510+IF(B1510="Butterfly",I1510,0)</x:f>
        <x:v>20.52000000000004</x:v>
      </x:c>
      <x:c r="K1510" s="11" t="n">
        <x:f>ABS(E1510-D1510)</x:f>
        <x:v>200</x:v>
      </x:c>
      <x:c r="L1510" s="11" t="n">
        <x:f>K1510-J1510</x:f>
        <x:v>179.47999999999996</x:v>
      </x:c>
      <x:c r="M1510" s="11" t="n">
        <x:f>IF(B1510="Butterfly",MAX(J1510,0),IF(C1510="call","Unlimited",MAX(2*E1510-D1510+J1510,J1510,0)))</x:f>
        <x:v>20.52000000000004</x:v>
      </x:c>
      <x:c r="N1510" s="11" t="n">
        <x:f>IF(B1510="Butterfly",IF(AND(J1510&gt;0,J1510&lt;K1510),D1510+J1510,"n.a."),IF(C1510="call",IF(AND(J1510&gt;0,J1510&lt;K1510),D1510+J1510,"n.a."),IF(AND(K1510&gt;J1510,2*E1510-D1510+J1510&gt;=0),2*E1510-D1510+J1510,"n.a.")))</x:f>
        <x:v>7220.52</x:v>
      </x:c>
      <x:c r="O1510" s="11" t="n">
        <x:f>IF(B1510="Butterfly",IF(AND(J1510&gt;0,J1510&lt;K1510),F1510-J1510,"n.a."),IF(C1510="call",IF(K1510&gt;J1510,2*E1510-D1510-J1510,"n.a."),IF(AND(J1510&gt;0,J1510&lt;K1510),D1510-J1510,"n.a.")))</x:f>
        <x:v>7579.48</x:v>
      </x:c>
      <x:c r="P1510" s="19" t="n">
        <x:f>IF(AND(B1510="Butterfly",J1510&gt;0,J1510&lt;K1510),L1510/J1510,"n.a.")</x:f>
        <x:v>8.746588693957097</x:v>
      </x:c>
      <x:c r="Q1510" s="11" t="n">
        <x:f>J1510*'Model inputs'!$B$8</x:f>
        <x:v>2052.0000000000036</x:v>
      </x:c>
      <x:c r="R1510" s="1" t="str">
        <x:v>Indicative only</x:v>
      </x:c>
      <x:c r="S1510" s="1" t="n">
        <x:v>274</x:v>
      </x:c>
      <x:c r="T1510" s="1" t="n">
        <x:v>293</x:v>
      </x:c>
    </x:row>
    <x:row r="1511" ht="21" customHeight="1">
      <x:c r="A1511" s="12" t="n">
        <x:v>46258</x:v>
      </x:c>
      <x:c r="B1511" s="1" t="str">
        <x:v>Butterfly</x:v>
      </x:c>
      <x:c r="C1511" s="1" t="str">
        <x:v>put</x:v>
      </x:c>
      <x:c r="D1511" s="11" t="n">
        <x:v>6200</x:v>
      </x:c>
      <x:c r="E1511" s="11" t="n">
        <x:v>6400</x:v>
      </x:c>
      <x:c r="F1511" s="11" t="n">
        <x:v>6600</x:v>
      </x:c>
      <x:c r="G1511" s="11" t="n">
        <x:f>'Option source'!B678</x:f>
        <x:v>127.23</x:v>
      </x:c>
      <x:c r="H1511" s="11" t="n">
        <x:f>'Option source'!B697</x:f>
        <x:v>175.6</x:v>
      </x:c>
      <x:c r="I1511" s="11" t="n">
        <x:f>'Option source'!B716</x:f>
        <x:v>235.77</x:v>
      </x:c>
      <x:c r="J1511" s="11" t="n">
        <x:f>G1511-2*H1511+IF(B1511="Butterfly",I1511,0)</x:f>
        <x:v>11.80000000000004</x:v>
      </x:c>
      <x:c r="K1511" s="11" t="n">
        <x:f>ABS(E1511-D1511)</x:f>
        <x:v>200</x:v>
      </x:c>
      <x:c r="L1511" s="11" t="n">
        <x:f>K1511-J1511</x:f>
        <x:v>188.19999999999996</x:v>
      </x:c>
      <x:c r="M1511" s="11" t="n">
        <x:f>IF(B1511="Butterfly",MAX(J1511,0),IF(C1511="call","Unlimited",MAX(2*E1511-D1511+J1511,J1511,0)))</x:f>
        <x:v>11.80000000000004</x:v>
      </x:c>
      <x:c r="N1511" s="11" t="n">
        <x:f>IF(B1511="Butterfly",IF(AND(J1511&gt;0,J1511&lt;K1511),D1511+J1511,"n.a."),IF(C1511="call",IF(AND(J1511&gt;0,J1511&lt;K1511),D1511+J1511,"n.a."),IF(AND(K1511&gt;J1511,2*E1511-D1511+J1511&gt;=0),2*E1511-D1511+J1511,"n.a.")))</x:f>
        <x:v>6211.8</x:v>
      </x:c>
      <x:c r="O1511" s="11" t="n">
        <x:f>IF(B1511="Butterfly",IF(AND(J1511&gt;0,J1511&lt;K1511),F1511-J1511,"n.a."),IF(C1511="call",IF(K1511&gt;J1511,2*E1511-D1511-J1511,"n.a."),IF(AND(J1511&gt;0,J1511&lt;K1511),D1511-J1511,"n.a.")))</x:f>
        <x:v>6588.2</x:v>
      </x:c>
      <x:c r="P1511" s="19" t="n">
        <x:f>IF(AND(B1511="Butterfly",J1511&gt;0,J1511&lt;K1511),L1511/J1511,"n.a.")</x:f>
        <x:v>15.949152542372824</x:v>
      </x:c>
      <x:c r="Q1511" s="11" t="n">
        <x:f>J1511*'Model inputs'!$B$8</x:f>
        <x:v>1180.000000000004</x:v>
      </x:c>
      <x:c r="R1511" s="1" t="str">
        <x:v>Indicative only</x:v>
      </x:c>
      <x:c r="S1511" s="1" t="n">
        <x:v>673</x:v>
      </x:c>
      <x:c r="T1511" s="1" t="n">
        <x:v>692</x:v>
      </x:c>
    </x:row>
    <x:row r="1512" ht="21" customHeight="1">
      <x:c r="A1512" s="12" t="n">
        <x:v>46258</x:v>
      </x:c>
      <x:c r="B1512" s="1" t="str">
        <x:v>Butterfly</x:v>
      </x:c>
      <x:c r="C1512" s="1" t="str">
        <x:v>call</x:v>
      </x:c>
      <x:c r="D1512" s="11" t="n">
        <x:v>7400</x:v>
      </x:c>
      <x:c r="E1512" s="11" t="n">
        <x:v>7600</x:v>
      </x:c>
      <x:c r="F1512" s="11" t="n">
        <x:v>7800</x:v>
      </x:c>
      <x:c r="G1512" s="11" t="n">
        <x:f>'Option source'!B298</x:f>
        <x:v>396.15</x:v>
      </x:c>
      <x:c r="H1512" s="11" t="n">
        <x:f>'Option source'!B317</x:f>
        <x:v>327.63</x:v>
      </x:c>
      <x:c r="I1512" s="11" t="n">
        <x:f>'Option source'!B336</x:f>
        <x:v>260.44</x:v>
      </x:c>
      <x:c r="J1512" s="11" t="n">
        <x:f>G1512-2*H1512+IF(B1512="Butterfly",I1512,0)</x:f>
        <x:v>1.329999999999984</x:v>
      </x:c>
      <x:c r="K1512" s="11" t="n">
        <x:f>ABS(E1512-D1512)</x:f>
        <x:v>200</x:v>
      </x:c>
      <x:c r="L1512" s="11" t="n">
        <x:f>K1512-J1512</x:f>
        <x:v>198.67000000000002</x:v>
      </x:c>
      <x:c r="M1512" s="11" t="n">
        <x:f>IF(B1512="Butterfly",MAX(J1512,0),IF(C1512="call","Unlimited",MAX(2*E1512-D1512+J1512,J1512,0)))</x:f>
        <x:v>1.329999999999984</x:v>
      </x:c>
      <x:c r="N1512" s="11" t="n">
        <x:f>IF(B1512="Butterfly",IF(AND(J1512&gt;0,J1512&lt;K1512),D1512+J1512,"n.a."),IF(C1512="call",IF(AND(J1512&gt;0,J1512&lt;K1512),D1512+J1512,"n.a."),IF(AND(K1512&gt;J1512,2*E1512-D1512+J1512&gt;=0),2*E1512-D1512+J1512,"n.a.")))</x:f>
        <x:v>7401.33</x:v>
      </x:c>
      <x:c r="O1512" s="11" t="n">
        <x:f>IF(B1512="Butterfly",IF(AND(J1512&gt;0,J1512&lt;K1512),F1512-J1512,"n.a."),IF(C1512="call",IF(K1512&gt;J1512,2*E1512-D1512-J1512,"n.a."),IF(AND(J1512&gt;0,J1512&lt;K1512),D1512-J1512,"n.a.")))</x:f>
        <x:v>7798.67</x:v>
      </x:c>
      <x:c r="P1512" s="19" t="n">
        <x:f>IF(AND(B1512="Butterfly",J1512&gt;0,J1512&lt;K1512),L1512/J1512,"n.a.")</x:f>
        <x:v>149.37593984962587</x:v>
      </x:c>
      <x:c r="Q1512" s="11" t="n">
        <x:f>J1512*'Model inputs'!$B$8</x:f>
        <x:v>132.9999999999984</x:v>
      </x:c>
      <x:c r="R1512" s="1" t="str">
        <x:v>Indicative only</x:v>
      </x:c>
      <x:c r="S1512" s="1" t="n">
        <x:v>293</x:v>
      </x:c>
      <x:c r="T1512" s="1" t="n">
        <x:v>312</x:v>
      </x:c>
    </x:row>
    <x:row r="1513" ht="21" customHeight="1">
      <x:c r="A1513" s="12" t="n">
        <x:v>46258</x:v>
      </x:c>
      <x:c r="B1513" s="1" t="str">
        <x:v>Butterfly</x:v>
      </x:c>
      <x:c r="C1513" s="1" t="str">
        <x:v>put</x:v>
      </x:c>
      <x:c r="D1513" s="11" t="n">
        <x:v>7400</x:v>
      </x:c>
      <x:c r="E1513" s="11" t="n">
        <x:v>7600</x:v>
      </x:c>
      <x:c r="F1513" s="11" t="n">
        <x:v>7800</x:v>
      </x:c>
      <x:c r="G1513" s="11" t="n">
        <x:f>'Option source'!B792</x:f>
        <x:v>620</x:v>
      </x:c>
      <x:c r="H1513" s="11" t="n">
        <x:f>'Option source'!B811</x:f>
        <x:v>711</x:v>
      </x:c>
      <x:c r="I1513" s="11" t="n">
        <x:f>'Option source'!B830</x:f>
        <x:v>871</x:v>
      </x:c>
      <x:c r="J1513" s="11" t="n">
        <x:f>G1513-2*H1513+IF(B1513="Butterfly",I1513,0)</x:f>
        <x:v>69</x:v>
      </x:c>
      <x:c r="K1513" s="11" t="n">
        <x:f>ABS(E1513-D1513)</x:f>
        <x:v>200</x:v>
      </x:c>
      <x:c r="L1513" s="11" t="n">
        <x:f>K1513-J1513</x:f>
        <x:v>131</x:v>
      </x:c>
      <x:c r="M1513" s="11" t="n">
        <x:f>IF(B1513="Butterfly",MAX(J1513,0),IF(C1513="call","Unlimited",MAX(2*E1513-D1513+J1513,J1513,0)))</x:f>
        <x:v>69</x:v>
      </x:c>
      <x:c r="N1513" s="11" t="n">
        <x:f>IF(B1513="Butterfly",IF(AND(J1513&gt;0,J1513&lt;K1513),D1513+J1513,"n.a."),IF(C1513="call",IF(AND(J1513&gt;0,J1513&lt;K1513),D1513+J1513,"n.a."),IF(AND(K1513&gt;J1513,2*E1513-D1513+J1513&gt;=0),2*E1513-D1513+J1513,"n.a.")))</x:f>
        <x:v>7469</x:v>
      </x:c>
      <x:c r="O1513" s="11" t="n">
        <x:f>IF(B1513="Butterfly",IF(AND(J1513&gt;0,J1513&lt;K1513),F1513-J1513,"n.a."),IF(C1513="call",IF(K1513&gt;J1513,2*E1513-D1513-J1513,"n.a."),IF(AND(J1513&gt;0,J1513&lt;K1513),D1513-J1513,"n.a.")))</x:f>
        <x:v>7731</x:v>
      </x:c>
      <x:c r="P1513" s="19" t="n">
        <x:f>IF(AND(B1513="Butterfly",J1513&gt;0,J1513&lt;K1513),L1513/J1513,"n.a.")</x:f>
        <x:v>1.8985507246376812</x:v>
      </x:c>
      <x:c r="Q1513" s="11" t="n">
        <x:f>J1513*'Model inputs'!$B$8</x:f>
        <x:v>6900</x:v>
      </x:c>
      <x:c r="R1513" s="1" t="str">
        <x:v>Indicative only</x:v>
      </x:c>
      <x:c r="S1513" s="1" t="n">
        <x:v>787</x:v>
      </x:c>
      <x:c r="T1513" s="1" t="n">
        <x:v>806</x:v>
      </x:c>
    </x:row>
    <x:row r="1514" ht="21" customHeight="1">
      <x:c r="A1514" s="12" t="n">
        <x:v>46258</x:v>
      </x:c>
      <x:c r="B1514" s="1" t="str">
        <x:v>Butterfly</x:v>
      </x:c>
      <x:c r="C1514" s="1" t="str">
        <x:v>put</x:v>
      </x:c>
      <x:c r="D1514" s="11" t="n">
        <x:v>6000</x:v>
      </x:c>
      <x:c r="E1514" s="11" t="n">
        <x:v>6200</x:v>
      </x:c>
      <x:c r="F1514" s="11" t="n">
        <x:v>6400</x:v>
      </x:c>
      <x:c r="G1514" s="11" t="n">
        <x:f>'Option source'!B659</x:f>
        <x:v>91.55</x:v>
      </x:c>
      <x:c r="H1514" s="11" t="n">
        <x:f>'Option source'!B678</x:f>
        <x:v>127.23</x:v>
      </x:c>
      <x:c r="I1514" s="11" t="n">
        <x:f>'Option source'!B697</x:f>
        <x:v>175.6</x:v>
      </x:c>
      <x:c r="J1514" s="11" t="n">
        <x:f>G1514-2*H1514+IF(B1514="Butterfly",I1514,0)</x:f>
        <x:v>12.68999999999997</x:v>
      </x:c>
      <x:c r="K1514" s="11" t="n">
        <x:f>ABS(E1514-D1514)</x:f>
        <x:v>200</x:v>
      </x:c>
      <x:c r="L1514" s="11" t="n">
        <x:f>K1514-J1514</x:f>
        <x:v>187.31000000000003</x:v>
      </x:c>
      <x:c r="M1514" s="11" t="n">
        <x:f>IF(B1514="Butterfly",MAX(J1514,0),IF(C1514="call","Unlimited",MAX(2*E1514-D1514+J1514,J1514,0)))</x:f>
        <x:v>12.68999999999997</x:v>
      </x:c>
      <x:c r="N1514" s="11" t="n">
        <x:f>IF(B1514="Butterfly",IF(AND(J1514&gt;0,J1514&lt;K1514),D1514+J1514,"n.a."),IF(C1514="call",IF(AND(J1514&gt;0,J1514&lt;K1514),D1514+J1514,"n.a."),IF(AND(K1514&gt;J1514,2*E1514-D1514+J1514&gt;=0),2*E1514-D1514+J1514,"n.a.")))</x:f>
        <x:v>6012.69</x:v>
      </x:c>
      <x:c r="O1514" s="11" t="n">
        <x:f>IF(B1514="Butterfly",IF(AND(J1514&gt;0,J1514&lt;K1514),F1514-J1514,"n.a."),IF(C1514="call",IF(K1514&gt;J1514,2*E1514-D1514-J1514,"n.a."),IF(AND(J1514&gt;0,J1514&lt;K1514),D1514-J1514,"n.a.")))</x:f>
        <x:v>6387.31</x:v>
      </x:c>
      <x:c r="P1514" s="19" t="n">
        <x:f>IF(AND(B1514="Butterfly",J1514&gt;0,J1514&lt;K1514),L1514/J1514,"n.a.")</x:f>
        <x:v>14.760441292356225</x:v>
      </x:c>
      <x:c r="Q1514" s="11" t="n">
        <x:f>J1514*'Model inputs'!$B$8</x:f>
        <x:v>1268.9999999999968</x:v>
      </x:c>
      <x:c r="R1514" s="1" t="str">
        <x:v>Indicative only</x:v>
      </x:c>
      <x:c r="S1514" s="1" t="n">
        <x:v>654</x:v>
      </x:c>
      <x:c r="T1514" s="1" t="n">
        <x:v>673</x:v>
      </x:c>
    </x:row>
    <x:row r="1515" ht="21" customHeight="1">
      <x:c r="A1515" s="12" t="n">
        <x:v>46258</x:v>
      </x:c>
      <x:c r="B1515" s="1" t="str">
        <x:v>Butterfly</x:v>
      </x:c>
      <x:c r="C1515" s="1" t="str">
        <x:v>call</x:v>
      </x:c>
      <x:c r="D1515" s="11" t="n">
        <x:v>7600</x:v>
      </x:c>
      <x:c r="E1515" s="11" t="n">
        <x:v>7800</x:v>
      </x:c>
      <x:c r="F1515" s="11" t="n">
        <x:v>8000</x:v>
      </x:c>
      <x:c r="G1515" s="11" t="n">
        <x:f>'Option source'!B317</x:f>
        <x:v>327.63</x:v>
      </x:c>
      <x:c r="H1515" s="11" t="n">
        <x:f>'Option source'!B336</x:f>
        <x:v>260.44</x:v>
      </x:c>
      <x:c r="I1515" s="11" t="n">
        <x:f>'Option source'!B355</x:f>
        <x:v>204.83</x:v>
      </x:c>
      <x:c r="J1515" s="11" t="n">
        <x:f>G1515-2*H1515+IF(B1515="Butterfly",I1515,0)</x:f>
        <x:v>11.580000000000013</x:v>
      </x:c>
      <x:c r="K1515" s="11" t="n">
        <x:f>ABS(E1515-D1515)</x:f>
        <x:v>200</x:v>
      </x:c>
      <x:c r="L1515" s="11" t="n">
        <x:f>K1515-J1515</x:f>
        <x:v>188.42</x:v>
      </x:c>
      <x:c r="M1515" s="11" t="n">
        <x:f>IF(B1515="Butterfly",MAX(J1515,0),IF(C1515="call","Unlimited",MAX(2*E1515-D1515+J1515,J1515,0)))</x:f>
        <x:v>11.580000000000013</x:v>
      </x:c>
      <x:c r="N1515" s="11" t="n">
        <x:f>IF(B1515="Butterfly",IF(AND(J1515&gt;0,J1515&lt;K1515),D1515+J1515,"n.a."),IF(C1515="call",IF(AND(J1515&gt;0,J1515&lt;K1515),D1515+J1515,"n.a."),IF(AND(K1515&gt;J1515,2*E1515-D1515+J1515&gt;=0),2*E1515-D1515+J1515,"n.a.")))</x:f>
        <x:v>7611.58</x:v>
      </x:c>
      <x:c r="O1515" s="11" t="n">
        <x:f>IF(B1515="Butterfly",IF(AND(J1515&gt;0,J1515&lt;K1515),F1515-J1515,"n.a."),IF(C1515="call",IF(K1515&gt;J1515,2*E1515-D1515-J1515,"n.a."),IF(AND(J1515&gt;0,J1515&lt;K1515),D1515-J1515,"n.a.")))</x:f>
        <x:v>7988.42</x:v>
      </x:c>
      <x:c r="P1515" s="19" t="n">
        <x:f>IF(AND(B1515="Butterfly",J1515&gt;0,J1515&lt;K1515),L1515/J1515,"n.a.")</x:f>
        <x:v>16.271157167530205</x:v>
      </x:c>
      <x:c r="Q1515" s="11" t="n">
        <x:f>J1515*'Model inputs'!$B$8</x:f>
        <x:v>1158.0000000000014</x:v>
      </x:c>
      <x:c r="R1515" s="1" t="str">
        <x:v>Indicative only</x:v>
      </x:c>
      <x:c r="S1515" s="1" t="n">
        <x:v>312</x:v>
      </x:c>
      <x:c r="T1515" s="1" t="n">
        <x:v>331</x:v>
      </x:c>
    </x:row>
    <x:row r="1516" ht="21" customHeight="1">
      <x:c r="A1516" s="12" t="n">
        <x:v>46258</x:v>
      </x:c>
      <x:c r="B1516" s="1" t="str">
        <x:v>Butterfly</x:v>
      </x:c>
      <x:c r="C1516" s="1" t="str">
        <x:v>put</x:v>
      </x:c>
      <x:c r="D1516" s="11" t="n">
        <x:v>5800</x:v>
      </x:c>
      <x:c r="E1516" s="11" t="n">
        <x:v>6000</x:v>
      </x:c>
      <x:c r="F1516" s="11" t="n">
        <x:v>6200</x:v>
      </x:c>
      <x:c r="G1516" s="11" t="n">
        <x:f>'Option source'!B640</x:f>
        <x:v>61.45</x:v>
      </x:c>
      <x:c r="H1516" s="11" t="n">
        <x:f>'Option source'!B659</x:f>
        <x:v>91.55</x:v>
      </x:c>
      <x:c r="I1516" s="11" t="n">
        <x:f>'Option source'!B678</x:f>
        <x:v>127.23</x:v>
      </x:c>
      <x:c r="J1516" s="11" t="n">
        <x:f>G1516-2*H1516+IF(B1516="Butterfly",I1516,0)</x:f>
        <x:v>5.5800000000000125</x:v>
      </x:c>
      <x:c r="K1516" s="11" t="n">
        <x:f>ABS(E1516-D1516)</x:f>
        <x:v>200</x:v>
      </x:c>
      <x:c r="L1516" s="11" t="n">
        <x:f>K1516-J1516</x:f>
        <x:v>194.42</x:v>
      </x:c>
      <x:c r="M1516" s="11" t="n">
        <x:f>IF(B1516="Butterfly",MAX(J1516,0),IF(C1516="call","Unlimited",MAX(2*E1516-D1516+J1516,J1516,0)))</x:f>
        <x:v>5.5800000000000125</x:v>
      </x:c>
      <x:c r="N1516" s="11" t="n">
        <x:f>IF(B1516="Butterfly",IF(AND(J1516&gt;0,J1516&lt;K1516),D1516+J1516,"n.a."),IF(C1516="call",IF(AND(J1516&gt;0,J1516&lt;K1516),D1516+J1516,"n.a."),IF(AND(K1516&gt;J1516,2*E1516-D1516+J1516&gt;=0),2*E1516-D1516+J1516,"n.a.")))</x:f>
        <x:v>5805.58</x:v>
      </x:c>
      <x:c r="O1516" s="11" t="n">
        <x:f>IF(B1516="Butterfly",IF(AND(J1516&gt;0,J1516&lt;K1516),F1516-J1516,"n.a."),IF(C1516="call",IF(K1516&gt;J1516,2*E1516-D1516-J1516,"n.a."),IF(AND(J1516&gt;0,J1516&lt;K1516),D1516-J1516,"n.a.")))</x:f>
        <x:v>6194.42</x:v>
      </x:c>
      <x:c r="P1516" s="19" t="n">
        <x:f>IF(AND(B1516="Butterfly",J1516&gt;0,J1516&lt;K1516),L1516/J1516,"n.a.")</x:f>
        <x:v>34.84229390680996</x:v>
      </x:c>
      <x:c r="Q1516" s="11" t="n">
        <x:f>J1516*'Model inputs'!$B$8</x:f>
        <x:v>558.0000000000013</x:v>
      </x:c>
      <x:c r="R1516" s="1" t="str">
        <x:v>Indicative only</x:v>
      </x:c>
      <x:c r="S1516" s="1" t="n">
        <x:v>635</x:v>
      </x:c>
      <x:c r="T1516" s="1" t="n">
        <x:v>654</x:v>
      </x:c>
    </x:row>
    <x:row r="1517" ht="21" customHeight="1">
      <x:c r="A1517" s="12" t="n">
        <x:v>46258</x:v>
      </x:c>
      <x:c r="B1517" s="1" t="str">
        <x:v>Butterfly</x:v>
      </x:c>
      <x:c r="C1517" s="1" t="str">
        <x:v>put</x:v>
      </x:c>
      <x:c r="D1517" s="11" t="n">
        <x:v>5600</x:v>
      </x:c>
      <x:c r="E1517" s="11" t="n">
        <x:v>5800</x:v>
      </x:c>
      <x:c r="F1517" s="11" t="n">
        <x:v>6000</x:v>
      </x:c>
      <x:c r="G1517" s="11" t="n">
        <x:f>'Option source'!B621</x:f>
        <x:v>39.35</x:v>
      </x:c>
      <x:c r="H1517" s="11" t="n">
        <x:f>'Option source'!B640</x:f>
        <x:v>61.45</x:v>
      </x:c>
      <x:c r="I1517" s="11" t="n">
        <x:f>'Option source'!B659</x:f>
        <x:v>91.55</x:v>
      </x:c>
      <x:c r="J1517" s="11" t="n">
        <x:f>G1517-2*H1517+IF(B1517="Butterfly",I1517,0)</x:f>
        <x:v>7.999999999999986</x:v>
      </x:c>
      <x:c r="K1517" s="11" t="n">
        <x:f>ABS(E1517-D1517)</x:f>
        <x:v>200</x:v>
      </x:c>
      <x:c r="L1517" s="11" t="n">
        <x:f>K1517-J1517</x:f>
        <x:v>192</x:v>
      </x:c>
      <x:c r="M1517" s="11" t="n">
        <x:f>IF(B1517="Butterfly",MAX(J1517,0),IF(C1517="call","Unlimited",MAX(2*E1517-D1517+J1517,J1517,0)))</x:f>
        <x:v>7.999999999999986</x:v>
      </x:c>
      <x:c r="N1517" s="11" t="n">
        <x:f>IF(B1517="Butterfly",IF(AND(J1517&gt;0,J1517&lt;K1517),D1517+J1517,"n.a."),IF(C1517="call",IF(AND(J1517&gt;0,J1517&lt;K1517),D1517+J1517,"n.a."),IF(AND(K1517&gt;J1517,2*E1517-D1517+J1517&gt;=0),2*E1517-D1517+J1517,"n.a.")))</x:f>
        <x:v>5608</x:v>
      </x:c>
      <x:c r="O1517" s="11" t="n">
        <x:f>IF(B1517="Butterfly",IF(AND(J1517&gt;0,J1517&lt;K1517),F1517-J1517,"n.a."),IF(C1517="call",IF(K1517&gt;J1517,2*E1517-D1517-J1517,"n.a."),IF(AND(J1517&gt;0,J1517&lt;K1517),D1517-J1517,"n.a.")))</x:f>
        <x:v>5992</x:v>
      </x:c>
      <x:c r="P1517" s="19" t="n">
        <x:f>IF(AND(B1517="Butterfly",J1517&gt;0,J1517&lt;K1517),L1517/J1517,"n.a.")</x:f>
        <x:v>24.000000000000043</x:v>
      </x:c>
      <x:c r="Q1517" s="11" t="n">
        <x:f>J1517*'Model inputs'!$B$8</x:f>
        <x:v>799.9999999999986</x:v>
      </x:c>
      <x:c r="R1517" s="1" t="str">
        <x:v>Indicative only</x:v>
      </x:c>
      <x:c r="S1517" s="1" t="n">
        <x:v>616</x:v>
      </x:c>
      <x:c r="T1517" s="1" t="n">
        <x:v>635</x:v>
      </x:c>
    </x:row>
    <x:row r="1518" ht="21" customHeight="1">
      <x:c r="A1518" s="12" t="n">
        <x:v>46258</x:v>
      </x:c>
      <x:c r="B1518" s="1" t="str">
        <x:v>Butterfly</x:v>
      </x:c>
      <x:c r="C1518" s="1" t="str">
        <x:v>call</x:v>
      </x:c>
      <x:c r="D1518" s="11" t="n">
        <x:v>8000</x:v>
      </x:c>
      <x:c r="E1518" s="11" t="n">
        <x:v>8300</x:v>
      </x:c>
      <x:c r="F1518" s="11" t="n">
        <x:v>8600</x:v>
      </x:c>
      <x:c r="G1518" s="11" t="n">
        <x:f>'Option source'!B355</x:f>
        <x:v>204.83</x:v>
      </x:c>
      <x:c r="H1518" s="11" t="n">
        <x:f>'Option source'!B374</x:f>
        <x:v>139.29</x:v>
      </x:c>
      <x:c r="I1518" s="11" t="n">
        <x:f>'Option source'!B393</x:f>
        <x:v>95.25</x:v>
      </x:c>
      <x:c r="J1518" s="11" t="n">
        <x:f>G1518-2*H1518+IF(B1518="Butterfly",I1518,0)</x:f>
        <x:v>21.50000000000003</x:v>
      </x:c>
      <x:c r="K1518" s="11" t="n">
        <x:f>ABS(E1518-D1518)</x:f>
        <x:v>300</x:v>
      </x:c>
      <x:c r="L1518" s="11" t="n">
        <x:f>K1518-J1518</x:f>
        <x:v>278.5</x:v>
      </x:c>
      <x:c r="M1518" s="11" t="n">
        <x:f>IF(B1518="Butterfly",MAX(J1518,0),IF(C1518="call","Unlimited",MAX(2*E1518-D1518+J1518,J1518,0)))</x:f>
        <x:v>21.50000000000003</x:v>
      </x:c>
      <x:c r="N1518" s="11" t="n">
        <x:f>IF(B1518="Butterfly",IF(AND(J1518&gt;0,J1518&lt;K1518),D1518+J1518,"n.a."),IF(C1518="call",IF(AND(J1518&gt;0,J1518&lt;K1518),D1518+J1518,"n.a."),IF(AND(K1518&gt;J1518,2*E1518-D1518+J1518&gt;=0),2*E1518-D1518+J1518,"n.a.")))</x:f>
        <x:v>8021.5</x:v>
      </x:c>
      <x:c r="O1518" s="11" t="n">
        <x:f>IF(B1518="Butterfly",IF(AND(J1518&gt;0,J1518&lt;K1518),F1518-J1518,"n.a."),IF(C1518="call",IF(K1518&gt;J1518,2*E1518-D1518-J1518,"n.a."),IF(AND(J1518&gt;0,J1518&lt;K1518),D1518-J1518,"n.a.")))</x:f>
        <x:v>8578.5</x:v>
      </x:c>
      <x:c r="P1518" s="19" t="n">
        <x:f>IF(AND(B1518="Butterfly",J1518&gt;0,J1518&lt;K1518),L1518/J1518,"n.a.")</x:f>
        <x:v>12.953488372093005</x:v>
      </x:c>
      <x:c r="Q1518" s="11" t="n">
        <x:f>J1518*'Model inputs'!$B$8</x:f>
        <x:v>2150.0000000000027</x:v>
      </x:c>
      <x:c r="R1518" s="1" t="str">
        <x:v>Indicative only</x:v>
      </x:c>
      <x:c r="S1518" s="1" t="n">
        <x:v>350</x:v>
      </x:c>
      <x:c r="T1518" s="1" t="n">
        <x:v>369</x:v>
      </x:c>
    </x:row>
    <x:row r="1519" ht="21" customHeight="1">
      <x:c r="A1519" s="12" t="n">
        <x:v>46258</x:v>
      </x:c>
      <x:c r="B1519" s="1" t="str">
        <x:v>Butterfly</x:v>
      </x:c>
      <x:c r="C1519" s="1" t="str">
        <x:v>put</x:v>
      </x:c>
      <x:c r="D1519" s="11" t="n">
        <x:v>5400</x:v>
      </x:c>
      <x:c r="E1519" s="11" t="n">
        <x:v>5600</x:v>
      </x:c>
      <x:c r="F1519" s="11" t="n">
        <x:v>5800</x:v>
      </x:c>
      <x:c r="G1519" s="11" t="n">
        <x:f>'Option source'!B602</x:f>
        <x:v>26.64</x:v>
      </x:c>
      <x:c r="H1519" s="11" t="n">
        <x:f>'Option source'!B621</x:f>
        <x:v>39.35</x:v>
      </x:c>
      <x:c r="I1519" s="11" t="n">
        <x:f>'Option source'!B640</x:f>
        <x:v>61.45</x:v>
      </x:c>
      <x:c r="J1519" s="11" t="n">
        <x:f>G1519-2*H1519+IF(B1519="Butterfly",I1519,0)</x:f>
        <x:v>9.39</x:v>
      </x:c>
      <x:c r="K1519" s="11" t="n">
        <x:f>ABS(E1519-D1519)</x:f>
        <x:v>200</x:v>
      </x:c>
      <x:c r="L1519" s="11" t="n">
        <x:f>K1519-J1519</x:f>
        <x:v>190.61</x:v>
      </x:c>
      <x:c r="M1519" s="11" t="n">
        <x:f>IF(B1519="Butterfly",MAX(J1519,0),IF(C1519="call","Unlimited",MAX(2*E1519-D1519+J1519,J1519,0)))</x:f>
        <x:v>9.39</x:v>
      </x:c>
      <x:c r="N1519" s="11" t="n">
        <x:f>IF(B1519="Butterfly",IF(AND(J1519&gt;0,J1519&lt;K1519),D1519+J1519,"n.a."),IF(C1519="call",IF(AND(J1519&gt;0,J1519&lt;K1519),D1519+J1519,"n.a."),IF(AND(K1519&gt;J1519,2*E1519-D1519+J1519&gt;=0),2*E1519-D1519+J1519,"n.a.")))</x:f>
        <x:v>5409.39</x:v>
      </x:c>
      <x:c r="O1519" s="11" t="n">
        <x:f>IF(B1519="Butterfly",IF(AND(J1519&gt;0,J1519&lt;K1519),F1519-J1519,"n.a."),IF(C1519="call",IF(K1519&gt;J1519,2*E1519-D1519-J1519,"n.a."),IF(AND(J1519&gt;0,J1519&lt;K1519),D1519-J1519,"n.a.")))</x:f>
        <x:v>5790.61</x:v>
      </x:c>
      <x:c r="P1519" s="19" t="n">
        <x:f>IF(AND(B1519="Butterfly",J1519&gt;0,J1519&lt;K1519),L1519/J1519,"n.a.")</x:f>
        <x:v>20.299254526091588</x:v>
      </x:c>
      <x:c r="Q1519" s="11" t="n">
        <x:f>J1519*'Model inputs'!$B$8</x:f>
        <x:v>939</x:v>
      </x:c>
      <x:c r="R1519" s="1" t="str">
        <x:v>Indicative only</x:v>
      </x:c>
      <x:c r="S1519" s="1" t="n">
        <x:v>597</x:v>
      </x:c>
      <x:c r="T1519" s="1" t="n">
        <x:v>616</x:v>
      </x:c>
    </x:row>
    <x:row r="1520" ht="21" customHeight="1">
      <x:c r="A1520" s="12" t="n">
        <x:v>46258</x:v>
      </x:c>
      <x:c r="B1520" s="1" t="str">
        <x:v>Butterfly</x:v>
      </x:c>
      <x:c r="C1520" s="1" t="str">
        <x:v>put</x:v>
      </x:c>
      <x:c r="D1520" s="11" t="n">
        <x:v>5200</x:v>
      </x:c>
      <x:c r="E1520" s="11" t="n">
        <x:v>5400</x:v>
      </x:c>
      <x:c r="F1520" s="11" t="n">
        <x:v>5600</x:v>
      </x:c>
      <x:c r="G1520" s="11" t="n">
        <x:f>'Option source'!B583</x:f>
        <x:v>16.73</x:v>
      </x:c>
      <x:c r="H1520" s="11" t="n">
        <x:f>'Option source'!B602</x:f>
        <x:v>26.64</x:v>
      </x:c>
      <x:c r="I1520" s="11" t="n">
        <x:f>'Option source'!B621</x:f>
        <x:v>39.35</x:v>
      </x:c>
      <x:c r="J1520" s="11" t="n">
        <x:f>G1520-2*H1520+IF(B1520="Butterfly",I1520,0)</x:f>
        <x:v>2.8000000000000043</x:v>
      </x:c>
      <x:c r="K1520" s="11" t="n">
        <x:f>ABS(E1520-D1520)</x:f>
        <x:v>200</x:v>
      </x:c>
      <x:c r="L1520" s="11" t="n">
        <x:f>K1520-J1520</x:f>
        <x:v>197.2</x:v>
      </x:c>
      <x:c r="M1520" s="11" t="n">
        <x:f>IF(B1520="Butterfly",MAX(J1520,0),IF(C1520="call","Unlimited",MAX(2*E1520-D1520+J1520,J1520,0)))</x:f>
        <x:v>2.8000000000000043</x:v>
      </x:c>
      <x:c r="N1520" s="11" t="n">
        <x:f>IF(B1520="Butterfly",IF(AND(J1520&gt;0,J1520&lt;K1520),D1520+J1520,"n.a."),IF(C1520="call",IF(AND(J1520&gt;0,J1520&lt;K1520),D1520+J1520,"n.a."),IF(AND(K1520&gt;J1520,2*E1520-D1520+J1520&gt;=0),2*E1520-D1520+J1520,"n.a.")))</x:f>
        <x:v>5202.8</x:v>
      </x:c>
      <x:c r="O1520" s="11" t="n">
        <x:f>IF(B1520="Butterfly",IF(AND(J1520&gt;0,J1520&lt;K1520),F1520-J1520,"n.a."),IF(C1520="call",IF(K1520&gt;J1520,2*E1520-D1520-J1520,"n.a."),IF(AND(J1520&gt;0,J1520&lt;K1520),D1520-J1520,"n.a.")))</x:f>
        <x:v>5597.2</x:v>
      </x:c>
      <x:c r="P1520" s="19" t="n">
        <x:f>IF(AND(B1520="Butterfly",J1520&gt;0,J1520&lt;K1520),L1520/J1520,"n.a.")</x:f>
        <x:v>70.42857142857132</x:v>
      </x:c>
      <x:c r="Q1520" s="11" t="n">
        <x:f>J1520*'Model inputs'!$B$8</x:f>
        <x:v>280.00000000000045</x:v>
      </x:c>
      <x:c r="R1520" s="1" t="str">
        <x:v>Indicative only</x:v>
      </x:c>
      <x:c r="S1520" s="1" t="n">
        <x:v>578</x:v>
      </x:c>
      <x:c r="T1520" s="1" t="n">
        <x:v>597</x:v>
      </x:c>
    </x:row>
    <x:row r="1521" ht="21" customHeight="1">
      <x:c r="A1521" s="12" t="n">
        <x:v>46258</x:v>
      </x:c>
      <x:c r="B1521" s="1" t="str">
        <x:v>Butterfly</x:v>
      </x:c>
      <x:c r="C1521" s="1" t="str">
        <x:v>call</x:v>
      </x:c>
      <x:c r="D1521" s="11" t="n">
        <x:v>8300</x:v>
      </x:c>
      <x:c r="E1521" s="11" t="n">
        <x:v>8600</x:v>
      </x:c>
      <x:c r="F1521" s="11" t="n">
        <x:v>8900</x:v>
      </x:c>
      <x:c r="G1521" s="11" t="n">
        <x:f>'Option source'!B374</x:f>
        <x:v>139.29</x:v>
      </x:c>
      <x:c r="H1521" s="11" t="n">
        <x:f>'Option source'!B393</x:f>
        <x:v>95.25</x:v>
      </x:c>
      <x:c r="I1521" s="11" t="n">
        <x:f>'Option source'!B412</x:f>
        <x:v>63.96</x:v>
      </x:c>
      <x:c r="J1521" s="11" t="n">
        <x:f>G1521-2*H1521+IF(B1521="Butterfly",I1521,0)</x:f>
        <x:v>12.749999999999993</x:v>
      </x:c>
      <x:c r="K1521" s="11" t="n">
        <x:f>ABS(E1521-D1521)</x:f>
        <x:v>300</x:v>
      </x:c>
      <x:c r="L1521" s="11" t="n">
        <x:f>K1521-J1521</x:f>
        <x:v>287.25</x:v>
      </x:c>
      <x:c r="M1521" s="11" t="n">
        <x:f>IF(B1521="Butterfly",MAX(J1521,0),IF(C1521="call","Unlimited",MAX(2*E1521-D1521+J1521,J1521,0)))</x:f>
        <x:v>12.749999999999993</x:v>
      </x:c>
      <x:c r="N1521" s="11" t="n">
        <x:f>IF(B1521="Butterfly",IF(AND(J1521&gt;0,J1521&lt;K1521),D1521+J1521,"n.a."),IF(C1521="call",IF(AND(J1521&gt;0,J1521&lt;K1521),D1521+J1521,"n.a."),IF(AND(K1521&gt;J1521,2*E1521-D1521+J1521&gt;=0),2*E1521-D1521+J1521,"n.a.")))</x:f>
        <x:v>8312.75</x:v>
      </x:c>
      <x:c r="O1521" s="11" t="n">
        <x:f>IF(B1521="Butterfly",IF(AND(J1521&gt;0,J1521&lt;K1521),F1521-J1521,"n.a."),IF(C1521="call",IF(K1521&gt;J1521,2*E1521-D1521-J1521,"n.a."),IF(AND(J1521&gt;0,J1521&lt;K1521),D1521-J1521,"n.a.")))</x:f>
        <x:v>8887.25</x:v>
      </x:c>
      <x:c r="P1521" s="19" t="n">
        <x:f>IF(AND(B1521="Butterfly",J1521&gt;0,J1521&lt;K1521),L1521/J1521,"n.a.")</x:f>
        <x:v>22.529411764705895</x:v>
      </x:c>
      <x:c r="Q1521" s="11" t="n">
        <x:f>J1521*'Model inputs'!$B$8</x:f>
        <x:v>1274.9999999999993</x:v>
      </x:c>
      <x:c r="R1521" s="1" t="str">
        <x:v>Indicative only</x:v>
      </x:c>
      <x:c r="S1521" s="1" t="n">
        <x:v>369</x:v>
      </x:c>
      <x:c r="T1521" s="1" t="n">
        <x:v>388</x:v>
      </x:c>
    </x:row>
    <x:row r="1522" ht="21" customHeight="1">
      <x:c r="A1522" s="12" t="n">
        <x:v>46258</x:v>
      </x:c>
      <x:c r="B1522" s="1" t="str">
        <x:v>Butterfly</x:v>
      </x:c>
      <x:c r="C1522" s="1" t="str">
        <x:v>put</x:v>
      </x:c>
      <x:c r="D1522" s="11" t="n">
        <x:v>5000</x:v>
      </x:c>
      <x:c r="E1522" s="11" t="n">
        <x:v>5200</x:v>
      </x:c>
      <x:c r="F1522" s="11" t="n">
        <x:v>5400</x:v>
      </x:c>
      <x:c r="G1522" s="11" t="n">
        <x:f>'Option source'!B564</x:f>
        <x:v>11.17</x:v>
      </x:c>
      <x:c r="H1522" s="11" t="n">
        <x:f>'Option source'!B583</x:f>
        <x:v>16.73</x:v>
      </x:c>
      <x:c r="I1522" s="11" t="n">
        <x:f>'Option source'!B602</x:f>
        <x:v>26.64</x:v>
      </x:c>
      <x:c r="J1522" s="11" t="n">
        <x:f>G1522-2*H1522+IF(B1522="Butterfly",I1522,0)</x:f>
        <x:v>4.350000000000001</x:v>
      </x:c>
      <x:c r="K1522" s="11" t="n">
        <x:f>ABS(E1522-D1522)</x:f>
        <x:v>200</x:v>
      </x:c>
      <x:c r="L1522" s="11" t="n">
        <x:f>K1522-J1522</x:f>
        <x:v>195.65</x:v>
      </x:c>
      <x:c r="M1522" s="11" t="n">
        <x:f>IF(B1522="Butterfly",MAX(J1522,0),IF(C1522="call","Unlimited",MAX(2*E1522-D1522+J1522,J1522,0)))</x:f>
        <x:v>4.350000000000001</x:v>
      </x:c>
      <x:c r="N1522" s="11" t="n">
        <x:f>IF(B1522="Butterfly",IF(AND(J1522&gt;0,J1522&lt;K1522),D1522+J1522,"n.a."),IF(C1522="call",IF(AND(J1522&gt;0,J1522&lt;K1522),D1522+J1522,"n.a."),IF(AND(K1522&gt;J1522,2*E1522-D1522+J1522&gt;=0),2*E1522-D1522+J1522,"n.a.")))</x:f>
        <x:v>5004.35</x:v>
      </x:c>
      <x:c r="O1522" s="11" t="n">
        <x:f>IF(B1522="Butterfly",IF(AND(J1522&gt;0,J1522&lt;K1522),F1522-J1522,"n.a."),IF(C1522="call",IF(K1522&gt;J1522,2*E1522-D1522-J1522,"n.a."),IF(AND(J1522&gt;0,J1522&lt;K1522),D1522-J1522,"n.a.")))</x:f>
        <x:v>5395.65</x:v>
      </x:c>
      <x:c r="P1522" s="19" t="n">
        <x:f>IF(AND(B1522="Butterfly",J1522&gt;0,J1522&lt;K1522),L1522/J1522,"n.a.")</x:f>
        <x:v>44.977011494252864</x:v>
      </x:c>
      <x:c r="Q1522" s="11" t="n">
        <x:f>J1522*'Model inputs'!$B$8</x:f>
        <x:v>435.0000000000001</x:v>
      </x:c>
      <x:c r="R1522" s="1" t="str">
        <x:v>Indicative only</x:v>
      </x:c>
      <x:c r="S1522" s="1" t="n">
        <x:v>559</x:v>
      </x:c>
      <x:c r="T1522" s="1" t="n">
        <x:v>578</x:v>
      </x:c>
    </x:row>
    <x:row r="1523" ht="21" customHeight="1">
      <x:c r="A1523" s="12" t="n">
        <x:v>46258</x:v>
      </x:c>
      <x:c r="B1523" s="1" t="str">
        <x:v>Butterfly</x:v>
      </x:c>
      <x:c r="C1523" s="1" t="str">
        <x:v>call</x:v>
      </x:c>
      <x:c r="D1523" s="11" t="n">
        <x:v>8600</x:v>
      </x:c>
      <x:c r="E1523" s="11" t="n">
        <x:v>8900</x:v>
      </x:c>
      <x:c r="F1523" s="11" t="n">
        <x:v>9200</x:v>
      </x:c>
      <x:c r="G1523" s="11" t="n">
        <x:f>'Option source'!B393</x:f>
        <x:v>95.25</x:v>
      </x:c>
      <x:c r="H1523" s="11" t="n">
        <x:f>'Option source'!B412</x:f>
        <x:v>63.96</x:v>
      </x:c>
      <x:c r="I1523" s="11" t="n">
        <x:f>'Option source'!B431</x:f>
        <x:v>43.1</x:v>
      </x:c>
      <x:c r="J1523" s="11" t="n">
        <x:f>G1523-2*H1523+IF(B1523="Butterfly",I1523,0)</x:f>
        <x:v>10.43</x:v>
      </x:c>
      <x:c r="K1523" s="11" t="n">
        <x:f>ABS(E1523-D1523)</x:f>
        <x:v>300</x:v>
      </x:c>
      <x:c r="L1523" s="11" t="n">
        <x:f>K1523-J1523</x:f>
        <x:v>289.57</x:v>
      </x:c>
      <x:c r="M1523" s="11" t="n">
        <x:f>IF(B1523="Butterfly",MAX(J1523,0),IF(C1523="call","Unlimited",MAX(2*E1523-D1523+J1523,J1523,0)))</x:f>
        <x:v>10.43</x:v>
      </x:c>
      <x:c r="N1523" s="11" t="n">
        <x:f>IF(B1523="Butterfly",IF(AND(J1523&gt;0,J1523&lt;K1523),D1523+J1523,"n.a."),IF(C1523="call",IF(AND(J1523&gt;0,J1523&lt;K1523),D1523+J1523,"n.a."),IF(AND(K1523&gt;J1523,2*E1523-D1523+J1523&gt;=0),2*E1523-D1523+J1523,"n.a.")))</x:f>
        <x:v>8610.43</x:v>
      </x:c>
      <x:c r="O1523" s="11" t="n">
        <x:f>IF(B1523="Butterfly",IF(AND(J1523&gt;0,J1523&lt;K1523),F1523-J1523,"n.a."),IF(C1523="call",IF(K1523&gt;J1523,2*E1523-D1523-J1523,"n.a."),IF(AND(J1523&gt;0,J1523&lt;K1523),D1523-J1523,"n.a.")))</x:f>
        <x:v>9189.57</x:v>
      </x:c>
      <x:c r="P1523" s="19" t="n">
        <x:f>IF(AND(B1523="Butterfly",J1523&gt;0,J1523&lt;K1523),L1523/J1523,"n.a.")</x:f>
        <x:v>27.763183125599234</x:v>
      </x:c>
      <x:c r="Q1523" s="11" t="n">
        <x:f>J1523*'Model inputs'!$B$8</x:f>
        <x:v>1043</x:v>
      </x:c>
      <x:c r="R1523" s="1" t="str">
        <x:v>Indicative only</x:v>
      </x:c>
      <x:c r="S1523" s="1" t="n">
        <x:v>388</x:v>
      </x:c>
      <x:c r="T1523" s="1" t="n">
        <x:v>407</x:v>
      </x:c>
    </x:row>
    <x:row r="1524" ht="21" customHeight="1">
      <x:c r="A1524" s="12" t="n">
        <x:v>46258</x:v>
      </x:c>
      <x:c r="B1524" s="1" t="str">
        <x:v>Butterfly</x:v>
      </x:c>
      <x:c r="C1524" s="1" t="str">
        <x:v>put</x:v>
      </x:c>
      <x:c r="D1524" s="11" t="n">
        <x:v>4800</x:v>
      </x:c>
      <x:c r="E1524" s="11" t="n">
        <x:v>5000</x:v>
      </x:c>
      <x:c r="F1524" s="11" t="n">
        <x:v>5200</x:v>
      </x:c>
      <x:c r="G1524" s="11" t="n">
        <x:f>'Option source'!B545</x:f>
        <x:v>6</x:v>
      </x:c>
      <x:c r="H1524" s="11" t="n">
        <x:f>'Option source'!B564</x:f>
        <x:v>11.17</x:v>
      </x:c>
      <x:c r="I1524" s="11" t="n">
        <x:f>'Option source'!B583</x:f>
        <x:v>16.73</x:v>
      </x:c>
      <x:c r="J1524" s="11" t="n">
        <x:f>G1524-2*H1524+IF(B1524="Butterfly",I1524,0)</x:f>
        <x:v>0.39000000000000057</x:v>
      </x:c>
      <x:c r="K1524" s="11" t="n">
        <x:f>ABS(E1524-D1524)</x:f>
        <x:v>200</x:v>
      </x:c>
      <x:c r="L1524" s="11" t="n">
        <x:f>K1524-J1524</x:f>
        <x:v>199.61</x:v>
      </x:c>
      <x:c r="M1524" s="11" t="n">
        <x:f>IF(B1524="Butterfly",MAX(J1524,0),IF(C1524="call","Unlimited",MAX(2*E1524-D1524+J1524,J1524,0)))</x:f>
        <x:v>0.39000000000000057</x:v>
      </x:c>
      <x:c r="N1524" s="11" t="n">
        <x:f>IF(B1524="Butterfly",IF(AND(J1524&gt;0,J1524&lt;K1524),D1524+J1524,"n.a."),IF(C1524="call",IF(AND(J1524&gt;0,J1524&lt;K1524),D1524+J1524,"n.a."),IF(AND(K1524&gt;J1524,2*E1524-D1524+J1524&gt;=0),2*E1524-D1524+J1524,"n.a.")))</x:f>
        <x:v>4800.39</x:v>
      </x:c>
      <x:c r="O1524" s="11" t="n">
        <x:f>IF(B1524="Butterfly",IF(AND(J1524&gt;0,J1524&lt;K1524),F1524-J1524,"n.a."),IF(C1524="call",IF(K1524&gt;J1524,2*E1524-D1524-J1524,"n.a."),IF(AND(J1524&gt;0,J1524&lt;K1524),D1524-J1524,"n.a.")))</x:f>
        <x:v>5199.61</x:v>
      </x:c>
      <x:c r="P1524" s="19" t="n">
        <x:f>IF(AND(B1524="Butterfly",J1524&gt;0,J1524&lt;K1524),L1524/J1524,"n.a.")</x:f>
        <x:v>511.82051282051214</x:v>
      </x:c>
      <x:c r="Q1524" s="11" t="n">
        <x:f>J1524*'Model inputs'!$B$8</x:f>
        <x:v>39.00000000000006</x:v>
      </x:c>
      <x:c r="R1524" s="1" t="str">
        <x:v>Indicative only</x:v>
      </x:c>
      <x:c r="S1524" s="1" t="n">
        <x:v>540</x:v>
      </x:c>
      <x:c r="T1524" s="1" t="n">
        <x:v>559</x:v>
      </x:c>
    </x:row>
    <x:row r="1525" ht="21" customHeight="1">
      <x:c r="A1525" s="12" t="n">
        <x:v>46258</x:v>
      </x:c>
      <x:c r="B1525" s="1" t="str">
        <x:v>Butterfly</x:v>
      </x:c>
      <x:c r="C1525" s="1" t="str">
        <x:v>put</x:v>
      </x:c>
      <x:c r="D1525" s="11" t="n">
        <x:v>4600</x:v>
      </x:c>
      <x:c r="E1525" s="11" t="n">
        <x:v>4800</x:v>
      </x:c>
      <x:c r="F1525" s="11" t="n">
        <x:v>5000</x:v>
      </x:c>
      <x:c r="G1525" s="11" t="n">
        <x:f>'Option source'!B526</x:f>
        <x:v>4.68</x:v>
      </x:c>
      <x:c r="H1525" s="11" t="n">
        <x:f>'Option source'!B545</x:f>
        <x:v>6</x:v>
      </x:c>
      <x:c r="I1525" s="11" t="n">
        <x:f>'Option source'!B564</x:f>
        <x:v>11.17</x:v>
      </x:c>
      <x:c r="J1525" s="11" t="n">
        <x:f>G1525-2*H1525+IF(B1525="Butterfly",I1525,0)</x:f>
        <x:v>3.8499999999999996</x:v>
      </x:c>
      <x:c r="K1525" s="11" t="n">
        <x:f>ABS(E1525-D1525)</x:f>
        <x:v>200</x:v>
      </x:c>
      <x:c r="L1525" s="11" t="n">
        <x:f>K1525-J1525</x:f>
        <x:v>196.15</x:v>
      </x:c>
      <x:c r="M1525" s="11" t="n">
        <x:f>IF(B1525="Butterfly",MAX(J1525,0),IF(C1525="call","Unlimited",MAX(2*E1525-D1525+J1525,J1525,0)))</x:f>
        <x:v>3.8499999999999996</x:v>
      </x:c>
      <x:c r="N1525" s="11" t="n">
        <x:f>IF(B1525="Butterfly",IF(AND(J1525&gt;0,J1525&lt;K1525),D1525+J1525,"n.a."),IF(C1525="call",IF(AND(J1525&gt;0,J1525&lt;K1525),D1525+J1525,"n.a."),IF(AND(K1525&gt;J1525,2*E1525-D1525+J1525&gt;=0),2*E1525-D1525+J1525,"n.a.")))</x:f>
        <x:v>4603.85</x:v>
      </x:c>
      <x:c r="O1525" s="11" t="n">
        <x:f>IF(B1525="Butterfly",IF(AND(J1525&gt;0,J1525&lt;K1525),F1525-J1525,"n.a."),IF(C1525="call",IF(K1525&gt;J1525,2*E1525-D1525-J1525,"n.a."),IF(AND(J1525&gt;0,J1525&lt;K1525),D1525-J1525,"n.a.")))</x:f>
        <x:v>4996.15</x:v>
      </x:c>
      <x:c r="P1525" s="19" t="n">
        <x:f>IF(AND(B1525="Butterfly",J1525&gt;0,J1525&lt;K1525),L1525/J1525,"n.a.")</x:f>
        <x:v>50.948051948051955</x:v>
      </x:c>
      <x:c r="Q1525" s="11" t="n">
        <x:f>J1525*'Model inputs'!$B$8</x:f>
        <x:v>384.99999999999994</x:v>
      </x:c>
      <x:c r="R1525" s="1" t="str">
        <x:v>Indicative only</x:v>
      </x:c>
      <x:c r="S1525" s="1" t="n">
        <x:v>521</x:v>
      </x:c>
      <x:c r="T1525" s="1" t="n">
        <x:v>540</x:v>
      </x:c>
    </x:row>
    <x:row r="1526" ht="21" customHeight="1">
      <x:c r="A1526" s="12" t="n">
        <x:v>46258</x:v>
      </x:c>
      <x:c r="B1526" s="1" t="str">
        <x:v>Butterfly</x:v>
      </x:c>
      <x:c r="C1526" s="1" t="str">
        <x:v>call</x:v>
      </x:c>
      <x:c r="D1526" s="11" t="n">
        <x:v>8900</x:v>
      </x:c>
      <x:c r="E1526" s="11" t="n">
        <x:v>9200</x:v>
      </x:c>
      <x:c r="F1526" s="11" t="n">
        <x:v>9500</x:v>
      </x:c>
      <x:c r="G1526" s="11" t="n">
        <x:f>'Option source'!B412</x:f>
        <x:v>63.96</x:v>
      </x:c>
      <x:c r="H1526" s="11" t="n">
        <x:f>'Option source'!B431</x:f>
        <x:v>43.1</x:v>
      </x:c>
      <x:c r="I1526" s="11" t="n">
        <x:f>'Option source'!B450</x:f>
        <x:v>28.72</x:v>
      </x:c>
      <x:c r="J1526" s="11" t="n">
        <x:f>G1526-2*H1526+IF(B1526="Butterfly",I1526,0)</x:f>
        <x:v>6.479999999999997</x:v>
      </x:c>
      <x:c r="K1526" s="11" t="n">
        <x:f>ABS(E1526-D1526)</x:f>
        <x:v>300</x:v>
      </x:c>
      <x:c r="L1526" s="11" t="n">
        <x:f>K1526-J1526</x:f>
        <x:v>293.52</x:v>
      </x:c>
      <x:c r="M1526" s="11" t="n">
        <x:f>IF(B1526="Butterfly",MAX(J1526,0),IF(C1526="call","Unlimited",MAX(2*E1526-D1526+J1526,J1526,0)))</x:f>
        <x:v>6.479999999999997</x:v>
      </x:c>
      <x:c r="N1526" s="11" t="n">
        <x:f>IF(B1526="Butterfly",IF(AND(J1526&gt;0,J1526&lt;K1526),D1526+J1526,"n.a."),IF(C1526="call",IF(AND(J1526&gt;0,J1526&lt;K1526),D1526+J1526,"n.a."),IF(AND(K1526&gt;J1526,2*E1526-D1526+J1526&gt;=0),2*E1526-D1526+J1526,"n.a.")))</x:f>
        <x:v>8906.48</x:v>
      </x:c>
      <x:c r="O1526" s="11" t="n">
        <x:f>IF(B1526="Butterfly",IF(AND(J1526&gt;0,J1526&lt;K1526),F1526-J1526,"n.a."),IF(C1526="call",IF(K1526&gt;J1526,2*E1526-D1526-J1526,"n.a."),IF(AND(J1526&gt;0,J1526&lt;K1526),D1526-J1526,"n.a.")))</x:f>
        <x:v>9493.52</x:v>
      </x:c>
      <x:c r="P1526" s="19" t="n">
        <x:f>IF(AND(B1526="Butterfly",J1526&gt;0,J1526&lt;K1526),L1526/J1526,"n.a.")</x:f>
        <x:v>45.29629629629631</x:v>
      </x:c>
      <x:c r="Q1526" s="11" t="n">
        <x:f>J1526*'Model inputs'!$B$8</x:f>
        <x:v>647.9999999999997</x:v>
      </x:c>
      <x:c r="R1526" s="1" t="str">
        <x:v>Indicative only</x:v>
      </x:c>
      <x:c r="S1526" s="1" t="n">
        <x:v>407</x:v>
      </x:c>
      <x:c r="T1526" s="1" t="n">
        <x:v>426</x:v>
      </x:c>
    </x:row>
    <x:row r="1527" ht="21" customHeight="1">
      <x:c r="A1527" s="12" t="n">
        <x:v>46258</x:v>
      </x:c>
      <x:c r="B1527" s="1" t="str">
        <x:v>Butterfly</x:v>
      </x:c>
      <x:c r="C1527" s="1" t="str">
        <x:v>put</x:v>
      </x:c>
      <x:c r="D1527" s="11" t="n">
        <x:v>4400</x:v>
      </x:c>
      <x:c r="E1527" s="11" t="n">
        <x:v>4600</x:v>
      </x:c>
      <x:c r="F1527" s="11" t="n">
        <x:v>4800</x:v>
      </x:c>
      <x:c r="G1527" s="11" t="n">
        <x:f>'Option source'!B507</x:f>
        <x:v>3.67</x:v>
      </x:c>
      <x:c r="H1527" s="11" t="n">
        <x:f>'Option source'!B526</x:f>
        <x:v>4.68</x:v>
      </x:c>
      <x:c r="I1527" s="11" t="n">
        <x:f>'Option source'!B545</x:f>
        <x:v>6</x:v>
      </x:c>
      <x:c r="J1527" s="11" t="n">
        <x:f>G1527-2*H1527+IF(B1527="Butterfly",I1527,0)</x:f>
        <x:v>0.3100000000000005</x:v>
      </x:c>
      <x:c r="K1527" s="11" t="n">
        <x:f>ABS(E1527-D1527)</x:f>
        <x:v>200</x:v>
      </x:c>
      <x:c r="L1527" s="11" t="n">
        <x:f>K1527-J1527</x:f>
        <x:v>199.69</x:v>
      </x:c>
      <x:c r="M1527" s="11" t="n">
        <x:f>IF(B1527="Butterfly",MAX(J1527,0),IF(C1527="call","Unlimited",MAX(2*E1527-D1527+J1527,J1527,0)))</x:f>
        <x:v>0.3100000000000005</x:v>
      </x:c>
      <x:c r="N1527" s="11" t="n">
        <x:f>IF(B1527="Butterfly",IF(AND(J1527&gt;0,J1527&lt;K1527),D1527+J1527,"n.a."),IF(C1527="call",IF(AND(J1527&gt;0,J1527&lt;K1527),D1527+J1527,"n.a."),IF(AND(K1527&gt;J1527,2*E1527-D1527+J1527&gt;=0),2*E1527-D1527+J1527,"n.a.")))</x:f>
        <x:v>4400.31</x:v>
      </x:c>
      <x:c r="O1527" s="11" t="n">
        <x:f>IF(B1527="Butterfly",IF(AND(J1527&gt;0,J1527&lt;K1527),F1527-J1527,"n.a."),IF(C1527="call",IF(K1527&gt;J1527,2*E1527-D1527-J1527,"n.a."),IF(AND(J1527&gt;0,J1527&lt;K1527),D1527-J1527,"n.a.")))</x:f>
        <x:v>4799.69</x:v>
      </x:c>
      <x:c r="P1527" s="19" t="n">
        <x:f>IF(AND(B1527="Butterfly",J1527&gt;0,J1527&lt;K1527),L1527/J1527,"n.a.")</x:f>
        <x:v>644.1612903225796</x:v>
      </x:c>
      <x:c r="Q1527" s="11" t="n">
        <x:f>J1527*'Model inputs'!$B$8</x:f>
        <x:v>31.00000000000005</x:v>
      </x:c>
      <x:c r="R1527" s="1" t="str">
        <x:v>Indicative only</x:v>
      </x:c>
      <x:c r="S1527" s="1" t="n">
        <x:v>502</x:v>
      </x:c>
      <x:c r="T1527" s="1" t="n">
        <x:v>521</x:v>
      </x:c>
    </x:row>
    <x:row r="1528" ht="21" customHeight="1">
      <x:c r="A1528" s="12" t="n">
        <x:v>46258</x:v>
      </x:c>
      <x:c r="B1528" s="1" t="str">
        <x:v>Butterfly</x:v>
      </x:c>
      <x:c r="C1528" s="1" t="str">
        <x:v>put</x:v>
      </x:c>
      <x:c r="D1528" s="11" t="n">
        <x:v>7200</x:v>
      </x:c>
      <x:c r="E1528" s="11" t="n">
        <x:v>7400</x:v>
      </x:c>
      <x:c r="F1528" s="11" t="n">
        <x:v>7600</x:v>
      </x:c>
      <x:c r="G1528" s="11" t="n">
        <x:f>'Option source'!B773</x:f>
        <x:v>509.16</x:v>
      </x:c>
      <x:c r="H1528" s="11" t="n">
        <x:f>'Option source'!B792</x:f>
        <x:v>620</x:v>
      </x:c>
      <x:c r="I1528" s="11" t="n">
        <x:f>'Option source'!B811</x:f>
        <x:v>711</x:v>
      </x:c>
      <x:c r="J1528" s="11" t="n">
        <x:f>G1528-2*H1528+IF(B1528="Butterfly",I1528,0)</x:f>
        <x:v>-19.839999999999918</x:v>
      </x:c>
      <x:c r="K1528" s="11" t="n">
        <x:f>ABS(E1528-D1528)</x:f>
        <x:v>200</x:v>
      </x:c>
      <x:c r="L1528" s="11" t="n">
        <x:f>K1528-J1528</x:f>
        <x:v>219.83999999999992</x:v>
      </x:c>
      <x:c r="M1528" s="11" t="n">
        <x:f>IF(B1528="Butterfly",MAX(J1528,0),IF(C1528="call","Unlimited",MAX(2*E1528-D1528+J1528,J1528,0)))</x:f>
        <x:v>0</x:v>
      </x:c>
      <x:c r="N1528" s="11" t="str">
        <x:f>IF(B1528="Butterfly",IF(AND(J1528&gt;0,J1528&lt;K1528),D1528+J1528,"n.a."),IF(C1528="call",IF(AND(J1528&gt;0,J1528&lt;K1528),D1528+J1528,"n.a."),IF(AND(K1528&gt;J1528,2*E1528-D1528+J1528&gt;=0),2*E1528-D1528+J1528,"n.a.")))</x:f>
        <x:v>n.a.</x:v>
      </x:c>
      <x:c r="O1528" s="11" t="str">
        <x:f>IF(B1528="Butterfly",IF(AND(J1528&gt;0,J1528&lt;K1528),F1528-J1528,"n.a."),IF(C1528="call",IF(K1528&gt;J1528,2*E1528-D1528-J1528,"n.a."),IF(AND(J1528&gt;0,J1528&lt;K1528),D1528-J1528,"n.a.")))</x:f>
        <x:v>n.a.</x:v>
      </x:c>
      <x:c r="P1528" s="19" t="str">
        <x:f>IF(AND(B1528="Butterfly",J1528&gt;0,J1528&lt;K1528),L1528/J1528,"n.a.")</x:f>
        <x:v>n.a.</x:v>
      </x:c>
      <x:c r="Q1528" s="11" t="n">
        <x:f>J1528*'Model inputs'!$B$8</x:f>
        <x:v>-1983.9999999999918</x:v>
      </x:c>
      <x:c r="R1528" s="1" t="str">
        <x:v>Outside standard debit bounds</x:v>
      </x:c>
      <x:c r="S1528" s="1" t="n">
        <x:v>768</x:v>
      </x:c>
      <x:c r="T1528" s="1" t="n">
        <x:v>787</x:v>
      </x:c>
    </x:row>
    <x:row r="1529" ht="21" customHeight="1">
      <x:c r="A1529" s="12" t="n">
        <x:v>46258</x:v>
      </x:c>
      <x:c r="B1529" s="1" t="str">
        <x:v>Butterfly</x:v>
      </x:c>
      <x:c r="C1529" s="1" t="str">
        <x:v>call</x:v>
      </x:c>
      <x:c r="D1529" s="11" t="n">
        <x:v>6200</x:v>
      </x:c>
      <x:c r="E1529" s="11" t="n">
        <x:v>6400</x:v>
      </x:c>
      <x:c r="F1529" s="11" t="n">
        <x:v>6600</x:v>
      </x:c>
      <x:c r="G1529" s="11" t="n">
        <x:f>'Option source'!B184</x:f>
        <x:v>1075</x:v>
      </x:c>
      <x:c r="H1529" s="11" t="n">
        <x:f>'Option source'!B203</x:f>
        <x:v>918.25</x:v>
      </x:c>
      <x:c r="I1529" s="11" t="n">
        <x:f>'Option source'!B222</x:f>
        <x:v>801.3</x:v>
      </x:c>
      <x:c r="J1529" s="11" t="n">
        <x:f>G1529-2*H1529+IF(B1529="Butterfly",I1529,0)</x:f>
        <x:v>39.799999999999955</x:v>
      </x:c>
      <x:c r="K1529" s="11" t="n">
        <x:f>ABS(E1529-D1529)</x:f>
        <x:v>200</x:v>
      </x:c>
      <x:c r="L1529" s="11" t="n">
        <x:f>K1529-J1529</x:f>
        <x:v>160.20000000000005</x:v>
      </x:c>
      <x:c r="M1529" s="11" t="n">
        <x:f>IF(B1529="Butterfly",MAX(J1529,0),IF(C1529="call","Unlimited",MAX(2*E1529-D1529+J1529,J1529,0)))</x:f>
        <x:v>39.799999999999955</x:v>
      </x:c>
      <x:c r="N1529" s="11" t="n">
        <x:f>IF(B1529="Butterfly",IF(AND(J1529&gt;0,J1529&lt;K1529),D1529+J1529,"n.a."),IF(C1529="call",IF(AND(J1529&gt;0,J1529&lt;K1529),D1529+J1529,"n.a."),IF(AND(K1529&gt;J1529,2*E1529-D1529+J1529&gt;=0),2*E1529-D1529+J1529,"n.a.")))</x:f>
        <x:v>6239.8</x:v>
      </x:c>
      <x:c r="O1529" s="11" t="n">
        <x:f>IF(B1529="Butterfly",IF(AND(J1529&gt;0,J1529&lt;K1529),F1529-J1529,"n.a."),IF(C1529="call",IF(K1529&gt;J1529,2*E1529-D1529-J1529,"n.a."),IF(AND(J1529&gt;0,J1529&lt;K1529),D1529-J1529,"n.a.")))</x:f>
        <x:v>6560.2</x:v>
      </x:c>
      <x:c r="P1529" s="19" t="n">
        <x:f>IF(AND(B1529="Butterfly",J1529&gt;0,J1529&lt;K1529),L1529/J1529,"n.a.")</x:f>
        <x:v>4.025125628140709</x:v>
      </x:c>
      <x:c r="Q1529" s="11" t="n">
        <x:f>J1529*'Model inputs'!$B$8</x:f>
        <x:v>3979.9999999999955</x:v>
      </x:c>
      <x:c r="R1529" s="1" t="str">
        <x:v>Flagged leg data</x:v>
      </x:c>
      <x:c r="S1529" s="1" t="n">
        <x:v>179</x:v>
      </x:c>
      <x:c r="T1529" s="1" t="n">
        <x:v>198</x:v>
      </x:c>
    </x:row>
    <x:row r="1530" ht="21" customHeight="1">
      <x:c r="A1530" s="12" t="n">
        <x:v>46258</x:v>
      </x:c>
      <x:c r="B1530" s="1" t="str">
        <x:v>Butterfly</x:v>
      </x:c>
      <x:c r="C1530" s="1" t="str">
        <x:v>call</x:v>
      </x:c>
      <x:c r="D1530" s="11" t="n">
        <x:v>6000</x:v>
      </x:c>
      <x:c r="E1530" s="11" t="n">
        <x:v>6200</x:v>
      </x:c>
      <x:c r="F1530" s="11" t="n">
        <x:v>6400</x:v>
      </x:c>
      <x:c r="G1530" s="11" t="n">
        <x:f>'Option source'!B165</x:f>
        <x:v>1350</x:v>
      </x:c>
      <x:c r="H1530" s="11" t="n">
        <x:f>'Option source'!B184</x:f>
        <x:v>1075</x:v>
      </x:c>
      <x:c r="I1530" s="11" t="n">
        <x:f>'Option source'!B203</x:f>
        <x:v>918.25</x:v>
      </x:c>
      <x:c r="J1530" s="11" t="n">
        <x:f>G1530-2*H1530+IF(B1530="Butterfly",I1530,0)</x:f>
        <x:v>118.25</x:v>
      </x:c>
      <x:c r="K1530" s="11" t="n">
        <x:f>ABS(E1530-D1530)</x:f>
        <x:v>200</x:v>
      </x:c>
      <x:c r="L1530" s="11" t="n">
        <x:f>K1530-J1530</x:f>
        <x:v>81.75</x:v>
      </x:c>
      <x:c r="M1530" s="11" t="n">
        <x:f>IF(B1530="Butterfly",MAX(J1530,0),IF(C1530="call","Unlimited",MAX(2*E1530-D1530+J1530,J1530,0)))</x:f>
        <x:v>118.25</x:v>
      </x:c>
      <x:c r="N1530" s="11" t="n">
        <x:f>IF(B1530="Butterfly",IF(AND(J1530&gt;0,J1530&lt;K1530),D1530+J1530,"n.a."),IF(C1530="call",IF(AND(J1530&gt;0,J1530&lt;K1530),D1530+J1530,"n.a."),IF(AND(K1530&gt;J1530,2*E1530-D1530+J1530&gt;=0),2*E1530-D1530+J1530,"n.a.")))</x:f>
        <x:v>6118.25</x:v>
      </x:c>
      <x:c r="O1530" s="11" t="n">
        <x:f>IF(B1530="Butterfly",IF(AND(J1530&gt;0,J1530&lt;K1530),F1530-J1530,"n.a."),IF(C1530="call",IF(K1530&gt;J1530,2*E1530-D1530-J1530,"n.a."),IF(AND(J1530&gt;0,J1530&lt;K1530),D1530-J1530,"n.a.")))</x:f>
        <x:v>6281.75</x:v>
      </x:c>
      <x:c r="P1530" s="19" t="n">
        <x:f>IF(AND(B1530="Butterfly",J1530&gt;0,J1530&lt;K1530),L1530/J1530,"n.a.")</x:f>
        <x:v>0.6913319238900634</x:v>
      </x:c>
      <x:c r="Q1530" s="11" t="n">
        <x:f>J1530*'Model inputs'!$B$8</x:f>
        <x:v>11825</x:v>
      </x:c>
      <x:c r="R1530" s="1" t="str">
        <x:v>Flagged leg data</x:v>
      </x:c>
      <x:c r="S1530" s="1" t="n">
        <x:v>160</x:v>
      </x:c>
      <x:c r="T1530" s="1" t="n">
        <x:v>179</x:v>
      </x:c>
    </x:row>
    <x:row r="1531" ht="21" customHeight="1">
      <x:c r="A1531" s="12" t="n">
        <x:v>46258</x:v>
      </x:c>
      <x:c r="B1531" s="1" t="str">
        <x:v>Butterfly</x:v>
      </x:c>
      <x:c r="C1531" s="1" t="str">
        <x:v>put</x:v>
      </x:c>
      <x:c r="D1531" s="11" t="n">
        <x:v>7600</x:v>
      </x:c>
      <x:c r="E1531" s="11" t="n">
        <x:v>7800</x:v>
      </x:c>
      <x:c r="F1531" s="11" t="n">
        <x:v>8000</x:v>
      </x:c>
      <x:c r="G1531" s="11" t="n">
        <x:f>'Option source'!B811</x:f>
        <x:v>711</x:v>
      </x:c>
      <x:c r="H1531" s="11" t="n">
        <x:f>'Option source'!B830</x:f>
        <x:v>871</x:v>
      </x:c>
      <x:c r="I1531" s="11" t="n">
        <x:f>'Option source'!B849</x:f>
        <x:v>1000</x:v>
      </x:c>
      <x:c r="J1531" s="11" t="n">
        <x:f>G1531-2*H1531+IF(B1531="Butterfly",I1531,0)</x:f>
        <x:v>-31</x:v>
      </x:c>
      <x:c r="K1531" s="11" t="n">
        <x:f>ABS(E1531-D1531)</x:f>
        <x:v>200</x:v>
      </x:c>
      <x:c r="L1531" s="11" t="n">
        <x:f>K1531-J1531</x:f>
        <x:v>231</x:v>
      </x:c>
      <x:c r="M1531" s="11" t="n">
        <x:f>IF(B1531="Butterfly",MAX(J1531,0),IF(C1531="call","Unlimited",MAX(2*E1531-D1531+J1531,J1531,0)))</x:f>
        <x:v>0</x:v>
      </x:c>
      <x:c r="N1531" s="11" t="str">
        <x:f>IF(B1531="Butterfly",IF(AND(J1531&gt;0,J1531&lt;K1531),D1531+J1531,"n.a."),IF(C1531="call",IF(AND(J1531&gt;0,J1531&lt;K1531),D1531+J1531,"n.a."),IF(AND(K1531&gt;J1531,2*E1531-D1531+J1531&gt;=0),2*E1531-D1531+J1531,"n.a.")))</x:f>
        <x:v>n.a.</x:v>
      </x:c>
      <x:c r="O1531" s="11" t="str">
        <x:f>IF(B1531="Butterfly",IF(AND(J1531&gt;0,J1531&lt;K1531),F1531-J1531,"n.a."),IF(C1531="call",IF(K1531&gt;J1531,2*E1531-D1531-J1531,"n.a."),IF(AND(J1531&gt;0,J1531&lt;K1531),D1531-J1531,"n.a.")))</x:f>
        <x:v>n.a.</x:v>
      </x:c>
      <x:c r="P1531" s="19" t="str">
        <x:f>IF(AND(B1531="Butterfly",J1531&gt;0,J1531&lt;K1531),L1531/J1531,"n.a.")</x:f>
        <x:v>n.a.</x:v>
      </x:c>
      <x:c r="Q1531" s="11" t="n">
        <x:f>J1531*'Model inputs'!$B$8</x:f>
        <x:v>-3100</x:v>
      </x:c>
      <x:c r="R1531" s="1" t="str">
        <x:v>Outside standard debit bounds</x:v>
      </x:c>
      <x:c r="S1531" s="1" t="n">
        <x:v>806</x:v>
      </x:c>
      <x:c r="T1531" s="1" t="n">
        <x:v>825</x:v>
      </x:c>
    </x:row>
    <x:row r="1532" ht="21" customHeight="1">
      <x:c r="A1532" s="12" t="n">
        <x:v>46258</x:v>
      </x:c>
      <x:c r="B1532" s="1" t="str">
        <x:v>Butterfly</x:v>
      </x:c>
      <x:c r="C1532" s="1" t="str">
        <x:v>put</x:v>
      </x:c>
      <x:c r="D1532" s="11" t="n">
        <x:v>8000</x:v>
      </x:c>
      <x:c r="E1532" s="11" t="n">
        <x:v>8300</x:v>
      </x:c>
      <x:c r="F1532" s="11" t="n">
        <x:v>8600</x:v>
      </x:c>
      <x:c r="G1532" s="11" t="n">
        <x:f>'Option source'!B849</x:f>
        <x:v>1000</x:v>
      </x:c>
      <x:c r="H1532" s="11" t="n">
        <x:f>'Option source'!B868</x:f>
        <x:v>1310</x:v>
      </x:c>
      <x:c r="I1532" s="11" t="n">
        <x:f>'Option source'!B887</x:f>
        <x:v>1173.55</x:v>
      </x:c>
      <x:c r="J1532" s="11" t="n">
        <x:f>G1532-2*H1532+IF(B1532="Butterfly",I1532,0)</x:f>
        <x:v>-446.45000000000005</x:v>
      </x:c>
      <x:c r="K1532" s="11" t="n">
        <x:f>ABS(E1532-D1532)</x:f>
        <x:v>300</x:v>
      </x:c>
      <x:c r="L1532" s="11" t="n">
        <x:f>K1532-J1532</x:f>
        <x:v>746.45</x:v>
      </x:c>
      <x:c r="M1532" s="11" t="n">
        <x:f>IF(B1532="Butterfly",MAX(J1532,0),IF(C1532="call","Unlimited",MAX(2*E1532-D1532+J1532,J1532,0)))</x:f>
        <x:v>0</x:v>
      </x:c>
      <x:c r="N1532" s="11" t="str">
        <x:f>IF(B1532="Butterfly",IF(AND(J1532&gt;0,J1532&lt;K1532),D1532+J1532,"n.a."),IF(C1532="call",IF(AND(J1532&gt;0,J1532&lt;K1532),D1532+J1532,"n.a."),IF(AND(K1532&gt;J1532,2*E1532-D1532+J1532&gt;=0),2*E1532-D1532+J1532,"n.a.")))</x:f>
        <x:v>n.a.</x:v>
      </x:c>
      <x:c r="O1532" s="11" t="str">
        <x:f>IF(B1532="Butterfly",IF(AND(J1532&gt;0,J1532&lt;K1532),F1532-J1532,"n.a."),IF(C1532="call",IF(K1532&gt;J1532,2*E1532-D1532-J1532,"n.a."),IF(AND(J1532&gt;0,J1532&lt;K1532),D1532-J1532,"n.a.")))</x:f>
        <x:v>n.a.</x:v>
      </x:c>
      <x:c r="P1532" s="19" t="str">
        <x:f>IF(AND(B1532="Butterfly",J1532&gt;0,J1532&lt;K1532),L1532/J1532,"n.a.")</x:f>
        <x:v>n.a.</x:v>
      </x:c>
      <x:c r="Q1532" s="11" t="n">
        <x:f>J1532*'Model inputs'!$B$8</x:f>
        <x:v>-44645.00000000001</x:v>
      </x:c>
      <x:c r="R1532" s="1" t="str">
        <x:v>Outside standard debit bounds</x:v>
      </x:c>
      <x:c r="S1532" s="1" t="n">
        <x:v>844</x:v>
      </x:c>
      <x:c r="T1532" s="1" t="n">
        <x:v>863</x:v>
      </x:c>
    </x:row>
    <x:row r="1533" ht="21" customHeight="1">
      <x:c r="A1533" s="12" t="n">
        <x:v>46258</x:v>
      </x:c>
      <x:c r="B1533" s="1" t="str">
        <x:v>Butterfly</x:v>
      </x:c>
      <x:c r="C1533" s="1" t="str">
        <x:v>call</x:v>
      </x:c>
      <x:c r="D1533" s="11" t="n">
        <x:v>5200</x:v>
      </x:c>
      <x:c r="E1533" s="11" t="n">
        <x:v>5400</x:v>
      </x:c>
      <x:c r="F1533" s="11" t="n">
        <x:v>5600</x:v>
      </x:c>
      <x:c r="G1533" s="11" t="n">
        <x:f>'Option source'!B99</x:f>
        <x:v>1962</x:v>
      </x:c>
      <x:c r="H1533" s="11" t="n">
        <x:f>'Option source'!B118</x:f>
        <x:v>1781.31</x:v>
      </x:c>
      <x:c r="I1533" s="11" t="n">
        <x:f>'Option source'!B136</x:f>
        <x:v>1460.62</x:v>
      </x:c>
      <x:c r="J1533" s="11" t="n">
        <x:f>G1533-2*H1533+IF(B1533="Butterfly",I1533,0)</x:f>
        <x:v>-140</x:v>
      </x:c>
      <x:c r="K1533" s="11" t="n">
        <x:f>ABS(E1533-D1533)</x:f>
        <x:v>200</x:v>
      </x:c>
      <x:c r="L1533" s="11" t="n">
        <x:f>K1533-J1533</x:f>
        <x:v>340</x:v>
      </x:c>
      <x:c r="M1533" s="11" t="n">
        <x:f>IF(B1533="Butterfly",MAX(J1533,0),IF(C1533="call","Unlimited",MAX(2*E1533-D1533+J1533,J1533,0)))</x:f>
        <x:v>0</x:v>
      </x:c>
      <x:c r="N1533" s="11" t="str">
        <x:f>IF(B1533="Butterfly",IF(AND(J1533&gt;0,J1533&lt;K1533),D1533+J1533,"n.a."),IF(C1533="call",IF(AND(J1533&gt;0,J1533&lt;K1533),D1533+J1533,"n.a."),IF(AND(K1533&gt;J1533,2*E1533-D1533+J1533&gt;=0),2*E1533-D1533+J1533,"n.a.")))</x:f>
        <x:v>n.a.</x:v>
      </x:c>
      <x:c r="O1533" s="11" t="str">
        <x:f>IF(B1533="Butterfly",IF(AND(J1533&gt;0,J1533&lt;K1533),F1533-J1533,"n.a."),IF(C1533="call",IF(K1533&gt;J1533,2*E1533-D1533-J1533,"n.a."),IF(AND(J1533&gt;0,J1533&lt;K1533),D1533-J1533,"n.a.")))</x:f>
        <x:v>n.a.</x:v>
      </x:c>
      <x:c r="P1533" s="19" t="str">
        <x:f>IF(AND(B1533="Butterfly",J1533&gt;0,J1533&lt;K1533),L1533/J1533,"n.a.")</x:f>
        <x:v>n.a.</x:v>
      </x:c>
      <x:c r="Q1533" s="11" t="n">
        <x:f>J1533*'Model inputs'!$B$8</x:f>
        <x:v>-14000</x:v>
      </x:c>
      <x:c r="R1533" s="1" t="str">
        <x:v>Outside standard debit bounds</x:v>
      </x:c>
      <x:c r="S1533" s="1" t="n">
        <x:v>94</x:v>
      </x:c>
      <x:c r="T1533" s="1" t="n">
        <x:v>113</x:v>
      </x:c>
    </x:row>
    <x:row r="1534" ht="21" customHeight="1">
      <x:c r="A1534" s="12" t="n">
        <x:v>46258</x:v>
      </x:c>
      <x:c r="B1534" s="1" t="str">
        <x:v>Butterfly</x:v>
      </x:c>
      <x:c r="C1534" s="1" t="str">
        <x:v>call</x:v>
      </x:c>
      <x:c r="D1534" s="11" t="n">
        <x:v>4200</x:v>
      </x:c>
      <x:c r="E1534" s="11" t="n">
        <x:v>4400</x:v>
      </x:c>
      <x:c r="F1534" s="11" t="n">
        <x:v>4600</x:v>
      </x:c>
      <x:c r="G1534" s="11" t="n">
        <x:f>'Option source'!B8</x:f>
        <x:v>2844.35</x:v>
      </x:c>
      <x:c r="H1534" s="11" t="n">
        <x:f>'Option source'!B27</x:f>
        <x:v>2387.12</x:v>
      </x:c>
      <x:c r="I1534" s="11" t="n">
        <x:f>'Option source'!B46</x:f>
        <x:v>2195.25</x:v>
      </x:c>
      <x:c r="J1534" s="11" t="n">
        <x:f>G1534-2*H1534+IF(B1534="Butterfly",I1534,0)</x:f>
        <x:v>265.3600000000001</x:v>
      </x:c>
      <x:c r="K1534" s="11" t="n">
        <x:f>ABS(E1534-D1534)</x:f>
        <x:v>200</x:v>
      </x:c>
      <x:c r="L1534" s="11" t="n">
        <x:f>K1534-J1534</x:f>
        <x:v>-65.36000000000013</x:v>
      </x:c>
      <x:c r="M1534" s="11" t="n">
        <x:f>IF(B1534="Butterfly",MAX(J1534,0),IF(C1534="call","Unlimited",MAX(2*E1534-D1534+J1534,J1534,0)))</x:f>
        <x:v>265.3600000000001</x:v>
      </x:c>
      <x:c r="N1534" s="11" t="str">
        <x:f>IF(B1534="Butterfly",IF(AND(J1534&gt;0,J1534&lt;K1534),D1534+J1534,"n.a."),IF(C1534="call",IF(AND(J1534&gt;0,J1534&lt;K1534),D1534+J1534,"n.a."),IF(AND(K1534&gt;J1534,2*E1534-D1534+J1534&gt;=0),2*E1534-D1534+J1534,"n.a.")))</x:f>
        <x:v>n.a.</x:v>
      </x:c>
      <x:c r="O1534" s="11" t="str">
        <x:f>IF(B1534="Butterfly",IF(AND(J1534&gt;0,J1534&lt;K1534),F1534-J1534,"n.a."),IF(C1534="call",IF(K1534&gt;J1534,2*E1534-D1534-J1534,"n.a."),IF(AND(J1534&gt;0,J1534&lt;K1534),D1534-J1534,"n.a.")))</x:f>
        <x:v>n.a.</x:v>
      </x:c>
      <x:c r="P1534" s="19" t="str">
        <x:f>IF(AND(B1534="Butterfly",J1534&gt;0,J1534&lt;K1534),L1534/J1534,"n.a.")</x:f>
        <x:v>n.a.</x:v>
      </x:c>
      <x:c r="Q1534" s="11" t="n">
        <x:f>J1534*'Model inputs'!$B$8</x:f>
        <x:v>26536.000000000015</x:v>
      </x:c>
      <x:c r="R1534" s="1" t="str">
        <x:v>Outside standard debit bounds</x:v>
      </x:c>
      <x:c r="S1534" s="1" t="n">
        <x:v>3</x:v>
      </x:c>
      <x:c r="T1534" s="1" t="n">
        <x:v>22</x:v>
      </x:c>
    </x:row>
    <x:row r="1535" ht="21" customHeight="1">
      <x:c r="A1535" s="12" t="n">
        <x:v>46258</x:v>
      </x:c>
      <x:c r="B1535" s="1" t="str">
        <x:v>Butterfly</x:v>
      </x:c>
      <x:c r="C1535" s="1" t="str">
        <x:v>put</x:v>
      </x:c>
      <x:c r="D1535" s="11" t="n">
        <x:v>4200</x:v>
      </x:c>
      <x:c r="E1535" s="11" t="n">
        <x:v>4400</x:v>
      </x:c>
      <x:c r="F1535" s="11" t="n">
        <x:v>4600</x:v>
      </x:c>
      <x:c r="G1535" s="11" t="n">
        <x:f>'Option source'!B488</x:f>
        <x:v>2.44</x:v>
      </x:c>
      <x:c r="H1535" s="11" t="n">
        <x:f>'Option source'!B507</x:f>
        <x:v>3.67</x:v>
      </x:c>
      <x:c r="I1535" s="11" t="n">
        <x:f>'Option source'!B526</x:f>
        <x:v>4.68</x:v>
      </x:c>
      <x:c r="J1535" s="11" t="n">
        <x:f>G1535-2*H1535+IF(B1535="Butterfly",I1535,0)</x:f>
        <x:v>-0.22000000000000064</x:v>
      </x:c>
      <x:c r="K1535" s="11" t="n">
        <x:f>ABS(E1535-D1535)</x:f>
        <x:v>200</x:v>
      </x:c>
      <x:c r="L1535" s="11" t="n">
        <x:f>K1535-J1535</x:f>
        <x:v>200.22</x:v>
      </x:c>
      <x:c r="M1535" s="11" t="n">
        <x:f>IF(B1535="Butterfly",MAX(J1535,0),IF(C1535="call","Unlimited",MAX(2*E1535-D1535+J1535,J1535,0)))</x:f>
        <x:v>0</x:v>
      </x:c>
      <x:c r="N1535" s="11" t="str">
        <x:f>IF(B1535="Butterfly",IF(AND(J1535&gt;0,J1535&lt;K1535),D1535+J1535,"n.a."),IF(C1535="call",IF(AND(J1535&gt;0,J1535&lt;K1535),D1535+J1535,"n.a."),IF(AND(K1535&gt;J1535,2*E1535-D1535+J1535&gt;=0),2*E1535-D1535+J1535,"n.a.")))</x:f>
        <x:v>n.a.</x:v>
      </x:c>
      <x:c r="O1535" s="11" t="str">
        <x:f>IF(B1535="Butterfly",IF(AND(J1535&gt;0,J1535&lt;K1535),F1535-J1535,"n.a."),IF(C1535="call",IF(K1535&gt;J1535,2*E1535-D1535-J1535,"n.a."),IF(AND(J1535&gt;0,J1535&lt;K1535),D1535-J1535,"n.a.")))</x:f>
        <x:v>n.a.</x:v>
      </x:c>
      <x:c r="P1535" s="19" t="str">
        <x:f>IF(AND(B1535="Butterfly",J1535&gt;0,J1535&lt;K1535),L1535/J1535,"n.a.")</x:f>
        <x:v>n.a.</x:v>
      </x:c>
      <x:c r="Q1535" s="11" t="n">
        <x:f>J1535*'Model inputs'!$B$8</x:f>
        <x:v>-22.000000000000064</x:v>
      </x:c>
      <x:c r="R1535" s="1" t="str">
        <x:v>Outside standard debit bounds</x:v>
      </x:c>
      <x:c r="S1535" s="1" t="n">
        <x:v>483</x:v>
      </x:c>
      <x:c r="T1535" s="1" t="n">
        <x:v>502</x:v>
      </x:c>
    </x:row>
    <x:row r="1536" ht="21" customHeight="1">
      <x:c r="A1536" s="12" t="n">
        <x:v>46258</x:v>
      </x:c>
      <x:c r="B1536" s="1" t="str">
        <x:v>1x2 ratio</x:v>
      </x:c>
      <x:c r="C1536" s="1" t="str">
        <x:v>call</x:v>
      </x:c>
      <x:c r="D1536" s="11" t="n">
        <x:v>6800</x:v>
      </x:c>
      <x:c r="E1536" s="11" t="n">
        <x:v>7000</x:v>
      </x:c>
      <x:c r="F1536" s="11"/>
      <x:c r="G1536" s="11" t="n">
        <x:f>'Option source'!B241</x:f>
        <x:v>686.77</x:v>
      </x:c>
      <x:c r="H1536" s="11" t="n">
        <x:f>'Option source'!B260</x:f>
        <x:v>579.21</x:v>
      </x:c>
      <x:c r="I1536" s="11"/>
      <x:c r="J1536" s="11" t="n">
        <x:f>G1536-2*H1536+IF(B1536="Butterfly",I1536,0)</x:f>
        <x:v>-471.6500000000001</x:v>
      </x:c>
      <x:c r="K1536" s="11" t="n">
        <x:f>ABS(E1536-D1536)</x:f>
        <x:v>200</x:v>
      </x:c>
      <x:c r="L1536" s="11" t="n">
        <x:f>K1536-J1536</x:f>
        <x:v>671.6500000000001</x:v>
      </x:c>
      <x:c r="M1536" s="11" t="str">
        <x:f>IF(B1536="Butterfly",MAX(J1536,0),IF(C1536="call","Unlimited",MAX(2*E1536-D1536+J1536,J1536,0)))</x:f>
        <x:v>Unlimited</x:v>
      </x:c>
      <x:c r="N1536" s="11" t="str">
        <x:f>IF(B1536="Butterfly",IF(AND(J1536&gt;0,J1536&lt;K1536),D1536+J1536,"n.a."),IF(C1536="call",IF(AND(J1536&gt;0,J1536&lt;K1536),D1536+J1536,"n.a."),IF(AND(K1536&gt;J1536,2*E1536-D1536+J1536&gt;=0),2*E1536-D1536+J1536,"n.a.")))</x:f>
        <x:v>n.a.</x:v>
      </x:c>
      <x:c r="O1536" s="11" t="n">
        <x:f>IF(B1536="Butterfly",IF(AND(J1536&gt;0,J1536&lt;K1536),F1536-J1536,"n.a."),IF(C1536="call",IF(K1536&gt;J1536,2*E1536-D1536-J1536,"n.a."),IF(AND(J1536&gt;0,J1536&lt;K1536),D1536-J1536,"n.a.")))</x:f>
        <x:v>7671.65</x:v>
      </x:c>
      <x:c r="P1536" s="19" t="str">
        <x:f>IF(AND(B1536="Butterfly",J1536&gt;0,J1536&lt;K1536),L1536/J1536,"n.a.")</x:f>
        <x:v>n.a.</x:v>
      </x:c>
      <x:c r="Q1536" s="11" t="n">
        <x:f>J1536*'Model inputs'!$B$8</x:f>
        <x:v>-47165.00000000001</x:v>
      </x:c>
      <x:c r="R1536" s="1" t="str">
        <x:v>Indicative only</x:v>
      </x:c>
      <x:c r="S1536" s="1" t="n">
        <x:v>236</x:v>
      </x:c>
      <x:c r="T1536" s="1" t="n">
        <x:v>255</x:v>
      </x:c>
    </x:row>
    <x:row r="1537" ht="21" customHeight="1">
      <x:c r="A1537" s="12" t="n">
        <x:v>46258</x:v>
      </x:c>
      <x:c r="B1537" s="1" t="str">
        <x:v>1x2 ratio</x:v>
      </x:c>
      <x:c r="C1537" s="1" t="str">
        <x:v>put</x:v>
      </x:c>
      <x:c r="D1537" s="11" t="n">
        <x:v>7200</x:v>
      </x:c>
      <x:c r="E1537" s="11" t="n">
        <x:v>7000</x:v>
      </x:c>
      <x:c r="F1537" s="11"/>
      <x:c r="G1537" s="11" t="n">
        <x:f>'Option source'!B773</x:f>
        <x:v>509.16</x:v>
      </x:c>
      <x:c r="H1537" s="11" t="n">
        <x:f>'Option source'!B754</x:f>
        <x:v>400.7</x:v>
      </x:c>
      <x:c r="I1537" s="11"/>
      <x:c r="J1537" s="11" t="n">
        <x:f>G1537-2*H1537+IF(B1537="Butterfly",I1537,0)</x:f>
        <x:v>-292.23999999999995</x:v>
      </x:c>
      <x:c r="K1537" s="11" t="n">
        <x:f>ABS(E1537-D1537)</x:f>
        <x:v>200</x:v>
      </x:c>
      <x:c r="L1537" s="11" t="n">
        <x:f>K1537-J1537</x:f>
        <x:v>492.23999999999995</x:v>
      </x:c>
      <x:c r="M1537" s="11" t="n">
        <x:f>IF(B1537="Butterfly",MAX(J1537,0),IF(C1537="call","Unlimited",MAX(2*E1537-D1537+J1537,J1537,0)))</x:f>
        <x:v>6507.76</x:v>
      </x:c>
      <x:c r="N1537" s="11" t="n">
        <x:f>IF(B1537="Butterfly",IF(AND(J1537&gt;0,J1537&lt;K1537),D1537+J1537,"n.a."),IF(C1537="call",IF(AND(J1537&gt;0,J1537&lt;K1537),D1537+J1537,"n.a."),IF(AND(K1537&gt;J1537,2*E1537-D1537+J1537&gt;=0),2*E1537-D1537+J1537,"n.a.")))</x:f>
        <x:v>6507.76</x:v>
      </x:c>
      <x:c r="O1537" s="11" t="str">
        <x:f>IF(B1537="Butterfly",IF(AND(J1537&gt;0,J1537&lt;K1537),F1537-J1537,"n.a."),IF(C1537="call",IF(K1537&gt;J1537,2*E1537-D1537-J1537,"n.a."),IF(AND(J1537&gt;0,J1537&lt;K1537),D1537-J1537,"n.a.")))</x:f>
        <x:v>n.a.</x:v>
      </x:c>
      <x:c r="P1537" s="19" t="str">
        <x:f>IF(AND(B1537="Butterfly",J1537&gt;0,J1537&lt;K1537),L1537/J1537,"n.a.")</x:f>
        <x:v>n.a.</x:v>
      </x:c>
      <x:c r="Q1537" s="11" t="n">
        <x:f>J1537*'Model inputs'!$B$8</x:f>
        <x:v>-29223.999999999996</x:v>
      </x:c>
      <x:c r="R1537" s="1" t="str">
        <x:v>Indicative only</x:v>
      </x:c>
      <x:c r="S1537" s="1" t="n">
        <x:v>768</x:v>
      </x:c>
      <x:c r="T1537" s="1" t="n">
        <x:v>749</x:v>
      </x:c>
    </x:row>
    <x:row r="1538" ht="21" customHeight="1">
      <x:c r="A1538" s="12" t="n">
        <x:v>46258</x:v>
      </x:c>
      <x:c r="B1538" s="1" t="str">
        <x:v>1x2 ratio</x:v>
      </x:c>
      <x:c r="C1538" s="1" t="str">
        <x:v>call</x:v>
      </x:c>
      <x:c r="D1538" s="11" t="n">
        <x:v>6600</x:v>
      </x:c>
      <x:c r="E1538" s="11" t="n">
        <x:v>6800</x:v>
      </x:c>
      <x:c r="F1538" s="11"/>
      <x:c r="G1538" s="11" t="n">
        <x:f>'Option source'!B222</x:f>
        <x:v>801.3</x:v>
      </x:c>
      <x:c r="H1538" s="11" t="n">
        <x:f>'Option source'!B241</x:f>
        <x:v>686.77</x:v>
      </x:c>
      <x:c r="I1538" s="11"/>
      <x:c r="J1538" s="11" t="n">
        <x:f>G1538-2*H1538+IF(B1538="Butterfly",I1538,0)</x:f>
        <x:v>-572.24</x:v>
      </x:c>
      <x:c r="K1538" s="11" t="n">
        <x:f>ABS(E1538-D1538)</x:f>
        <x:v>200</x:v>
      </x:c>
      <x:c r="L1538" s="11" t="n">
        <x:f>K1538-J1538</x:f>
        <x:v>772.24</x:v>
      </x:c>
      <x:c r="M1538" s="11" t="str">
        <x:f>IF(B1538="Butterfly",MAX(J1538,0),IF(C1538="call","Unlimited",MAX(2*E1538-D1538+J1538,J1538,0)))</x:f>
        <x:v>Unlimited</x:v>
      </x:c>
      <x:c r="N1538" s="11" t="str">
        <x:f>IF(B1538="Butterfly",IF(AND(J1538&gt;0,J1538&lt;K1538),D1538+J1538,"n.a."),IF(C1538="call",IF(AND(J1538&gt;0,J1538&lt;K1538),D1538+J1538,"n.a."),IF(AND(K1538&gt;J1538,2*E1538-D1538+J1538&gt;=0),2*E1538-D1538+J1538,"n.a.")))</x:f>
        <x:v>n.a.</x:v>
      </x:c>
      <x:c r="O1538" s="11" t="n">
        <x:f>IF(B1538="Butterfly",IF(AND(J1538&gt;0,J1538&lt;K1538),F1538-J1538,"n.a."),IF(C1538="call",IF(K1538&gt;J1538,2*E1538-D1538-J1538,"n.a."),IF(AND(J1538&gt;0,J1538&lt;K1538),D1538-J1538,"n.a.")))</x:f>
        <x:v>7572.24</x:v>
      </x:c>
      <x:c r="P1538" s="19" t="str">
        <x:f>IF(AND(B1538="Butterfly",J1538&gt;0,J1538&lt;K1538),L1538/J1538,"n.a.")</x:f>
        <x:v>n.a.</x:v>
      </x:c>
      <x:c r="Q1538" s="11" t="n">
        <x:f>J1538*'Model inputs'!$B$8</x:f>
        <x:v>-57224</x:v>
      </x:c>
      <x:c r="R1538" s="1" t="str">
        <x:v>Indicative only</x:v>
      </x:c>
      <x:c r="S1538" s="1" t="n">
        <x:v>217</x:v>
      </x:c>
      <x:c r="T1538" s="1" t="n">
        <x:v>236</x:v>
      </x:c>
    </x:row>
    <x:row r="1539" ht="21" customHeight="1">
      <x:c r="A1539" s="12" t="n">
        <x:v>46258</x:v>
      </x:c>
      <x:c r="B1539" s="1" t="str">
        <x:v>1x2 ratio</x:v>
      </x:c>
      <x:c r="C1539" s="1" t="str">
        <x:v>put</x:v>
      </x:c>
      <x:c r="D1539" s="11" t="n">
        <x:v>7000</x:v>
      </x:c>
      <x:c r="E1539" s="11" t="n">
        <x:v>6800</x:v>
      </x:c>
      <x:c r="F1539" s="11"/>
      <x:c r="G1539" s="11" t="n">
        <x:f>'Option source'!B754</x:f>
        <x:v>400.7</x:v>
      </x:c>
      <x:c r="H1539" s="11" t="n">
        <x:f>'Option source'!B735</x:f>
        <x:v>309</x:v>
      </x:c>
      <x:c r="I1539" s="11"/>
      <x:c r="J1539" s="11" t="n">
        <x:f>G1539-2*H1539+IF(B1539="Butterfly",I1539,0)</x:f>
        <x:v>-217.3</x:v>
      </x:c>
      <x:c r="K1539" s="11" t="n">
        <x:f>ABS(E1539-D1539)</x:f>
        <x:v>200</x:v>
      </x:c>
      <x:c r="L1539" s="11" t="n">
        <x:f>K1539-J1539</x:f>
        <x:v>417.3</x:v>
      </x:c>
      <x:c r="M1539" s="11" t="n">
        <x:f>IF(B1539="Butterfly",MAX(J1539,0),IF(C1539="call","Unlimited",MAX(2*E1539-D1539+J1539,J1539,0)))</x:f>
        <x:v>6382.7</x:v>
      </x:c>
      <x:c r="N1539" s="11" t="n">
        <x:f>IF(B1539="Butterfly",IF(AND(J1539&gt;0,J1539&lt;K1539),D1539+J1539,"n.a."),IF(C1539="call",IF(AND(J1539&gt;0,J1539&lt;K1539),D1539+J1539,"n.a."),IF(AND(K1539&gt;J1539,2*E1539-D1539+J1539&gt;=0),2*E1539-D1539+J1539,"n.a.")))</x:f>
        <x:v>6382.7</x:v>
      </x:c>
      <x:c r="O1539" s="11" t="str">
        <x:f>IF(B1539="Butterfly",IF(AND(J1539&gt;0,J1539&lt;K1539),F1539-J1539,"n.a."),IF(C1539="call",IF(K1539&gt;J1539,2*E1539-D1539-J1539,"n.a."),IF(AND(J1539&gt;0,J1539&lt;K1539),D1539-J1539,"n.a.")))</x:f>
        <x:v>n.a.</x:v>
      </x:c>
      <x:c r="P1539" s="19" t="str">
        <x:f>IF(AND(B1539="Butterfly",J1539&gt;0,J1539&lt;K1539),L1539/J1539,"n.a.")</x:f>
        <x:v>n.a.</x:v>
      </x:c>
      <x:c r="Q1539" s="11" t="n">
        <x:f>J1539*'Model inputs'!$B$8</x:f>
        <x:v>-21730</x:v>
      </x:c>
      <x:c r="R1539" s="1" t="str">
        <x:v>Indicative only</x:v>
      </x:c>
      <x:c r="S1539" s="1" t="n">
        <x:v>749</x:v>
      </x:c>
      <x:c r="T1539" s="1" t="n">
        <x:v>730</x:v>
      </x:c>
    </x:row>
    <x:row r="1540" ht="21" customHeight="1">
      <x:c r="A1540" s="12" t="n">
        <x:v>46258</x:v>
      </x:c>
      <x:c r="B1540" s="1" t="str">
        <x:v>1x2 ratio</x:v>
      </x:c>
      <x:c r="C1540" s="1" t="str">
        <x:v>call</x:v>
      </x:c>
      <x:c r="D1540" s="11" t="n">
        <x:v>7000</x:v>
      </x:c>
      <x:c r="E1540" s="11" t="n">
        <x:v>7200</x:v>
      </x:c>
      <x:c r="F1540" s="11"/>
      <x:c r="G1540" s="11" t="n">
        <x:f>'Option source'!B260</x:f>
        <x:v>579.21</x:v>
      </x:c>
      <x:c r="H1540" s="11" t="n">
        <x:f>'Option source'!B279</x:f>
        <x:v>485.19</x:v>
      </x:c>
      <x:c r="I1540" s="11"/>
      <x:c r="J1540" s="11" t="n">
        <x:f>G1540-2*H1540+IF(B1540="Butterfly",I1540,0)</x:f>
        <x:v>-391.16999999999996</x:v>
      </x:c>
      <x:c r="K1540" s="11" t="n">
        <x:f>ABS(E1540-D1540)</x:f>
        <x:v>200</x:v>
      </x:c>
      <x:c r="L1540" s="11" t="n">
        <x:f>K1540-J1540</x:f>
        <x:v>591.17</x:v>
      </x:c>
      <x:c r="M1540" s="11" t="str">
        <x:f>IF(B1540="Butterfly",MAX(J1540,0),IF(C1540="call","Unlimited",MAX(2*E1540-D1540+J1540,J1540,0)))</x:f>
        <x:v>Unlimited</x:v>
      </x:c>
      <x:c r="N1540" s="11" t="str">
        <x:f>IF(B1540="Butterfly",IF(AND(J1540&gt;0,J1540&lt;K1540),D1540+J1540,"n.a."),IF(C1540="call",IF(AND(J1540&gt;0,J1540&lt;K1540),D1540+J1540,"n.a."),IF(AND(K1540&gt;J1540,2*E1540-D1540+J1540&gt;=0),2*E1540-D1540+J1540,"n.a.")))</x:f>
        <x:v>n.a.</x:v>
      </x:c>
      <x:c r="O1540" s="11" t="n">
        <x:f>IF(B1540="Butterfly",IF(AND(J1540&gt;0,J1540&lt;K1540),F1540-J1540,"n.a."),IF(C1540="call",IF(K1540&gt;J1540,2*E1540-D1540-J1540,"n.a."),IF(AND(J1540&gt;0,J1540&lt;K1540),D1540-J1540,"n.a.")))</x:f>
        <x:v>7791.17</x:v>
      </x:c>
      <x:c r="P1540" s="19" t="str">
        <x:f>IF(AND(B1540="Butterfly",J1540&gt;0,J1540&lt;K1540),L1540/J1540,"n.a.")</x:f>
        <x:v>n.a.</x:v>
      </x:c>
      <x:c r="Q1540" s="11" t="n">
        <x:f>J1540*'Model inputs'!$B$8</x:f>
        <x:v>-39116.99999999999</x:v>
      </x:c>
      <x:c r="R1540" s="1" t="str">
        <x:v>Indicative only</x:v>
      </x:c>
      <x:c r="S1540" s="1" t="n">
        <x:v>255</x:v>
      </x:c>
      <x:c r="T1540" s="1" t="n">
        <x:v>274</x:v>
      </x:c>
    </x:row>
    <x:row r="1541" ht="21" customHeight="1">
      <x:c r="A1541" s="12" t="n">
        <x:v>46258</x:v>
      </x:c>
      <x:c r="B1541" s="1" t="str">
        <x:v>1x2 ratio</x:v>
      </x:c>
      <x:c r="C1541" s="1" t="str">
        <x:v>put</x:v>
      </x:c>
      <x:c r="D1541" s="11" t="n">
        <x:v>7400</x:v>
      </x:c>
      <x:c r="E1541" s="11" t="n">
        <x:v>7200</x:v>
      </x:c>
      <x:c r="F1541" s="11"/>
      <x:c r="G1541" s="11" t="n">
        <x:f>'Option source'!B792</x:f>
        <x:v>620</x:v>
      </x:c>
      <x:c r="H1541" s="11" t="n">
        <x:f>'Option source'!B773</x:f>
        <x:v>509.16</x:v>
      </x:c>
      <x:c r="I1541" s="11"/>
      <x:c r="J1541" s="11" t="n">
        <x:f>G1541-2*H1541+IF(B1541="Butterfly",I1541,0)</x:f>
        <x:v>-398.32000000000005</x:v>
      </x:c>
      <x:c r="K1541" s="11" t="n">
        <x:f>ABS(E1541-D1541)</x:f>
        <x:v>200</x:v>
      </x:c>
      <x:c r="L1541" s="11" t="n">
        <x:f>K1541-J1541</x:f>
        <x:v>598.32</x:v>
      </x:c>
      <x:c r="M1541" s="11" t="n">
        <x:f>IF(B1541="Butterfly",MAX(J1541,0),IF(C1541="call","Unlimited",MAX(2*E1541-D1541+J1541,J1541,0)))</x:f>
        <x:v>6601.68</x:v>
      </x:c>
      <x:c r="N1541" s="11" t="n">
        <x:f>IF(B1541="Butterfly",IF(AND(J1541&gt;0,J1541&lt;K1541),D1541+J1541,"n.a."),IF(C1541="call",IF(AND(J1541&gt;0,J1541&lt;K1541),D1541+J1541,"n.a."),IF(AND(K1541&gt;J1541,2*E1541-D1541+J1541&gt;=0),2*E1541-D1541+J1541,"n.a.")))</x:f>
        <x:v>6601.68</x:v>
      </x:c>
      <x:c r="O1541" s="11" t="str">
        <x:f>IF(B1541="Butterfly",IF(AND(J1541&gt;0,J1541&lt;K1541),F1541-J1541,"n.a."),IF(C1541="call",IF(K1541&gt;J1541,2*E1541-D1541-J1541,"n.a."),IF(AND(J1541&gt;0,J1541&lt;K1541),D1541-J1541,"n.a.")))</x:f>
        <x:v>n.a.</x:v>
      </x:c>
      <x:c r="P1541" s="19" t="str">
        <x:f>IF(AND(B1541="Butterfly",J1541&gt;0,J1541&lt;K1541),L1541/J1541,"n.a.")</x:f>
        <x:v>n.a.</x:v>
      </x:c>
      <x:c r="Q1541" s="11" t="n">
        <x:f>J1541*'Model inputs'!$B$8</x:f>
        <x:v>-39832.00000000001</x:v>
      </x:c>
      <x:c r="R1541" s="1" t="str">
        <x:v>Indicative only</x:v>
      </x:c>
      <x:c r="S1541" s="1" t="n">
        <x:v>787</x:v>
      </x:c>
      <x:c r="T1541" s="1" t="n">
        <x:v>768</x:v>
      </x:c>
    </x:row>
    <x:row r="1542" ht="21" customHeight="1">
      <x:c r="A1542" s="12" t="n">
        <x:v>46258</x:v>
      </x:c>
      <x:c r="B1542" s="1" t="str">
        <x:v>1x2 ratio</x:v>
      </x:c>
      <x:c r="C1542" s="1" t="str">
        <x:v>call</x:v>
      </x:c>
      <x:c r="D1542" s="11" t="n">
        <x:v>6400</x:v>
      </x:c>
      <x:c r="E1542" s="11" t="n">
        <x:v>6600</x:v>
      </x:c>
      <x:c r="F1542" s="11"/>
      <x:c r="G1542" s="11" t="n">
        <x:f>'Option source'!B203</x:f>
        <x:v>918.25</x:v>
      </x:c>
      <x:c r="H1542" s="11" t="n">
        <x:f>'Option source'!B222</x:f>
        <x:v>801.3</x:v>
      </x:c>
      <x:c r="I1542" s="11"/>
      <x:c r="J1542" s="11" t="n">
        <x:f>G1542-2*H1542+IF(B1542="Butterfly",I1542,0)</x:f>
        <x:v>-684.3499999999999</x:v>
      </x:c>
      <x:c r="K1542" s="11" t="n">
        <x:f>ABS(E1542-D1542)</x:f>
        <x:v>200</x:v>
      </x:c>
      <x:c r="L1542" s="11" t="n">
        <x:f>K1542-J1542</x:f>
        <x:v>884.3499999999999</x:v>
      </x:c>
      <x:c r="M1542" s="11" t="str">
        <x:f>IF(B1542="Butterfly",MAX(J1542,0),IF(C1542="call","Unlimited",MAX(2*E1542-D1542+J1542,J1542,0)))</x:f>
        <x:v>Unlimited</x:v>
      </x:c>
      <x:c r="N1542" s="11" t="str">
        <x:f>IF(B1542="Butterfly",IF(AND(J1542&gt;0,J1542&lt;K1542),D1542+J1542,"n.a."),IF(C1542="call",IF(AND(J1542&gt;0,J1542&lt;K1542),D1542+J1542,"n.a."),IF(AND(K1542&gt;J1542,2*E1542-D1542+J1542&gt;=0),2*E1542-D1542+J1542,"n.a.")))</x:f>
        <x:v>n.a.</x:v>
      </x:c>
      <x:c r="O1542" s="11" t="n">
        <x:f>IF(B1542="Butterfly",IF(AND(J1542&gt;0,J1542&lt;K1542),F1542-J1542,"n.a."),IF(C1542="call",IF(K1542&gt;J1542,2*E1542-D1542-J1542,"n.a."),IF(AND(J1542&gt;0,J1542&lt;K1542),D1542-J1542,"n.a.")))</x:f>
        <x:v>7484.35</x:v>
      </x:c>
      <x:c r="P1542" s="19" t="str">
        <x:f>IF(AND(B1542="Butterfly",J1542&gt;0,J1542&lt;K1542),L1542/J1542,"n.a.")</x:f>
        <x:v>n.a.</x:v>
      </x:c>
      <x:c r="Q1542" s="11" t="n">
        <x:f>J1542*'Model inputs'!$B$8</x:f>
        <x:v>-68434.99999999999</x:v>
      </x:c>
      <x:c r="R1542" s="1" t="str">
        <x:v>Indicative only</x:v>
      </x:c>
      <x:c r="S1542" s="1" t="n">
        <x:v>198</x:v>
      </x:c>
      <x:c r="T1542" s="1" t="n">
        <x:v>217</x:v>
      </x:c>
    </x:row>
    <x:row r="1543" ht="21" customHeight="1">
      <x:c r="A1543" s="12" t="n">
        <x:v>46258</x:v>
      </x:c>
      <x:c r="B1543" s="1" t="str">
        <x:v>1x2 ratio</x:v>
      </x:c>
      <x:c r="C1543" s="1" t="str">
        <x:v>put</x:v>
      </x:c>
      <x:c r="D1543" s="11" t="n">
        <x:v>6800</x:v>
      </x:c>
      <x:c r="E1543" s="11" t="n">
        <x:v>6600</x:v>
      </x:c>
      <x:c r="F1543" s="11"/>
      <x:c r="G1543" s="11" t="n">
        <x:f>'Option source'!B735</x:f>
        <x:v>309</x:v>
      </x:c>
      <x:c r="H1543" s="11" t="n">
        <x:f>'Option source'!B716</x:f>
        <x:v>235.77</x:v>
      </x:c>
      <x:c r="I1543" s="11"/>
      <x:c r="J1543" s="11" t="n">
        <x:f>G1543-2*H1543+IF(B1543="Butterfly",I1543,0)</x:f>
        <x:v>-162.54000000000002</x:v>
      </x:c>
      <x:c r="K1543" s="11" t="n">
        <x:f>ABS(E1543-D1543)</x:f>
        <x:v>200</x:v>
      </x:c>
      <x:c r="L1543" s="11" t="n">
        <x:f>K1543-J1543</x:f>
        <x:v>362.54</x:v>
      </x:c>
      <x:c r="M1543" s="11" t="n">
        <x:f>IF(B1543="Butterfly",MAX(J1543,0),IF(C1543="call","Unlimited",MAX(2*E1543-D1543+J1543,J1543,0)))</x:f>
        <x:v>6237.46</x:v>
      </x:c>
      <x:c r="N1543" s="11" t="n">
        <x:f>IF(B1543="Butterfly",IF(AND(J1543&gt;0,J1543&lt;K1543),D1543+J1543,"n.a."),IF(C1543="call",IF(AND(J1543&gt;0,J1543&lt;K1543),D1543+J1543,"n.a."),IF(AND(K1543&gt;J1543,2*E1543-D1543+J1543&gt;=0),2*E1543-D1543+J1543,"n.a.")))</x:f>
        <x:v>6237.46</x:v>
      </x:c>
      <x:c r="O1543" s="11" t="str">
        <x:f>IF(B1543="Butterfly",IF(AND(J1543&gt;0,J1543&lt;K1543),F1543-J1543,"n.a."),IF(C1543="call",IF(K1543&gt;J1543,2*E1543-D1543-J1543,"n.a."),IF(AND(J1543&gt;0,J1543&lt;K1543),D1543-J1543,"n.a.")))</x:f>
        <x:v>n.a.</x:v>
      </x:c>
      <x:c r="P1543" s="19" t="str">
        <x:f>IF(AND(B1543="Butterfly",J1543&gt;0,J1543&lt;K1543),L1543/J1543,"n.a.")</x:f>
        <x:v>n.a.</x:v>
      </x:c>
      <x:c r="Q1543" s="11" t="n">
        <x:f>J1543*'Model inputs'!$B$8</x:f>
        <x:v>-16254.000000000002</x:v>
      </x:c>
      <x:c r="R1543" s="1" t="str">
        <x:v>Indicative only</x:v>
      </x:c>
      <x:c r="S1543" s="1" t="n">
        <x:v>730</x:v>
      </x:c>
      <x:c r="T1543" s="1" t="n">
        <x:v>711</x:v>
      </x:c>
    </x:row>
    <x:row r="1544" ht="21" customHeight="1">
      <x:c r="A1544" s="12" t="n">
        <x:v>46258</x:v>
      </x:c>
      <x:c r="B1544" s="1" t="str">
        <x:v>1x2 ratio</x:v>
      </x:c>
      <x:c r="C1544" s="1" t="str">
        <x:v>call</x:v>
      </x:c>
      <x:c r="D1544" s="11" t="n">
        <x:v>7200</x:v>
      </x:c>
      <x:c r="E1544" s="11" t="n">
        <x:v>7400</x:v>
      </x:c>
      <x:c r="F1544" s="11"/>
      <x:c r="G1544" s="11" t="n">
        <x:f>'Option source'!B279</x:f>
        <x:v>485.19</x:v>
      </x:c>
      <x:c r="H1544" s="11" t="n">
        <x:f>'Option source'!B298</x:f>
        <x:v>396.15</x:v>
      </x:c>
      <x:c r="I1544" s="11"/>
      <x:c r="J1544" s="11" t="n">
        <x:f>G1544-2*H1544+IF(B1544="Butterfly",I1544,0)</x:f>
        <x:v>-307.10999999999996</x:v>
      </x:c>
      <x:c r="K1544" s="11" t="n">
        <x:f>ABS(E1544-D1544)</x:f>
        <x:v>200</x:v>
      </x:c>
      <x:c r="L1544" s="11" t="n">
        <x:f>K1544-J1544</x:f>
        <x:v>507.10999999999996</x:v>
      </x:c>
      <x:c r="M1544" s="11" t="str">
        <x:f>IF(B1544="Butterfly",MAX(J1544,0),IF(C1544="call","Unlimited",MAX(2*E1544-D1544+J1544,J1544,0)))</x:f>
        <x:v>Unlimited</x:v>
      </x:c>
      <x:c r="N1544" s="11" t="str">
        <x:f>IF(B1544="Butterfly",IF(AND(J1544&gt;0,J1544&lt;K1544),D1544+J1544,"n.a."),IF(C1544="call",IF(AND(J1544&gt;0,J1544&lt;K1544),D1544+J1544,"n.a."),IF(AND(K1544&gt;J1544,2*E1544-D1544+J1544&gt;=0),2*E1544-D1544+J1544,"n.a.")))</x:f>
        <x:v>n.a.</x:v>
      </x:c>
      <x:c r="O1544" s="11" t="n">
        <x:f>IF(B1544="Butterfly",IF(AND(J1544&gt;0,J1544&lt;K1544),F1544-J1544,"n.a."),IF(C1544="call",IF(K1544&gt;J1544,2*E1544-D1544-J1544,"n.a."),IF(AND(J1544&gt;0,J1544&lt;K1544),D1544-J1544,"n.a.")))</x:f>
        <x:v>7907.11</x:v>
      </x:c>
      <x:c r="P1544" s="19" t="str">
        <x:f>IF(AND(B1544="Butterfly",J1544&gt;0,J1544&lt;K1544),L1544/J1544,"n.a.")</x:f>
        <x:v>n.a.</x:v>
      </x:c>
      <x:c r="Q1544" s="11" t="n">
        <x:f>J1544*'Model inputs'!$B$8</x:f>
        <x:v>-30710.999999999996</x:v>
      </x:c>
      <x:c r="R1544" s="1" t="str">
        <x:v>Indicative only</x:v>
      </x:c>
      <x:c r="S1544" s="1" t="n">
        <x:v>274</x:v>
      </x:c>
      <x:c r="T1544" s="1" t="n">
        <x:v>293</x:v>
      </x:c>
    </x:row>
    <x:row r="1545" ht="21" customHeight="1">
      <x:c r="A1545" s="12" t="n">
        <x:v>46258</x:v>
      </x:c>
      <x:c r="B1545" s="1" t="str">
        <x:v>1x2 ratio</x:v>
      </x:c>
      <x:c r="C1545" s="1" t="str">
        <x:v>put</x:v>
      </x:c>
      <x:c r="D1545" s="11" t="n">
        <x:v>7600</x:v>
      </x:c>
      <x:c r="E1545" s="11" t="n">
        <x:v>7400</x:v>
      </x:c>
      <x:c r="F1545" s="11"/>
      <x:c r="G1545" s="11" t="n">
        <x:f>'Option source'!B811</x:f>
        <x:v>711</x:v>
      </x:c>
      <x:c r="H1545" s="11" t="n">
        <x:f>'Option source'!B792</x:f>
        <x:v>620</x:v>
      </x:c>
      <x:c r="I1545" s="11"/>
      <x:c r="J1545" s="11" t="n">
        <x:f>G1545-2*H1545+IF(B1545="Butterfly",I1545,0)</x:f>
        <x:v>-529</x:v>
      </x:c>
      <x:c r="K1545" s="11" t="n">
        <x:f>ABS(E1545-D1545)</x:f>
        <x:v>200</x:v>
      </x:c>
      <x:c r="L1545" s="11" t="n">
        <x:f>K1545-J1545</x:f>
        <x:v>729</x:v>
      </x:c>
      <x:c r="M1545" s="11" t="n">
        <x:f>IF(B1545="Butterfly",MAX(J1545,0),IF(C1545="call","Unlimited",MAX(2*E1545-D1545+J1545,J1545,0)))</x:f>
        <x:v>6671</x:v>
      </x:c>
      <x:c r="N1545" s="11" t="n">
        <x:f>IF(B1545="Butterfly",IF(AND(J1545&gt;0,J1545&lt;K1545),D1545+J1545,"n.a."),IF(C1545="call",IF(AND(J1545&gt;0,J1545&lt;K1545),D1545+J1545,"n.a."),IF(AND(K1545&gt;J1545,2*E1545-D1545+J1545&gt;=0),2*E1545-D1545+J1545,"n.a.")))</x:f>
        <x:v>6671</x:v>
      </x:c>
      <x:c r="O1545" s="11" t="str">
        <x:f>IF(B1545="Butterfly",IF(AND(J1545&gt;0,J1545&lt;K1545),F1545-J1545,"n.a."),IF(C1545="call",IF(K1545&gt;J1545,2*E1545-D1545-J1545,"n.a."),IF(AND(J1545&gt;0,J1545&lt;K1545),D1545-J1545,"n.a.")))</x:f>
        <x:v>n.a.</x:v>
      </x:c>
      <x:c r="P1545" s="19" t="str">
        <x:f>IF(AND(B1545="Butterfly",J1545&gt;0,J1545&lt;K1545),L1545/J1545,"n.a.")</x:f>
        <x:v>n.a.</x:v>
      </x:c>
      <x:c r="Q1545" s="11" t="n">
        <x:f>J1545*'Model inputs'!$B$8</x:f>
        <x:v>-52900</x:v>
      </x:c>
      <x:c r="R1545" s="1" t="str">
        <x:v>Indicative only</x:v>
      </x:c>
      <x:c r="S1545" s="1" t="n">
        <x:v>806</x:v>
      </x:c>
      <x:c r="T1545" s="1" t="n">
        <x:v>787</x:v>
      </x:c>
    </x:row>
    <x:row r="1546" ht="21" customHeight="1">
      <x:c r="A1546" s="12" t="n">
        <x:v>46258</x:v>
      </x:c>
      <x:c r="B1546" s="1" t="str">
        <x:v>1x2 ratio</x:v>
      </x:c>
      <x:c r="C1546" s="1" t="str">
        <x:v>put</x:v>
      </x:c>
      <x:c r="D1546" s="11" t="n">
        <x:v>6600</x:v>
      </x:c>
      <x:c r="E1546" s="11" t="n">
        <x:v>6400</x:v>
      </x:c>
      <x:c r="F1546" s="11"/>
      <x:c r="G1546" s="11" t="n">
        <x:f>'Option source'!B716</x:f>
        <x:v>235.77</x:v>
      </x:c>
      <x:c r="H1546" s="11" t="n">
        <x:f>'Option source'!B697</x:f>
        <x:v>175.6</x:v>
      </x:c>
      <x:c r="I1546" s="11"/>
      <x:c r="J1546" s="11" t="n">
        <x:f>G1546-2*H1546+IF(B1546="Butterfly",I1546,0)</x:f>
        <x:v>-115.42999999999998</x:v>
      </x:c>
      <x:c r="K1546" s="11" t="n">
        <x:f>ABS(E1546-D1546)</x:f>
        <x:v>200</x:v>
      </x:c>
      <x:c r="L1546" s="11" t="n">
        <x:f>K1546-J1546</x:f>
        <x:v>315.42999999999995</x:v>
      </x:c>
      <x:c r="M1546" s="11" t="n">
        <x:f>IF(B1546="Butterfly",MAX(J1546,0),IF(C1546="call","Unlimited",MAX(2*E1546-D1546+J1546,J1546,0)))</x:f>
        <x:v>6084.57</x:v>
      </x:c>
      <x:c r="N1546" s="11" t="n">
        <x:f>IF(B1546="Butterfly",IF(AND(J1546&gt;0,J1546&lt;K1546),D1546+J1546,"n.a."),IF(C1546="call",IF(AND(J1546&gt;0,J1546&lt;K1546),D1546+J1546,"n.a."),IF(AND(K1546&gt;J1546,2*E1546-D1546+J1546&gt;=0),2*E1546-D1546+J1546,"n.a.")))</x:f>
        <x:v>6084.57</x:v>
      </x:c>
      <x:c r="O1546" s="11" t="str">
        <x:f>IF(B1546="Butterfly",IF(AND(J1546&gt;0,J1546&lt;K1546),F1546-J1546,"n.a."),IF(C1546="call",IF(K1546&gt;J1546,2*E1546-D1546-J1546,"n.a."),IF(AND(J1546&gt;0,J1546&lt;K1546),D1546-J1546,"n.a.")))</x:f>
        <x:v>n.a.</x:v>
      </x:c>
      <x:c r="P1546" s="19" t="str">
        <x:f>IF(AND(B1546="Butterfly",J1546&gt;0,J1546&lt;K1546),L1546/J1546,"n.a.")</x:f>
        <x:v>n.a.</x:v>
      </x:c>
      <x:c r="Q1546" s="11" t="n">
        <x:f>J1546*'Model inputs'!$B$8</x:f>
        <x:v>-11542.999999999998</x:v>
      </x:c>
      <x:c r="R1546" s="1" t="str">
        <x:v>Indicative only</x:v>
      </x:c>
      <x:c r="S1546" s="1" t="n">
        <x:v>711</x:v>
      </x:c>
      <x:c r="T1546" s="1" t="n">
        <x:v>692</x:v>
      </x:c>
    </x:row>
    <x:row r="1547" ht="21" customHeight="1">
      <x:c r="A1547" s="12" t="n">
        <x:v>46258</x:v>
      </x:c>
      <x:c r="B1547" s="1" t="str">
        <x:v>1x2 ratio</x:v>
      </x:c>
      <x:c r="C1547" s="1" t="str">
        <x:v>call</x:v>
      </x:c>
      <x:c r="D1547" s="11" t="n">
        <x:v>7400</x:v>
      </x:c>
      <x:c r="E1547" s="11" t="n">
        <x:v>7600</x:v>
      </x:c>
      <x:c r="F1547" s="11"/>
      <x:c r="G1547" s="11" t="n">
        <x:f>'Option source'!B298</x:f>
        <x:v>396.15</x:v>
      </x:c>
      <x:c r="H1547" s="11" t="n">
        <x:f>'Option source'!B317</x:f>
        <x:v>327.63</x:v>
      </x:c>
      <x:c r="I1547" s="11"/>
      <x:c r="J1547" s="11" t="n">
        <x:f>G1547-2*H1547+IF(B1547="Butterfly",I1547,0)</x:f>
        <x:v>-259.11</x:v>
      </x:c>
      <x:c r="K1547" s="11" t="n">
        <x:f>ABS(E1547-D1547)</x:f>
        <x:v>200</x:v>
      </x:c>
      <x:c r="L1547" s="11" t="n">
        <x:f>K1547-J1547</x:f>
        <x:v>459.11</x:v>
      </x:c>
      <x:c r="M1547" s="11" t="str">
        <x:f>IF(B1547="Butterfly",MAX(J1547,0),IF(C1547="call","Unlimited",MAX(2*E1547-D1547+J1547,J1547,0)))</x:f>
        <x:v>Unlimited</x:v>
      </x:c>
      <x:c r="N1547" s="11" t="str">
        <x:f>IF(B1547="Butterfly",IF(AND(J1547&gt;0,J1547&lt;K1547),D1547+J1547,"n.a."),IF(C1547="call",IF(AND(J1547&gt;0,J1547&lt;K1547),D1547+J1547,"n.a."),IF(AND(K1547&gt;J1547,2*E1547-D1547+J1547&gt;=0),2*E1547-D1547+J1547,"n.a.")))</x:f>
        <x:v>n.a.</x:v>
      </x:c>
      <x:c r="O1547" s="11" t="n">
        <x:f>IF(B1547="Butterfly",IF(AND(J1547&gt;0,J1547&lt;K1547),F1547-J1547,"n.a."),IF(C1547="call",IF(K1547&gt;J1547,2*E1547-D1547-J1547,"n.a."),IF(AND(J1547&gt;0,J1547&lt;K1547),D1547-J1547,"n.a.")))</x:f>
        <x:v>8059.11</x:v>
      </x:c>
      <x:c r="P1547" s="19" t="str">
        <x:f>IF(AND(B1547="Butterfly",J1547&gt;0,J1547&lt;K1547),L1547/J1547,"n.a.")</x:f>
        <x:v>n.a.</x:v>
      </x:c>
      <x:c r="Q1547" s="11" t="n">
        <x:f>J1547*'Model inputs'!$B$8</x:f>
        <x:v>-25911</x:v>
      </x:c>
      <x:c r="R1547" s="1" t="str">
        <x:v>Indicative only</x:v>
      </x:c>
      <x:c r="S1547" s="1" t="n">
        <x:v>293</x:v>
      </x:c>
      <x:c r="T1547" s="1" t="n">
        <x:v>312</x:v>
      </x:c>
    </x:row>
    <x:row r="1548" ht="21" customHeight="1">
      <x:c r="A1548" s="12" t="n">
        <x:v>46258</x:v>
      </x:c>
      <x:c r="B1548" s="1" t="str">
        <x:v>1x2 ratio</x:v>
      </x:c>
      <x:c r="C1548" s="1" t="str">
        <x:v>put</x:v>
      </x:c>
      <x:c r="D1548" s="11" t="n">
        <x:v>7800</x:v>
      </x:c>
      <x:c r="E1548" s="11" t="n">
        <x:v>7600</x:v>
      </x:c>
      <x:c r="F1548" s="11"/>
      <x:c r="G1548" s="11" t="n">
        <x:f>'Option source'!B830</x:f>
        <x:v>871</x:v>
      </x:c>
      <x:c r="H1548" s="11" t="n">
        <x:f>'Option source'!B811</x:f>
        <x:v>711</x:v>
      </x:c>
      <x:c r="I1548" s="11"/>
      <x:c r="J1548" s="11" t="n">
        <x:f>G1548-2*H1548+IF(B1548="Butterfly",I1548,0)</x:f>
        <x:v>-551</x:v>
      </x:c>
      <x:c r="K1548" s="11" t="n">
        <x:f>ABS(E1548-D1548)</x:f>
        <x:v>200</x:v>
      </x:c>
      <x:c r="L1548" s="11" t="n">
        <x:f>K1548-J1548</x:f>
        <x:v>751</x:v>
      </x:c>
      <x:c r="M1548" s="11" t="n">
        <x:f>IF(B1548="Butterfly",MAX(J1548,0),IF(C1548="call","Unlimited",MAX(2*E1548-D1548+J1548,J1548,0)))</x:f>
        <x:v>6849</x:v>
      </x:c>
      <x:c r="N1548" s="11" t="n">
        <x:f>IF(B1548="Butterfly",IF(AND(J1548&gt;0,J1548&lt;K1548),D1548+J1548,"n.a."),IF(C1548="call",IF(AND(J1548&gt;0,J1548&lt;K1548),D1548+J1548,"n.a."),IF(AND(K1548&gt;J1548,2*E1548-D1548+J1548&gt;=0),2*E1548-D1548+J1548,"n.a.")))</x:f>
        <x:v>6849</x:v>
      </x:c>
      <x:c r="O1548" s="11" t="str">
        <x:f>IF(B1548="Butterfly",IF(AND(J1548&gt;0,J1548&lt;K1548),F1548-J1548,"n.a."),IF(C1548="call",IF(K1548&gt;J1548,2*E1548-D1548-J1548,"n.a."),IF(AND(J1548&gt;0,J1548&lt;K1548),D1548-J1548,"n.a.")))</x:f>
        <x:v>n.a.</x:v>
      </x:c>
      <x:c r="P1548" s="19" t="str">
        <x:f>IF(AND(B1548="Butterfly",J1548&gt;0,J1548&lt;K1548),L1548/J1548,"n.a.")</x:f>
        <x:v>n.a.</x:v>
      </x:c>
      <x:c r="Q1548" s="11" t="n">
        <x:f>J1548*'Model inputs'!$B$8</x:f>
        <x:v>-55100</x:v>
      </x:c>
      <x:c r="R1548" s="1" t="str">
        <x:v>Indicative only</x:v>
      </x:c>
      <x:c r="S1548" s="1" t="n">
        <x:v>825</x:v>
      </x:c>
      <x:c r="T1548" s="1" t="n">
        <x:v>806</x:v>
      </x:c>
    </x:row>
    <x:row r="1549" ht="21" customHeight="1">
      <x:c r="A1549" s="12" t="n">
        <x:v>46258</x:v>
      </x:c>
      <x:c r="B1549" s="1" t="str">
        <x:v>1x2 ratio</x:v>
      </x:c>
      <x:c r="C1549" s="1" t="str">
        <x:v>put</x:v>
      </x:c>
      <x:c r="D1549" s="11" t="n">
        <x:v>6400</x:v>
      </x:c>
      <x:c r="E1549" s="11" t="n">
        <x:v>6200</x:v>
      </x:c>
      <x:c r="F1549" s="11"/>
      <x:c r="G1549" s="11" t="n">
        <x:f>'Option source'!B697</x:f>
        <x:v>175.6</x:v>
      </x:c>
      <x:c r="H1549" s="11" t="n">
        <x:f>'Option source'!B678</x:f>
        <x:v>127.23</x:v>
      </x:c>
      <x:c r="I1549" s="11"/>
      <x:c r="J1549" s="11" t="n">
        <x:f>G1549-2*H1549+IF(B1549="Butterfly",I1549,0)</x:f>
        <x:v>-78.86000000000001</x:v>
      </x:c>
      <x:c r="K1549" s="11" t="n">
        <x:f>ABS(E1549-D1549)</x:f>
        <x:v>200</x:v>
      </x:c>
      <x:c r="L1549" s="11" t="n">
        <x:f>K1549-J1549</x:f>
        <x:v>278.86</x:v>
      </x:c>
      <x:c r="M1549" s="11" t="n">
        <x:f>IF(B1549="Butterfly",MAX(J1549,0),IF(C1549="call","Unlimited",MAX(2*E1549-D1549+J1549,J1549,0)))</x:f>
        <x:v>5921.14</x:v>
      </x:c>
      <x:c r="N1549" s="11" t="n">
        <x:f>IF(B1549="Butterfly",IF(AND(J1549&gt;0,J1549&lt;K1549),D1549+J1549,"n.a."),IF(C1549="call",IF(AND(J1549&gt;0,J1549&lt;K1549),D1549+J1549,"n.a."),IF(AND(K1549&gt;J1549,2*E1549-D1549+J1549&gt;=0),2*E1549-D1549+J1549,"n.a.")))</x:f>
        <x:v>5921.14</x:v>
      </x:c>
      <x:c r="O1549" s="11" t="str">
        <x:f>IF(B1549="Butterfly",IF(AND(J1549&gt;0,J1549&lt;K1549),F1549-J1549,"n.a."),IF(C1549="call",IF(K1549&gt;J1549,2*E1549-D1549-J1549,"n.a."),IF(AND(J1549&gt;0,J1549&lt;K1549),D1549-J1549,"n.a.")))</x:f>
        <x:v>n.a.</x:v>
      </x:c>
      <x:c r="P1549" s="19" t="str">
        <x:f>IF(AND(B1549="Butterfly",J1549&gt;0,J1549&lt;K1549),L1549/J1549,"n.a.")</x:f>
        <x:v>n.a.</x:v>
      </x:c>
      <x:c r="Q1549" s="11" t="n">
        <x:f>J1549*'Model inputs'!$B$8</x:f>
        <x:v>-7886.000000000002</x:v>
      </x:c>
      <x:c r="R1549" s="1" t="str">
        <x:v>Indicative only</x:v>
      </x:c>
      <x:c r="S1549" s="1" t="n">
        <x:v>692</x:v>
      </x:c>
      <x:c r="T1549" s="1" t="n">
        <x:v>673</x:v>
      </x:c>
    </x:row>
    <x:row r="1550" ht="21" customHeight="1">
      <x:c r="A1550" s="12" t="n">
        <x:v>46258</x:v>
      </x:c>
      <x:c r="B1550" s="1" t="str">
        <x:v>1x2 ratio</x:v>
      </x:c>
      <x:c r="C1550" s="1" t="str">
        <x:v>call</x:v>
      </x:c>
      <x:c r="D1550" s="11" t="n">
        <x:v>7600</x:v>
      </x:c>
      <x:c r="E1550" s="11" t="n">
        <x:v>7800</x:v>
      </x:c>
      <x:c r="F1550" s="11"/>
      <x:c r="G1550" s="11" t="n">
        <x:f>'Option source'!B317</x:f>
        <x:v>327.63</x:v>
      </x:c>
      <x:c r="H1550" s="11" t="n">
        <x:f>'Option source'!B336</x:f>
        <x:v>260.44</x:v>
      </x:c>
      <x:c r="I1550" s="11"/>
      <x:c r="J1550" s="11" t="n">
        <x:f>G1550-2*H1550+IF(B1550="Butterfly",I1550,0)</x:f>
        <x:v>-193.25</x:v>
      </x:c>
      <x:c r="K1550" s="11" t="n">
        <x:f>ABS(E1550-D1550)</x:f>
        <x:v>200</x:v>
      </x:c>
      <x:c r="L1550" s="11" t="n">
        <x:f>K1550-J1550</x:f>
        <x:v>393.25</x:v>
      </x:c>
      <x:c r="M1550" s="11" t="str">
        <x:f>IF(B1550="Butterfly",MAX(J1550,0),IF(C1550="call","Unlimited",MAX(2*E1550-D1550+J1550,J1550,0)))</x:f>
        <x:v>Unlimited</x:v>
      </x:c>
      <x:c r="N1550" s="11" t="str">
        <x:f>IF(B1550="Butterfly",IF(AND(J1550&gt;0,J1550&lt;K1550),D1550+J1550,"n.a."),IF(C1550="call",IF(AND(J1550&gt;0,J1550&lt;K1550),D1550+J1550,"n.a."),IF(AND(K1550&gt;J1550,2*E1550-D1550+J1550&gt;=0),2*E1550-D1550+J1550,"n.a.")))</x:f>
        <x:v>n.a.</x:v>
      </x:c>
      <x:c r="O1550" s="11" t="n">
        <x:f>IF(B1550="Butterfly",IF(AND(J1550&gt;0,J1550&lt;K1550),F1550-J1550,"n.a."),IF(C1550="call",IF(K1550&gt;J1550,2*E1550-D1550-J1550,"n.a."),IF(AND(J1550&gt;0,J1550&lt;K1550),D1550-J1550,"n.a.")))</x:f>
        <x:v>8193.25</x:v>
      </x:c>
      <x:c r="P1550" s="19" t="str">
        <x:f>IF(AND(B1550="Butterfly",J1550&gt;0,J1550&lt;K1550),L1550/J1550,"n.a.")</x:f>
        <x:v>n.a.</x:v>
      </x:c>
      <x:c r="Q1550" s="11" t="n">
        <x:f>J1550*'Model inputs'!$B$8</x:f>
        <x:v>-19325</x:v>
      </x:c>
      <x:c r="R1550" s="1" t="str">
        <x:v>Indicative only</x:v>
      </x:c>
      <x:c r="S1550" s="1" t="n">
        <x:v>312</x:v>
      </x:c>
      <x:c r="T1550" s="1" t="n">
        <x:v>331</x:v>
      </x:c>
    </x:row>
    <x:row r="1551" ht="21" customHeight="1">
      <x:c r="A1551" s="12" t="n">
        <x:v>46258</x:v>
      </x:c>
      <x:c r="B1551" s="1" t="str">
        <x:v>1x2 ratio</x:v>
      </x:c>
      <x:c r="C1551" s="1" t="str">
        <x:v>put</x:v>
      </x:c>
      <x:c r="D1551" s="11" t="n">
        <x:v>6200</x:v>
      </x:c>
      <x:c r="E1551" s="11" t="n">
        <x:v>6000</x:v>
      </x:c>
      <x:c r="F1551" s="11"/>
      <x:c r="G1551" s="11" t="n">
        <x:f>'Option source'!B678</x:f>
        <x:v>127.23</x:v>
      </x:c>
      <x:c r="H1551" s="11" t="n">
        <x:f>'Option source'!B659</x:f>
        <x:v>91.55</x:v>
      </x:c>
      <x:c r="I1551" s="11"/>
      <x:c r="J1551" s="11" t="n">
        <x:f>G1551-2*H1551+IF(B1551="Butterfly",I1551,0)</x:f>
        <x:v>-55.86999999999999</x:v>
      </x:c>
      <x:c r="K1551" s="11" t="n">
        <x:f>ABS(E1551-D1551)</x:f>
        <x:v>200</x:v>
      </x:c>
      <x:c r="L1551" s="11" t="n">
        <x:f>K1551-J1551</x:f>
        <x:v>255.87</x:v>
      </x:c>
      <x:c r="M1551" s="11" t="n">
        <x:f>IF(B1551="Butterfly",MAX(J1551,0),IF(C1551="call","Unlimited",MAX(2*E1551-D1551+J1551,J1551,0)))</x:f>
        <x:v>5744.13</x:v>
      </x:c>
      <x:c r="N1551" s="11" t="n">
        <x:f>IF(B1551="Butterfly",IF(AND(J1551&gt;0,J1551&lt;K1551),D1551+J1551,"n.a."),IF(C1551="call",IF(AND(J1551&gt;0,J1551&lt;K1551),D1551+J1551,"n.a."),IF(AND(K1551&gt;J1551,2*E1551-D1551+J1551&gt;=0),2*E1551-D1551+J1551,"n.a.")))</x:f>
        <x:v>5744.13</x:v>
      </x:c>
      <x:c r="O1551" s="11" t="str">
        <x:f>IF(B1551="Butterfly",IF(AND(J1551&gt;0,J1551&lt;K1551),F1551-J1551,"n.a."),IF(C1551="call",IF(K1551&gt;J1551,2*E1551-D1551-J1551,"n.a."),IF(AND(J1551&gt;0,J1551&lt;K1551),D1551-J1551,"n.a.")))</x:f>
        <x:v>n.a.</x:v>
      </x:c>
      <x:c r="P1551" s="19" t="str">
        <x:f>IF(AND(B1551="Butterfly",J1551&gt;0,J1551&lt;K1551),L1551/J1551,"n.a.")</x:f>
        <x:v>n.a.</x:v>
      </x:c>
      <x:c r="Q1551" s="11" t="n">
        <x:f>J1551*'Model inputs'!$B$8</x:f>
        <x:v>-5586.999999999999</x:v>
      </x:c>
      <x:c r="R1551" s="1" t="str">
        <x:v>Indicative only</x:v>
      </x:c>
      <x:c r="S1551" s="1" t="n">
        <x:v>673</x:v>
      </x:c>
      <x:c r="T1551" s="1" t="n">
        <x:v>654</x:v>
      </x:c>
    </x:row>
    <x:row r="1552" ht="21" customHeight="1">
      <x:c r="A1552" s="12" t="n">
        <x:v>46258</x:v>
      </x:c>
      <x:c r="B1552" s="1" t="str">
        <x:v>1x2 ratio</x:v>
      </x:c>
      <x:c r="C1552" s="1" t="str">
        <x:v>call</x:v>
      </x:c>
      <x:c r="D1552" s="11" t="n">
        <x:v>7800</x:v>
      </x:c>
      <x:c r="E1552" s="11" t="n">
        <x:v>8000</x:v>
      </x:c>
      <x:c r="F1552" s="11"/>
      <x:c r="G1552" s="11" t="n">
        <x:f>'Option source'!B336</x:f>
        <x:v>260.44</x:v>
      </x:c>
      <x:c r="H1552" s="11" t="n">
        <x:f>'Option source'!B355</x:f>
        <x:v>204.83</x:v>
      </x:c>
      <x:c r="I1552" s="11"/>
      <x:c r="J1552" s="11" t="n">
        <x:f>G1552-2*H1552+IF(B1552="Butterfly",I1552,0)</x:f>
        <x:v>-149.22000000000003</x:v>
      </x:c>
      <x:c r="K1552" s="11" t="n">
        <x:f>ABS(E1552-D1552)</x:f>
        <x:v>200</x:v>
      </x:c>
      <x:c r="L1552" s="11" t="n">
        <x:f>K1552-J1552</x:f>
        <x:v>349.22</x:v>
      </x:c>
      <x:c r="M1552" s="11" t="str">
        <x:f>IF(B1552="Butterfly",MAX(J1552,0),IF(C1552="call","Unlimited",MAX(2*E1552-D1552+J1552,J1552,0)))</x:f>
        <x:v>Unlimited</x:v>
      </x:c>
      <x:c r="N1552" s="11" t="str">
        <x:f>IF(B1552="Butterfly",IF(AND(J1552&gt;0,J1552&lt;K1552),D1552+J1552,"n.a."),IF(C1552="call",IF(AND(J1552&gt;0,J1552&lt;K1552),D1552+J1552,"n.a."),IF(AND(K1552&gt;J1552,2*E1552-D1552+J1552&gt;=0),2*E1552-D1552+J1552,"n.a.")))</x:f>
        <x:v>n.a.</x:v>
      </x:c>
      <x:c r="O1552" s="11" t="n">
        <x:f>IF(B1552="Butterfly",IF(AND(J1552&gt;0,J1552&lt;K1552),F1552-J1552,"n.a."),IF(C1552="call",IF(K1552&gt;J1552,2*E1552-D1552-J1552,"n.a."),IF(AND(J1552&gt;0,J1552&lt;K1552),D1552-J1552,"n.a.")))</x:f>
        <x:v>8349.22</x:v>
      </x:c>
      <x:c r="P1552" s="19" t="str">
        <x:f>IF(AND(B1552="Butterfly",J1552&gt;0,J1552&lt;K1552),L1552/J1552,"n.a.")</x:f>
        <x:v>n.a.</x:v>
      </x:c>
      <x:c r="Q1552" s="11" t="n">
        <x:f>J1552*'Model inputs'!$B$8</x:f>
        <x:v>-14922.000000000004</x:v>
      </x:c>
      <x:c r="R1552" s="1" t="str">
        <x:v>Indicative only</x:v>
      </x:c>
      <x:c r="S1552" s="1" t="n">
        <x:v>331</x:v>
      </x:c>
      <x:c r="T1552" s="1" t="n">
        <x:v>350</x:v>
      </x:c>
    </x:row>
    <x:row r="1553" ht="21" customHeight="1">
      <x:c r="A1553" s="12" t="n">
        <x:v>46258</x:v>
      </x:c>
      <x:c r="B1553" s="1" t="str">
        <x:v>1x2 ratio</x:v>
      </x:c>
      <x:c r="C1553" s="1" t="str">
        <x:v>put</x:v>
      </x:c>
      <x:c r="D1553" s="11" t="n">
        <x:v>6000</x:v>
      </x:c>
      <x:c r="E1553" s="11" t="n">
        <x:v>5800</x:v>
      </x:c>
      <x:c r="F1553" s="11"/>
      <x:c r="G1553" s="11" t="n">
        <x:f>'Option source'!B659</x:f>
        <x:v>91.55</x:v>
      </x:c>
      <x:c r="H1553" s="11" t="n">
        <x:f>'Option source'!B640</x:f>
        <x:v>61.45</x:v>
      </x:c>
      <x:c r="I1553" s="11"/>
      <x:c r="J1553" s="11" t="n">
        <x:f>G1553-2*H1553+IF(B1553="Butterfly",I1553,0)</x:f>
        <x:v>-31.35000000000001</x:v>
      </x:c>
      <x:c r="K1553" s="11" t="n">
        <x:f>ABS(E1553-D1553)</x:f>
        <x:v>200</x:v>
      </x:c>
      <x:c r="L1553" s="11" t="n">
        <x:f>K1553-J1553</x:f>
        <x:v>231.35000000000002</x:v>
      </x:c>
      <x:c r="M1553" s="11" t="n">
        <x:f>IF(B1553="Butterfly",MAX(J1553,0),IF(C1553="call","Unlimited",MAX(2*E1553-D1553+J1553,J1553,0)))</x:f>
        <x:v>5568.65</x:v>
      </x:c>
      <x:c r="N1553" s="11" t="n">
        <x:f>IF(B1553="Butterfly",IF(AND(J1553&gt;0,J1553&lt;K1553),D1553+J1553,"n.a."),IF(C1553="call",IF(AND(J1553&gt;0,J1553&lt;K1553),D1553+J1553,"n.a."),IF(AND(K1553&gt;J1553,2*E1553-D1553+J1553&gt;=0),2*E1553-D1553+J1553,"n.a.")))</x:f>
        <x:v>5568.65</x:v>
      </x:c>
      <x:c r="O1553" s="11" t="str">
        <x:f>IF(B1553="Butterfly",IF(AND(J1553&gt;0,J1553&lt;K1553),F1553-J1553,"n.a."),IF(C1553="call",IF(K1553&gt;J1553,2*E1553-D1553-J1553,"n.a."),IF(AND(J1553&gt;0,J1553&lt;K1553),D1553-J1553,"n.a.")))</x:f>
        <x:v>n.a.</x:v>
      </x:c>
      <x:c r="P1553" s="19" t="str">
        <x:f>IF(AND(B1553="Butterfly",J1553&gt;0,J1553&lt;K1553),L1553/J1553,"n.a.")</x:f>
        <x:v>n.a.</x:v>
      </x:c>
      <x:c r="Q1553" s="11" t="n">
        <x:f>J1553*'Model inputs'!$B$8</x:f>
        <x:v>-3135.000000000001</x:v>
      </x:c>
      <x:c r="R1553" s="1" t="str">
        <x:v>Indicative only</x:v>
      </x:c>
      <x:c r="S1553" s="1" t="n">
        <x:v>654</x:v>
      </x:c>
      <x:c r="T1553" s="1" t="n">
        <x:v>635</x:v>
      </x:c>
    </x:row>
    <x:row r="1554" ht="21" customHeight="1">
      <x:c r="A1554" s="12" t="n">
        <x:v>46258</x:v>
      </x:c>
      <x:c r="B1554" s="1" t="str">
        <x:v>1x2 ratio</x:v>
      </x:c>
      <x:c r="C1554" s="1" t="str">
        <x:v>call</x:v>
      </x:c>
      <x:c r="D1554" s="11" t="n">
        <x:v>8000</x:v>
      </x:c>
      <x:c r="E1554" s="11" t="n">
        <x:v>8300</x:v>
      </x:c>
      <x:c r="F1554" s="11"/>
      <x:c r="G1554" s="11" t="n">
        <x:f>'Option source'!B355</x:f>
        <x:v>204.83</x:v>
      </x:c>
      <x:c r="H1554" s="11" t="n">
        <x:f>'Option source'!B374</x:f>
        <x:v>139.29</x:v>
      </x:c>
      <x:c r="I1554" s="11"/>
      <x:c r="J1554" s="11" t="n">
        <x:f>G1554-2*H1554+IF(B1554="Butterfly",I1554,0)</x:f>
        <x:v>-73.74999999999997</x:v>
      </x:c>
      <x:c r="K1554" s="11" t="n">
        <x:f>ABS(E1554-D1554)</x:f>
        <x:v>300</x:v>
      </x:c>
      <x:c r="L1554" s="11" t="n">
        <x:f>K1554-J1554</x:f>
        <x:v>373.75</x:v>
      </x:c>
      <x:c r="M1554" s="11" t="str">
        <x:f>IF(B1554="Butterfly",MAX(J1554,0),IF(C1554="call","Unlimited",MAX(2*E1554-D1554+J1554,J1554,0)))</x:f>
        <x:v>Unlimited</x:v>
      </x:c>
      <x:c r="N1554" s="11" t="str">
        <x:f>IF(B1554="Butterfly",IF(AND(J1554&gt;0,J1554&lt;K1554),D1554+J1554,"n.a."),IF(C1554="call",IF(AND(J1554&gt;0,J1554&lt;K1554),D1554+J1554,"n.a."),IF(AND(K1554&gt;J1554,2*E1554-D1554+J1554&gt;=0),2*E1554-D1554+J1554,"n.a.")))</x:f>
        <x:v>n.a.</x:v>
      </x:c>
      <x:c r="O1554" s="11" t="n">
        <x:f>IF(B1554="Butterfly",IF(AND(J1554&gt;0,J1554&lt;K1554),F1554-J1554,"n.a."),IF(C1554="call",IF(K1554&gt;J1554,2*E1554-D1554-J1554,"n.a."),IF(AND(J1554&gt;0,J1554&lt;K1554),D1554-J1554,"n.a.")))</x:f>
        <x:v>8673.75</x:v>
      </x:c>
      <x:c r="P1554" s="19" t="str">
        <x:f>IF(AND(B1554="Butterfly",J1554&gt;0,J1554&lt;K1554),L1554/J1554,"n.a.")</x:f>
        <x:v>n.a.</x:v>
      </x:c>
      <x:c r="Q1554" s="11" t="n">
        <x:f>J1554*'Model inputs'!$B$8</x:f>
        <x:v>-7374.999999999997</x:v>
      </x:c>
      <x:c r="R1554" s="1" t="str">
        <x:v>Indicative only</x:v>
      </x:c>
      <x:c r="S1554" s="1" t="n">
        <x:v>350</x:v>
      </x:c>
      <x:c r="T1554" s="1" t="n">
        <x:v>369</x:v>
      </x:c>
    </x:row>
    <x:row r="1555" ht="21" customHeight="1">
      <x:c r="A1555" s="12" t="n">
        <x:v>46258</x:v>
      </x:c>
      <x:c r="B1555" s="1" t="str">
        <x:v>1x2 ratio</x:v>
      </x:c>
      <x:c r="C1555" s="1" t="str">
        <x:v>put</x:v>
      </x:c>
      <x:c r="D1555" s="11" t="n">
        <x:v>5800</x:v>
      </x:c>
      <x:c r="E1555" s="11" t="n">
        <x:v>5600</x:v>
      </x:c>
      <x:c r="F1555" s="11"/>
      <x:c r="G1555" s="11" t="n">
        <x:f>'Option source'!B640</x:f>
        <x:v>61.45</x:v>
      </x:c>
      <x:c r="H1555" s="11" t="n">
        <x:f>'Option source'!B621</x:f>
        <x:v>39.35</x:v>
      </x:c>
      <x:c r="I1555" s="11"/>
      <x:c r="J1555" s="11" t="n">
        <x:f>G1555-2*H1555+IF(B1555="Butterfly",I1555,0)</x:f>
        <x:v>-17.25</x:v>
      </x:c>
      <x:c r="K1555" s="11" t="n">
        <x:f>ABS(E1555-D1555)</x:f>
        <x:v>200</x:v>
      </x:c>
      <x:c r="L1555" s="11" t="n">
        <x:f>K1555-J1555</x:f>
        <x:v>217.25</x:v>
      </x:c>
      <x:c r="M1555" s="11" t="n">
        <x:f>IF(B1555="Butterfly",MAX(J1555,0),IF(C1555="call","Unlimited",MAX(2*E1555-D1555+J1555,J1555,0)))</x:f>
        <x:v>5382.75</x:v>
      </x:c>
      <x:c r="N1555" s="11" t="n">
        <x:f>IF(B1555="Butterfly",IF(AND(J1555&gt;0,J1555&lt;K1555),D1555+J1555,"n.a."),IF(C1555="call",IF(AND(J1555&gt;0,J1555&lt;K1555),D1555+J1555,"n.a."),IF(AND(K1555&gt;J1555,2*E1555-D1555+J1555&gt;=0),2*E1555-D1555+J1555,"n.a.")))</x:f>
        <x:v>5382.75</x:v>
      </x:c>
      <x:c r="O1555" s="11" t="str">
        <x:f>IF(B1555="Butterfly",IF(AND(J1555&gt;0,J1555&lt;K1555),F1555-J1555,"n.a."),IF(C1555="call",IF(K1555&gt;J1555,2*E1555-D1555-J1555,"n.a."),IF(AND(J1555&gt;0,J1555&lt;K1555),D1555-J1555,"n.a.")))</x:f>
        <x:v>n.a.</x:v>
      </x:c>
      <x:c r="P1555" s="19" t="str">
        <x:f>IF(AND(B1555="Butterfly",J1555&gt;0,J1555&lt;K1555),L1555/J1555,"n.a.")</x:f>
        <x:v>n.a.</x:v>
      </x:c>
      <x:c r="Q1555" s="11" t="n">
        <x:f>J1555*'Model inputs'!$B$8</x:f>
        <x:v>-1725</x:v>
      </x:c>
      <x:c r="R1555" s="1" t="str">
        <x:v>Indicative only</x:v>
      </x:c>
      <x:c r="S1555" s="1" t="n">
        <x:v>635</x:v>
      </x:c>
      <x:c r="T1555" s="1" t="n">
        <x:v>616</x:v>
      </x:c>
    </x:row>
    <x:row r="1556" ht="21" customHeight="1">
      <x:c r="A1556" s="12" t="n">
        <x:v>46258</x:v>
      </x:c>
      <x:c r="B1556" s="1" t="str">
        <x:v>1x2 ratio</x:v>
      </x:c>
      <x:c r="C1556" s="1" t="str">
        <x:v>put</x:v>
      </x:c>
      <x:c r="D1556" s="11" t="n">
        <x:v>5600</x:v>
      </x:c>
      <x:c r="E1556" s="11" t="n">
        <x:v>5400</x:v>
      </x:c>
      <x:c r="F1556" s="11"/>
      <x:c r="G1556" s="11" t="n">
        <x:f>'Option source'!B621</x:f>
        <x:v>39.35</x:v>
      </x:c>
      <x:c r="H1556" s="11" t="n">
        <x:f>'Option source'!B602</x:f>
        <x:v>26.64</x:v>
      </x:c>
      <x:c r="I1556" s="11"/>
      <x:c r="J1556" s="11" t="n">
        <x:f>G1556-2*H1556+IF(B1556="Butterfly",I1556,0)</x:f>
        <x:v>-13.93</x:v>
      </x:c>
      <x:c r="K1556" s="11" t="n">
        <x:f>ABS(E1556-D1556)</x:f>
        <x:v>200</x:v>
      </x:c>
      <x:c r="L1556" s="11" t="n">
        <x:f>K1556-J1556</x:f>
        <x:v>213.93</x:v>
      </x:c>
      <x:c r="M1556" s="11" t="n">
        <x:f>IF(B1556="Butterfly",MAX(J1556,0),IF(C1556="call","Unlimited",MAX(2*E1556-D1556+J1556,J1556,0)))</x:f>
        <x:v>5186.07</x:v>
      </x:c>
      <x:c r="N1556" s="11" t="n">
        <x:f>IF(B1556="Butterfly",IF(AND(J1556&gt;0,J1556&lt;K1556),D1556+J1556,"n.a."),IF(C1556="call",IF(AND(J1556&gt;0,J1556&lt;K1556),D1556+J1556,"n.a."),IF(AND(K1556&gt;J1556,2*E1556-D1556+J1556&gt;=0),2*E1556-D1556+J1556,"n.a.")))</x:f>
        <x:v>5186.07</x:v>
      </x:c>
      <x:c r="O1556" s="11" t="str">
        <x:f>IF(B1556="Butterfly",IF(AND(J1556&gt;0,J1556&lt;K1556),F1556-J1556,"n.a."),IF(C1556="call",IF(K1556&gt;J1556,2*E1556-D1556-J1556,"n.a."),IF(AND(J1556&gt;0,J1556&lt;K1556),D1556-J1556,"n.a.")))</x:f>
        <x:v>n.a.</x:v>
      </x:c>
      <x:c r="P1556" s="19" t="str">
        <x:f>IF(AND(B1556="Butterfly",J1556&gt;0,J1556&lt;K1556),L1556/J1556,"n.a.")</x:f>
        <x:v>n.a.</x:v>
      </x:c>
      <x:c r="Q1556" s="11" t="n">
        <x:f>J1556*'Model inputs'!$B$8</x:f>
        <x:v>-1393</x:v>
      </x:c>
      <x:c r="R1556" s="1" t="str">
        <x:v>Indicative only</x:v>
      </x:c>
      <x:c r="S1556" s="1" t="n">
        <x:v>616</x:v>
      </x:c>
      <x:c r="T1556" s="1" t="n">
        <x:v>597</x:v>
      </x:c>
    </x:row>
    <x:row r="1557" ht="21" customHeight="1">
      <x:c r="A1557" s="12" t="n">
        <x:v>46258</x:v>
      </x:c>
      <x:c r="B1557" s="1" t="str">
        <x:v>1x2 ratio</x:v>
      </x:c>
      <x:c r="C1557" s="1" t="str">
        <x:v>call</x:v>
      </x:c>
      <x:c r="D1557" s="11" t="n">
        <x:v>8300</x:v>
      </x:c>
      <x:c r="E1557" s="11" t="n">
        <x:v>8600</x:v>
      </x:c>
      <x:c r="F1557" s="11"/>
      <x:c r="G1557" s="11" t="n">
        <x:f>'Option source'!B374</x:f>
        <x:v>139.29</x:v>
      </x:c>
      <x:c r="H1557" s="11" t="n">
        <x:f>'Option source'!B393</x:f>
        <x:v>95.25</x:v>
      </x:c>
      <x:c r="I1557" s="11"/>
      <x:c r="J1557" s="11" t="n">
        <x:f>G1557-2*H1557+IF(B1557="Butterfly",I1557,0)</x:f>
        <x:v>-51.21000000000001</x:v>
      </x:c>
      <x:c r="K1557" s="11" t="n">
        <x:f>ABS(E1557-D1557)</x:f>
        <x:v>300</x:v>
      </x:c>
      <x:c r="L1557" s="11" t="n">
        <x:f>K1557-J1557</x:f>
        <x:v>351.21000000000004</x:v>
      </x:c>
      <x:c r="M1557" s="11" t="str">
        <x:f>IF(B1557="Butterfly",MAX(J1557,0),IF(C1557="call","Unlimited",MAX(2*E1557-D1557+J1557,J1557,0)))</x:f>
        <x:v>Unlimited</x:v>
      </x:c>
      <x:c r="N1557" s="11" t="str">
        <x:f>IF(B1557="Butterfly",IF(AND(J1557&gt;0,J1557&lt;K1557),D1557+J1557,"n.a."),IF(C1557="call",IF(AND(J1557&gt;0,J1557&lt;K1557),D1557+J1557,"n.a."),IF(AND(K1557&gt;J1557,2*E1557-D1557+J1557&gt;=0),2*E1557-D1557+J1557,"n.a.")))</x:f>
        <x:v>n.a.</x:v>
      </x:c>
      <x:c r="O1557" s="11" t="n">
        <x:f>IF(B1557="Butterfly",IF(AND(J1557&gt;0,J1557&lt;K1557),F1557-J1557,"n.a."),IF(C1557="call",IF(K1557&gt;J1557,2*E1557-D1557-J1557,"n.a."),IF(AND(J1557&gt;0,J1557&lt;K1557),D1557-J1557,"n.a.")))</x:f>
        <x:v>8951.21</x:v>
      </x:c>
      <x:c r="P1557" s="19" t="str">
        <x:f>IF(AND(B1557="Butterfly",J1557&gt;0,J1557&lt;K1557),L1557/J1557,"n.a.")</x:f>
        <x:v>n.a.</x:v>
      </x:c>
      <x:c r="Q1557" s="11" t="n">
        <x:f>J1557*'Model inputs'!$B$8</x:f>
        <x:v>-5121.000000000001</x:v>
      </x:c>
      <x:c r="R1557" s="1" t="str">
        <x:v>Indicative only</x:v>
      </x:c>
      <x:c r="S1557" s="1" t="n">
        <x:v>369</x:v>
      </x:c>
      <x:c r="T1557" s="1" t="n">
        <x:v>388</x:v>
      </x:c>
    </x:row>
    <x:row r="1558" ht="21" customHeight="1">
      <x:c r="A1558" s="12" t="n">
        <x:v>46258</x:v>
      </x:c>
      <x:c r="B1558" s="1" t="str">
        <x:v>1x2 ratio</x:v>
      </x:c>
      <x:c r="C1558" s="1" t="str">
        <x:v>put</x:v>
      </x:c>
      <x:c r="D1558" s="11" t="n">
        <x:v>5400</x:v>
      </x:c>
      <x:c r="E1558" s="11" t="n">
        <x:v>5200</x:v>
      </x:c>
      <x:c r="F1558" s="11"/>
      <x:c r="G1558" s="11" t="n">
        <x:f>'Option source'!B602</x:f>
        <x:v>26.64</x:v>
      </x:c>
      <x:c r="H1558" s="11" t="n">
        <x:f>'Option source'!B583</x:f>
        <x:v>16.73</x:v>
      </x:c>
      <x:c r="I1558" s="11"/>
      <x:c r="J1558" s="11" t="n">
        <x:f>G1558-2*H1558+IF(B1558="Butterfly",I1558,0)</x:f>
        <x:v>-6.82</x:v>
      </x:c>
      <x:c r="K1558" s="11" t="n">
        <x:f>ABS(E1558-D1558)</x:f>
        <x:v>200</x:v>
      </x:c>
      <x:c r="L1558" s="11" t="n">
        <x:f>K1558-J1558</x:f>
        <x:v>206.82</x:v>
      </x:c>
      <x:c r="M1558" s="11" t="n">
        <x:f>IF(B1558="Butterfly",MAX(J1558,0),IF(C1558="call","Unlimited",MAX(2*E1558-D1558+J1558,J1558,0)))</x:f>
        <x:v>4993.18</x:v>
      </x:c>
      <x:c r="N1558" s="11" t="n">
        <x:f>IF(B1558="Butterfly",IF(AND(J1558&gt;0,J1558&lt;K1558),D1558+J1558,"n.a."),IF(C1558="call",IF(AND(J1558&gt;0,J1558&lt;K1558),D1558+J1558,"n.a."),IF(AND(K1558&gt;J1558,2*E1558-D1558+J1558&gt;=0),2*E1558-D1558+J1558,"n.a.")))</x:f>
        <x:v>4993.18</x:v>
      </x:c>
      <x:c r="O1558" s="11" t="str">
        <x:f>IF(B1558="Butterfly",IF(AND(J1558&gt;0,J1558&lt;K1558),F1558-J1558,"n.a."),IF(C1558="call",IF(K1558&gt;J1558,2*E1558-D1558-J1558,"n.a."),IF(AND(J1558&gt;0,J1558&lt;K1558),D1558-J1558,"n.a.")))</x:f>
        <x:v>n.a.</x:v>
      </x:c>
      <x:c r="P1558" s="19" t="str">
        <x:f>IF(AND(B1558="Butterfly",J1558&gt;0,J1558&lt;K1558),L1558/J1558,"n.a.")</x:f>
        <x:v>n.a.</x:v>
      </x:c>
      <x:c r="Q1558" s="11" t="n">
        <x:f>J1558*'Model inputs'!$B$8</x:f>
        <x:v>-682</x:v>
      </x:c>
      <x:c r="R1558" s="1" t="str">
        <x:v>Indicative only</x:v>
      </x:c>
      <x:c r="S1558" s="1" t="n">
        <x:v>597</x:v>
      </x:c>
      <x:c r="T1558" s="1" t="n">
        <x:v>578</x:v>
      </x:c>
    </x:row>
    <x:row r="1559" ht="21" customHeight="1">
      <x:c r="A1559" s="12" t="n">
        <x:v>46258</x:v>
      </x:c>
      <x:c r="B1559" s="1" t="str">
        <x:v>1x2 ratio</x:v>
      </x:c>
      <x:c r="C1559" s="1" t="str">
        <x:v>call</x:v>
      </x:c>
      <x:c r="D1559" s="11" t="n">
        <x:v>8600</x:v>
      </x:c>
      <x:c r="E1559" s="11" t="n">
        <x:v>8900</x:v>
      </x:c>
      <x:c r="F1559" s="11"/>
      <x:c r="G1559" s="11" t="n">
        <x:f>'Option source'!B393</x:f>
        <x:v>95.25</x:v>
      </x:c>
      <x:c r="H1559" s="11" t="n">
        <x:f>'Option source'!B412</x:f>
        <x:v>63.96</x:v>
      </x:c>
      <x:c r="I1559" s="11"/>
      <x:c r="J1559" s="11" t="n">
        <x:f>G1559-2*H1559+IF(B1559="Butterfly",I1559,0)</x:f>
        <x:v>-32.67</x:v>
      </x:c>
      <x:c r="K1559" s="11" t="n">
        <x:f>ABS(E1559-D1559)</x:f>
        <x:v>300</x:v>
      </x:c>
      <x:c r="L1559" s="11" t="n">
        <x:f>K1559-J1559</x:f>
        <x:v>332.67</x:v>
      </x:c>
      <x:c r="M1559" s="11" t="str">
        <x:f>IF(B1559="Butterfly",MAX(J1559,0),IF(C1559="call","Unlimited",MAX(2*E1559-D1559+J1559,J1559,0)))</x:f>
        <x:v>Unlimited</x:v>
      </x:c>
      <x:c r="N1559" s="11" t="str">
        <x:f>IF(B1559="Butterfly",IF(AND(J1559&gt;0,J1559&lt;K1559),D1559+J1559,"n.a."),IF(C1559="call",IF(AND(J1559&gt;0,J1559&lt;K1559),D1559+J1559,"n.a."),IF(AND(K1559&gt;J1559,2*E1559-D1559+J1559&gt;=0),2*E1559-D1559+J1559,"n.a.")))</x:f>
        <x:v>n.a.</x:v>
      </x:c>
      <x:c r="O1559" s="11" t="n">
        <x:f>IF(B1559="Butterfly",IF(AND(J1559&gt;0,J1559&lt;K1559),F1559-J1559,"n.a."),IF(C1559="call",IF(K1559&gt;J1559,2*E1559-D1559-J1559,"n.a."),IF(AND(J1559&gt;0,J1559&lt;K1559),D1559-J1559,"n.a.")))</x:f>
        <x:v>9232.67</x:v>
      </x:c>
      <x:c r="P1559" s="19" t="str">
        <x:f>IF(AND(B1559="Butterfly",J1559&gt;0,J1559&lt;K1559),L1559/J1559,"n.a.")</x:f>
        <x:v>n.a.</x:v>
      </x:c>
      <x:c r="Q1559" s="11" t="n">
        <x:f>J1559*'Model inputs'!$B$8</x:f>
        <x:v>-3267</x:v>
      </x:c>
      <x:c r="R1559" s="1" t="str">
        <x:v>Indicative only</x:v>
      </x:c>
      <x:c r="S1559" s="1" t="n">
        <x:v>388</x:v>
      </x:c>
      <x:c r="T1559" s="1" t="n">
        <x:v>407</x:v>
      </x:c>
    </x:row>
    <x:row r="1560" ht="21" customHeight="1">
      <x:c r="A1560" s="12" t="n">
        <x:v>46258</x:v>
      </x:c>
      <x:c r="B1560" s="1" t="str">
        <x:v>1x2 ratio</x:v>
      </x:c>
      <x:c r="C1560" s="1" t="str">
        <x:v>put</x:v>
      </x:c>
      <x:c r="D1560" s="11" t="n">
        <x:v>5200</x:v>
      </x:c>
      <x:c r="E1560" s="11" t="n">
        <x:v>5000</x:v>
      </x:c>
      <x:c r="F1560" s="11"/>
      <x:c r="G1560" s="11" t="n">
        <x:f>'Option source'!B583</x:f>
        <x:v>16.73</x:v>
      </x:c>
      <x:c r="H1560" s="11" t="n">
        <x:f>'Option source'!B564</x:f>
        <x:v>11.17</x:v>
      </x:c>
      <x:c r="I1560" s="11"/>
      <x:c r="J1560" s="11" t="n">
        <x:f>G1560-2*H1560+IF(B1560="Butterfly",I1560,0)</x:f>
        <x:v>-5.609999999999999</x:v>
      </x:c>
      <x:c r="K1560" s="11" t="n">
        <x:f>ABS(E1560-D1560)</x:f>
        <x:v>200</x:v>
      </x:c>
      <x:c r="L1560" s="11" t="n">
        <x:f>K1560-J1560</x:f>
        <x:v>205.61</x:v>
      </x:c>
      <x:c r="M1560" s="11" t="n">
        <x:f>IF(B1560="Butterfly",MAX(J1560,0),IF(C1560="call","Unlimited",MAX(2*E1560-D1560+J1560,J1560,0)))</x:f>
        <x:v>4794.39</x:v>
      </x:c>
      <x:c r="N1560" s="11" t="n">
        <x:f>IF(B1560="Butterfly",IF(AND(J1560&gt;0,J1560&lt;K1560),D1560+J1560,"n.a."),IF(C1560="call",IF(AND(J1560&gt;0,J1560&lt;K1560),D1560+J1560,"n.a."),IF(AND(K1560&gt;J1560,2*E1560-D1560+J1560&gt;=0),2*E1560-D1560+J1560,"n.a.")))</x:f>
        <x:v>4794.39</x:v>
      </x:c>
      <x:c r="O1560" s="11" t="str">
        <x:f>IF(B1560="Butterfly",IF(AND(J1560&gt;0,J1560&lt;K1560),F1560-J1560,"n.a."),IF(C1560="call",IF(K1560&gt;J1560,2*E1560-D1560-J1560,"n.a."),IF(AND(J1560&gt;0,J1560&lt;K1560),D1560-J1560,"n.a.")))</x:f>
        <x:v>n.a.</x:v>
      </x:c>
      <x:c r="P1560" s="19" t="str">
        <x:f>IF(AND(B1560="Butterfly",J1560&gt;0,J1560&lt;K1560),L1560/J1560,"n.a.")</x:f>
        <x:v>n.a.</x:v>
      </x:c>
      <x:c r="Q1560" s="11" t="n">
        <x:f>J1560*'Model inputs'!$B$8</x:f>
        <x:v>-561</x:v>
      </x:c>
      <x:c r="R1560" s="1" t="str">
        <x:v>Indicative only</x:v>
      </x:c>
      <x:c r="S1560" s="1" t="n">
        <x:v>578</x:v>
      </x:c>
      <x:c r="T1560" s="1" t="n">
        <x:v>559</x:v>
      </x:c>
    </x:row>
    <x:row r="1561" ht="21" customHeight="1">
      <x:c r="A1561" s="12" t="n">
        <x:v>46258</x:v>
      </x:c>
      <x:c r="B1561" s="1" t="str">
        <x:v>1x2 ratio</x:v>
      </x:c>
      <x:c r="C1561" s="1" t="str">
        <x:v>put</x:v>
      </x:c>
      <x:c r="D1561" s="11" t="n">
        <x:v>5000</x:v>
      </x:c>
      <x:c r="E1561" s="11" t="n">
        <x:v>4800</x:v>
      </x:c>
      <x:c r="F1561" s="11"/>
      <x:c r="G1561" s="11" t="n">
        <x:f>'Option source'!B564</x:f>
        <x:v>11.17</x:v>
      </x:c>
      <x:c r="H1561" s="11" t="n">
        <x:f>'Option source'!B545</x:f>
        <x:v>6</x:v>
      </x:c>
      <x:c r="I1561" s="11"/>
      <x:c r="J1561" s="11" t="n">
        <x:f>G1561-2*H1561+IF(B1561="Butterfly",I1561,0)</x:f>
        <x:v>-0.8300000000000001</x:v>
      </x:c>
      <x:c r="K1561" s="11" t="n">
        <x:f>ABS(E1561-D1561)</x:f>
        <x:v>200</x:v>
      </x:c>
      <x:c r="L1561" s="11" t="n">
        <x:f>K1561-J1561</x:f>
        <x:v>200.83</x:v>
      </x:c>
      <x:c r="M1561" s="11" t="n">
        <x:f>IF(B1561="Butterfly",MAX(J1561,0),IF(C1561="call","Unlimited",MAX(2*E1561-D1561+J1561,J1561,0)))</x:f>
        <x:v>4599.17</x:v>
      </x:c>
      <x:c r="N1561" s="11" t="n">
        <x:f>IF(B1561="Butterfly",IF(AND(J1561&gt;0,J1561&lt;K1561),D1561+J1561,"n.a."),IF(C1561="call",IF(AND(J1561&gt;0,J1561&lt;K1561),D1561+J1561,"n.a."),IF(AND(K1561&gt;J1561,2*E1561-D1561+J1561&gt;=0),2*E1561-D1561+J1561,"n.a.")))</x:f>
        <x:v>4599.17</x:v>
      </x:c>
      <x:c r="O1561" s="11" t="str">
        <x:f>IF(B1561="Butterfly",IF(AND(J1561&gt;0,J1561&lt;K1561),F1561-J1561,"n.a."),IF(C1561="call",IF(K1561&gt;J1561,2*E1561-D1561-J1561,"n.a."),IF(AND(J1561&gt;0,J1561&lt;K1561),D1561-J1561,"n.a.")))</x:f>
        <x:v>n.a.</x:v>
      </x:c>
      <x:c r="P1561" s="19" t="str">
        <x:f>IF(AND(B1561="Butterfly",J1561&gt;0,J1561&lt;K1561),L1561/J1561,"n.a.")</x:f>
        <x:v>n.a.</x:v>
      </x:c>
      <x:c r="Q1561" s="11" t="n">
        <x:f>J1561*'Model inputs'!$B$8</x:f>
        <x:v>-83</x:v>
      </x:c>
      <x:c r="R1561" s="1" t="str">
        <x:v>Indicative only</x:v>
      </x:c>
      <x:c r="S1561" s="1" t="n">
        <x:v>559</x:v>
      </x:c>
      <x:c r="T1561" s="1" t="n">
        <x:v>540</x:v>
      </x:c>
    </x:row>
    <x:row r="1562" ht="21" customHeight="1">
      <x:c r="A1562" s="12" t="n">
        <x:v>46258</x:v>
      </x:c>
      <x:c r="B1562" s="1" t="str">
        <x:v>1x2 ratio</x:v>
      </x:c>
      <x:c r="C1562" s="1" t="str">
        <x:v>call</x:v>
      </x:c>
      <x:c r="D1562" s="11" t="n">
        <x:v>8900</x:v>
      </x:c>
      <x:c r="E1562" s="11" t="n">
        <x:v>9200</x:v>
      </x:c>
      <x:c r="F1562" s="11"/>
      <x:c r="G1562" s="11" t="n">
        <x:f>'Option source'!B412</x:f>
        <x:v>63.96</x:v>
      </x:c>
      <x:c r="H1562" s="11" t="n">
        <x:f>'Option source'!B431</x:f>
        <x:v>43.1</x:v>
      </x:c>
      <x:c r="I1562" s="11"/>
      <x:c r="J1562" s="11" t="n">
        <x:f>G1562-2*H1562+IF(B1562="Butterfly",I1562,0)</x:f>
        <x:v>-22.240000000000002</x:v>
      </x:c>
      <x:c r="K1562" s="11" t="n">
        <x:f>ABS(E1562-D1562)</x:f>
        <x:v>300</x:v>
      </x:c>
      <x:c r="L1562" s="11" t="n">
        <x:f>K1562-J1562</x:f>
        <x:v>322.24</x:v>
      </x:c>
      <x:c r="M1562" s="11" t="str">
        <x:f>IF(B1562="Butterfly",MAX(J1562,0),IF(C1562="call","Unlimited",MAX(2*E1562-D1562+J1562,J1562,0)))</x:f>
        <x:v>Unlimited</x:v>
      </x:c>
      <x:c r="N1562" s="11" t="str">
        <x:f>IF(B1562="Butterfly",IF(AND(J1562&gt;0,J1562&lt;K1562),D1562+J1562,"n.a."),IF(C1562="call",IF(AND(J1562&gt;0,J1562&lt;K1562),D1562+J1562,"n.a."),IF(AND(K1562&gt;J1562,2*E1562-D1562+J1562&gt;=0),2*E1562-D1562+J1562,"n.a.")))</x:f>
        <x:v>n.a.</x:v>
      </x:c>
      <x:c r="O1562" s="11" t="n">
        <x:f>IF(B1562="Butterfly",IF(AND(J1562&gt;0,J1562&lt;K1562),F1562-J1562,"n.a."),IF(C1562="call",IF(K1562&gt;J1562,2*E1562-D1562-J1562,"n.a."),IF(AND(J1562&gt;0,J1562&lt;K1562),D1562-J1562,"n.a.")))</x:f>
        <x:v>9522.24</x:v>
      </x:c>
      <x:c r="P1562" s="19" t="str">
        <x:f>IF(AND(B1562="Butterfly",J1562&gt;0,J1562&lt;K1562),L1562/J1562,"n.a.")</x:f>
        <x:v>n.a.</x:v>
      </x:c>
      <x:c r="Q1562" s="11" t="n">
        <x:f>J1562*'Model inputs'!$B$8</x:f>
        <x:v>-2224</x:v>
      </x:c>
      <x:c r="R1562" s="1" t="str">
        <x:v>Indicative only</x:v>
      </x:c>
      <x:c r="S1562" s="1" t="n">
        <x:v>407</x:v>
      </x:c>
      <x:c r="T1562" s="1" t="n">
        <x:v>426</x:v>
      </x:c>
    </x:row>
    <x:row r="1563" ht="21" customHeight="1">
      <x:c r="A1563" s="12" t="n">
        <x:v>46258</x:v>
      </x:c>
      <x:c r="B1563" s="1" t="str">
        <x:v>1x2 ratio</x:v>
      </x:c>
      <x:c r="C1563" s="1" t="str">
        <x:v>put</x:v>
      </x:c>
      <x:c r="D1563" s="11" t="n">
        <x:v>4800</x:v>
      </x:c>
      <x:c r="E1563" s="11" t="n">
        <x:v>4600</x:v>
      </x:c>
      <x:c r="F1563" s="11"/>
      <x:c r="G1563" s="11" t="n">
        <x:f>'Option source'!B545</x:f>
        <x:v>6</x:v>
      </x:c>
      <x:c r="H1563" s="11" t="n">
        <x:f>'Option source'!B526</x:f>
        <x:v>4.68</x:v>
      </x:c>
      <x:c r="I1563" s="11"/>
      <x:c r="J1563" s="11" t="n">
        <x:f>G1563-2*H1563+IF(B1563="Butterfly",I1563,0)</x:f>
        <x:v>-3.3599999999999994</x:v>
      </x:c>
      <x:c r="K1563" s="11" t="n">
        <x:f>ABS(E1563-D1563)</x:f>
        <x:v>200</x:v>
      </x:c>
      <x:c r="L1563" s="11" t="n">
        <x:f>K1563-J1563</x:f>
        <x:v>203.36</x:v>
      </x:c>
      <x:c r="M1563" s="11" t="n">
        <x:f>IF(B1563="Butterfly",MAX(J1563,0),IF(C1563="call","Unlimited",MAX(2*E1563-D1563+J1563,J1563,0)))</x:f>
        <x:v>4396.64</x:v>
      </x:c>
      <x:c r="N1563" s="11" t="n">
        <x:f>IF(B1563="Butterfly",IF(AND(J1563&gt;0,J1563&lt;K1563),D1563+J1563,"n.a."),IF(C1563="call",IF(AND(J1563&gt;0,J1563&lt;K1563),D1563+J1563,"n.a."),IF(AND(K1563&gt;J1563,2*E1563-D1563+J1563&gt;=0),2*E1563-D1563+J1563,"n.a.")))</x:f>
        <x:v>4396.64</x:v>
      </x:c>
      <x:c r="O1563" s="11" t="str">
        <x:f>IF(B1563="Butterfly",IF(AND(J1563&gt;0,J1563&lt;K1563),F1563-J1563,"n.a."),IF(C1563="call",IF(K1563&gt;J1563,2*E1563-D1563-J1563,"n.a."),IF(AND(J1563&gt;0,J1563&lt;K1563),D1563-J1563,"n.a.")))</x:f>
        <x:v>n.a.</x:v>
      </x:c>
      <x:c r="P1563" s="19" t="str">
        <x:f>IF(AND(B1563="Butterfly",J1563&gt;0,J1563&lt;K1563),L1563/J1563,"n.a.")</x:f>
        <x:v>n.a.</x:v>
      </x:c>
      <x:c r="Q1563" s="11" t="n">
        <x:f>J1563*'Model inputs'!$B$8</x:f>
        <x:v>-335.99999999999994</x:v>
      </x:c>
      <x:c r="R1563" s="1" t="str">
        <x:v>Indicative only</x:v>
      </x:c>
      <x:c r="S1563" s="1" t="n">
        <x:v>540</x:v>
      </x:c>
      <x:c r="T1563" s="1" t="n">
        <x:v>521</x:v>
      </x:c>
    </x:row>
    <x:row r="1564" ht="21" customHeight="1">
      <x:c r="A1564" s="12" t="n">
        <x:v>46258</x:v>
      </x:c>
      <x:c r="B1564" s="1" t="str">
        <x:v>1x2 ratio</x:v>
      </x:c>
      <x:c r="C1564" s="1" t="str">
        <x:v>call</x:v>
      </x:c>
      <x:c r="D1564" s="11" t="n">
        <x:v>9200</x:v>
      </x:c>
      <x:c r="E1564" s="11" t="n">
        <x:v>9500</x:v>
      </x:c>
      <x:c r="F1564" s="11"/>
      <x:c r="G1564" s="11" t="n">
        <x:f>'Option source'!B431</x:f>
        <x:v>43.1</x:v>
      </x:c>
      <x:c r="H1564" s="11" t="n">
        <x:f>'Option source'!B450</x:f>
        <x:v>28.72</x:v>
      </x:c>
      <x:c r="I1564" s="11"/>
      <x:c r="J1564" s="11" t="n">
        <x:f>G1564-2*H1564+IF(B1564="Butterfly",I1564,0)</x:f>
        <x:v>-14.339999999999996</x:v>
      </x:c>
      <x:c r="K1564" s="11" t="n">
        <x:f>ABS(E1564-D1564)</x:f>
        <x:v>300</x:v>
      </x:c>
      <x:c r="L1564" s="11" t="n">
        <x:f>K1564-J1564</x:f>
        <x:v>314.34</x:v>
      </x:c>
      <x:c r="M1564" s="11" t="str">
        <x:f>IF(B1564="Butterfly",MAX(J1564,0),IF(C1564="call","Unlimited",MAX(2*E1564-D1564+J1564,J1564,0)))</x:f>
        <x:v>Unlimited</x:v>
      </x:c>
      <x:c r="N1564" s="11" t="str">
        <x:f>IF(B1564="Butterfly",IF(AND(J1564&gt;0,J1564&lt;K1564),D1564+J1564,"n.a."),IF(C1564="call",IF(AND(J1564&gt;0,J1564&lt;K1564),D1564+J1564,"n.a."),IF(AND(K1564&gt;J1564,2*E1564-D1564+J1564&gt;=0),2*E1564-D1564+J1564,"n.a.")))</x:f>
        <x:v>n.a.</x:v>
      </x:c>
      <x:c r="O1564" s="11" t="n">
        <x:f>IF(B1564="Butterfly",IF(AND(J1564&gt;0,J1564&lt;K1564),F1564-J1564,"n.a."),IF(C1564="call",IF(K1564&gt;J1564,2*E1564-D1564-J1564,"n.a."),IF(AND(J1564&gt;0,J1564&lt;K1564),D1564-J1564,"n.a.")))</x:f>
        <x:v>9814.34</x:v>
      </x:c>
      <x:c r="P1564" s="19" t="str">
        <x:f>IF(AND(B1564="Butterfly",J1564&gt;0,J1564&lt;K1564),L1564/J1564,"n.a.")</x:f>
        <x:v>n.a.</x:v>
      </x:c>
      <x:c r="Q1564" s="11" t="n">
        <x:f>J1564*'Model inputs'!$B$8</x:f>
        <x:v>-1433.9999999999995</x:v>
      </x:c>
      <x:c r="R1564" s="1" t="str">
        <x:v>Indicative only</x:v>
      </x:c>
      <x:c r="S1564" s="1" t="n">
        <x:v>426</x:v>
      </x:c>
      <x:c r="T1564" s="1" t="n">
        <x:v>445</x:v>
      </x:c>
    </x:row>
    <x:row r="1565" ht="21" customHeight="1">
      <x:c r="A1565" s="12" t="n">
        <x:v>46258</x:v>
      </x:c>
      <x:c r="B1565" s="1" t="str">
        <x:v>1x2 ratio</x:v>
      </x:c>
      <x:c r="C1565" s="1" t="str">
        <x:v>put</x:v>
      </x:c>
      <x:c r="D1565" s="11" t="n">
        <x:v>4600</x:v>
      </x:c>
      <x:c r="E1565" s="11" t="n">
        <x:v>4400</x:v>
      </x:c>
      <x:c r="F1565" s="11"/>
      <x:c r="G1565" s="11" t="n">
        <x:f>'Option source'!B526</x:f>
        <x:v>4.68</x:v>
      </x:c>
      <x:c r="H1565" s="11" t="n">
        <x:f>'Option source'!B507</x:f>
        <x:v>3.67</x:v>
      </x:c>
      <x:c r="I1565" s="11"/>
      <x:c r="J1565" s="11" t="n">
        <x:f>G1565-2*H1565+IF(B1565="Butterfly",I1565,0)</x:f>
        <x:v>-2.66</x:v>
      </x:c>
      <x:c r="K1565" s="11" t="n">
        <x:f>ABS(E1565-D1565)</x:f>
        <x:v>200</x:v>
      </x:c>
      <x:c r="L1565" s="11" t="n">
        <x:f>K1565-J1565</x:f>
        <x:v>202.66</x:v>
      </x:c>
      <x:c r="M1565" s="11" t="n">
        <x:f>IF(B1565="Butterfly",MAX(J1565,0),IF(C1565="call","Unlimited",MAX(2*E1565-D1565+J1565,J1565,0)))</x:f>
        <x:v>4197.34</x:v>
      </x:c>
      <x:c r="N1565" s="11" t="n">
        <x:f>IF(B1565="Butterfly",IF(AND(J1565&gt;0,J1565&lt;K1565),D1565+J1565,"n.a."),IF(C1565="call",IF(AND(J1565&gt;0,J1565&lt;K1565),D1565+J1565,"n.a."),IF(AND(K1565&gt;J1565,2*E1565-D1565+J1565&gt;=0),2*E1565-D1565+J1565,"n.a.")))</x:f>
        <x:v>4197.34</x:v>
      </x:c>
      <x:c r="O1565" s="11" t="str">
        <x:f>IF(B1565="Butterfly",IF(AND(J1565&gt;0,J1565&lt;K1565),F1565-J1565,"n.a."),IF(C1565="call",IF(K1565&gt;J1565,2*E1565-D1565-J1565,"n.a."),IF(AND(J1565&gt;0,J1565&lt;K1565),D1565-J1565,"n.a.")))</x:f>
        <x:v>n.a.</x:v>
      </x:c>
      <x:c r="P1565" s="19" t="str">
        <x:f>IF(AND(B1565="Butterfly",J1565&gt;0,J1565&lt;K1565),L1565/J1565,"n.a.")</x:f>
        <x:v>n.a.</x:v>
      </x:c>
      <x:c r="Q1565" s="11" t="n">
        <x:f>J1565*'Model inputs'!$B$8</x:f>
        <x:v>-266</x:v>
      </x:c>
      <x:c r="R1565" s="1" t="str">
        <x:v>Indicative only</x:v>
      </x:c>
      <x:c r="S1565" s="1" t="n">
        <x:v>521</x:v>
      </x:c>
      <x:c r="T1565" s="1" t="n">
        <x:v>502</x:v>
      </x:c>
    </x:row>
    <x:row r="1566" ht="21" customHeight="1">
      <x:c r="A1566" s="12" t="n">
        <x:v>46258</x:v>
      </x:c>
      <x:c r="B1566" s="1" t="str">
        <x:v>1x2 ratio</x:v>
      </x:c>
      <x:c r="C1566" s="1" t="str">
        <x:v>put</x:v>
      </x:c>
      <x:c r="D1566" s="11" t="n">
        <x:v>4400</x:v>
      </x:c>
      <x:c r="E1566" s="11" t="n">
        <x:v>4200</x:v>
      </x:c>
      <x:c r="F1566" s="11"/>
      <x:c r="G1566" s="11" t="n">
        <x:f>'Option source'!B507</x:f>
        <x:v>3.67</x:v>
      </x:c>
      <x:c r="H1566" s="11" t="n">
        <x:f>'Option source'!B488</x:f>
        <x:v>2.44</x:v>
      </x:c>
      <x:c r="I1566" s="11"/>
      <x:c r="J1566" s="11" t="n">
        <x:f>G1566-2*H1566+IF(B1566="Butterfly",I1566,0)</x:f>
        <x:v>-1.21</x:v>
      </x:c>
      <x:c r="K1566" s="11" t="n">
        <x:f>ABS(E1566-D1566)</x:f>
        <x:v>200</x:v>
      </x:c>
      <x:c r="L1566" s="11" t="n">
        <x:f>K1566-J1566</x:f>
        <x:v>201.21</x:v>
      </x:c>
      <x:c r="M1566" s="11" t="n">
        <x:f>IF(B1566="Butterfly",MAX(J1566,0),IF(C1566="call","Unlimited",MAX(2*E1566-D1566+J1566,J1566,0)))</x:f>
        <x:v>3998.79</x:v>
      </x:c>
      <x:c r="N1566" s="11" t="n">
        <x:f>IF(B1566="Butterfly",IF(AND(J1566&gt;0,J1566&lt;K1566),D1566+J1566,"n.a."),IF(C1566="call",IF(AND(J1566&gt;0,J1566&lt;K1566),D1566+J1566,"n.a."),IF(AND(K1566&gt;J1566,2*E1566-D1566+J1566&gt;=0),2*E1566-D1566+J1566,"n.a.")))</x:f>
        <x:v>3998.79</x:v>
      </x:c>
      <x:c r="O1566" s="11" t="str">
        <x:f>IF(B1566="Butterfly",IF(AND(J1566&gt;0,J1566&lt;K1566),F1566-J1566,"n.a."),IF(C1566="call",IF(K1566&gt;J1566,2*E1566-D1566-J1566,"n.a."),IF(AND(J1566&gt;0,J1566&lt;K1566),D1566-J1566,"n.a.")))</x:f>
        <x:v>n.a.</x:v>
      </x:c>
      <x:c r="P1566" s="19" t="str">
        <x:f>IF(AND(B1566="Butterfly",J1566&gt;0,J1566&lt;K1566),L1566/J1566,"n.a.")</x:f>
        <x:v>n.a.</x:v>
      </x:c>
      <x:c r="Q1566" s="11" t="n">
        <x:f>J1566*'Model inputs'!$B$8</x:f>
        <x:v>-121</x:v>
      </x:c>
      <x:c r="R1566" s="1" t="str">
        <x:v>Indicative only</x:v>
      </x:c>
      <x:c r="S1566" s="1" t="n">
        <x:v>502</x:v>
      </x:c>
      <x:c r="T1566" s="1" t="n">
        <x:v>483</x:v>
      </x:c>
    </x:row>
    <x:row r="1567" ht="21" customHeight="1">
      <x:c r="A1567" s="12" t="n">
        <x:v>46258</x:v>
      </x:c>
      <x:c r="B1567" s="1" t="str">
        <x:v>1x2 ratio</x:v>
      </x:c>
      <x:c r="C1567" s="1" t="str">
        <x:v>call</x:v>
      </x:c>
      <x:c r="D1567" s="11" t="n">
        <x:v>9500</x:v>
      </x:c>
      <x:c r="E1567" s="11" t="n">
        <x:v>9900</x:v>
      </x:c>
      <x:c r="F1567" s="11"/>
      <x:c r="G1567" s="11" t="n">
        <x:f>'Option source'!B450</x:f>
        <x:v>28.72</x:v>
      </x:c>
      <x:c r="H1567" s="11" t="n">
        <x:f>'Option source'!B469</x:f>
        <x:v>17.04</x:v>
      </x:c>
      <x:c r="I1567" s="11"/>
      <x:c r="J1567" s="11" t="n">
        <x:f>G1567-2*H1567+IF(B1567="Butterfly",I1567,0)</x:f>
        <x:v>-5.359999999999999</x:v>
      </x:c>
      <x:c r="K1567" s="11" t="n">
        <x:f>ABS(E1567-D1567)</x:f>
        <x:v>400</x:v>
      </x:c>
      <x:c r="L1567" s="11" t="n">
        <x:f>K1567-J1567</x:f>
        <x:v>405.36</x:v>
      </x:c>
      <x:c r="M1567" s="11" t="str">
        <x:f>IF(B1567="Butterfly",MAX(J1567,0),IF(C1567="call","Unlimited",MAX(2*E1567-D1567+J1567,J1567,0)))</x:f>
        <x:v>Unlimited</x:v>
      </x:c>
      <x:c r="N1567" s="11" t="str">
        <x:f>IF(B1567="Butterfly",IF(AND(J1567&gt;0,J1567&lt;K1567),D1567+J1567,"n.a."),IF(C1567="call",IF(AND(J1567&gt;0,J1567&lt;K1567),D1567+J1567,"n.a."),IF(AND(K1567&gt;J1567,2*E1567-D1567+J1567&gt;=0),2*E1567-D1567+J1567,"n.a.")))</x:f>
        <x:v>n.a.</x:v>
      </x:c>
      <x:c r="O1567" s="11" t="n">
        <x:f>IF(B1567="Butterfly",IF(AND(J1567&gt;0,J1567&lt;K1567),F1567-J1567,"n.a."),IF(C1567="call",IF(K1567&gt;J1567,2*E1567-D1567-J1567,"n.a."),IF(AND(J1567&gt;0,J1567&lt;K1567),D1567-J1567,"n.a.")))</x:f>
        <x:v>10305.36</x:v>
      </x:c>
      <x:c r="P1567" s="19" t="str">
        <x:f>IF(AND(B1567="Butterfly",J1567&gt;0,J1567&lt;K1567),L1567/J1567,"n.a.")</x:f>
        <x:v>n.a.</x:v>
      </x:c>
      <x:c r="Q1567" s="11" t="n">
        <x:f>J1567*'Model inputs'!$B$8</x:f>
        <x:v>-536</x:v>
      </x:c>
      <x:c r="R1567" s="1" t="str">
        <x:v>Indicative only</x:v>
      </x:c>
      <x:c r="S1567" s="1" t="n">
        <x:v>445</x:v>
      </x:c>
      <x:c r="T1567" s="1" t="n">
        <x:v>464</x:v>
      </x:c>
    </x:row>
    <x:row r="1568" ht="21" customHeight="1">
      <x:c r="A1568" s="12" t="n">
        <x:v>46258</x:v>
      </x:c>
      <x:c r="B1568" s="1" t="str">
        <x:v>1x2 ratio</x:v>
      </x:c>
      <x:c r="C1568" s="1" t="str">
        <x:v>call</x:v>
      </x:c>
      <x:c r="D1568" s="11" t="n">
        <x:v>6200</x:v>
      </x:c>
      <x:c r="E1568" s="11" t="n">
        <x:v>6400</x:v>
      </x:c>
      <x:c r="F1568" s="11"/>
      <x:c r="G1568" s="11" t="n">
        <x:f>'Option source'!B184</x:f>
        <x:v>1075</x:v>
      </x:c>
      <x:c r="H1568" s="11" t="n">
        <x:f>'Option source'!B203</x:f>
        <x:v>918.25</x:v>
      </x:c>
      <x:c r="I1568" s="11"/>
      <x:c r="J1568" s="11" t="n">
        <x:f>G1568-2*H1568+IF(B1568="Butterfly",I1568,0)</x:f>
        <x:v>-761.5</x:v>
      </x:c>
      <x:c r="K1568" s="11" t="n">
        <x:f>ABS(E1568-D1568)</x:f>
        <x:v>200</x:v>
      </x:c>
      <x:c r="L1568" s="11" t="n">
        <x:f>K1568-J1568</x:f>
        <x:v>961.5</x:v>
      </x:c>
      <x:c r="M1568" s="11" t="str">
        <x:f>IF(B1568="Butterfly",MAX(J1568,0),IF(C1568="call","Unlimited",MAX(2*E1568-D1568+J1568,J1568,0)))</x:f>
        <x:v>Unlimited</x:v>
      </x:c>
      <x:c r="N1568" s="11" t="str">
        <x:f>IF(B1568="Butterfly",IF(AND(J1568&gt;0,J1568&lt;K1568),D1568+J1568,"n.a."),IF(C1568="call",IF(AND(J1568&gt;0,J1568&lt;K1568),D1568+J1568,"n.a."),IF(AND(K1568&gt;J1568,2*E1568-D1568+J1568&gt;=0),2*E1568-D1568+J1568,"n.a.")))</x:f>
        <x:v>n.a.</x:v>
      </x:c>
      <x:c r="O1568" s="11" t="n">
        <x:f>IF(B1568="Butterfly",IF(AND(J1568&gt;0,J1568&lt;K1568),F1568-J1568,"n.a."),IF(C1568="call",IF(K1568&gt;J1568,2*E1568-D1568-J1568,"n.a."),IF(AND(J1568&gt;0,J1568&lt;K1568),D1568-J1568,"n.a.")))</x:f>
        <x:v>7361.5</x:v>
      </x:c>
      <x:c r="P1568" s="19" t="str">
        <x:f>IF(AND(B1568="Butterfly",J1568&gt;0,J1568&lt;K1568),L1568/J1568,"n.a.")</x:f>
        <x:v>n.a.</x:v>
      </x:c>
      <x:c r="Q1568" s="11" t="n">
        <x:f>J1568*'Model inputs'!$B$8</x:f>
        <x:v>-76150</x:v>
      </x:c>
      <x:c r="R1568" s="1" t="str">
        <x:v>Flagged leg data</x:v>
      </x:c>
      <x:c r="S1568" s="1" t="n">
        <x:v>179</x:v>
      </x:c>
      <x:c r="T1568" s="1" t="n">
        <x:v>198</x:v>
      </x:c>
    </x:row>
    <x:row r="1569" ht="21" customHeight="1">
      <x:c r="A1569" s="12" t="n">
        <x:v>46258</x:v>
      </x:c>
      <x:c r="B1569" s="1" t="str">
        <x:v>1x2 ratio</x:v>
      </x:c>
      <x:c r="C1569" s="1" t="str">
        <x:v>call</x:v>
      </x:c>
      <x:c r="D1569" s="11" t="n">
        <x:v>6000</x:v>
      </x:c>
      <x:c r="E1569" s="11" t="n">
        <x:v>6200</x:v>
      </x:c>
      <x:c r="F1569" s="11"/>
      <x:c r="G1569" s="11" t="n">
        <x:f>'Option source'!B165</x:f>
        <x:v>1350</x:v>
      </x:c>
      <x:c r="H1569" s="11" t="n">
        <x:f>'Option source'!B184</x:f>
        <x:v>1075</x:v>
      </x:c>
      <x:c r="I1569" s="11"/>
      <x:c r="J1569" s="11" t="n">
        <x:f>G1569-2*H1569+IF(B1569="Butterfly",I1569,0)</x:f>
        <x:v>-800</x:v>
      </x:c>
      <x:c r="K1569" s="11" t="n">
        <x:f>ABS(E1569-D1569)</x:f>
        <x:v>200</x:v>
      </x:c>
      <x:c r="L1569" s="11" t="n">
        <x:f>K1569-J1569</x:f>
        <x:v>1000</x:v>
      </x:c>
      <x:c r="M1569" s="11" t="str">
        <x:f>IF(B1569="Butterfly",MAX(J1569,0),IF(C1569="call","Unlimited",MAX(2*E1569-D1569+J1569,J1569,0)))</x:f>
        <x:v>Unlimited</x:v>
      </x:c>
      <x:c r="N1569" s="11" t="str">
        <x:f>IF(B1569="Butterfly",IF(AND(J1569&gt;0,J1569&lt;K1569),D1569+J1569,"n.a."),IF(C1569="call",IF(AND(J1569&gt;0,J1569&lt;K1569),D1569+J1569,"n.a."),IF(AND(K1569&gt;J1569,2*E1569-D1569+J1569&gt;=0),2*E1569-D1569+J1569,"n.a.")))</x:f>
        <x:v>n.a.</x:v>
      </x:c>
      <x:c r="O1569" s="11" t="n">
        <x:f>IF(B1569="Butterfly",IF(AND(J1569&gt;0,J1569&lt;K1569),F1569-J1569,"n.a."),IF(C1569="call",IF(K1569&gt;J1569,2*E1569-D1569-J1569,"n.a."),IF(AND(J1569&gt;0,J1569&lt;K1569),D1569-J1569,"n.a.")))</x:f>
        <x:v>7200</x:v>
      </x:c>
      <x:c r="P1569" s="19" t="str">
        <x:f>IF(AND(B1569="Butterfly",J1569&gt;0,J1569&lt;K1569),L1569/J1569,"n.a.")</x:f>
        <x:v>n.a.</x:v>
      </x:c>
      <x:c r="Q1569" s="11" t="n">
        <x:f>J1569*'Model inputs'!$B$8</x:f>
        <x:v>-80000</x:v>
      </x:c>
      <x:c r="R1569" s="1" t="str">
        <x:v>Flagged leg data</x:v>
      </x:c>
      <x:c r="S1569" s="1" t="n">
        <x:v>160</x:v>
      </x:c>
      <x:c r="T1569" s="1" t="n">
        <x:v>179</x:v>
      </x:c>
    </x:row>
    <x:row r="1570" ht="21" customHeight="1">
      <x:c r="A1570" s="12" t="n">
        <x:v>46258</x:v>
      </x:c>
      <x:c r="B1570" s="1" t="str">
        <x:v>1x2 ratio</x:v>
      </x:c>
      <x:c r="C1570" s="1" t="str">
        <x:v>put</x:v>
      </x:c>
      <x:c r="D1570" s="11" t="n">
        <x:v>8000</x:v>
      </x:c>
      <x:c r="E1570" s="11" t="n">
        <x:v>7800</x:v>
      </x:c>
      <x:c r="F1570" s="11"/>
      <x:c r="G1570" s="11" t="n">
        <x:f>'Option source'!B849</x:f>
        <x:v>1000</x:v>
      </x:c>
      <x:c r="H1570" s="11" t="n">
        <x:f>'Option source'!B830</x:f>
        <x:v>871</x:v>
      </x:c>
      <x:c r="I1570" s="11"/>
      <x:c r="J1570" s="11" t="n">
        <x:f>G1570-2*H1570+IF(B1570="Butterfly",I1570,0)</x:f>
        <x:v>-742</x:v>
      </x:c>
      <x:c r="K1570" s="11" t="n">
        <x:f>ABS(E1570-D1570)</x:f>
        <x:v>200</x:v>
      </x:c>
      <x:c r="L1570" s="11" t="n">
        <x:f>K1570-J1570</x:f>
        <x:v>942</x:v>
      </x:c>
      <x:c r="M1570" s="11" t="n">
        <x:f>IF(B1570="Butterfly",MAX(J1570,0),IF(C1570="call","Unlimited",MAX(2*E1570-D1570+J1570,J1570,0)))</x:f>
        <x:v>6858</x:v>
      </x:c>
      <x:c r="N1570" s="11" t="n">
        <x:f>IF(B1570="Butterfly",IF(AND(J1570&gt;0,J1570&lt;K1570),D1570+J1570,"n.a."),IF(C1570="call",IF(AND(J1570&gt;0,J1570&lt;K1570),D1570+J1570,"n.a."),IF(AND(K1570&gt;J1570,2*E1570-D1570+J1570&gt;=0),2*E1570-D1570+J1570,"n.a.")))</x:f>
        <x:v>6858</x:v>
      </x:c>
      <x:c r="O1570" s="11" t="str">
        <x:f>IF(B1570="Butterfly",IF(AND(J1570&gt;0,J1570&lt;K1570),F1570-J1570,"n.a."),IF(C1570="call",IF(K1570&gt;J1570,2*E1570-D1570-J1570,"n.a."),IF(AND(J1570&gt;0,J1570&lt;K1570),D1570-J1570,"n.a.")))</x:f>
        <x:v>n.a.</x:v>
      </x:c>
      <x:c r="P1570" s="19" t="str">
        <x:f>IF(AND(B1570="Butterfly",J1570&gt;0,J1570&lt;K1570),L1570/J1570,"n.a.")</x:f>
        <x:v>n.a.</x:v>
      </x:c>
      <x:c r="Q1570" s="11" t="n">
        <x:f>J1570*'Model inputs'!$B$8</x:f>
        <x:v>-74200</x:v>
      </x:c>
      <x:c r="R1570" s="1" t="str">
        <x:v>Flagged leg data</x:v>
      </x:c>
      <x:c r="S1570" s="1" t="n">
        <x:v>844</x:v>
      </x:c>
      <x:c r="T1570" s="1" t="n">
        <x:v>825</x:v>
      </x:c>
    </x:row>
    <x:row r="1571" ht="21" customHeight="1">
      <x:c r="A1571" s="12" t="n">
        <x:v>46258</x:v>
      </x:c>
      <x:c r="B1571" s="1" t="str">
        <x:v>1x2 ratio</x:v>
      </x:c>
      <x:c r="C1571" s="1" t="str">
        <x:v>call</x:v>
      </x:c>
      <x:c r="D1571" s="11" t="n">
        <x:v>5600</x:v>
      </x:c>
      <x:c r="E1571" s="11" t="n">
        <x:v>6000</x:v>
      </x:c>
      <x:c r="F1571" s="11"/>
      <x:c r="G1571" s="11" t="n">
        <x:f>'Option source'!B136</x:f>
        <x:v>1460.62</x:v>
      </x:c>
      <x:c r="H1571" s="11" t="n">
        <x:f>'Option source'!B165</x:f>
        <x:v>1350</x:v>
      </x:c>
      <x:c r="I1571" s="11"/>
      <x:c r="J1571" s="11" t="n">
        <x:f>G1571-2*H1571+IF(B1571="Butterfly",I1571,0)</x:f>
        <x:v>-1239.38</x:v>
      </x:c>
      <x:c r="K1571" s="11" t="n">
        <x:f>ABS(E1571-D1571)</x:f>
        <x:v>400</x:v>
      </x:c>
      <x:c r="L1571" s="11" t="n">
        <x:f>K1571-J1571</x:f>
        <x:v>1639.38</x:v>
      </x:c>
      <x:c r="M1571" s="11" t="str">
        <x:f>IF(B1571="Butterfly",MAX(J1571,0),IF(C1571="call","Unlimited",MAX(2*E1571-D1571+J1571,J1571,0)))</x:f>
        <x:v>Unlimited</x:v>
      </x:c>
      <x:c r="N1571" s="11" t="str">
        <x:f>IF(B1571="Butterfly",IF(AND(J1571&gt;0,J1571&lt;K1571),D1571+J1571,"n.a."),IF(C1571="call",IF(AND(J1571&gt;0,J1571&lt;K1571),D1571+J1571,"n.a."),IF(AND(K1571&gt;J1571,2*E1571-D1571+J1571&gt;=0),2*E1571-D1571+J1571,"n.a.")))</x:f>
        <x:v>n.a.</x:v>
      </x:c>
      <x:c r="O1571" s="11" t="n">
        <x:f>IF(B1571="Butterfly",IF(AND(J1571&gt;0,J1571&lt;K1571),F1571-J1571,"n.a."),IF(C1571="call",IF(K1571&gt;J1571,2*E1571-D1571-J1571,"n.a."),IF(AND(J1571&gt;0,J1571&lt;K1571),D1571-J1571,"n.a.")))</x:f>
        <x:v>7639.38</x:v>
      </x:c>
      <x:c r="P1571" s="19" t="str">
        <x:f>IF(AND(B1571="Butterfly",J1571&gt;0,J1571&lt;K1571),L1571/J1571,"n.a.")</x:f>
        <x:v>n.a.</x:v>
      </x:c>
      <x:c r="Q1571" s="11" t="n">
        <x:f>J1571*'Model inputs'!$B$8</x:f>
        <x:v>-123938.00000000001</x:v>
      </x:c>
      <x:c r="R1571" s="1" t="str">
        <x:v>Flagged leg data</x:v>
      </x:c>
      <x:c r="S1571" s="1" t="n">
        <x:v>131</x:v>
      </x:c>
      <x:c r="T1571" s="1" t="n">
        <x:v>160</x:v>
      </x:c>
    </x:row>
    <x:row r="1572" ht="21" customHeight="1">
      <x:c r="A1572" s="12" t="n">
        <x:v>46258</x:v>
      </x:c>
      <x:c r="B1572" s="1" t="str">
        <x:v>1x2 ratio</x:v>
      </x:c>
      <x:c r="C1572" s="1" t="str">
        <x:v>put</x:v>
      </x:c>
      <x:c r="D1572" s="11" t="n">
        <x:v>8300</x:v>
      </x:c>
      <x:c r="E1572" s="11" t="n">
        <x:v>8000</x:v>
      </x:c>
      <x:c r="F1572" s="11"/>
      <x:c r="G1572" s="11" t="n">
        <x:f>'Option source'!B868</x:f>
        <x:v>1310</x:v>
      </x:c>
      <x:c r="H1572" s="11" t="n">
        <x:f>'Option source'!B849</x:f>
        <x:v>1000</x:v>
      </x:c>
      <x:c r="I1572" s="11"/>
      <x:c r="J1572" s="11" t="n">
        <x:f>G1572-2*H1572+IF(B1572="Butterfly",I1572,0)</x:f>
        <x:v>-690</x:v>
      </x:c>
      <x:c r="K1572" s="11" t="n">
        <x:f>ABS(E1572-D1572)</x:f>
        <x:v>300</x:v>
      </x:c>
      <x:c r="L1572" s="11" t="n">
        <x:f>K1572-J1572</x:f>
        <x:v>990</x:v>
      </x:c>
      <x:c r="M1572" s="11" t="n">
        <x:f>IF(B1572="Butterfly",MAX(J1572,0),IF(C1572="call","Unlimited",MAX(2*E1572-D1572+J1572,J1572,0)))</x:f>
        <x:v>7010</x:v>
      </x:c>
      <x:c r="N1572" s="11" t="n">
        <x:f>IF(B1572="Butterfly",IF(AND(J1572&gt;0,J1572&lt;K1572),D1572+J1572,"n.a."),IF(C1572="call",IF(AND(J1572&gt;0,J1572&lt;K1572),D1572+J1572,"n.a."),IF(AND(K1572&gt;J1572,2*E1572-D1572+J1572&gt;=0),2*E1572-D1572+J1572,"n.a.")))</x:f>
        <x:v>7010</x:v>
      </x:c>
      <x:c r="O1572" s="11" t="str">
        <x:f>IF(B1572="Butterfly",IF(AND(J1572&gt;0,J1572&lt;K1572),F1572-J1572,"n.a."),IF(C1572="call",IF(K1572&gt;J1572,2*E1572-D1572-J1572,"n.a."),IF(AND(J1572&gt;0,J1572&lt;K1572),D1572-J1572,"n.a.")))</x:f>
        <x:v>n.a.</x:v>
      </x:c>
      <x:c r="P1572" s="19" t="str">
        <x:f>IF(AND(B1572="Butterfly",J1572&gt;0,J1572&lt;K1572),L1572/J1572,"n.a.")</x:f>
        <x:v>n.a.</x:v>
      </x:c>
      <x:c r="Q1572" s="11" t="n">
        <x:f>J1572*'Model inputs'!$B$8</x:f>
        <x:v>-69000</x:v>
      </x:c>
      <x:c r="R1572" s="1" t="str">
        <x:v>Flagged leg data</x:v>
      </x:c>
      <x:c r="S1572" s="1" t="n">
        <x:v>863</x:v>
      </x:c>
      <x:c r="T1572" s="1" t="n">
        <x:v>844</x:v>
      </x:c>
    </x:row>
    <x:row r="1573" ht="21" customHeight="1">
      <x:c r="A1573" s="12" t="n">
        <x:v>46258</x:v>
      </x:c>
      <x:c r="B1573" s="1" t="str">
        <x:v>1x2 ratio</x:v>
      </x:c>
      <x:c r="C1573" s="1" t="str">
        <x:v>call</x:v>
      </x:c>
      <x:c r="D1573" s="11" t="n">
        <x:v>5400</x:v>
      </x:c>
      <x:c r="E1573" s="11" t="n">
        <x:v>5600</x:v>
      </x:c>
      <x:c r="F1573" s="11"/>
      <x:c r="G1573" s="11" t="n">
        <x:f>'Option source'!B118</x:f>
        <x:v>1781.31</x:v>
      </x:c>
      <x:c r="H1573" s="11" t="n">
        <x:f>'Option source'!B136</x:f>
        <x:v>1460.62</x:v>
      </x:c>
      <x:c r="I1573" s="11"/>
      <x:c r="J1573" s="11" t="n">
        <x:f>G1573-2*H1573+IF(B1573="Butterfly",I1573,0)</x:f>
        <x:v>-1139.9299999999998</x:v>
      </x:c>
      <x:c r="K1573" s="11" t="n">
        <x:f>ABS(E1573-D1573)</x:f>
        <x:v>200</x:v>
      </x:c>
      <x:c r="L1573" s="11" t="n">
        <x:f>K1573-J1573</x:f>
        <x:v>1339.9299999999998</x:v>
      </x:c>
      <x:c r="M1573" s="11" t="str">
        <x:f>IF(B1573="Butterfly",MAX(J1573,0),IF(C1573="call","Unlimited",MAX(2*E1573-D1573+J1573,J1573,0)))</x:f>
        <x:v>Unlimited</x:v>
      </x:c>
      <x:c r="N1573" s="11" t="str">
        <x:f>IF(B1573="Butterfly",IF(AND(J1573&gt;0,J1573&lt;K1573),D1573+J1573,"n.a."),IF(C1573="call",IF(AND(J1573&gt;0,J1573&lt;K1573),D1573+J1573,"n.a."),IF(AND(K1573&gt;J1573,2*E1573-D1573+J1573&gt;=0),2*E1573-D1573+J1573,"n.a.")))</x:f>
        <x:v>n.a.</x:v>
      </x:c>
      <x:c r="O1573" s="11" t="n">
        <x:f>IF(B1573="Butterfly",IF(AND(J1573&gt;0,J1573&lt;K1573),F1573-J1573,"n.a."),IF(C1573="call",IF(K1573&gt;J1573,2*E1573-D1573-J1573,"n.a."),IF(AND(J1573&gt;0,J1573&lt;K1573),D1573-J1573,"n.a.")))</x:f>
        <x:v>6939.93</x:v>
      </x:c>
      <x:c r="P1573" s="19" t="str">
        <x:f>IF(AND(B1573="Butterfly",J1573&gt;0,J1573&lt;K1573),L1573/J1573,"n.a.")</x:f>
        <x:v>n.a.</x:v>
      </x:c>
      <x:c r="Q1573" s="11" t="n">
        <x:f>J1573*'Model inputs'!$B$8</x:f>
        <x:v>-113992.99999999999</x:v>
      </x:c>
      <x:c r="R1573" s="1" t="str">
        <x:v>Flagged leg data</x:v>
      </x:c>
      <x:c r="S1573" s="1" t="n">
        <x:v>113</x:v>
      </x:c>
      <x:c r="T1573" s="1" t="n">
        <x:v>131</x:v>
      </x:c>
    </x:row>
    <x:row r="1574" ht="21" customHeight="1">
      <x:c r="A1574" s="12" t="n">
        <x:v>46258</x:v>
      </x:c>
      <x:c r="B1574" s="1" t="str">
        <x:v>1x2 ratio</x:v>
      </x:c>
      <x:c r="C1574" s="1" t="str">
        <x:v>put</x:v>
      </x:c>
      <x:c r="D1574" s="11" t="n">
        <x:v>8600</x:v>
      </x:c>
      <x:c r="E1574" s="11" t="n">
        <x:v>8300</x:v>
      </x:c>
      <x:c r="F1574" s="11"/>
      <x:c r="G1574" s="11" t="n">
        <x:f>'Option source'!B887</x:f>
        <x:v>1173.55</x:v>
      </x:c>
      <x:c r="H1574" s="11" t="n">
        <x:f>'Option source'!B868</x:f>
        <x:v>1310</x:v>
      </x:c>
      <x:c r="I1574" s="11"/>
      <x:c r="J1574" s="11" t="n">
        <x:f>G1574-2*H1574+IF(B1574="Butterfly",I1574,0)</x:f>
        <x:v>-1446.45</x:v>
      </x:c>
      <x:c r="K1574" s="11" t="n">
        <x:f>ABS(E1574-D1574)</x:f>
        <x:v>300</x:v>
      </x:c>
      <x:c r="L1574" s="11" t="n">
        <x:f>K1574-J1574</x:f>
        <x:v>1746.45</x:v>
      </x:c>
      <x:c r="M1574" s="11" t="n">
        <x:f>IF(B1574="Butterfly",MAX(J1574,0),IF(C1574="call","Unlimited",MAX(2*E1574-D1574+J1574,J1574,0)))</x:f>
        <x:v>6553.55</x:v>
      </x:c>
      <x:c r="N1574" s="11" t="n">
        <x:f>IF(B1574="Butterfly",IF(AND(J1574&gt;0,J1574&lt;K1574),D1574+J1574,"n.a."),IF(C1574="call",IF(AND(J1574&gt;0,J1574&lt;K1574),D1574+J1574,"n.a."),IF(AND(K1574&gt;J1574,2*E1574-D1574+J1574&gt;=0),2*E1574-D1574+J1574,"n.a.")))</x:f>
        <x:v>6553.55</x:v>
      </x:c>
      <x:c r="O1574" s="11" t="str">
        <x:f>IF(B1574="Butterfly",IF(AND(J1574&gt;0,J1574&lt;K1574),F1574-J1574,"n.a."),IF(C1574="call",IF(K1574&gt;J1574,2*E1574-D1574-J1574,"n.a."),IF(AND(J1574&gt;0,J1574&lt;K1574),D1574-J1574,"n.a.")))</x:f>
        <x:v>n.a.</x:v>
      </x:c>
      <x:c r="P1574" s="19" t="str">
        <x:f>IF(AND(B1574="Butterfly",J1574&gt;0,J1574&lt;K1574),L1574/J1574,"n.a.")</x:f>
        <x:v>n.a.</x:v>
      </x:c>
      <x:c r="Q1574" s="11" t="n">
        <x:f>J1574*'Model inputs'!$B$8</x:f>
        <x:v>-144645</x:v>
      </x:c>
      <x:c r="R1574" s="1" t="str">
        <x:v>Flagged leg data</x:v>
      </x:c>
      <x:c r="S1574" s="1" t="n">
        <x:v>882</x:v>
      </x:c>
      <x:c r="T1574" s="1" t="n">
        <x:v>863</x:v>
      </x:c>
    </x:row>
    <x:row r="1575" ht="21" customHeight="1">
      <x:c r="A1575" s="12" t="n">
        <x:v>46258</x:v>
      </x:c>
      <x:c r="B1575" s="1" t="str">
        <x:v>1x2 ratio</x:v>
      </x:c>
      <x:c r="C1575" s="1" t="str">
        <x:v>call</x:v>
      </x:c>
      <x:c r="D1575" s="11" t="n">
        <x:v>5200</x:v>
      </x:c>
      <x:c r="E1575" s="11" t="n">
        <x:v>5400</x:v>
      </x:c>
      <x:c r="F1575" s="11"/>
      <x:c r="G1575" s="11" t="n">
        <x:f>'Option source'!B99</x:f>
        <x:v>1962</x:v>
      </x:c>
      <x:c r="H1575" s="11" t="n">
        <x:f>'Option source'!B118</x:f>
        <x:v>1781.31</x:v>
      </x:c>
      <x:c r="I1575" s="11"/>
      <x:c r="J1575" s="11" t="n">
        <x:f>G1575-2*H1575+IF(B1575="Butterfly",I1575,0)</x:f>
        <x:v>-1600.62</x:v>
      </x:c>
      <x:c r="K1575" s="11" t="n">
        <x:f>ABS(E1575-D1575)</x:f>
        <x:v>200</x:v>
      </x:c>
      <x:c r="L1575" s="11" t="n">
        <x:f>K1575-J1575</x:f>
        <x:v>1800.62</x:v>
      </x:c>
      <x:c r="M1575" s="11" t="str">
        <x:f>IF(B1575="Butterfly",MAX(J1575,0),IF(C1575="call","Unlimited",MAX(2*E1575-D1575+J1575,J1575,0)))</x:f>
        <x:v>Unlimited</x:v>
      </x:c>
      <x:c r="N1575" s="11" t="str">
        <x:f>IF(B1575="Butterfly",IF(AND(J1575&gt;0,J1575&lt;K1575),D1575+J1575,"n.a."),IF(C1575="call",IF(AND(J1575&gt;0,J1575&lt;K1575),D1575+J1575,"n.a."),IF(AND(K1575&gt;J1575,2*E1575-D1575+J1575&gt;=0),2*E1575-D1575+J1575,"n.a.")))</x:f>
        <x:v>n.a.</x:v>
      </x:c>
      <x:c r="O1575" s="11" t="n">
        <x:f>IF(B1575="Butterfly",IF(AND(J1575&gt;0,J1575&lt;K1575),F1575-J1575,"n.a."),IF(C1575="call",IF(K1575&gt;J1575,2*E1575-D1575-J1575,"n.a."),IF(AND(J1575&gt;0,J1575&lt;K1575),D1575-J1575,"n.a.")))</x:f>
        <x:v>7200.62</x:v>
      </x:c>
      <x:c r="P1575" s="19" t="str">
        <x:f>IF(AND(B1575="Butterfly",J1575&gt;0,J1575&lt;K1575),L1575/J1575,"n.a.")</x:f>
        <x:v>n.a.</x:v>
      </x:c>
      <x:c r="Q1575" s="11" t="n">
        <x:f>J1575*'Model inputs'!$B$8</x:f>
        <x:v>-160062</x:v>
      </x:c>
      <x:c r="R1575" s="1" t="str">
        <x:v>Flagged leg data</x:v>
      </x:c>
      <x:c r="S1575" s="1" t="n">
        <x:v>94</x:v>
      </x:c>
      <x:c r="T1575" s="1" t="n">
        <x:v>113</x:v>
      </x:c>
    </x:row>
    <x:row r="1576" ht="21" customHeight="1">
      <x:c r="A1576" s="12" t="n">
        <x:v>46258</x:v>
      </x:c>
      <x:c r="B1576" s="1" t="str">
        <x:v>1x2 ratio</x:v>
      </x:c>
      <x:c r="C1576" s="1" t="str">
        <x:v>call</x:v>
      </x:c>
      <x:c r="D1576" s="11" t="n">
        <x:v>4600</x:v>
      </x:c>
      <x:c r="E1576" s="11" t="n">
        <x:v>5200</x:v>
      </x:c>
      <x:c r="F1576" s="11"/>
      <x:c r="G1576" s="11" t="n">
        <x:f>'Option source'!B46</x:f>
        <x:v>2195.25</x:v>
      </x:c>
      <x:c r="H1576" s="11" t="n">
        <x:f>'Option source'!B99</x:f>
        <x:v>1962</x:v>
      </x:c>
      <x:c r="I1576" s="11"/>
      <x:c r="J1576" s="11" t="n">
        <x:f>G1576-2*H1576+IF(B1576="Butterfly",I1576,0)</x:f>
        <x:v>-1728.75</x:v>
      </x:c>
      <x:c r="K1576" s="11" t="n">
        <x:f>ABS(E1576-D1576)</x:f>
        <x:v>600</x:v>
      </x:c>
      <x:c r="L1576" s="11" t="n">
        <x:f>K1576-J1576</x:f>
        <x:v>2328.75</x:v>
      </x:c>
      <x:c r="M1576" s="11" t="str">
        <x:f>IF(B1576="Butterfly",MAX(J1576,0),IF(C1576="call","Unlimited",MAX(2*E1576-D1576+J1576,J1576,0)))</x:f>
        <x:v>Unlimited</x:v>
      </x:c>
      <x:c r="N1576" s="11" t="str">
        <x:f>IF(B1576="Butterfly",IF(AND(J1576&gt;0,J1576&lt;K1576),D1576+J1576,"n.a."),IF(C1576="call",IF(AND(J1576&gt;0,J1576&lt;K1576),D1576+J1576,"n.a."),IF(AND(K1576&gt;J1576,2*E1576-D1576+J1576&gt;=0),2*E1576-D1576+J1576,"n.a.")))</x:f>
        <x:v>n.a.</x:v>
      </x:c>
      <x:c r="O1576" s="11" t="n">
        <x:f>IF(B1576="Butterfly",IF(AND(J1576&gt;0,J1576&lt;K1576),F1576-J1576,"n.a."),IF(C1576="call",IF(K1576&gt;J1576,2*E1576-D1576-J1576,"n.a."),IF(AND(J1576&gt;0,J1576&lt;K1576),D1576-J1576,"n.a.")))</x:f>
        <x:v>7528.75</x:v>
      </x:c>
      <x:c r="P1576" s="19" t="str">
        <x:f>IF(AND(B1576="Butterfly",J1576&gt;0,J1576&lt;K1576),L1576/J1576,"n.a.")</x:f>
        <x:v>n.a.</x:v>
      </x:c>
      <x:c r="Q1576" s="11" t="n">
        <x:f>J1576*'Model inputs'!$B$8</x:f>
        <x:v>-172875</x:v>
      </x:c>
      <x:c r="R1576" s="1" t="str">
        <x:v>Flagged leg data</x:v>
      </x:c>
      <x:c r="S1576" s="1" t="n">
        <x:v>41</x:v>
      </x:c>
      <x:c r="T1576" s="1" t="n">
        <x:v>94</x:v>
      </x:c>
    </x:row>
    <x:row r="1577" ht="21" customHeight="1">
      <x:c r="A1577" s="12" t="n">
        <x:v>46258</x:v>
      </x:c>
      <x:c r="B1577" s="1" t="str">
        <x:v>1x2 ratio</x:v>
      </x:c>
      <x:c r="C1577" s="1" t="str">
        <x:v>call</x:v>
      </x:c>
      <x:c r="D1577" s="11" t="n">
        <x:v>4400</x:v>
      </x:c>
      <x:c r="E1577" s="11" t="n">
        <x:v>4600</x:v>
      </x:c>
      <x:c r="F1577" s="11"/>
      <x:c r="G1577" s="11" t="n">
        <x:f>'Option source'!B27</x:f>
        <x:v>2387.12</x:v>
      </x:c>
      <x:c r="H1577" s="11" t="n">
        <x:f>'Option source'!B46</x:f>
        <x:v>2195.25</x:v>
      </x:c>
      <x:c r="I1577" s="11"/>
      <x:c r="J1577" s="11" t="n">
        <x:f>G1577-2*H1577+IF(B1577="Butterfly",I1577,0)</x:f>
        <x:v>-2003.38</x:v>
      </x:c>
      <x:c r="K1577" s="11" t="n">
        <x:f>ABS(E1577-D1577)</x:f>
        <x:v>200</x:v>
      </x:c>
      <x:c r="L1577" s="11" t="n">
        <x:f>K1577-J1577</x:f>
        <x:v>2203.38</x:v>
      </x:c>
      <x:c r="M1577" s="11" t="str">
        <x:f>IF(B1577="Butterfly",MAX(J1577,0),IF(C1577="call","Unlimited",MAX(2*E1577-D1577+J1577,J1577,0)))</x:f>
        <x:v>Unlimited</x:v>
      </x:c>
      <x:c r="N1577" s="11" t="str">
        <x:f>IF(B1577="Butterfly",IF(AND(J1577&gt;0,J1577&lt;K1577),D1577+J1577,"n.a."),IF(C1577="call",IF(AND(J1577&gt;0,J1577&lt;K1577),D1577+J1577,"n.a."),IF(AND(K1577&gt;J1577,2*E1577-D1577+J1577&gt;=0),2*E1577-D1577+J1577,"n.a.")))</x:f>
        <x:v>n.a.</x:v>
      </x:c>
      <x:c r="O1577" s="11" t="n">
        <x:f>IF(B1577="Butterfly",IF(AND(J1577&gt;0,J1577&lt;K1577),F1577-J1577,"n.a."),IF(C1577="call",IF(K1577&gt;J1577,2*E1577-D1577-J1577,"n.a."),IF(AND(J1577&gt;0,J1577&lt;K1577),D1577-J1577,"n.a.")))</x:f>
        <x:v>6803.38</x:v>
      </x:c>
      <x:c r="P1577" s="19" t="str">
        <x:f>IF(AND(B1577="Butterfly",J1577&gt;0,J1577&lt;K1577),L1577/J1577,"n.a.")</x:f>
        <x:v>n.a.</x:v>
      </x:c>
      <x:c r="Q1577" s="11" t="n">
        <x:f>J1577*'Model inputs'!$B$8</x:f>
        <x:v>-200338</x:v>
      </x:c>
      <x:c r="R1577" s="1" t="str">
        <x:v>Flagged leg data</x:v>
      </x:c>
      <x:c r="S1577" s="1" t="n">
        <x:v>22</x:v>
      </x:c>
      <x:c r="T1577" s="1" t="n">
        <x:v>41</x:v>
      </x:c>
    </x:row>
    <x:row r="1578" ht="21" customHeight="1">
      <x:c r="A1578" s="12" t="n">
        <x:v>46258</x:v>
      </x:c>
      <x:c r="B1578" s="1" t="str">
        <x:v>1x2 ratio</x:v>
      </x:c>
      <x:c r="C1578" s="1" t="str">
        <x:v>call</x:v>
      </x:c>
      <x:c r="D1578" s="11" t="n">
        <x:v>4200</x:v>
      </x:c>
      <x:c r="E1578" s="11" t="n">
        <x:v>4400</x:v>
      </x:c>
      <x:c r="F1578" s="11"/>
      <x:c r="G1578" s="11" t="n">
        <x:f>'Option source'!B8</x:f>
        <x:v>2844.35</x:v>
      </x:c>
      <x:c r="H1578" s="11" t="n">
        <x:f>'Option source'!B27</x:f>
        <x:v>2387.12</x:v>
      </x:c>
      <x:c r="I1578" s="11"/>
      <x:c r="J1578" s="11" t="n">
        <x:f>G1578-2*H1578+IF(B1578="Butterfly",I1578,0)</x:f>
        <x:v>-1929.8899999999999</x:v>
      </x:c>
      <x:c r="K1578" s="11" t="n">
        <x:f>ABS(E1578-D1578)</x:f>
        <x:v>200</x:v>
      </x:c>
      <x:c r="L1578" s="11" t="n">
        <x:f>K1578-J1578</x:f>
        <x:v>2129.89</x:v>
      </x:c>
      <x:c r="M1578" s="11" t="str">
        <x:f>IF(B1578="Butterfly",MAX(J1578,0),IF(C1578="call","Unlimited",MAX(2*E1578-D1578+J1578,J1578,0)))</x:f>
        <x:v>Unlimited</x:v>
      </x:c>
      <x:c r="N1578" s="11" t="str">
        <x:f>IF(B1578="Butterfly",IF(AND(J1578&gt;0,J1578&lt;K1578),D1578+J1578,"n.a."),IF(C1578="call",IF(AND(J1578&gt;0,J1578&lt;K1578),D1578+J1578,"n.a."),IF(AND(K1578&gt;J1578,2*E1578-D1578+J1578&gt;=0),2*E1578-D1578+J1578,"n.a.")))</x:f>
        <x:v>n.a.</x:v>
      </x:c>
      <x:c r="O1578" s="11" t="n">
        <x:f>IF(B1578="Butterfly",IF(AND(J1578&gt;0,J1578&lt;K1578),F1578-J1578,"n.a."),IF(C1578="call",IF(K1578&gt;J1578,2*E1578-D1578-J1578,"n.a."),IF(AND(J1578&gt;0,J1578&lt;K1578),D1578-J1578,"n.a.")))</x:f>
        <x:v>6529.889999999999</x:v>
      </x:c>
      <x:c r="P1578" s="19" t="str">
        <x:f>IF(AND(B1578="Butterfly",J1578&gt;0,J1578&lt;K1578),L1578/J1578,"n.a.")</x:f>
        <x:v>n.a.</x:v>
      </x:c>
      <x:c r="Q1578" s="11" t="n">
        <x:f>J1578*'Model inputs'!$B$8</x:f>
        <x:v>-192989</x:v>
      </x:c>
      <x:c r="R1578" s="1" t="str">
        <x:v>Flagged leg data</x:v>
      </x:c>
      <x:c r="S1578" s="1" t="n">
        <x:v>3</x:v>
      </x:c>
      <x:c r="T1578" s="1" t="n">
        <x:v>22</x:v>
      </x:c>
    </x:row>
    <x:row r="1579" ht="21" customHeight="1">
      <x:c r="A1579" s="12" t="n">
        <x:v>46255</x:v>
      </x:c>
      <x:c r="B1579" s="1" t="str">
        <x:v>Butterfly</x:v>
      </x:c>
      <x:c r="C1579" s="1" t="str">
        <x:v>call</x:v>
      </x:c>
      <x:c r="D1579" s="11" t="n">
        <x:v>6600</x:v>
      </x:c>
      <x:c r="E1579" s="11" t="n">
        <x:v>6800</x:v>
      </x:c>
      <x:c r="F1579" s="11" t="n">
        <x:v>7000</x:v>
      </x:c>
      <x:c r="G1579" s="11" t="n">
        <x:f>'Option source'!B221</x:f>
        <x:v>630</x:v>
      </x:c>
      <x:c r="H1579" s="11" t="n">
        <x:f>'Option source'!B240</x:f>
        <x:v>520</x:v>
      </x:c>
      <x:c r="I1579" s="11" t="n">
        <x:f>'Option source'!B259</x:f>
        <x:v>419.73</x:v>
      </x:c>
      <x:c r="J1579" s="11" t="n">
        <x:f>G1579-2*H1579+IF(B1579="Butterfly",I1579,0)</x:f>
        <x:v>9.730000000000018</x:v>
      </x:c>
      <x:c r="K1579" s="11" t="n">
        <x:f>ABS(E1579-D1579)</x:f>
        <x:v>200</x:v>
      </x:c>
      <x:c r="L1579" s="11" t="n">
        <x:f>K1579-J1579</x:f>
        <x:v>190.26999999999998</x:v>
      </x:c>
      <x:c r="M1579" s="11" t="n">
        <x:f>IF(B1579="Butterfly",MAX(J1579,0),IF(C1579="call","Unlimited",MAX(2*E1579-D1579+J1579,J1579,0)))</x:f>
        <x:v>9.730000000000018</x:v>
      </x:c>
      <x:c r="N1579" s="11" t="n">
        <x:f>IF(B1579="Butterfly",IF(AND(J1579&gt;0,J1579&lt;K1579),D1579+J1579,"n.a."),IF(C1579="call",IF(AND(J1579&gt;0,J1579&lt;K1579),D1579+J1579,"n.a."),IF(AND(K1579&gt;J1579,2*E1579-D1579+J1579&gt;=0),2*E1579-D1579+J1579,"n.a.")))</x:f>
        <x:v>6609.73</x:v>
      </x:c>
      <x:c r="O1579" s="11" t="n">
        <x:f>IF(B1579="Butterfly",IF(AND(J1579&gt;0,J1579&lt;K1579),F1579-J1579,"n.a."),IF(C1579="call",IF(K1579&gt;J1579,2*E1579-D1579-J1579,"n.a."),IF(AND(J1579&gt;0,J1579&lt;K1579),D1579-J1579,"n.a.")))</x:f>
        <x:v>6990.27</x:v>
      </x:c>
      <x:c r="P1579" s="19" t="n">
        <x:f>IF(AND(B1579="Butterfly",J1579&gt;0,J1579&lt;K1579),L1579/J1579,"n.a.")</x:f>
        <x:v>19.554984583761524</x:v>
      </x:c>
      <x:c r="Q1579" s="11" t="n">
        <x:f>J1579*'Model inputs'!$B$8</x:f>
        <x:v>973.0000000000018</x:v>
      </x:c>
      <x:c r="R1579" s="1" t="str">
        <x:v>Indicative only</x:v>
      </x:c>
      <x:c r="S1579" s="1" t="n">
        <x:v>216</x:v>
      </x:c>
      <x:c r="T1579" s="1" t="n">
        <x:v>235</x:v>
      </x:c>
    </x:row>
    <x:row r="1580" ht="21" customHeight="1">
      <x:c r="A1580" s="12" t="n">
        <x:v>46255</x:v>
      </x:c>
      <x:c r="B1580" s="1" t="str">
        <x:v>Butterfly</x:v>
      </x:c>
      <x:c r="C1580" s="1" t="str">
        <x:v>put</x:v>
      </x:c>
      <x:c r="D1580" s="11" t="n">
        <x:v>6600</x:v>
      </x:c>
      <x:c r="E1580" s="11" t="n">
        <x:v>6800</x:v>
      </x:c>
      <x:c r="F1580" s="11" t="n">
        <x:v>7000</x:v>
      </x:c>
      <x:c r="G1580" s="11" t="n">
        <x:f>'Option source'!B715</x:f>
        <x:v>374.07</x:v>
      </x:c>
      <x:c r="H1580" s="11" t="n">
        <x:f>'Option source'!B734</x:f>
        <x:v>450.05</x:v>
      </x:c>
      <x:c r="I1580" s="11" t="n">
        <x:f>'Option source'!B753</x:f>
        <x:v>570</x:v>
      </x:c>
      <x:c r="J1580" s="11" t="n">
        <x:f>G1580-2*H1580+IF(B1580="Butterfly",I1580,0)</x:f>
        <x:v>43.97000000000003</x:v>
      </x:c>
      <x:c r="K1580" s="11" t="n">
        <x:f>ABS(E1580-D1580)</x:f>
        <x:v>200</x:v>
      </x:c>
      <x:c r="L1580" s="11" t="n">
        <x:f>K1580-J1580</x:f>
        <x:v>156.02999999999997</x:v>
      </x:c>
      <x:c r="M1580" s="11" t="n">
        <x:f>IF(B1580="Butterfly",MAX(J1580,0),IF(C1580="call","Unlimited",MAX(2*E1580-D1580+J1580,J1580,0)))</x:f>
        <x:v>43.97000000000003</x:v>
      </x:c>
      <x:c r="N1580" s="11" t="n">
        <x:f>IF(B1580="Butterfly",IF(AND(J1580&gt;0,J1580&lt;K1580),D1580+J1580,"n.a."),IF(C1580="call",IF(AND(J1580&gt;0,J1580&lt;K1580),D1580+J1580,"n.a."),IF(AND(K1580&gt;J1580,2*E1580-D1580+J1580&gt;=0),2*E1580-D1580+J1580,"n.a.")))</x:f>
        <x:v>6643.97</x:v>
      </x:c>
      <x:c r="O1580" s="11" t="n">
        <x:f>IF(B1580="Butterfly",IF(AND(J1580&gt;0,J1580&lt;K1580),F1580-J1580,"n.a."),IF(C1580="call",IF(K1580&gt;J1580,2*E1580-D1580-J1580,"n.a."),IF(AND(J1580&gt;0,J1580&lt;K1580),D1580-J1580,"n.a.")))</x:f>
        <x:v>6956.03</x:v>
      </x:c>
      <x:c r="P1580" s="19" t="n">
        <x:f>IF(AND(B1580="Butterfly",J1580&gt;0,J1580&lt;K1580),L1580/J1580,"n.a.")</x:f>
        <x:v>3.5485558335228538</x:v>
      </x:c>
      <x:c r="Q1580" s="11" t="n">
        <x:f>J1580*'Model inputs'!$B$8</x:f>
        <x:v>4397.000000000003</x:v>
      </x:c>
      <x:c r="R1580" s="1" t="str">
        <x:v>Indicative only</x:v>
      </x:c>
      <x:c r="S1580" s="1" t="n">
        <x:v>710</x:v>
      </x:c>
      <x:c r="T1580" s="1" t="n">
        <x:v>729</x:v>
      </x:c>
    </x:row>
    <x:row r="1581" ht="21" customHeight="1">
      <x:c r="A1581" s="12" t="n">
        <x:v>46255</x:v>
      </x:c>
      <x:c r="B1581" s="1" t="str">
        <x:v>Butterfly</x:v>
      </x:c>
      <x:c r="C1581" s="1" t="str">
        <x:v>call</x:v>
      </x:c>
      <x:c r="D1581" s="11" t="n">
        <x:v>6200</x:v>
      </x:c>
      <x:c r="E1581" s="11" t="n">
        <x:v>6400</x:v>
      </x:c>
      <x:c r="F1581" s="11" t="n">
        <x:v>6600</x:v>
      </x:c>
      <x:c r="G1581" s="11" t="n">
        <x:f>'Option source'!B183</x:f>
        <x:v>845</x:v>
      </x:c>
      <x:c r="H1581" s="11" t="n">
        <x:f>'Option source'!B202</x:f>
        <x:v>711</x:v>
      </x:c>
      <x:c r="I1581" s="11" t="n">
        <x:f>'Option source'!B221</x:f>
        <x:v>630</x:v>
      </x:c>
      <x:c r="J1581" s="11" t="n">
        <x:f>G1581-2*H1581+IF(B1581="Butterfly",I1581,0)</x:f>
        <x:v>53</x:v>
      </x:c>
      <x:c r="K1581" s="11" t="n">
        <x:f>ABS(E1581-D1581)</x:f>
        <x:v>200</x:v>
      </x:c>
      <x:c r="L1581" s="11" t="n">
        <x:f>K1581-J1581</x:f>
        <x:v>147</x:v>
      </x:c>
      <x:c r="M1581" s="11" t="n">
        <x:f>IF(B1581="Butterfly",MAX(J1581,0),IF(C1581="call","Unlimited",MAX(2*E1581-D1581+J1581,J1581,0)))</x:f>
        <x:v>53</x:v>
      </x:c>
      <x:c r="N1581" s="11" t="n">
        <x:f>IF(B1581="Butterfly",IF(AND(J1581&gt;0,J1581&lt;K1581),D1581+J1581,"n.a."),IF(C1581="call",IF(AND(J1581&gt;0,J1581&lt;K1581),D1581+J1581,"n.a."),IF(AND(K1581&gt;J1581,2*E1581-D1581+J1581&gt;=0),2*E1581-D1581+J1581,"n.a.")))</x:f>
        <x:v>6253</x:v>
      </x:c>
      <x:c r="O1581" s="11" t="n">
        <x:f>IF(B1581="Butterfly",IF(AND(J1581&gt;0,J1581&lt;K1581),F1581-J1581,"n.a."),IF(C1581="call",IF(K1581&gt;J1581,2*E1581-D1581-J1581,"n.a."),IF(AND(J1581&gt;0,J1581&lt;K1581),D1581-J1581,"n.a.")))</x:f>
        <x:v>6547</x:v>
      </x:c>
      <x:c r="P1581" s="19" t="n">
        <x:f>IF(AND(B1581="Butterfly",J1581&gt;0,J1581&lt;K1581),L1581/J1581,"n.a.")</x:f>
        <x:v>2.7735849056603774</x:v>
      </x:c>
      <x:c r="Q1581" s="11" t="n">
        <x:f>J1581*'Model inputs'!$B$8</x:f>
        <x:v>5300</x:v>
      </x:c>
      <x:c r="R1581" s="1" t="str">
        <x:v>Indicative only</x:v>
      </x:c>
      <x:c r="S1581" s="1" t="n">
        <x:v>178</x:v>
      </x:c>
      <x:c r="T1581" s="1" t="n">
        <x:v>197</x:v>
      </x:c>
    </x:row>
    <x:row r="1582" ht="21" customHeight="1">
      <x:c r="A1582" s="12" t="n">
        <x:v>46255</x:v>
      </x:c>
      <x:c r="B1582" s="1" t="str">
        <x:v>Butterfly</x:v>
      </x:c>
      <x:c r="C1582" s="1" t="str">
        <x:v>call</x:v>
      </x:c>
      <x:c r="D1582" s="11" t="n">
        <x:v>6800</x:v>
      </x:c>
      <x:c r="E1582" s="11" t="n">
        <x:v>7000</x:v>
      </x:c>
      <x:c r="F1582" s="11" t="n">
        <x:v>7200</x:v>
      </x:c>
      <x:c r="G1582" s="11" t="n">
        <x:f>'Option source'!B240</x:f>
        <x:v>520</x:v>
      </x:c>
      <x:c r="H1582" s="11" t="n">
        <x:f>'Option source'!B259</x:f>
        <x:v>419.73</x:v>
      </x:c>
      <x:c r="I1582" s="11" t="n">
        <x:f>'Option source'!B278</x:f>
        <x:v>339.33</x:v>
      </x:c>
      <x:c r="J1582" s="11" t="n">
        <x:f>G1582-2*H1582+IF(B1582="Butterfly",I1582,0)</x:f>
        <x:v>19.869999999999948</x:v>
      </x:c>
      <x:c r="K1582" s="11" t="n">
        <x:f>ABS(E1582-D1582)</x:f>
        <x:v>200</x:v>
      </x:c>
      <x:c r="L1582" s="11" t="n">
        <x:f>K1582-J1582</x:f>
        <x:v>180.13000000000005</x:v>
      </x:c>
      <x:c r="M1582" s="11" t="n">
        <x:f>IF(B1582="Butterfly",MAX(J1582,0),IF(C1582="call","Unlimited",MAX(2*E1582-D1582+J1582,J1582,0)))</x:f>
        <x:v>19.869999999999948</x:v>
      </x:c>
      <x:c r="N1582" s="11" t="n">
        <x:f>IF(B1582="Butterfly",IF(AND(J1582&gt;0,J1582&lt;K1582),D1582+J1582,"n.a."),IF(C1582="call",IF(AND(J1582&gt;0,J1582&lt;K1582),D1582+J1582,"n.a."),IF(AND(K1582&gt;J1582,2*E1582-D1582+J1582&gt;=0),2*E1582-D1582+J1582,"n.a.")))</x:f>
        <x:v>6819.87</x:v>
      </x:c>
      <x:c r="O1582" s="11" t="n">
        <x:f>IF(B1582="Butterfly",IF(AND(J1582&gt;0,J1582&lt;K1582),F1582-J1582,"n.a."),IF(C1582="call",IF(K1582&gt;J1582,2*E1582-D1582-J1582,"n.a."),IF(AND(J1582&gt;0,J1582&lt;K1582),D1582-J1582,"n.a.")))</x:f>
        <x:v>7180.13</x:v>
      </x:c>
      <x:c r="P1582" s="19" t="n">
        <x:f>IF(AND(B1582="Butterfly",J1582&gt;0,J1582&lt;K1582),L1582/J1582,"n.a.")</x:f>
        <x:v>9.06542526421744</x:v>
      </x:c>
      <x:c r="Q1582" s="11" t="n">
        <x:f>J1582*'Model inputs'!$B$8</x:f>
        <x:v>1986.9999999999948</x:v>
      </x:c>
      <x:c r="R1582" s="1" t="str">
        <x:v>Indicative only</x:v>
      </x:c>
      <x:c r="S1582" s="1" t="n">
        <x:v>235</x:v>
      </x:c>
      <x:c r="T1582" s="1" t="n">
        <x:v>254</x:v>
      </x:c>
    </x:row>
    <x:row r="1583" ht="21" customHeight="1">
      <x:c r="A1583" s="12" t="n">
        <x:v>46255</x:v>
      </x:c>
      <x:c r="B1583" s="1" t="str">
        <x:v>Butterfly</x:v>
      </x:c>
      <x:c r="C1583" s="1" t="str">
        <x:v>put</x:v>
      </x:c>
      <x:c r="D1583" s="11" t="n">
        <x:v>6800</x:v>
      </x:c>
      <x:c r="E1583" s="11" t="n">
        <x:v>7000</x:v>
      </x:c>
      <x:c r="F1583" s="11" t="n">
        <x:v>7200</x:v>
      </x:c>
      <x:c r="G1583" s="11" t="n">
        <x:f>'Option source'!B734</x:f>
        <x:v>450.05</x:v>
      </x:c>
      <x:c r="H1583" s="11" t="n">
        <x:f>'Option source'!B753</x:f>
        <x:v>570</x:v>
      </x:c>
      <x:c r="I1583" s="11" t="n">
        <x:f>'Option source'!B772</x:f>
        <x:v>731.63</x:v>
      </x:c>
      <x:c r="J1583" s="11" t="n">
        <x:f>G1583-2*H1583+IF(B1583="Butterfly",I1583,0)</x:f>
        <x:v>41.67999999999995</x:v>
      </x:c>
      <x:c r="K1583" s="11" t="n">
        <x:f>ABS(E1583-D1583)</x:f>
        <x:v>200</x:v>
      </x:c>
      <x:c r="L1583" s="11" t="n">
        <x:f>K1583-J1583</x:f>
        <x:v>158.32000000000005</x:v>
      </x:c>
      <x:c r="M1583" s="11" t="n">
        <x:f>IF(B1583="Butterfly",MAX(J1583,0),IF(C1583="call","Unlimited",MAX(2*E1583-D1583+J1583,J1583,0)))</x:f>
        <x:v>41.67999999999995</x:v>
      </x:c>
      <x:c r="N1583" s="11" t="n">
        <x:f>IF(B1583="Butterfly",IF(AND(J1583&gt;0,J1583&lt;K1583),D1583+J1583,"n.a."),IF(C1583="call",IF(AND(J1583&gt;0,J1583&lt;K1583),D1583+J1583,"n.a."),IF(AND(K1583&gt;J1583,2*E1583-D1583+J1583&gt;=0),2*E1583-D1583+J1583,"n.a.")))</x:f>
        <x:v>6841.68</x:v>
      </x:c>
      <x:c r="O1583" s="11" t="n">
        <x:f>IF(B1583="Butterfly",IF(AND(J1583&gt;0,J1583&lt;K1583),F1583-J1583,"n.a."),IF(C1583="call",IF(K1583&gt;J1583,2*E1583-D1583-J1583,"n.a."),IF(AND(J1583&gt;0,J1583&lt;K1583),D1583-J1583,"n.a.")))</x:f>
        <x:v>7158.32</x:v>
      </x:c>
      <x:c r="P1583" s="19" t="n">
        <x:f>IF(AND(B1583="Butterfly",J1583&gt;0,J1583&lt;K1583),L1583/J1583,"n.a.")</x:f>
        <x:v>3.7984644913627696</x:v>
      </x:c>
      <x:c r="Q1583" s="11" t="n">
        <x:f>J1583*'Model inputs'!$B$8</x:f>
        <x:v>4167.9999999999945</x:v>
      </x:c>
      <x:c r="R1583" s="1" t="str">
        <x:v>Indicative only</x:v>
      </x:c>
      <x:c r="S1583" s="1" t="n">
        <x:v>729</x:v>
      </x:c>
      <x:c r="T1583" s="1" t="n">
        <x:v>748</x:v>
      </x:c>
    </x:row>
    <x:row r="1584" ht="21" customHeight="1">
      <x:c r="A1584" s="12" t="n">
        <x:v>46255</x:v>
      </x:c>
      <x:c r="B1584" s="1" t="str">
        <x:v>Butterfly</x:v>
      </x:c>
      <x:c r="C1584" s="1" t="str">
        <x:v>call</x:v>
      </x:c>
      <x:c r="D1584" s="11" t="n">
        <x:v>6000</x:v>
      </x:c>
      <x:c r="E1584" s="11" t="n">
        <x:v>6200</x:v>
      </x:c>
      <x:c r="F1584" s="11" t="n">
        <x:v>6400</x:v>
      </x:c>
      <x:c r="G1584" s="11" t="n">
        <x:f>'Option source'!B164</x:f>
        <x:v>995</x:v>
      </x:c>
      <x:c r="H1584" s="11" t="n">
        <x:f>'Option source'!B183</x:f>
        <x:v>845</x:v>
      </x:c>
      <x:c r="I1584" s="11" t="n">
        <x:f>'Option source'!B202</x:f>
        <x:v>711</x:v>
      </x:c>
      <x:c r="J1584" s="11" t="n">
        <x:f>G1584-2*H1584+IF(B1584="Butterfly",I1584,0)</x:f>
        <x:v>16</x:v>
      </x:c>
      <x:c r="K1584" s="11" t="n">
        <x:f>ABS(E1584-D1584)</x:f>
        <x:v>200</x:v>
      </x:c>
      <x:c r="L1584" s="11" t="n">
        <x:f>K1584-J1584</x:f>
        <x:v>184</x:v>
      </x:c>
      <x:c r="M1584" s="11" t="n">
        <x:f>IF(B1584="Butterfly",MAX(J1584,0),IF(C1584="call","Unlimited",MAX(2*E1584-D1584+J1584,J1584,0)))</x:f>
        <x:v>16</x:v>
      </x:c>
      <x:c r="N1584" s="11" t="n">
        <x:f>IF(B1584="Butterfly",IF(AND(J1584&gt;0,J1584&lt;K1584),D1584+J1584,"n.a."),IF(C1584="call",IF(AND(J1584&gt;0,J1584&lt;K1584),D1584+J1584,"n.a."),IF(AND(K1584&gt;J1584,2*E1584-D1584+J1584&gt;=0),2*E1584-D1584+J1584,"n.a.")))</x:f>
        <x:v>6016</x:v>
      </x:c>
      <x:c r="O1584" s="11" t="n">
        <x:f>IF(B1584="Butterfly",IF(AND(J1584&gt;0,J1584&lt;K1584),F1584-J1584,"n.a."),IF(C1584="call",IF(K1584&gt;J1584,2*E1584-D1584-J1584,"n.a."),IF(AND(J1584&gt;0,J1584&lt;K1584),D1584-J1584,"n.a.")))</x:f>
        <x:v>6384</x:v>
      </x:c>
      <x:c r="P1584" s="19" t="n">
        <x:f>IF(AND(B1584="Butterfly",J1584&gt;0,J1584&lt;K1584),L1584/J1584,"n.a.")</x:f>
        <x:v>11.5</x:v>
      </x:c>
      <x:c r="Q1584" s="11" t="n">
        <x:f>J1584*'Model inputs'!$B$8</x:f>
        <x:v>1600</x:v>
      </x:c>
      <x:c r="R1584" s="1" t="str">
        <x:v>Indicative only</x:v>
      </x:c>
      <x:c r="S1584" s="1" t="n">
        <x:v>159</x:v>
      </x:c>
      <x:c r="T1584" s="1" t="n">
        <x:v>178</x:v>
      </x:c>
    </x:row>
    <x:row r="1585" ht="21" customHeight="1">
      <x:c r="A1585" s="12" t="n">
        <x:v>46255</x:v>
      </x:c>
      <x:c r="B1585" s="1" t="str">
        <x:v>Butterfly</x:v>
      </x:c>
      <x:c r="C1585" s="1" t="str">
        <x:v>put</x:v>
      </x:c>
      <x:c r="D1585" s="11" t="n">
        <x:v>6000</x:v>
      </x:c>
      <x:c r="E1585" s="11" t="n">
        <x:v>6200</x:v>
      </x:c>
      <x:c r="F1585" s="11" t="n">
        <x:v>6400</x:v>
      </x:c>
      <x:c r="G1585" s="11" t="n">
        <x:f>'Option source'!B658</x:f>
        <x:v>145.03</x:v>
      </x:c>
      <x:c r="H1585" s="11" t="n">
        <x:f>'Option source'!B677</x:f>
        <x:v>201.71</x:v>
      </x:c>
      <x:c r="I1585" s="11" t="n">
        <x:f>'Option source'!B696</x:f>
        <x:v>290.5</x:v>
      </x:c>
      <x:c r="J1585" s="11" t="n">
        <x:f>G1585-2*H1585+IF(B1585="Butterfly",I1585,0)</x:f>
        <x:v>32.110000000000014</x:v>
      </x:c>
      <x:c r="K1585" s="11" t="n">
        <x:f>ABS(E1585-D1585)</x:f>
        <x:v>200</x:v>
      </x:c>
      <x:c r="L1585" s="11" t="n">
        <x:f>K1585-J1585</x:f>
        <x:v>167.89</x:v>
      </x:c>
      <x:c r="M1585" s="11" t="n">
        <x:f>IF(B1585="Butterfly",MAX(J1585,0),IF(C1585="call","Unlimited",MAX(2*E1585-D1585+J1585,J1585,0)))</x:f>
        <x:v>32.110000000000014</x:v>
      </x:c>
      <x:c r="N1585" s="11" t="n">
        <x:f>IF(B1585="Butterfly",IF(AND(J1585&gt;0,J1585&lt;K1585),D1585+J1585,"n.a."),IF(C1585="call",IF(AND(J1585&gt;0,J1585&lt;K1585),D1585+J1585,"n.a."),IF(AND(K1585&gt;J1585,2*E1585-D1585+J1585&gt;=0),2*E1585-D1585+J1585,"n.a.")))</x:f>
        <x:v>6032.11</x:v>
      </x:c>
      <x:c r="O1585" s="11" t="n">
        <x:f>IF(B1585="Butterfly",IF(AND(J1585&gt;0,J1585&lt;K1585),F1585-J1585,"n.a."),IF(C1585="call",IF(K1585&gt;J1585,2*E1585-D1585-J1585,"n.a."),IF(AND(J1585&gt;0,J1585&lt;K1585),D1585-J1585,"n.a.")))</x:f>
        <x:v>6367.89</x:v>
      </x:c>
      <x:c r="P1585" s="19" t="n">
        <x:f>IF(AND(B1585="Butterfly",J1585&gt;0,J1585&lt;K1585),L1585/J1585,"n.a.")</x:f>
        <x:v>5.228589224540639</x:v>
      </x:c>
      <x:c r="Q1585" s="11" t="n">
        <x:f>J1585*'Model inputs'!$B$8</x:f>
        <x:v>3211.0000000000014</x:v>
      </x:c>
      <x:c r="R1585" s="1" t="str">
        <x:v>Indicative only</x:v>
      </x:c>
      <x:c r="S1585" s="1" t="n">
        <x:v>653</x:v>
      </x:c>
      <x:c r="T1585" s="1" t="n">
        <x:v>672</x:v>
      </x:c>
    </x:row>
    <x:row r="1586" ht="21" customHeight="1">
      <x:c r="A1586" s="12" t="n">
        <x:v>46255</x:v>
      </x:c>
      <x:c r="B1586" s="1" t="str">
        <x:v>Butterfly</x:v>
      </x:c>
      <x:c r="C1586" s="1" t="str">
        <x:v>call</x:v>
      </x:c>
      <x:c r="D1586" s="11" t="n">
        <x:v>7000</x:v>
      </x:c>
      <x:c r="E1586" s="11" t="n">
        <x:v>7200</x:v>
      </x:c>
      <x:c r="F1586" s="11" t="n">
        <x:v>7400</x:v>
      </x:c>
      <x:c r="G1586" s="11" t="n">
        <x:f>'Option source'!B259</x:f>
        <x:v>419.73</x:v>
      </x:c>
      <x:c r="H1586" s="11" t="n">
        <x:f>'Option source'!B278</x:f>
        <x:v>339.33</x:v>
      </x:c>
      <x:c r="I1586" s="11" t="n">
        <x:f>'Option source'!B297</x:f>
        <x:v>271.72</x:v>
      </x:c>
      <x:c r="J1586" s="11" t="n">
        <x:f>G1586-2*H1586+IF(B1586="Butterfly",I1586,0)</x:f>
        <x:v>12.790000000000077</x:v>
      </x:c>
      <x:c r="K1586" s="11" t="n">
        <x:f>ABS(E1586-D1586)</x:f>
        <x:v>200</x:v>
      </x:c>
      <x:c r="L1586" s="11" t="n">
        <x:f>K1586-J1586</x:f>
        <x:v>187.20999999999992</x:v>
      </x:c>
      <x:c r="M1586" s="11" t="n">
        <x:f>IF(B1586="Butterfly",MAX(J1586,0),IF(C1586="call","Unlimited",MAX(2*E1586-D1586+J1586,J1586,0)))</x:f>
        <x:v>12.790000000000077</x:v>
      </x:c>
      <x:c r="N1586" s="11" t="n">
        <x:f>IF(B1586="Butterfly",IF(AND(J1586&gt;0,J1586&lt;K1586),D1586+J1586,"n.a."),IF(C1586="call",IF(AND(J1586&gt;0,J1586&lt;K1586),D1586+J1586,"n.a."),IF(AND(K1586&gt;J1586,2*E1586-D1586+J1586&gt;=0),2*E1586-D1586+J1586,"n.a.")))</x:f>
        <x:v>7012.79</x:v>
      </x:c>
      <x:c r="O1586" s="11" t="n">
        <x:f>IF(B1586="Butterfly",IF(AND(J1586&gt;0,J1586&lt;K1586),F1586-J1586,"n.a."),IF(C1586="call",IF(K1586&gt;J1586,2*E1586-D1586-J1586,"n.a."),IF(AND(J1586&gt;0,J1586&lt;K1586),D1586-J1586,"n.a.")))</x:f>
        <x:v>7387.21</x:v>
      </x:c>
      <x:c r="P1586" s="19" t="n">
        <x:f>IF(AND(B1586="Butterfly",J1586&gt;0,J1586&lt;K1586),L1586/J1586,"n.a.")</x:f>
        <x:v>14.637216575449475</x:v>
      </x:c>
      <x:c r="Q1586" s="11" t="n">
        <x:f>J1586*'Model inputs'!$B$8</x:f>
        <x:v>1279.0000000000077</x:v>
      </x:c>
      <x:c r="R1586" s="1" t="str">
        <x:v>Indicative only</x:v>
      </x:c>
      <x:c r="S1586" s="1" t="n">
        <x:v>254</x:v>
      </x:c>
      <x:c r="T1586" s="1" t="n">
        <x:v>273</x:v>
      </x:c>
    </x:row>
    <x:row r="1587" ht="21" customHeight="1">
      <x:c r="A1587" s="12" t="n">
        <x:v>46255</x:v>
      </x:c>
      <x:c r="B1587" s="1" t="str">
        <x:v>Butterfly</x:v>
      </x:c>
      <x:c r="C1587" s="1" t="str">
        <x:v>put</x:v>
      </x:c>
      <x:c r="D1587" s="11" t="n">
        <x:v>5800</x:v>
      </x:c>
      <x:c r="E1587" s="11" t="n">
        <x:v>6000</x:v>
      </x:c>
      <x:c r="F1587" s="11" t="n">
        <x:v>6200</x:v>
      </x:c>
      <x:c r="G1587" s="11" t="n">
        <x:f>'Option source'!B639</x:f>
        <x:v>96.17</x:v>
      </x:c>
      <x:c r="H1587" s="11" t="n">
        <x:f>'Option source'!B658</x:f>
        <x:v>145.03</x:v>
      </x:c>
      <x:c r="I1587" s="11" t="n">
        <x:f>'Option source'!B677</x:f>
        <x:v>201.71</x:v>
      </x:c>
      <x:c r="J1587" s="11" t="n">
        <x:f>G1587-2*H1587+IF(B1587="Butterfly",I1587,0)</x:f>
        <x:v>7.820000000000022</x:v>
      </x:c>
      <x:c r="K1587" s="11" t="n">
        <x:f>ABS(E1587-D1587)</x:f>
        <x:v>200</x:v>
      </x:c>
      <x:c r="L1587" s="11" t="n">
        <x:f>K1587-J1587</x:f>
        <x:v>192.17999999999998</x:v>
      </x:c>
      <x:c r="M1587" s="11" t="n">
        <x:f>IF(B1587="Butterfly",MAX(J1587,0),IF(C1587="call","Unlimited",MAX(2*E1587-D1587+J1587,J1587,0)))</x:f>
        <x:v>7.820000000000022</x:v>
      </x:c>
      <x:c r="N1587" s="11" t="n">
        <x:f>IF(B1587="Butterfly",IF(AND(J1587&gt;0,J1587&lt;K1587),D1587+J1587,"n.a."),IF(C1587="call",IF(AND(J1587&gt;0,J1587&lt;K1587),D1587+J1587,"n.a."),IF(AND(K1587&gt;J1587,2*E1587-D1587+J1587&gt;=0),2*E1587-D1587+J1587,"n.a.")))</x:f>
        <x:v>5807.82</x:v>
      </x:c>
      <x:c r="O1587" s="11" t="n">
        <x:f>IF(B1587="Butterfly",IF(AND(J1587&gt;0,J1587&lt;K1587),F1587-J1587,"n.a."),IF(C1587="call",IF(K1587&gt;J1587,2*E1587-D1587-J1587,"n.a."),IF(AND(J1587&gt;0,J1587&lt;K1587),D1587-J1587,"n.a.")))</x:f>
        <x:v>6192.18</x:v>
      </x:c>
      <x:c r="P1587" s="19" t="n">
        <x:f>IF(AND(B1587="Butterfly",J1587&gt;0,J1587&lt;K1587),L1587/J1587,"n.a.")</x:f>
        <x:v>24.57544757033241</x:v>
      </x:c>
      <x:c r="Q1587" s="11" t="n">
        <x:f>J1587*'Model inputs'!$B$8</x:f>
        <x:v>782.0000000000022</x:v>
      </x:c>
      <x:c r="R1587" s="1" t="str">
        <x:v>Indicative only</x:v>
      </x:c>
      <x:c r="S1587" s="1" t="n">
        <x:v>634</x:v>
      </x:c>
      <x:c r="T1587" s="1" t="n">
        <x:v>653</x:v>
      </x:c>
    </x:row>
    <x:row r="1588" ht="21" customHeight="1">
      <x:c r="A1588" s="12" t="n">
        <x:v>46255</x:v>
      </x:c>
      <x:c r="B1588" s="1" t="str">
        <x:v>Butterfly</x:v>
      </x:c>
      <x:c r="C1588" s="1" t="str">
        <x:v>call</x:v>
      </x:c>
      <x:c r="D1588" s="11" t="n">
        <x:v>7200</x:v>
      </x:c>
      <x:c r="E1588" s="11" t="n">
        <x:v>7400</x:v>
      </x:c>
      <x:c r="F1588" s="11" t="n">
        <x:v>7600</x:v>
      </x:c>
      <x:c r="G1588" s="11" t="n">
        <x:f>'Option source'!B278</x:f>
        <x:v>339.33</x:v>
      </x:c>
      <x:c r="H1588" s="11" t="n">
        <x:f>'Option source'!B297</x:f>
        <x:v>271.72</x:v>
      </x:c>
      <x:c r="I1588" s="11" t="n">
        <x:f>'Option source'!B316</x:f>
        <x:v>215.5</x:v>
      </x:c>
      <x:c r="J1588" s="11" t="n">
        <x:f>G1588-2*H1588+IF(B1588="Butterfly",I1588,0)</x:f>
        <x:v>11.38999999999993</x:v>
      </x:c>
      <x:c r="K1588" s="11" t="n">
        <x:f>ABS(E1588-D1588)</x:f>
        <x:v>200</x:v>
      </x:c>
      <x:c r="L1588" s="11" t="n">
        <x:f>K1588-J1588</x:f>
        <x:v>188.61000000000007</x:v>
      </x:c>
      <x:c r="M1588" s="11" t="n">
        <x:f>IF(B1588="Butterfly",MAX(J1588,0),IF(C1588="call","Unlimited",MAX(2*E1588-D1588+J1588,J1588,0)))</x:f>
        <x:v>11.38999999999993</x:v>
      </x:c>
      <x:c r="N1588" s="11" t="n">
        <x:f>IF(B1588="Butterfly",IF(AND(J1588&gt;0,J1588&lt;K1588),D1588+J1588,"n.a."),IF(C1588="call",IF(AND(J1588&gt;0,J1588&lt;K1588),D1588+J1588,"n.a."),IF(AND(K1588&gt;J1588,2*E1588-D1588+J1588&gt;=0),2*E1588-D1588+J1588,"n.a.")))</x:f>
        <x:v>7211.39</x:v>
      </x:c>
      <x:c r="O1588" s="11" t="n">
        <x:f>IF(B1588="Butterfly",IF(AND(J1588&gt;0,J1588&lt;K1588),F1588-J1588,"n.a."),IF(C1588="call",IF(K1588&gt;J1588,2*E1588-D1588-J1588,"n.a."),IF(AND(J1588&gt;0,J1588&lt;K1588),D1588-J1588,"n.a.")))</x:f>
        <x:v>7588.61</x:v>
      </x:c>
      <x:c r="P1588" s="19" t="n">
        <x:f>IF(AND(B1588="Butterfly",J1588&gt;0,J1588&lt;K1588),L1588/J1588,"n.a.")</x:f>
        <x:v>16.559262510974648</x:v>
      </x:c>
      <x:c r="Q1588" s="11" t="n">
        <x:f>J1588*'Model inputs'!$B$8</x:f>
        <x:v>1138.999999999993</x:v>
      </x:c>
      <x:c r="R1588" s="1" t="str">
        <x:v>Indicative only</x:v>
      </x:c>
      <x:c r="S1588" s="1" t="n">
        <x:v>273</x:v>
      </x:c>
      <x:c r="T1588" s="1" t="n">
        <x:v>292</x:v>
      </x:c>
    </x:row>
    <x:row r="1589" ht="21" customHeight="1">
      <x:c r="A1589" s="12" t="n">
        <x:v>46255</x:v>
      </x:c>
      <x:c r="B1589" s="1" t="str">
        <x:v>Butterfly</x:v>
      </x:c>
      <x:c r="C1589" s="1" t="str">
        <x:v>put</x:v>
      </x:c>
      <x:c r="D1589" s="11" t="n">
        <x:v>5600</x:v>
      </x:c>
      <x:c r="E1589" s="11" t="n">
        <x:v>5800</x:v>
      </x:c>
      <x:c r="F1589" s="11" t="n">
        <x:v>6000</x:v>
      </x:c>
      <x:c r="G1589" s="11" t="n">
        <x:f>'Option source'!B620</x:f>
        <x:v>62.84</x:v>
      </x:c>
      <x:c r="H1589" s="11" t="n">
        <x:f>'Option source'!B639</x:f>
        <x:v>96.17</x:v>
      </x:c>
      <x:c r="I1589" s="11" t="n">
        <x:f>'Option source'!B658</x:f>
        <x:v>145.03</x:v>
      </x:c>
      <x:c r="J1589" s="11" t="n">
        <x:f>G1589-2*H1589+IF(B1589="Butterfly",I1589,0)</x:f>
        <x:v>15.530000000000001</x:v>
      </x:c>
      <x:c r="K1589" s="11" t="n">
        <x:f>ABS(E1589-D1589)</x:f>
        <x:v>200</x:v>
      </x:c>
      <x:c r="L1589" s="11" t="n">
        <x:f>K1589-J1589</x:f>
        <x:v>184.47</x:v>
      </x:c>
      <x:c r="M1589" s="11" t="n">
        <x:f>IF(B1589="Butterfly",MAX(J1589,0),IF(C1589="call","Unlimited",MAX(2*E1589-D1589+J1589,J1589,0)))</x:f>
        <x:v>15.530000000000001</x:v>
      </x:c>
      <x:c r="N1589" s="11" t="n">
        <x:f>IF(B1589="Butterfly",IF(AND(J1589&gt;0,J1589&lt;K1589),D1589+J1589,"n.a."),IF(C1589="call",IF(AND(J1589&gt;0,J1589&lt;K1589),D1589+J1589,"n.a."),IF(AND(K1589&gt;J1589,2*E1589-D1589+J1589&gt;=0),2*E1589-D1589+J1589,"n.a.")))</x:f>
        <x:v>5615.53</x:v>
      </x:c>
      <x:c r="O1589" s="11" t="n">
        <x:f>IF(B1589="Butterfly",IF(AND(J1589&gt;0,J1589&lt;K1589),F1589-J1589,"n.a."),IF(C1589="call",IF(K1589&gt;J1589,2*E1589-D1589-J1589,"n.a."),IF(AND(J1589&gt;0,J1589&lt;K1589),D1589-J1589,"n.a.")))</x:f>
        <x:v>5984.47</x:v>
      </x:c>
      <x:c r="P1589" s="19" t="n">
        <x:f>IF(AND(B1589="Butterfly",J1589&gt;0,J1589&lt;K1589),L1589/J1589,"n.a.")</x:f>
        <x:v>11.8783000643915</x:v>
      </x:c>
      <x:c r="Q1589" s="11" t="n">
        <x:f>J1589*'Model inputs'!$B$8</x:f>
        <x:v>1553</x:v>
      </x:c>
      <x:c r="R1589" s="1" t="str">
        <x:v>Indicative only</x:v>
      </x:c>
      <x:c r="S1589" s="1" t="n">
        <x:v>615</x:v>
      </x:c>
      <x:c r="T1589" s="1" t="n">
        <x:v>634</x:v>
      </x:c>
    </x:row>
    <x:row r="1590" ht="21" customHeight="1">
      <x:c r="A1590" s="12" t="n">
        <x:v>46255</x:v>
      </x:c>
      <x:c r="B1590" s="1" t="str">
        <x:v>Butterfly</x:v>
      </x:c>
      <x:c r="C1590" s="1" t="str">
        <x:v>call</x:v>
      </x:c>
      <x:c r="D1590" s="11" t="n">
        <x:v>7400</x:v>
      </x:c>
      <x:c r="E1590" s="11" t="n">
        <x:v>7600</x:v>
      </x:c>
      <x:c r="F1590" s="11" t="n">
        <x:v>7800</x:v>
      </x:c>
      <x:c r="G1590" s="11" t="n">
        <x:f>'Option source'!B297</x:f>
        <x:v>271.72</x:v>
      </x:c>
      <x:c r="H1590" s="11" t="n">
        <x:f>'Option source'!B316</x:f>
        <x:v>215.5</x:v>
      </x:c>
      <x:c r="I1590" s="11" t="n">
        <x:f>'Option source'!B335</x:f>
        <x:v>175.19</x:v>
      </x:c>
      <x:c r="J1590" s="11" t="n">
        <x:f>G1590-2*H1590+IF(B1590="Butterfly",I1590,0)</x:f>
        <x:v>15.910000000000025</x:v>
      </x:c>
      <x:c r="K1590" s="11" t="n">
        <x:f>ABS(E1590-D1590)</x:f>
        <x:v>200</x:v>
      </x:c>
      <x:c r="L1590" s="11" t="n">
        <x:f>K1590-J1590</x:f>
        <x:v>184.08999999999997</x:v>
      </x:c>
      <x:c r="M1590" s="11" t="n">
        <x:f>IF(B1590="Butterfly",MAX(J1590,0),IF(C1590="call","Unlimited",MAX(2*E1590-D1590+J1590,J1590,0)))</x:f>
        <x:v>15.910000000000025</x:v>
      </x:c>
      <x:c r="N1590" s="11" t="n">
        <x:f>IF(B1590="Butterfly",IF(AND(J1590&gt;0,J1590&lt;K1590),D1590+J1590,"n.a."),IF(C1590="call",IF(AND(J1590&gt;0,J1590&lt;K1590),D1590+J1590,"n.a."),IF(AND(K1590&gt;J1590,2*E1590-D1590+J1590&gt;=0),2*E1590-D1590+J1590,"n.a.")))</x:f>
        <x:v>7415.91</x:v>
      </x:c>
      <x:c r="O1590" s="11" t="n">
        <x:f>IF(B1590="Butterfly",IF(AND(J1590&gt;0,J1590&lt;K1590),F1590-J1590,"n.a."),IF(C1590="call",IF(K1590&gt;J1590,2*E1590-D1590-J1590,"n.a."),IF(AND(J1590&gt;0,J1590&lt;K1590),D1590-J1590,"n.a.")))</x:f>
        <x:v>7784.09</x:v>
      </x:c>
      <x:c r="P1590" s="19" t="n">
        <x:f>IF(AND(B1590="Butterfly",J1590&gt;0,J1590&lt;K1590),L1590/J1590,"n.a.")</x:f>
        <x:v>11.57071024512883</x:v>
      </x:c>
      <x:c r="Q1590" s="11" t="n">
        <x:f>J1590*'Model inputs'!$B$8</x:f>
        <x:v>1591.0000000000025</x:v>
      </x:c>
      <x:c r="R1590" s="1" t="str">
        <x:v>Indicative only</x:v>
      </x:c>
      <x:c r="S1590" s="1" t="n">
        <x:v>292</x:v>
      </x:c>
      <x:c r="T1590" s="1" t="n">
        <x:v>311</x:v>
      </x:c>
    </x:row>
    <x:row r="1591" ht="21" customHeight="1">
      <x:c r="A1591" s="12" t="n">
        <x:v>46255</x:v>
      </x:c>
      <x:c r="B1591" s="1" t="str">
        <x:v>Butterfly</x:v>
      </x:c>
      <x:c r="C1591" s="1" t="str">
        <x:v>put</x:v>
      </x:c>
      <x:c r="D1591" s="11" t="n">
        <x:v>5400</x:v>
      </x:c>
      <x:c r="E1591" s="11" t="n">
        <x:v>5600</x:v>
      </x:c>
      <x:c r="F1591" s="11" t="n">
        <x:v>5800</x:v>
      </x:c>
      <x:c r="G1591" s="11" t="n">
        <x:f>'Option source'!B601</x:f>
        <x:v>39.81</x:v>
      </x:c>
      <x:c r="H1591" s="11" t="n">
        <x:f>'Option source'!B620</x:f>
        <x:v>62.84</x:v>
      </x:c>
      <x:c r="I1591" s="11" t="n">
        <x:f>'Option source'!B639</x:f>
        <x:v>96.17</x:v>
      </x:c>
      <x:c r="J1591" s="11" t="n">
        <x:f>G1591-2*H1591+IF(B1591="Butterfly",I1591,0)</x:f>
        <x:v>10.299999999999997</x:v>
      </x:c>
      <x:c r="K1591" s="11" t="n">
        <x:f>ABS(E1591-D1591)</x:f>
        <x:v>200</x:v>
      </x:c>
      <x:c r="L1591" s="11" t="n">
        <x:f>K1591-J1591</x:f>
        <x:v>189.7</x:v>
      </x:c>
      <x:c r="M1591" s="11" t="n">
        <x:f>IF(B1591="Butterfly",MAX(J1591,0),IF(C1591="call","Unlimited",MAX(2*E1591-D1591+J1591,J1591,0)))</x:f>
        <x:v>10.299999999999997</x:v>
      </x:c>
      <x:c r="N1591" s="11" t="n">
        <x:f>IF(B1591="Butterfly",IF(AND(J1591&gt;0,J1591&lt;K1591),D1591+J1591,"n.a."),IF(C1591="call",IF(AND(J1591&gt;0,J1591&lt;K1591),D1591+J1591,"n.a."),IF(AND(K1591&gt;J1591,2*E1591-D1591+J1591&gt;=0),2*E1591-D1591+J1591,"n.a.")))</x:f>
        <x:v>5410.3</x:v>
      </x:c>
      <x:c r="O1591" s="11" t="n">
        <x:f>IF(B1591="Butterfly",IF(AND(J1591&gt;0,J1591&lt;K1591),F1591-J1591,"n.a."),IF(C1591="call",IF(K1591&gt;J1591,2*E1591-D1591-J1591,"n.a."),IF(AND(J1591&gt;0,J1591&lt;K1591),D1591-J1591,"n.a.")))</x:f>
        <x:v>5789.7</x:v>
      </x:c>
      <x:c r="P1591" s="19" t="n">
        <x:f>IF(AND(B1591="Butterfly",J1591&gt;0,J1591&lt;K1591),L1591/J1591,"n.a.")</x:f>
        <x:v>18.417475728155345</x:v>
      </x:c>
      <x:c r="Q1591" s="11" t="n">
        <x:f>J1591*'Model inputs'!$B$8</x:f>
        <x:v>1029.9999999999998</x:v>
      </x:c>
      <x:c r="R1591" s="1" t="str">
        <x:v>Indicative only</x:v>
      </x:c>
      <x:c r="S1591" s="1" t="n">
        <x:v>596</x:v>
      </x:c>
      <x:c r="T1591" s="1" t="n">
        <x:v>615</x:v>
      </x:c>
    </x:row>
    <x:row r="1592" ht="21" customHeight="1">
      <x:c r="A1592" s="12" t="n">
        <x:v>46255</x:v>
      </x:c>
      <x:c r="B1592" s="1" t="str">
        <x:v>Butterfly</x:v>
      </x:c>
      <x:c r="C1592" s="1" t="str">
        <x:v>call</x:v>
      </x:c>
      <x:c r="D1592" s="11" t="n">
        <x:v>7600</x:v>
      </x:c>
      <x:c r="E1592" s="11" t="n">
        <x:v>7800</x:v>
      </x:c>
      <x:c r="F1592" s="11" t="n">
        <x:v>8000</x:v>
      </x:c>
      <x:c r="G1592" s="11" t="n">
        <x:f>'Option source'!B316</x:f>
        <x:v>215.5</x:v>
      </x:c>
      <x:c r="H1592" s="11" t="n">
        <x:f>'Option source'!B335</x:f>
        <x:v>175.19</x:v>
      </x:c>
      <x:c r="I1592" s="11" t="n">
        <x:f>'Option source'!B354</x:f>
        <x:v>145.19</x:v>
      </x:c>
      <x:c r="J1592" s="11" t="n">
        <x:f>G1592-2*H1592+IF(B1592="Butterfly",I1592,0)</x:f>
        <x:v>10.310000000000002</x:v>
      </x:c>
      <x:c r="K1592" s="11" t="n">
        <x:f>ABS(E1592-D1592)</x:f>
        <x:v>200</x:v>
      </x:c>
      <x:c r="L1592" s="11" t="n">
        <x:f>K1592-J1592</x:f>
        <x:v>189.69</x:v>
      </x:c>
      <x:c r="M1592" s="11" t="n">
        <x:f>IF(B1592="Butterfly",MAX(J1592,0),IF(C1592="call","Unlimited",MAX(2*E1592-D1592+J1592,J1592,0)))</x:f>
        <x:v>10.310000000000002</x:v>
      </x:c>
      <x:c r="N1592" s="11" t="n">
        <x:f>IF(B1592="Butterfly",IF(AND(J1592&gt;0,J1592&lt;K1592),D1592+J1592,"n.a."),IF(C1592="call",IF(AND(J1592&gt;0,J1592&lt;K1592),D1592+J1592,"n.a."),IF(AND(K1592&gt;J1592,2*E1592-D1592+J1592&gt;=0),2*E1592-D1592+J1592,"n.a.")))</x:f>
        <x:v>7610.31</x:v>
      </x:c>
      <x:c r="O1592" s="11" t="n">
        <x:f>IF(B1592="Butterfly",IF(AND(J1592&gt;0,J1592&lt;K1592),F1592-J1592,"n.a."),IF(C1592="call",IF(K1592&gt;J1592,2*E1592-D1592-J1592,"n.a."),IF(AND(J1592&gt;0,J1592&lt;K1592),D1592-J1592,"n.a.")))</x:f>
        <x:v>7989.69</x:v>
      </x:c>
      <x:c r="P1592" s="19" t="n">
        <x:f>IF(AND(B1592="Butterfly",J1592&gt;0,J1592&lt;K1592),L1592/J1592,"n.a.")</x:f>
        <x:v>18.398642095053344</x:v>
      </x:c>
      <x:c r="Q1592" s="11" t="n">
        <x:f>J1592*'Model inputs'!$B$8</x:f>
        <x:v>1031.0000000000002</x:v>
      </x:c>
      <x:c r="R1592" s="1" t="str">
        <x:v>Indicative only</x:v>
      </x:c>
      <x:c r="S1592" s="1" t="n">
        <x:v>311</x:v>
      </x:c>
      <x:c r="T1592" s="1" t="n">
        <x:v>330</x:v>
      </x:c>
    </x:row>
    <x:row r="1593" ht="21" customHeight="1">
      <x:c r="A1593" s="12" t="n">
        <x:v>46255</x:v>
      </x:c>
      <x:c r="B1593" s="1" t="str">
        <x:v>Butterfly</x:v>
      </x:c>
      <x:c r="C1593" s="1" t="str">
        <x:v>put</x:v>
      </x:c>
      <x:c r="D1593" s="11" t="n">
        <x:v>5200</x:v>
      </x:c>
      <x:c r="E1593" s="11" t="n">
        <x:v>5400</x:v>
      </x:c>
      <x:c r="F1593" s="11" t="n">
        <x:v>5600</x:v>
      </x:c>
      <x:c r="G1593" s="11" t="n">
        <x:f>'Option source'!B582</x:f>
        <x:v>27.41</x:v>
      </x:c>
      <x:c r="H1593" s="11" t="n">
        <x:f>'Option source'!B601</x:f>
        <x:v>39.81</x:v>
      </x:c>
      <x:c r="I1593" s="11" t="n">
        <x:f>'Option source'!B620</x:f>
        <x:v>62.84</x:v>
      </x:c>
      <x:c r="J1593" s="11" t="n">
        <x:f>G1593-2*H1593+IF(B1593="Butterfly",I1593,0)</x:f>
        <x:v>10.629999999999995</x:v>
      </x:c>
      <x:c r="K1593" s="11" t="n">
        <x:f>ABS(E1593-D1593)</x:f>
        <x:v>200</x:v>
      </x:c>
      <x:c r="L1593" s="11" t="n">
        <x:f>K1593-J1593</x:f>
        <x:v>189.37</x:v>
      </x:c>
      <x:c r="M1593" s="11" t="n">
        <x:f>IF(B1593="Butterfly",MAX(J1593,0),IF(C1593="call","Unlimited",MAX(2*E1593-D1593+J1593,J1593,0)))</x:f>
        <x:v>10.629999999999995</x:v>
      </x:c>
      <x:c r="N1593" s="11" t="n">
        <x:f>IF(B1593="Butterfly",IF(AND(J1593&gt;0,J1593&lt;K1593),D1593+J1593,"n.a."),IF(C1593="call",IF(AND(J1593&gt;0,J1593&lt;K1593),D1593+J1593,"n.a."),IF(AND(K1593&gt;J1593,2*E1593-D1593+J1593&gt;=0),2*E1593-D1593+J1593,"n.a.")))</x:f>
        <x:v>5210.63</x:v>
      </x:c>
      <x:c r="O1593" s="11" t="n">
        <x:f>IF(B1593="Butterfly",IF(AND(J1593&gt;0,J1593&lt;K1593),F1593-J1593,"n.a."),IF(C1593="call",IF(K1593&gt;J1593,2*E1593-D1593-J1593,"n.a."),IF(AND(J1593&gt;0,J1593&lt;K1593),D1593-J1593,"n.a.")))</x:f>
        <x:v>5589.37</x:v>
      </x:c>
      <x:c r="P1593" s="19" t="n">
        <x:f>IF(AND(B1593="Butterfly",J1593&gt;0,J1593&lt;K1593),L1593/J1593,"n.a.")</x:f>
        <x:v>17.81467544684855</x:v>
      </x:c>
      <x:c r="Q1593" s="11" t="n">
        <x:f>J1593*'Model inputs'!$B$8</x:f>
        <x:v>1062.9999999999995</x:v>
      </x:c>
      <x:c r="R1593" s="1" t="str">
        <x:v>Indicative only</x:v>
      </x:c>
      <x:c r="S1593" s="1" t="n">
        <x:v>577</x:v>
      </x:c>
      <x:c r="T1593" s="1" t="n">
        <x:v>596</x:v>
      </x:c>
    </x:row>
    <x:row r="1594" ht="21" customHeight="1">
      <x:c r="A1594" s="12" t="n">
        <x:v>46255</x:v>
      </x:c>
      <x:c r="B1594" s="1" t="str">
        <x:v>Butterfly</x:v>
      </x:c>
      <x:c r="C1594" s="1" t="str">
        <x:v>put</x:v>
      </x:c>
      <x:c r="D1594" s="11" t="n">
        <x:v>5000</x:v>
      </x:c>
      <x:c r="E1594" s="11" t="n">
        <x:v>5200</x:v>
      </x:c>
      <x:c r="F1594" s="11" t="n">
        <x:v>5400</x:v>
      </x:c>
      <x:c r="G1594" s="11" t="n">
        <x:f>'Option source'!B563</x:f>
        <x:v>17.89</x:v>
      </x:c>
      <x:c r="H1594" s="11" t="n">
        <x:f>'Option source'!B582</x:f>
        <x:v>27.41</x:v>
      </x:c>
      <x:c r="I1594" s="11" t="n">
        <x:f>'Option source'!B601</x:f>
        <x:v>39.81</x:v>
      </x:c>
      <x:c r="J1594" s="11" t="n">
        <x:f>G1594-2*H1594+IF(B1594="Butterfly",I1594,0)</x:f>
        <x:v>2.8800000000000026</x:v>
      </x:c>
      <x:c r="K1594" s="11" t="n">
        <x:f>ABS(E1594-D1594)</x:f>
        <x:v>200</x:v>
      </x:c>
      <x:c r="L1594" s="11" t="n">
        <x:f>K1594-J1594</x:f>
        <x:v>197.12</x:v>
      </x:c>
      <x:c r="M1594" s="11" t="n">
        <x:f>IF(B1594="Butterfly",MAX(J1594,0),IF(C1594="call","Unlimited",MAX(2*E1594-D1594+J1594,J1594,0)))</x:f>
        <x:v>2.8800000000000026</x:v>
      </x:c>
      <x:c r="N1594" s="11" t="n">
        <x:f>IF(B1594="Butterfly",IF(AND(J1594&gt;0,J1594&lt;K1594),D1594+J1594,"n.a."),IF(C1594="call",IF(AND(J1594&gt;0,J1594&lt;K1594),D1594+J1594,"n.a."),IF(AND(K1594&gt;J1594,2*E1594-D1594+J1594&gt;=0),2*E1594-D1594+J1594,"n.a.")))</x:f>
        <x:v>5002.88</x:v>
      </x:c>
      <x:c r="O1594" s="11" t="n">
        <x:f>IF(B1594="Butterfly",IF(AND(J1594&gt;0,J1594&lt;K1594),F1594-J1594,"n.a."),IF(C1594="call",IF(K1594&gt;J1594,2*E1594-D1594-J1594,"n.a."),IF(AND(J1594&gt;0,J1594&lt;K1594),D1594-J1594,"n.a.")))</x:f>
        <x:v>5397.12</x:v>
      </x:c>
      <x:c r="P1594" s="19" t="n">
        <x:f>IF(AND(B1594="Butterfly",J1594&gt;0,J1594&lt;K1594),L1594/J1594,"n.a.")</x:f>
        <x:v>68.44444444444439</x:v>
      </x:c>
      <x:c r="Q1594" s="11" t="n">
        <x:f>J1594*'Model inputs'!$B$8</x:f>
        <x:v>288.0000000000002</x:v>
      </x:c>
      <x:c r="R1594" s="1" t="str">
        <x:v>Indicative only</x:v>
      </x:c>
      <x:c r="S1594" s="1" t="n">
        <x:v>558</x:v>
      </x:c>
      <x:c r="T1594" s="1" t="n">
        <x:v>577</x:v>
      </x:c>
    </x:row>
    <x:row r="1595" ht="21" customHeight="1">
      <x:c r="A1595" s="12" t="n">
        <x:v>46255</x:v>
      </x:c>
      <x:c r="B1595" s="1" t="str">
        <x:v>Butterfly</x:v>
      </x:c>
      <x:c r="C1595" s="1" t="str">
        <x:v>call</x:v>
      </x:c>
      <x:c r="D1595" s="11" t="n">
        <x:v>8000</x:v>
      </x:c>
      <x:c r="E1595" s="11" t="n">
        <x:v>8300</x:v>
      </x:c>
      <x:c r="F1595" s="11" t="n">
        <x:v>8600</x:v>
      </x:c>
      <x:c r="G1595" s="11" t="n">
        <x:f>'Option source'!B354</x:f>
        <x:v>145.19</x:v>
      </x:c>
      <x:c r="H1595" s="11" t="n">
        <x:f>'Option source'!B373</x:f>
        <x:v>100.86</x:v>
      </x:c>
      <x:c r="I1595" s="11" t="n">
        <x:f>'Option source'!B392</x:f>
        <x:v>72.05</x:v>
      </x:c>
      <x:c r="J1595" s="11" t="n">
        <x:f>G1595-2*H1595+IF(B1595="Butterfly",I1595,0)</x:f>
        <x:v>15.519999999999996</x:v>
      </x:c>
      <x:c r="K1595" s="11" t="n">
        <x:f>ABS(E1595-D1595)</x:f>
        <x:v>300</x:v>
      </x:c>
      <x:c r="L1595" s="11" t="n">
        <x:f>K1595-J1595</x:f>
        <x:v>284.48</x:v>
      </x:c>
      <x:c r="M1595" s="11" t="n">
        <x:f>IF(B1595="Butterfly",MAX(J1595,0),IF(C1595="call","Unlimited",MAX(2*E1595-D1595+J1595,J1595,0)))</x:f>
        <x:v>15.519999999999996</x:v>
      </x:c>
      <x:c r="N1595" s="11" t="n">
        <x:f>IF(B1595="Butterfly",IF(AND(J1595&gt;0,J1595&lt;K1595),D1595+J1595,"n.a."),IF(C1595="call",IF(AND(J1595&gt;0,J1595&lt;K1595),D1595+J1595,"n.a."),IF(AND(K1595&gt;J1595,2*E1595-D1595+J1595&gt;=0),2*E1595-D1595+J1595,"n.a.")))</x:f>
        <x:v>8015.52</x:v>
      </x:c>
      <x:c r="O1595" s="11" t="n">
        <x:f>IF(B1595="Butterfly",IF(AND(J1595&gt;0,J1595&lt;K1595),F1595-J1595,"n.a."),IF(C1595="call",IF(K1595&gt;J1595,2*E1595-D1595-J1595,"n.a."),IF(AND(J1595&gt;0,J1595&lt;K1595),D1595-J1595,"n.a.")))</x:f>
        <x:v>8584.48</x:v>
      </x:c>
      <x:c r="P1595" s="19" t="n">
        <x:f>IF(AND(B1595="Butterfly",J1595&gt;0,J1595&lt;K1595),L1595/J1595,"n.a.")</x:f>
        <x:v>18.3298969072165</x:v>
      </x:c>
      <x:c r="Q1595" s="11" t="n">
        <x:f>J1595*'Model inputs'!$B$8</x:f>
        <x:v>1551.9999999999995</x:v>
      </x:c>
      <x:c r="R1595" s="1" t="str">
        <x:v>Indicative only</x:v>
      </x:c>
      <x:c r="S1595" s="1" t="n">
        <x:v>349</x:v>
      </x:c>
      <x:c r="T1595" s="1" t="n">
        <x:v>368</x:v>
      </x:c>
    </x:row>
    <x:row r="1596" ht="21" customHeight="1">
      <x:c r="A1596" s="12" t="n">
        <x:v>46255</x:v>
      </x:c>
      <x:c r="B1596" s="1" t="str">
        <x:v>Butterfly</x:v>
      </x:c>
      <x:c r="C1596" s="1" t="str">
        <x:v>call</x:v>
      </x:c>
      <x:c r="D1596" s="11" t="n">
        <x:v>8300</x:v>
      </x:c>
      <x:c r="E1596" s="11" t="n">
        <x:v>8600</x:v>
      </x:c>
      <x:c r="F1596" s="11" t="n">
        <x:v>8900</x:v>
      </x:c>
      <x:c r="G1596" s="11" t="n">
        <x:f>'Option source'!B373</x:f>
        <x:v>100.86</x:v>
      </x:c>
      <x:c r="H1596" s="11" t="n">
        <x:f>'Option source'!B392</x:f>
        <x:v>72.05</x:v>
      </x:c>
      <x:c r="I1596" s="11" t="n">
        <x:f>'Option source'!B411</x:f>
        <x:v>49.98</x:v>
      </x:c>
      <x:c r="J1596" s="11" t="n">
        <x:f>G1596-2*H1596+IF(B1596="Butterfly",I1596,0)</x:f>
        <x:v>6.740000000000002</x:v>
      </x:c>
      <x:c r="K1596" s="11" t="n">
        <x:f>ABS(E1596-D1596)</x:f>
        <x:v>300</x:v>
      </x:c>
      <x:c r="L1596" s="11" t="n">
        <x:f>K1596-J1596</x:f>
        <x:v>293.26</x:v>
      </x:c>
      <x:c r="M1596" s="11" t="n">
        <x:f>IF(B1596="Butterfly",MAX(J1596,0),IF(C1596="call","Unlimited",MAX(2*E1596-D1596+J1596,J1596,0)))</x:f>
        <x:v>6.740000000000002</x:v>
      </x:c>
      <x:c r="N1596" s="11" t="n">
        <x:f>IF(B1596="Butterfly",IF(AND(J1596&gt;0,J1596&lt;K1596),D1596+J1596,"n.a."),IF(C1596="call",IF(AND(J1596&gt;0,J1596&lt;K1596),D1596+J1596,"n.a."),IF(AND(K1596&gt;J1596,2*E1596-D1596+J1596&gt;=0),2*E1596-D1596+J1596,"n.a.")))</x:f>
        <x:v>8306.74</x:v>
      </x:c>
      <x:c r="O1596" s="11" t="n">
        <x:f>IF(B1596="Butterfly",IF(AND(J1596&gt;0,J1596&lt;K1596),F1596-J1596,"n.a."),IF(C1596="call",IF(K1596&gt;J1596,2*E1596-D1596-J1596,"n.a."),IF(AND(J1596&gt;0,J1596&lt;K1596),D1596-J1596,"n.a.")))</x:f>
        <x:v>8893.26</x:v>
      </x:c>
      <x:c r="P1596" s="19" t="n">
        <x:f>IF(AND(B1596="Butterfly",J1596&gt;0,J1596&lt;K1596),L1596/J1596,"n.a.")</x:f>
        <x:v>43.51038575667654</x:v>
      </x:c>
      <x:c r="Q1596" s="11" t="n">
        <x:f>J1596*'Model inputs'!$B$8</x:f>
        <x:v>674.0000000000002</x:v>
      </x:c>
      <x:c r="R1596" s="1" t="str">
        <x:v>Indicative only</x:v>
      </x:c>
      <x:c r="S1596" s="1" t="n">
        <x:v>368</x:v>
      </x:c>
      <x:c r="T1596" s="1" t="n">
        <x:v>387</x:v>
      </x:c>
    </x:row>
    <x:row r="1597" ht="21" customHeight="1">
      <x:c r="A1597" s="12" t="n">
        <x:v>46255</x:v>
      </x:c>
      <x:c r="B1597" s="1" t="str">
        <x:v>Butterfly</x:v>
      </x:c>
      <x:c r="C1597" s="1" t="str">
        <x:v>call</x:v>
      </x:c>
      <x:c r="D1597" s="11" t="n">
        <x:v>8600</x:v>
      </x:c>
      <x:c r="E1597" s="11" t="n">
        <x:v>8900</x:v>
      </x:c>
      <x:c r="F1597" s="11" t="n">
        <x:v>9200</x:v>
      </x:c>
      <x:c r="G1597" s="11" t="n">
        <x:f>'Option source'!B392</x:f>
        <x:v>72.05</x:v>
      </x:c>
      <x:c r="H1597" s="11" t="n">
        <x:f>'Option source'!B411</x:f>
        <x:v>49.98</x:v>
      </x:c>
      <x:c r="I1597" s="11" t="n">
        <x:f>'Option source'!B430</x:f>
        <x:v>33.56</x:v>
      </x:c>
      <x:c r="J1597" s="11" t="n">
        <x:f>G1597-2*H1597+IF(B1597="Butterfly",I1597,0)</x:f>
        <x:v>5.650000000000006</x:v>
      </x:c>
      <x:c r="K1597" s="11" t="n">
        <x:f>ABS(E1597-D1597)</x:f>
        <x:v>300</x:v>
      </x:c>
      <x:c r="L1597" s="11" t="n">
        <x:f>K1597-J1597</x:f>
        <x:v>294.35</x:v>
      </x:c>
      <x:c r="M1597" s="11" t="n">
        <x:f>IF(B1597="Butterfly",MAX(J1597,0),IF(C1597="call","Unlimited",MAX(2*E1597-D1597+J1597,J1597,0)))</x:f>
        <x:v>5.650000000000006</x:v>
      </x:c>
      <x:c r="N1597" s="11" t="n">
        <x:f>IF(B1597="Butterfly",IF(AND(J1597&gt;0,J1597&lt;K1597),D1597+J1597,"n.a."),IF(C1597="call",IF(AND(J1597&gt;0,J1597&lt;K1597),D1597+J1597,"n.a."),IF(AND(K1597&gt;J1597,2*E1597-D1597+J1597&gt;=0),2*E1597-D1597+J1597,"n.a.")))</x:f>
        <x:v>8605.65</x:v>
      </x:c>
      <x:c r="O1597" s="11" t="n">
        <x:f>IF(B1597="Butterfly",IF(AND(J1597&gt;0,J1597&lt;K1597),F1597-J1597,"n.a."),IF(C1597="call",IF(K1597&gt;J1597,2*E1597-D1597-J1597,"n.a."),IF(AND(J1597&gt;0,J1597&lt;K1597),D1597-J1597,"n.a.")))</x:f>
        <x:v>9194.35</x:v>
      </x:c>
      <x:c r="P1597" s="19" t="n">
        <x:f>IF(AND(B1597="Butterfly",J1597&gt;0,J1597&lt;K1597),L1597/J1597,"n.a.")</x:f>
        <x:v>52.097345132743314</x:v>
      </x:c>
      <x:c r="Q1597" s="11" t="n">
        <x:f>J1597*'Model inputs'!$B$8</x:f>
        <x:v>565.0000000000006</x:v>
      </x:c>
      <x:c r="R1597" s="1" t="str">
        <x:v>Indicative only</x:v>
      </x:c>
      <x:c r="S1597" s="1" t="n">
        <x:v>387</x:v>
      </x:c>
      <x:c r="T1597" s="1" t="n">
        <x:v>406</x:v>
      </x:c>
    </x:row>
    <x:row r="1598" ht="21" customHeight="1">
      <x:c r="A1598" s="12" t="n">
        <x:v>46255</x:v>
      </x:c>
      <x:c r="B1598" s="1" t="str">
        <x:v>Butterfly</x:v>
      </x:c>
      <x:c r="C1598" s="1" t="str">
        <x:v>call</x:v>
      </x:c>
      <x:c r="D1598" s="11" t="n">
        <x:v>8900</x:v>
      </x:c>
      <x:c r="E1598" s="11" t="n">
        <x:v>9200</x:v>
      </x:c>
      <x:c r="F1598" s="11" t="n">
        <x:v>9500</x:v>
      </x:c>
      <x:c r="G1598" s="11" t="n">
        <x:f>'Option source'!B411</x:f>
        <x:v>49.98</x:v>
      </x:c>
      <x:c r="H1598" s="11" t="n">
        <x:f>'Option source'!B430</x:f>
        <x:v>33.56</x:v>
      </x:c>
      <x:c r="I1598" s="11" t="n">
        <x:f>'Option source'!B449</x:f>
        <x:v>25.5</x:v>
      </x:c>
      <x:c r="J1598" s="11" t="n">
        <x:f>G1598-2*H1598+IF(B1598="Butterfly",I1598,0)</x:f>
        <x:v>8.359999999999992</x:v>
      </x:c>
      <x:c r="K1598" s="11" t="n">
        <x:f>ABS(E1598-D1598)</x:f>
        <x:v>300</x:v>
      </x:c>
      <x:c r="L1598" s="11" t="n">
        <x:f>K1598-J1598</x:f>
        <x:v>291.64</x:v>
      </x:c>
      <x:c r="M1598" s="11" t="n">
        <x:f>IF(B1598="Butterfly",MAX(J1598,0),IF(C1598="call","Unlimited",MAX(2*E1598-D1598+J1598,J1598,0)))</x:f>
        <x:v>8.359999999999992</x:v>
      </x:c>
      <x:c r="N1598" s="11" t="n">
        <x:f>IF(B1598="Butterfly",IF(AND(J1598&gt;0,J1598&lt;K1598),D1598+J1598,"n.a."),IF(C1598="call",IF(AND(J1598&gt;0,J1598&lt;K1598),D1598+J1598,"n.a."),IF(AND(K1598&gt;J1598,2*E1598-D1598+J1598&gt;=0),2*E1598-D1598+J1598,"n.a.")))</x:f>
        <x:v>8908.36</x:v>
      </x:c>
      <x:c r="O1598" s="11" t="n">
        <x:f>IF(B1598="Butterfly",IF(AND(J1598&gt;0,J1598&lt;K1598),F1598-J1598,"n.a."),IF(C1598="call",IF(K1598&gt;J1598,2*E1598-D1598-J1598,"n.a."),IF(AND(J1598&gt;0,J1598&lt;K1598),D1598-J1598,"n.a.")))</x:f>
        <x:v>9491.64</x:v>
      </x:c>
      <x:c r="P1598" s="19" t="n">
        <x:f>IF(AND(B1598="Butterfly",J1598&gt;0,J1598&lt;K1598),L1598/J1598,"n.a.")</x:f>
        <x:v>34.885167464114865</x:v>
      </x:c>
      <x:c r="Q1598" s="11" t="n">
        <x:f>J1598*'Model inputs'!$B$8</x:f>
        <x:v>835.9999999999992</x:v>
      </x:c>
      <x:c r="R1598" s="1" t="str">
        <x:v>Indicative only</x:v>
      </x:c>
      <x:c r="S1598" s="1" t="n">
        <x:v>406</x:v>
      </x:c>
      <x:c r="T1598" s="1" t="n">
        <x:v>425</x:v>
      </x:c>
    </x:row>
    <x:row r="1599" ht="21" customHeight="1">
      <x:c r="A1599" s="12" t="n">
        <x:v>46255</x:v>
      </x:c>
      <x:c r="B1599" s="1" t="str">
        <x:v>Butterfly</x:v>
      </x:c>
      <x:c r="C1599" s="1" t="str">
        <x:v>call</x:v>
      </x:c>
      <x:c r="D1599" s="11" t="n">
        <x:v>6400</x:v>
      </x:c>
      <x:c r="E1599" s="11" t="n">
        <x:v>6600</x:v>
      </x:c>
      <x:c r="F1599" s="11" t="n">
        <x:v>6800</x:v>
      </x:c>
      <x:c r="G1599" s="11" t="n">
        <x:f>'Option source'!B202</x:f>
        <x:v>711</x:v>
      </x:c>
      <x:c r="H1599" s="11" t="n">
        <x:f>'Option source'!B221</x:f>
        <x:v>630</x:v>
      </x:c>
      <x:c r="I1599" s="11" t="n">
        <x:f>'Option source'!B240</x:f>
        <x:v>520</x:v>
      </x:c>
      <x:c r="J1599" s="11" t="n">
        <x:f>G1599-2*H1599+IF(B1599="Butterfly",I1599,0)</x:f>
        <x:v>-29</x:v>
      </x:c>
      <x:c r="K1599" s="11" t="n">
        <x:f>ABS(E1599-D1599)</x:f>
        <x:v>200</x:v>
      </x:c>
      <x:c r="L1599" s="11" t="n">
        <x:f>K1599-J1599</x:f>
        <x:v>229</x:v>
      </x:c>
      <x:c r="M1599" s="11" t="n">
        <x:f>IF(B1599="Butterfly",MAX(J1599,0),IF(C1599="call","Unlimited",MAX(2*E1599-D1599+J1599,J1599,0)))</x:f>
        <x:v>0</x:v>
      </x:c>
      <x:c r="N1599" s="11" t="str">
        <x:f>IF(B1599="Butterfly",IF(AND(J1599&gt;0,J1599&lt;K1599),D1599+J1599,"n.a."),IF(C1599="call",IF(AND(J1599&gt;0,J1599&lt;K1599),D1599+J1599,"n.a."),IF(AND(K1599&gt;J1599,2*E1599-D1599+J1599&gt;=0),2*E1599-D1599+J1599,"n.a.")))</x:f>
        <x:v>n.a.</x:v>
      </x:c>
      <x:c r="O1599" s="11" t="str">
        <x:f>IF(B1599="Butterfly",IF(AND(J1599&gt;0,J1599&lt;K1599),F1599-J1599,"n.a."),IF(C1599="call",IF(K1599&gt;J1599,2*E1599-D1599-J1599,"n.a."),IF(AND(J1599&gt;0,J1599&lt;K1599),D1599-J1599,"n.a.")))</x:f>
        <x:v>n.a.</x:v>
      </x:c>
      <x:c r="P1599" s="19" t="str">
        <x:f>IF(AND(B1599="Butterfly",J1599&gt;0,J1599&lt;K1599),L1599/J1599,"n.a.")</x:f>
        <x:v>n.a.</x:v>
      </x:c>
      <x:c r="Q1599" s="11" t="n">
        <x:f>J1599*'Model inputs'!$B$8</x:f>
        <x:v>-2900</x:v>
      </x:c>
      <x:c r="R1599" s="1" t="str">
        <x:v>Outside standard debit bounds</x:v>
      </x:c>
      <x:c r="S1599" s="1" t="n">
        <x:v>197</x:v>
      </x:c>
      <x:c r="T1599" s="1" t="n">
        <x:v>216</x:v>
      </x:c>
    </x:row>
    <x:row r="1600" ht="21" customHeight="1">
      <x:c r="A1600" s="12" t="n">
        <x:v>46255</x:v>
      </x:c>
      <x:c r="B1600" s="1" t="str">
        <x:v>Butterfly</x:v>
      </x:c>
      <x:c r="C1600" s="1" t="str">
        <x:v>put</x:v>
      </x:c>
      <x:c r="D1600" s="11" t="n">
        <x:v>6400</x:v>
      </x:c>
      <x:c r="E1600" s="11" t="n">
        <x:v>6600</x:v>
      </x:c>
      <x:c r="F1600" s="11" t="n">
        <x:v>6800</x:v>
      </x:c>
      <x:c r="G1600" s="11" t="n">
        <x:f>'Option source'!B696</x:f>
        <x:v>290.5</x:v>
      </x:c>
      <x:c r="H1600" s="11" t="n">
        <x:f>'Option source'!B715</x:f>
        <x:v>374.07</x:v>
      </x:c>
      <x:c r="I1600" s="11" t="n">
        <x:f>'Option source'!B734</x:f>
        <x:v>450.05</x:v>
      </x:c>
      <x:c r="J1600" s="11" t="n">
        <x:f>G1600-2*H1600+IF(B1600="Butterfly",I1600,0)</x:f>
        <x:v>-7.589999999999975</x:v>
      </x:c>
      <x:c r="K1600" s="11" t="n">
        <x:f>ABS(E1600-D1600)</x:f>
        <x:v>200</x:v>
      </x:c>
      <x:c r="L1600" s="11" t="n">
        <x:f>K1600-J1600</x:f>
        <x:v>207.58999999999997</x:v>
      </x:c>
      <x:c r="M1600" s="11" t="n">
        <x:f>IF(B1600="Butterfly",MAX(J1600,0),IF(C1600="call","Unlimited",MAX(2*E1600-D1600+J1600,J1600,0)))</x:f>
        <x:v>0</x:v>
      </x:c>
      <x:c r="N1600" s="11" t="str">
        <x:f>IF(B1600="Butterfly",IF(AND(J1600&gt;0,J1600&lt;K1600),D1600+J1600,"n.a."),IF(C1600="call",IF(AND(J1600&gt;0,J1600&lt;K1600),D1600+J1600,"n.a."),IF(AND(K1600&gt;J1600,2*E1600-D1600+J1600&gt;=0),2*E1600-D1600+J1600,"n.a.")))</x:f>
        <x:v>n.a.</x:v>
      </x:c>
      <x:c r="O1600" s="11" t="str">
        <x:f>IF(B1600="Butterfly",IF(AND(J1600&gt;0,J1600&lt;K1600),F1600-J1600,"n.a."),IF(C1600="call",IF(K1600&gt;J1600,2*E1600-D1600-J1600,"n.a."),IF(AND(J1600&gt;0,J1600&lt;K1600),D1600-J1600,"n.a.")))</x:f>
        <x:v>n.a.</x:v>
      </x:c>
      <x:c r="P1600" s="19" t="str">
        <x:f>IF(AND(B1600="Butterfly",J1600&gt;0,J1600&lt;K1600),L1600/J1600,"n.a.")</x:f>
        <x:v>n.a.</x:v>
      </x:c>
      <x:c r="Q1600" s="11" t="n">
        <x:f>J1600*'Model inputs'!$B$8</x:f>
        <x:v>-758.9999999999975</x:v>
      </x:c>
      <x:c r="R1600" s="1" t="str">
        <x:v>Outside standard debit bounds</x:v>
      </x:c>
      <x:c r="S1600" s="1" t="n">
        <x:v>691</x:v>
      </x:c>
      <x:c r="T1600" s="1" t="n">
        <x:v>710</x:v>
      </x:c>
    </x:row>
    <x:row r="1601" ht="21" customHeight="1">
      <x:c r="A1601" s="12" t="n">
        <x:v>46255</x:v>
      </x:c>
      <x:c r="B1601" s="1" t="str">
        <x:v>Butterfly</x:v>
      </x:c>
      <x:c r="C1601" s="1" t="str">
        <x:v>put</x:v>
      </x:c>
      <x:c r="D1601" s="11" t="n">
        <x:v>6200</x:v>
      </x:c>
      <x:c r="E1601" s="11" t="n">
        <x:v>6400</x:v>
      </x:c>
      <x:c r="F1601" s="11" t="n">
        <x:v>6600</x:v>
      </x:c>
      <x:c r="G1601" s="11" t="n">
        <x:f>'Option source'!B677</x:f>
        <x:v>201.71</x:v>
      </x:c>
      <x:c r="H1601" s="11" t="n">
        <x:f>'Option source'!B696</x:f>
        <x:v>290.5</x:v>
      </x:c>
      <x:c r="I1601" s="11" t="n">
        <x:f>'Option source'!B715</x:f>
        <x:v>374.07</x:v>
      </x:c>
      <x:c r="J1601" s="11" t="n">
        <x:f>G1601-2*H1601+IF(B1601="Butterfly",I1601,0)</x:f>
        <x:v>-5.21999999999997</x:v>
      </x:c>
      <x:c r="K1601" s="11" t="n">
        <x:f>ABS(E1601-D1601)</x:f>
        <x:v>200</x:v>
      </x:c>
      <x:c r="L1601" s="11" t="n">
        <x:f>K1601-J1601</x:f>
        <x:v>205.21999999999997</x:v>
      </x:c>
      <x:c r="M1601" s="11" t="n">
        <x:f>IF(B1601="Butterfly",MAX(J1601,0),IF(C1601="call","Unlimited",MAX(2*E1601-D1601+J1601,J1601,0)))</x:f>
        <x:v>0</x:v>
      </x:c>
      <x:c r="N1601" s="11" t="str">
        <x:f>IF(B1601="Butterfly",IF(AND(J1601&gt;0,J1601&lt;K1601),D1601+J1601,"n.a."),IF(C1601="call",IF(AND(J1601&gt;0,J1601&lt;K1601),D1601+J1601,"n.a."),IF(AND(K1601&gt;J1601,2*E1601-D1601+J1601&gt;=0),2*E1601-D1601+J1601,"n.a.")))</x:f>
        <x:v>n.a.</x:v>
      </x:c>
      <x:c r="O1601" s="11" t="str">
        <x:f>IF(B1601="Butterfly",IF(AND(J1601&gt;0,J1601&lt;K1601),F1601-J1601,"n.a."),IF(C1601="call",IF(K1601&gt;J1601,2*E1601-D1601-J1601,"n.a."),IF(AND(J1601&gt;0,J1601&lt;K1601),D1601-J1601,"n.a.")))</x:f>
        <x:v>n.a.</x:v>
      </x:c>
      <x:c r="P1601" s="19" t="str">
        <x:f>IF(AND(B1601="Butterfly",J1601&gt;0,J1601&lt;K1601),L1601/J1601,"n.a.")</x:f>
        <x:v>n.a.</x:v>
      </x:c>
      <x:c r="Q1601" s="11" t="n">
        <x:f>J1601*'Model inputs'!$B$8</x:f>
        <x:v>-521.999999999997</x:v>
      </x:c>
      <x:c r="R1601" s="1" t="str">
        <x:v>Outside standard debit bounds</x:v>
      </x:c>
      <x:c r="S1601" s="1" t="n">
        <x:v>672</x:v>
      </x:c>
      <x:c r="T1601" s="1" t="n">
        <x:v>691</x:v>
      </x:c>
    </x:row>
    <x:row r="1602" ht="21" customHeight="1">
      <x:c r="A1602" s="12" t="n">
        <x:v>46255</x:v>
      </x:c>
      <x:c r="B1602" s="1" t="str">
        <x:v>Butterfly</x:v>
      </x:c>
      <x:c r="C1602" s="1" t="str">
        <x:v>put</x:v>
      </x:c>
      <x:c r="D1602" s="11" t="n">
        <x:v>7000</x:v>
      </x:c>
      <x:c r="E1602" s="11" t="n">
        <x:v>7200</x:v>
      </x:c>
      <x:c r="F1602" s="11" t="n">
        <x:v>7400</x:v>
      </x:c>
      <x:c r="G1602" s="11" t="n">
        <x:f>'Option source'!B753</x:f>
        <x:v>570</x:v>
      </x:c>
      <x:c r="H1602" s="11" t="n">
        <x:f>'Option source'!B772</x:f>
        <x:v>731.63</x:v>
      </x:c>
      <x:c r="I1602" s="11" t="n">
        <x:f>'Option source'!B791</x:f>
        <x:v>780</x:v>
      </x:c>
      <x:c r="J1602" s="11" t="n">
        <x:f>G1602-2*H1602+IF(B1602="Butterfly",I1602,0)</x:f>
        <x:v>-113.25999999999999</x:v>
      </x:c>
      <x:c r="K1602" s="11" t="n">
        <x:f>ABS(E1602-D1602)</x:f>
        <x:v>200</x:v>
      </x:c>
      <x:c r="L1602" s="11" t="n">
        <x:f>K1602-J1602</x:f>
        <x:v>313.26</x:v>
      </x:c>
      <x:c r="M1602" s="11" t="n">
        <x:f>IF(B1602="Butterfly",MAX(J1602,0),IF(C1602="call","Unlimited",MAX(2*E1602-D1602+J1602,J1602,0)))</x:f>
        <x:v>0</x:v>
      </x:c>
      <x:c r="N1602" s="11" t="str">
        <x:f>IF(B1602="Butterfly",IF(AND(J1602&gt;0,J1602&lt;K1602),D1602+J1602,"n.a."),IF(C1602="call",IF(AND(J1602&gt;0,J1602&lt;K1602),D1602+J1602,"n.a."),IF(AND(K1602&gt;J1602,2*E1602-D1602+J1602&gt;=0),2*E1602-D1602+J1602,"n.a.")))</x:f>
        <x:v>n.a.</x:v>
      </x:c>
      <x:c r="O1602" s="11" t="str">
        <x:f>IF(B1602="Butterfly",IF(AND(J1602&gt;0,J1602&lt;K1602),F1602-J1602,"n.a."),IF(C1602="call",IF(K1602&gt;J1602,2*E1602-D1602-J1602,"n.a."),IF(AND(J1602&gt;0,J1602&lt;K1602),D1602-J1602,"n.a.")))</x:f>
        <x:v>n.a.</x:v>
      </x:c>
      <x:c r="P1602" s="19" t="str">
        <x:f>IF(AND(B1602="Butterfly",J1602&gt;0,J1602&lt;K1602),L1602/J1602,"n.a.")</x:f>
        <x:v>n.a.</x:v>
      </x:c>
      <x:c r="Q1602" s="11" t="n">
        <x:f>J1602*'Model inputs'!$B$8</x:f>
        <x:v>-11326</x:v>
      </x:c>
      <x:c r="R1602" s="1" t="str">
        <x:v>Outside standard debit bounds</x:v>
      </x:c>
      <x:c r="S1602" s="1" t="n">
        <x:v>748</x:v>
      </x:c>
      <x:c r="T1602" s="1" t="n">
        <x:v>767</x:v>
      </x:c>
    </x:row>
    <x:row r="1603" ht="21" customHeight="1">
      <x:c r="A1603" s="12" t="n">
        <x:v>46255</x:v>
      </x:c>
      <x:c r="B1603" s="1" t="str">
        <x:v>Butterfly</x:v>
      </x:c>
      <x:c r="C1603" s="1" t="str">
        <x:v>put</x:v>
      </x:c>
      <x:c r="D1603" s="11" t="n">
        <x:v>7200</x:v>
      </x:c>
      <x:c r="E1603" s="11" t="n">
        <x:v>7400</x:v>
      </x:c>
      <x:c r="F1603" s="11" t="n">
        <x:v>7600</x:v>
      </x:c>
      <x:c r="G1603" s="11" t="n">
        <x:f>'Option source'!B772</x:f>
        <x:v>731.63</x:v>
      </x:c>
      <x:c r="H1603" s="11" t="n">
        <x:f>'Option source'!B791</x:f>
        <x:v>780</x:v>
      </x:c>
      <x:c r="I1603" s="11" t="n">
        <x:f>'Option source'!B810</x:f>
        <x:v>987.5</x:v>
      </x:c>
      <x:c r="J1603" s="11" t="n">
        <x:f>G1603-2*H1603+IF(B1603="Butterfly",I1603,0)</x:f>
        <x:v>159.13</x:v>
      </x:c>
      <x:c r="K1603" s="11" t="n">
        <x:f>ABS(E1603-D1603)</x:f>
        <x:v>200</x:v>
      </x:c>
      <x:c r="L1603" s="11" t="n">
        <x:f>K1603-J1603</x:f>
        <x:v>40.870000000000005</x:v>
      </x:c>
      <x:c r="M1603" s="11" t="n">
        <x:f>IF(B1603="Butterfly",MAX(J1603,0),IF(C1603="call","Unlimited",MAX(2*E1603-D1603+J1603,J1603,0)))</x:f>
        <x:v>159.13</x:v>
      </x:c>
      <x:c r="N1603" s="11" t="n">
        <x:f>IF(B1603="Butterfly",IF(AND(J1603&gt;0,J1603&lt;K1603),D1603+J1603,"n.a."),IF(C1603="call",IF(AND(J1603&gt;0,J1603&lt;K1603),D1603+J1603,"n.a."),IF(AND(K1603&gt;J1603,2*E1603-D1603+J1603&gt;=0),2*E1603-D1603+J1603,"n.a.")))</x:f>
        <x:v>7359.13</x:v>
      </x:c>
      <x:c r="O1603" s="11" t="n">
        <x:f>IF(B1603="Butterfly",IF(AND(J1603&gt;0,J1603&lt;K1603),F1603-J1603,"n.a."),IF(C1603="call",IF(K1603&gt;J1603,2*E1603-D1603-J1603,"n.a."),IF(AND(J1603&gt;0,J1603&lt;K1603),D1603-J1603,"n.a.")))</x:f>
        <x:v>7440.87</x:v>
      </x:c>
      <x:c r="P1603" s="19" t="n">
        <x:f>IF(AND(B1603="Butterfly",J1603&gt;0,J1603&lt;K1603),L1603/J1603,"n.a.")</x:f>
        <x:v>0.2568340350656696</x:v>
      </x:c>
      <x:c r="Q1603" s="11" t="n">
        <x:f>J1603*'Model inputs'!$B$8</x:f>
        <x:v>15913</x:v>
      </x:c>
      <x:c r="R1603" s="1" t="str">
        <x:v>Flagged leg data</x:v>
      </x:c>
      <x:c r="S1603" s="1" t="n">
        <x:v>767</x:v>
      </x:c>
      <x:c r="T1603" s="1" t="n">
        <x:v>786</x:v>
      </x:c>
    </x:row>
    <x:row r="1604" ht="21" customHeight="1">
      <x:c r="A1604" s="12" t="n">
        <x:v>46255</x:v>
      </x:c>
      <x:c r="B1604" s="1" t="str">
        <x:v>Butterfly</x:v>
      </x:c>
      <x:c r="C1604" s="1" t="str">
        <x:v>put</x:v>
      </x:c>
      <x:c r="D1604" s="11" t="n">
        <x:v>7400</x:v>
      </x:c>
      <x:c r="E1604" s="11" t="n">
        <x:v>7600</x:v>
      </x:c>
      <x:c r="F1604" s="11" t="n">
        <x:v>7800</x:v>
      </x:c>
      <x:c r="G1604" s="11" t="n">
        <x:f>'Option source'!B791</x:f>
        <x:v>780</x:v>
      </x:c>
      <x:c r="H1604" s="11" t="n">
        <x:f>'Option source'!B810</x:f>
        <x:v>987.5</x:v>
      </x:c>
      <x:c r="I1604" s="11" t="n">
        <x:f>'Option source'!B829</x:f>
        <x:v>1150</x:v>
      </x:c>
      <x:c r="J1604" s="11" t="n">
        <x:f>G1604-2*H1604+IF(B1604="Butterfly",I1604,0)</x:f>
        <x:v>-45</x:v>
      </x:c>
      <x:c r="K1604" s="11" t="n">
        <x:f>ABS(E1604-D1604)</x:f>
        <x:v>200</x:v>
      </x:c>
      <x:c r="L1604" s="11" t="n">
        <x:f>K1604-J1604</x:f>
        <x:v>245</x:v>
      </x:c>
      <x:c r="M1604" s="11" t="n">
        <x:f>IF(B1604="Butterfly",MAX(J1604,0),IF(C1604="call","Unlimited",MAX(2*E1604-D1604+J1604,J1604,0)))</x:f>
        <x:v>0</x:v>
      </x:c>
      <x:c r="N1604" s="11" t="str">
        <x:f>IF(B1604="Butterfly",IF(AND(J1604&gt;0,J1604&lt;K1604),D1604+J1604,"n.a."),IF(C1604="call",IF(AND(J1604&gt;0,J1604&lt;K1604),D1604+J1604,"n.a."),IF(AND(K1604&gt;J1604,2*E1604-D1604+J1604&gt;=0),2*E1604-D1604+J1604,"n.a.")))</x:f>
        <x:v>n.a.</x:v>
      </x:c>
      <x:c r="O1604" s="11" t="str">
        <x:f>IF(B1604="Butterfly",IF(AND(J1604&gt;0,J1604&lt;K1604),F1604-J1604,"n.a."),IF(C1604="call",IF(K1604&gt;J1604,2*E1604-D1604-J1604,"n.a."),IF(AND(J1604&gt;0,J1604&lt;K1604),D1604-J1604,"n.a.")))</x:f>
        <x:v>n.a.</x:v>
      </x:c>
      <x:c r="P1604" s="19" t="str">
        <x:f>IF(AND(B1604="Butterfly",J1604&gt;0,J1604&lt;K1604),L1604/J1604,"n.a.")</x:f>
        <x:v>n.a.</x:v>
      </x:c>
      <x:c r="Q1604" s="11" t="n">
        <x:f>J1604*'Model inputs'!$B$8</x:f>
        <x:v>-4500</x:v>
      </x:c>
      <x:c r="R1604" s="1" t="str">
        <x:v>Outside standard debit bounds</x:v>
      </x:c>
      <x:c r="S1604" s="1" t="n">
        <x:v>786</x:v>
      </x:c>
      <x:c r="T1604" s="1" t="n">
        <x:v>805</x:v>
      </x:c>
    </x:row>
    <x:row r="1605" ht="21" customHeight="1">
      <x:c r="A1605" s="12" t="n">
        <x:v>46255</x:v>
      </x:c>
      <x:c r="B1605" s="1" t="str">
        <x:v>Butterfly</x:v>
      </x:c>
      <x:c r="C1605" s="1" t="str">
        <x:v>put</x:v>
      </x:c>
      <x:c r="D1605" s="11" t="n">
        <x:v>7600</x:v>
      </x:c>
      <x:c r="E1605" s="11" t="n">
        <x:v>7800</x:v>
      </x:c>
      <x:c r="F1605" s="11" t="n">
        <x:v>8000</x:v>
      </x:c>
      <x:c r="G1605" s="11" t="n">
        <x:f>'Option source'!B810</x:f>
        <x:v>987.5</x:v>
      </x:c>
      <x:c r="H1605" s="11" t="n">
        <x:f>'Option source'!B829</x:f>
        <x:v>1150</x:v>
      </x:c>
      <x:c r="I1605" s="11" t="n">
        <x:f>'Option source'!B848</x:f>
        <x:v>1337.5</x:v>
      </x:c>
      <x:c r="J1605" s="11" t="n">
        <x:f>G1605-2*H1605+IF(B1605="Butterfly",I1605,0)</x:f>
        <x:v>25</x:v>
      </x:c>
      <x:c r="K1605" s="11" t="n">
        <x:f>ABS(E1605-D1605)</x:f>
        <x:v>200</x:v>
      </x:c>
      <x:c r="L1605" s="11" t="n">
        <x:f>K1605-J1605</x:f>
        <x:v>175</x:v>
      </x:c>
      <x:c r="M1605" s="11" t="n">
        <x:f>IF(B1605="Butterfly",MAX(J1605,0),IF(C1605="call","Unlimited",MAX(2*E1605-D1605+J1605,J1605,0)))</x:f>
        <x:v>25</x:v>
      </x:c>
      <x:c r="N1605" s="11" t="n">
        <x:f>IF(B1605="Butterfly",IF(AND(J1605&gt;0,J1605&lt;K1605),D1605+J1605,"n.a."),IF(C1605="call",IF(AND(J1605&gt;0,J1605&lt;K1605),D1605+J1605,"n.a."),IF(AND(K1605&gt;J1605,2*E1605-D1605+J1605&gt;=0),2*E1605-D1605+J1605,"n.a.")))</x:f>
        <x:v>7625</x:v>
      </x:c>
      <x:c r="O1605" s="11" t="n">
        <x:f>IF(B1605="Butterfly",IF(AND(J1605&gt;0,J1605&lt;K1605),F1605-J1605,"n.a."),IF(C1605="call",IF(K1605&gt;J1605,2*E1605-D1605-J1605,"n.a."),IF(AND(J1605&gt;0,J1605&lt;K1605),D1605-J1605,"n.a.")))</x:f>
        <x:v>7975</x:v>
      </x:c>
      <x:c r="P1605" s="19" t="n">
        <x:f>IF(AND(B1605="Butterfly",J1605&gt;0,J1605&lt;K1605),L1605/J1605,"n.a.")</x:f>
        <x:v>7</x:v>
      </x:c>
      <x:c r="Q1605" s="11" t="n">
        <x:f>J1605*'Model inputs'!$B$8</x:f>
        <x:v>2500</x:v>
      </x:c>
      <x:c r="R1605" s="1" t="str">
        <x:v>Flagged leg data</x:v>
      </x:c>
      <x:c r="S1605" s="1" t="n">
        <x:v>805</x:v>
      </x:c>
      <x:c r="T1605" s="1" t="n">
        <x:v>824</x:v>
      </x:c>
    </x:row>
    <x:row r="1606" ht="21" customHeight="1">
      <x:c r="A1606" s="12" t="n">
        <x:v>46255</x:v>
      </x:c>
      <x:c r="B1606" s="1" t="str">
        <x:v>Butterfly</x:v>
      </x:c>
      <x:c r="C1606" s="1" t="str">
        <x:v>put</x:v>
      </x:c>
      <x:c r="D1606" s="11" t="n">
        <x:v>4800</x:v>
      </x:c>
      <x:c r="E1606" s="11" t="n">
        <x:v>5000</x:v>
      </x:c>
      <x:c r="F1606" s="11" t="n">
        <x:v>5200</x:v>
      </x:c>
      <x:c r="G1606" s="11" t="n">
        <x:f>'Option source'!B544</x:f>
        <x:v>7.23</x:v>
      </x:c>
      <x:c r="H1606" s="11" t="n">
        <x:f>'Option source'!B563</x:f>
        <x:v>17.89</x:v>
      </x:c>
      <x:c r="I1606" s="11" t="n">
        <x:f>'Option source'!B582</x:f>
        <x:v>27.41</x:v>
      </x:c>
      <x:c r="J1606" s="11" t="n">
        <x:f>G1606-2*H1606+IF(B1606="Butterfly",I1606,0)</x:f>
        <x:v>-1.1400000000000006</x:v>
      </x:c>
      <x:c r="K1606" s="11" t="n">
        <x:f>ABS(E1606-D1606)</x:f>
        <x:v>200</x:v>
      </x:c>
      <x:c r="L1606" s="11" t="n">
        <x:f>K1606-J1606</x:f>
        <x:v>201.14</x:v>
      </x:c>
      <x:c r="M1606" s="11" t="n">
        <x:f>IF(B1606="Butterfly",MAX(J1606,0),IF(C1606="call","Unlimited",MAX(2*E1606-D1606+J1606,J1606,0)))</x:f>
        <x:v>0</x:v>
      </x:c>
      <x:c r="N1606" s="11" t="str">
        <x:f>IF(B1606="Butterfly",IF(AND(J1606&gt;0,J1606&lt;K1606),D1606+J1606,"n.a."),IF(C1606="call",IF(AND(J1606&gt;0,J1606&lt;K1606),D1606+J1606,"n.a."),IF(AND(K1606&gt;J1606,2*E1606-D1606+J1606&gt;=0),2*E1606-D1606+J1606,"n.a.")))</x:f>
        <x:v>n.a.</x:v>
      </x:c>
      <x:c r="O1606" s="11" t="str">
        <x:f>IF(B1606="Butterfly",IF(AND(J1606&gt;0,J1606&lt;K1606),F1606-J1606,"n.a."),IF(C1606="call",IF(K1606&gt;J1606,2*E1606-D1606-J1606,"n.a."),IF(AND(J1606&gt;0,J1606&lt;K1606),D1606-J1606,"n.a.")))</x:f>
        <x:v>n.a.</x:v>
      </x:c>
      <x:c r="P1606" s="19" t="str">
        <x:f>IF(AND(B1606="Butterfly",J1606&gt;0,J1606&lt;K1606),L1606/J1606,"n.a.")</x:f>
        <x:v>n.a.</x:v>
      </x:c>
      <x:c r="Q1606" s="11" t="n">
        <x:f>J1606*'Model inputs'!$B$8</x:f>
        <x:v>-114.00000000000006</x:v>
      </x:c>
      <x:c r="R1606" s="1" t="str">
        <x:v>Outside standard debit bounds</x:v>
      </x:c>
      <x:c r="S1606" s="1" t="n">
        <x:v>539</x:v>
      </x:c>
      <x:c r="T1606" s="1" t="n">
        <x:v>558</x:v>
      </x:c>
    </x:row>
    <x:row r="1607" ht="21" customHeight="1">
      <x:c r="A1607" s="12" t="n">
        <x:v>46255</x:v>
      </x:c>
      <x:c r="B1607" s="1" t="str">
        <x:v>Butterfly</x:v>
      </x:c>
      <x:c r="C1607" s="1" t="str">
        <x:v>put</x:v>
      </x:c>
      <x:c r="D1607" s="11" t="n">
        <x:v>8000</x:v>
      </x:c>
      <x:c r="E1607" s="11" t="n">
        <x:v>8300</x:v>
      </x:c>
      <x:c r="F1607" s="11" t="n">
        <x:v>8600</x:v>
      </x:c>
      <x:c r="G1607" s="11" t="n">
        <x:f>'Option source'!B848</x:f>
        <x:v>1337.5</x:v>
      </x:c>
      <x:c r="H1607" s="11" t="n">
        <x:f>'Option source'!B867</x:f>
        <x:v>1580</x:v>
      </x:c>
      <x:c r="I1607" s="11" t="n">
        <x:f>'Option source'!B886</x:f>
        <x:v>1173.55</x:v>
      </x:c>
      <x:c r="J1607" s="11" t="n">
        <x:f>G1607-2*H1607+IF(B1607="Butterfly",I1607,0)</x:f>
        <x:v>-648.95</x:v>
      </x:c>
      <x:c r="K1607" s="11" t="n">
        <x:f>ABS(E1607-D1607)</x:f>
        <x:v>300</x:v>
      </x:c>
      <x:c r="L1607" s="11" t="n">
        <x:f>K1607-J1607</x:f>
        <x:v>948.95</x:v>
      </x:c>
      <x:c r="M1607" s="11" t="n">
        <x:f>IF(B1607="Butterfly",MAX(J1607,0),IF(C1607="call","Unlimited",MAX(2*E1607-D1607+J1607,J1607,0)))</x:f>
        <x:v>0</x:v>
      </x:c>
      <x:c r="N1607" s="11" t="str">
        <x:f>IF(B1607="Butterfly",IF(AND(J1607&gt;0,J1607&lt;K1607),D1607+J1607,"n.a."),IF(C1607="call",IF(AND(J1607&gt;0,J1607&lt;K1607),D1607+J1607,"n.a."),IF(AND(K1607&gt;J1607,2*E1607-D1607+J1607&gt;=0),2*E1607-D1607+J1607,"n.a.")))</x:f>
        <x:v>n.a.</x:v>
      </x:c>
      <x:c r="O1607" s="11" t="str">
        <x:f>IF(B1607="Butterfly",IF(AND(J1607&gt;0,J1607&lt;K1607),F1607-J1607,"n.a."),IF(C1607="call",IF(K1607&gt;J1607,2*E1607-D1607-J1607,"n.a."),IF(AND(J1607&gt;0,J1607&lt;K1607),D1607-J1607,"n.a.")))</x:f>
        <x:v>n.a.</x:v>
      </x:c>
      <x:c r="P1607" s="19" t="str">
        <x:f>IF(AND(B1607="Butterfly",J1607&gt;0,J1607&lt;K1607),L1607/J1607,"n.a.")</x:f>
        <x:v>n.a.</x:v>
      </x:c>
      <x:c r="Q1607" s="11" t="n">
        <x:f>J1607*'Model inputs'!$B$8</x:f>
        <x:v>-64895.00000000001</x:v>
      </x:c>
      <x:c r="R1607" s="1" t="str">
        <x:v>Outside standard debit bounds</x:v>
      </x:c>
      <x:c r="S1607" s="1" t="n">
        <x:v>843</x:v>
      </x:c>
      <x:c r="T1607" s="1" t="n">
        <x:v>862</x:v>
      </x:c>
    </x:row>
    <x:row r="1608" ht="21" customHeight="1">
      <x:c r="A1608" s="12" t="n">
        <x:v>46255</x:v>
      </x:c>
      <x:c r="B1608" s="1" t="str">
        <x:v>Butterfly</x:v>
      </x:c>
      <x:c r="C1608" s="1" t="str">
        <x:v>put</x:v>
      </x:c>
      <x:c r="D1608" s="11" t="n">
        <x:v>4600</x:v>
      </x:c>
      <x:c r="E1608" s="11" t="n">
        <x:v>4800</x:v>
      </x:c>
      <x:c r="F1608" s="11" t="n">
        <x:v>5000</x:v>
      </x:c>
      <x:c r="G1608" s="11" t="n">
        <x:f>'Option source'!B525</x:f>
        <x:v>0</x:v>
      </x:c>
      <x:c r="H1608" s="11" t="n">
        <x:f>'Option source'!B544</x:f>
        <x:v>7.23</x:v>
      </x:c>
      <x:c r="I1608" s="11" t="n">
        <x:f>'Option source'!B563</x:f>
        <x:v>17.89</x:v>
      </x:c>
      <x:c r="J1608" s="11" t="n">
        <x:f>G1608-2*H1608+IF(B1608="Butterfly",I1608,0)</x:f>
        <x:v>3.4299999999999997</x:v>
      </x:c>
      <x:c r="K1608" s="11" t="n">
        <x:f>ABS(E1608-D1608)</x:f>
        <x:v>200</x:v>
      </x:c>
      <x:c r="L1608" s="11" t="n">
        <x:f>K1608-J1608</x:f>
        <x:v>196.57</x:v>
      </x:c>
      <x:c r="M1608" s="11" t="n">
        <x:f>IF(B1608="Butterfly",MAX(J1608,0),IF(C1608="call","Unlimited",MAX(2*E1608-D1608+J1608,J1608,0)))</x:f>
        <x:v>3.4299999999999997</x:v>
      </x:c>
      <x:c r="N1608" s="11" t="n">
        <x:f>IF(B1608="Butterfly",IF(AND(J1608&gt;0,J1608&lt;K1608),D1608+J1608,"n.a."),IF(C1608="call",IF(AND(J1608&gt;0,J1608&lt;K1608),D1608+J1608,"n.a."),IF(AND(K1608&gt;J1608,2*E1608-D1608+J1608&gt;=0),2*E1608-D1608+J1608,"n.a.")))</x:f>
        <x:v>4603.43</x:v>
      </x:c>
      <x:c r="O1608" s="11" t="n">
        <x:f>IF(B1608="Butterfly",IF(AND(J1608&gt;0,J1608&lt;K1608),F1608-J1608,"n.a."),IF(C1608="call",IF(K1608&gt;J1608,2*E1608-D1608-J1608,"n.a."),IF(AND(J1608&gt;0,J1608&lt;K1608),D1608-J1608,"n.a.")))</x:f>
        <x:v>4996.57</x:v>
      </x:c>
      <x:c r="P1608" s="19" t="n">
        <x:f>IF(AND(B1608="Butterfly",J1608&gt;0,J1608&lt;K1608),L1608/J1608,"n.a.")</x:f>
        <x:v>57.309037900874635</x:v>
      </x:c>
      <x:c r="Q1608" s="11" t="n">
        <x:f>J1608*'Model inputs'!$B$8</x:f>
        <x:v>343</x:v>
      </x:c>
      <x:c r="R1608" s="1" t="str">
        <x:v>Flagged leg data</x:v>
      </x:c>
      <x:c r="S1608" s="1" t="n">
        <x:v>520</x:v>
      </x:c>
      <x:c r="T1608" s="1" t="n">
        <x:v>539</x:v>
      </x:c>
    </x:row>
    <x:row r="1609" ht="21" customHeight="1">
      <x:c r="A1609" s="12" t="n">
        <x:v>46255</x:v>
      </x:c>
      <x:c r="B1609" s="1" t="str">
        <x:v>Butterfly</x:v>
      </x:c>
      <x:c r="C1609" s="1" t="str">
        <x:v>put</x:v>
      </x:c>
      <x:c r="D1609" s="11" t="n">
        <x:v>4400</x:v>
      </x:c>
      <x:c r="E1609" s="11" t="n">
        <x:v>4600</x:v>
      </x:c>
      <x:c r="F1609" s="11" t="n">
        <x:v>4800</x:v>
      </x:c>
      <x:c r="G1609" s="11" t="n">
        <x:f>'Option source'!B506</x:f>
        <x:v>10</x:v>
      </x:c>
      <x:c r="H1609" s="11" t="n">
        <x:f>'Option source'!B525</x:f>
        <x:v>0</x:v>
      </x:c>
      <x:c r="I1609" s="11" t="n">
        <x:f>'Option source'!B544</x:f>
        <x:v>7.23</x:v>
      </x:c>
      <x:c r="J1609" s="11" t="n">
        <x:f>G1609-2*H1609+IF(B1609="Butterfly",I1609,0)</x:f>
        <x:v>17.23</x:v>
      </x:c>
      <x:c r="K1609" s="11" t="n">
        <x:f>ABS(E1609-D1609)</x:f>
        <x:v>200</x:v>
      </x:c>
      <x:c r="L1609" s="11" t="n">
        <x:f>K1609-J1609</x:f>
        <x:v>182.77</x:v>
      </x:c>
      <x:c r="M1609" s="11" t="n">
        <x:f>IF(B1609="Butterfly",MAX(J1609,0),IF(C1609="call","Unlimited",MAX(2*E1609-D1609+J1609,J1609,0)))</x:f>
        <x:v>17.23</x:v>
      </x:c>
      <x:c r="N1609" s="11" t="n">
        <x:f>IF(B1609="Butterfly",IF(AND(J1609&gt;0,J1609&lt;K1609),D1609+J1609,"n.a."),IF(C1609="call",IF(AND(J1609&gt;0,J1609&lt;K1609),D1609+J1609,"n.a."),IF(AND(K1609&gt;J1609,2*E1609-D1609+J1609&gt;=0),2*E1609-D1609+J1609,"n.a.")))</x:f>
        <x:v>4417.23</x:v>
      </x:c>
      <x:c r="O1609" s="11" t="n">
        <x:f>IF(B1609="Butterfly",IF(AND(J1609&gt;0,J1609&lt;K1609),F1609-J1609,"n.a."),IF(C1609="call",IF(K1609&gt;J1609,2*E1609-D1609-J1609,"n.a."),IF(AND(J1609&gt;0,J1609&lt;K1609),D1609-J1609,"n.a.")))</x:f>
        <x:v>4782.77</x:v>
      </x:c>
      <x:c r="P1609" s="19" t="n">
        <x:f>IF(AND(B1609="Butterfly",J1609&gt;0,J1609&lt;K1609),L1609/J1609,"n.a.")</x:f>
        <x:v>10.607661056297156</x:v>
      </x:c>
      <x:c r="Q1609" s="11" t="n">
        <x:f>J1609*'Model inputs'!$B$8</x:f>
        <x:v>1723</x:v>
      </x:c>
      <x:c r="R1609" s="1" t="str">
        <x:v>Flagged leg data</x:v>
      </x:c>
      <x:c r="S1609" s="1" t="n">
        <x:v>501</x:v>
      </x:c>
      <x:c r="T1609" s="1" t="n">
        <x:v>520</x:v>
      </x:c>
    </x:row>
    <x:row r="1610" ht="21" customHeight="1">
      <x:c r="A1610" s="12" t="n">
        <x:v>46255</x:v>
      </x:c>
      <x:c r="B1610" s="1" t="str">
        <x:v>Butterfly</x:v>
      </x:c>
      <x:c r="C1610" s="1" t="str">
        <x:v>call</x:v>
      </x:c>
      <x:c r="D1610" s="11" t="n">
        <x:v>4200</x:v>
      </x:c>
      <x:c r="E1610" s="11" t="n">
        <x:v>4400</x:v>
      </x:c>
      <x:c r="F1610" s="11" t="n">
        <x:v>4600</x:v>
      </x:c>
      <x:c r="G1610" s="11" t="n">
        <x:f>'Option source'!B7</x:f>
        <x:v>2544.61</x:v>
      </x:c>
      <x:c r="H1610" s="11" t="n">
        <x:f>'Option source'!B26</x:f>
        <x:v>2387.12</x:v>
      </x:c>
      <x:c r="I1610" s="11" t="n">
        <x:f>'Option source'!B45</x:f>
        <x:v>2191.92</x:v>
      </x:c>
      <x:c r="J1610" s="11" t="n">
        <x:f>G1610-2*H1610+IF(B1610="Butterfly",I1610,0)</x:f>
        <x:v>-37.70999999999958</x:v>
      </x:c>
      <x:c r="K1610" s="11" t="n">
        <x:f>ABS(E1610-D1610)</x:f>
        <x:v>200</x:v>
      </x:c>
      <x:c r="L1610" s="11" t="n">
        <x:f>K1610-J1610</x:f>
        <x:v>237.70999999999958</x:v>
      </x:c>
      <x:c r="M1610" s="11" t="n">
        <x:f>IF(B1610="Butterfly",MAX(J1610,0),IF(C1610="call","Unlimited",MAX(2*E1610-D1610+J1610,J1610,0)))</x:f>
        <x:v>0</x:v>
      </x:c>
      <x:c r="N1610" s="11" t="str">
        <x:f>IF(B1610="Butterfly",IF(AND(J1610&gt;0,J1610&lt;K1610),D1610+J1610,"n.a."),IF(C1610="call",IF(AND(J1610&gt;0,J1610&lt;K1610),D1610+J1610,"n.a."),IF(AND(K1610&gt;J1610,2*E1610-D1610+J1610&gt;=0),2*E1610-D1610+J1610,"n.a.")))</x:f>
        <x:v>n.a.</x:v>
      </x:c>
      <x:c r="O1610" s="11" t="str">
        <x:f>IF(B1610="Butterfly",IF(AND(J1610&gt;0,J1610&lt;K1610),F1610-J1610,"n.a."),IF(C1610="call",IF(K1610&gt;J1610,2*E1610-D1610-J1610,"n.a."),IF(AND(J1610&gt;0,J1610&lt;K1610),D1610-J1610,"n.a.")))</x:f>
        <x:v>n.a.</x:v>
      </x:c>
      <x:c r="P1610" s="19" t="str">
        <x:f>IF(AND(B1610="Butterfly",J1610&gt;0,J1610&lt;K1610),L1610/J1610,"n.a.")</x:f>
        <x:v>n.a.</x:v>
      </x:c>
      <x:c r="Q1610" s="11" t="n">
        <x:f>J1610*'Model inputs'!$B$8</x:f>
        <x:v>-3770.999999999958</x:v>
      </x:c>
      <x:c r="R1610" s="1" t="str">
        <x:v>Outside standard debit bounds</x:v>
      </x:c>
      <x:c r="S1610" s="1" t="n">
        <x:v>2</x:v>
      </x:c>
      <x:c r="T1610" s="1" t="n">
        <x:v>21</x:v>
      </x:c>
    </x:row>
    <x:row r="1611" ht="21" customHeight="1">
      <x:c r="A1611" s="12" t="n">
        <x:v>46255</x:v>
      </x:c>
      <x:c r="B1611" s="1" t="str">
        <x:v>Butterfly</x:v>
      </x:c>
      <x:c r="C1611" s="1" t="str">
        <x:v>put</x:v>
      </x:c>
      <x:c r="D1611" s="11" t="n">
        <x:v>4200</x:v>
      </x:c>
      <x:c r="E1611" s="11" t="n">
        <x:v>4400</x:v>
      </x:c>
      <x:c r="F1611" s="11" t="n">
        <x:v>4600</x:v>
      </x:c>
      <x:c r="G1611" s="11" t="n">
        <x:f>'Option source'!B487</x:f>
        <x:v>10</x:v>
      </x:c>
      <x:c r="H1611" s="11" t="n">
        <x:f>'Option source'!B506</x:f>
        <x:v>10</x:v>
      </x:c>
      <x:c r="I1611" s="11" t="n">
        <x:f>'Option source'!B525</x:f>
        <x:v>0</x:v>
      </x:c>
      <x:c r="J1611" s="11" t="n">
        <x:f>G1611-2*H1611+IF(B1611="Butterfly",I1611,0)</x:f>
        <x:v>-10</x:v>
      </x:c>
      <x:c r="K1611" s="11" t="n">
        <x:f>ABS(E1611-D1611)</x:f>
        <x:v>200</x:v>
      </x:c>
      <x:c r="L1611" s="11" t="n">
        <x:f>K1611-J1611</x:f>
        <x:v>210</x:v>
      </x:c>
      <x:c r="M1611" s="11" t="n">
        <x:f>IF(B1611="Butterfly",MAX(J1611,0),IF(C1611="call","Unlimited",MAX(2*E1611-D1611+J1611,J1611,0)))</x:f>
        <x:v>0</x:v>
      </x:c>
      <x:c r="N1611" s="11" t="str">
        <x:f>IF(B1611="Butterfly",IF(AND(J1611&gt;0,J1611&lt;K1611),D1611+J1611,"n.a."),IF(C1611="call",IF(AND(J1611&gt;0,J1611&lt;K1611),D1611+J1611,"n.a."),IF(AND(K1611&gt;J1611,2*E1611-D1611+J1611&gt;=0),2*E1611-D1611+J1611,"n.a.")))</x:f>
        <x:v>n.a.</x:v>
      </x:c>
      <x:c r="O1611" s="11" t="str">
        <x:f>IF(B1611="Butterfly",IF(AND(J1611&gt;0,J1611&lt;K1611),F1611-J1611,"n.a."),IF(C1611="call",IF(K1611&gt;J1611,2*E1611-D1611-J1611,"n.a."),IF(AND(J1611&gt;0,J1611&lt;K1611),D1611-J1611,"n.a.")))</x:f>
        <x:v>n.a.</x:v>
      </x:c>
      <x:c r="P1611" s="19" t="str">
        <x:f>IF(AND(B1611="Butterfly",J1611&gt;0,J1611&lt;K1611),L1611/J1611,"n.a.")</x:f>
        <x:v>n.a.</x:v>
      </x:c>
      <x:c r="Q1611" s="11" t="n">
        <x:f>J1611*'Model inputs'!$B$8</x:f>
        <x:v>-1000</x:v>
      </x:c>
      <x:c r="R1611" s="1" t="str">
        <x:v>Outside standard debit bounds</x:v>
      </x:c>
      <x:c r="S1611" s="1" t="n">
        <x:v>482</x:v>
      </x:c>
      <x:c r="T1611" s="1" t="n">
        <x:v>501</x:v>
      </x:c>
    </x:row>
    <x:row r="1612" ht="21" customHeight="1">
      <x:c r="A1612" s="12" t="n">
        <x:v>46255</x:v>
      </x:c>
      <x:c r="B1612" s="1" t="str">
        <x:v>1x2 ratio</x:v>
      </x:c>
      <x:c r="C1612" s="1" t="str">
        <x:v>call</x:v>
      </x:c>
      <x:c r="D1612" s="11" t="n">
        <x:v>6400</x:v>
      </x:c>
      <x:c r="E1612" s="11" t="n">
        <x:v>6600</x:v>
      </x:c>
      <x:c r="F1612" s="11"/>
      <x:c r="G1612" s="11" t="n">
        <x:f>'Option source'!B202</x:f>
        <x:v>711</x:v>
      </x:c>
      <x:c r="H1612" s="11" t="n">
        <x:f>'Option source'!B221</x:f>
        <x:v>630</x:v>
      </x:c>
      <x:c r="I1612" s="11"/>
      <x:c r="J1612" s="11" t="n">
        <x:f>G1612-2*H1612+IF(B1612="Butterfly",I1612,0)</x:f>
        <x:v>-549</x:v>
      </x:c>
      <x:c r="K1612" s="11" t="n">
        <x:f>ABS(E1612-D1612)</x:f>
        <x:v>200</x:v>
      </x:c>
      <x:c r="L1612" s="11" t="n">
        <x:f>K1612-J1612</x:f>
        <x:v>749</x:v>
      </x:c>
      <x:c r="M1612" s="11" t="str">
        <x:f>IF(B1612="Butterfly",MAX(J1612,0),IF(C1612="call","Unlimited",MAX(2*E1612-D1612+J1612,J1612,0)))</x:f>
        <x:v>Unlimited</x:v>
      </x:c>
      <x:c r="N1612" s="11" t="str">
        <x:f>IF(B1612="Butterfly",IF(AND(J1612&gt;0,J1612&lt;K1612),D1612+J1612,"n.a."),IF(C1612="call",IF(AND(J1612&gt;0,J1612&lt;K1612),D1612+J1612,"n.a."),IF(AND(K1612&gt;J1612,2*E1612-D1612+J1612&gt;=0),2*E1612-D1612+J1612,"n.a.")))</x:f>
        <x:v>n.a.</x:v>
      </x:c>
      <x:c r="O1612" s="11" t="n">
        <x:f>IF(B1612="Butterfly",IF(AND(J1612&gt;0,J1612&lt;K1612),F1612-J1612,"n.a."),IF(C1612="call",IF(K1612&gt;J1612,2*E1612-D1612-J1612,"n.a."),IF(AND(J1612&gt;0,J1612&lt;K1612),D1612-J1612,"n.a.")))</x:f>
        <x:v>7349</x:v>
      </x:c>
      <x:c r="P1612" s="19" t="str">
        <x:f>IF(AND(B1612="Butterfly",J1612&gt;0,J1612&lt;K1612),L1612/J1612,"n.a.")</x:f>
        <x:v>n.a.</x:v>
      </x:c>
      <x:c r="Q1612" s="11" t="n">
        <x:f>J1612*'Model inputs'!$B$8</x:f>
        <x:v>-54900</x:v>
      </x:c>
      <x:c r="R1612" s="1" t="str">
        <x:v>Indicative only</x:v>
      </x:c>
      <x:c r="S1612" s="1" t="n">
        <x:v>197</x:v>
      </x:c>
      <x:c r="T1612" s="1" t="n">
        <x:v>216</x:v>
      </x:c>
    </x:row>
    <x:row r="1613" ht="21" customHeight="1">
      <x:c r="A1613" s="12" t="n">
        <x:v>46255</x:v>
      </x:c>
      <x:c r="B1613" s="1" t="str">
        <x:v>1x2 ratio</x:v>
      </x:c>
      <x:c r="C1613" s="1" t="str">
        <x:v>put</x:v>
      </x:c>
      <x:c r="D1613" s="11" t="n">
        <x:v>6800</x:v>
      </x:c>
      <x:c r="E1613" s="11" t="n">
        <x:v>6600</x:v>
      </x:c>
      <x:c r="F1613" s="11"/>
      <x:c r="G1613" s="11" t="n">
        <x:f>'Option source'!B734</x:f>
        <x:v>450.05</x:v>
      </x:c>
      <x:c r="H1613" s="11" t="n">
        <x:f>'Option source'!B715</x:f>
        <x:v>374.07</x:v>
      </x:c>
      <x:c r="I1613" s="11"/>
      <x:c r="J1613" s="11" t="n">
        <x:f>G1613-2*H1613+IF(B1613="Butterfly",I1613,0)</x:f>
        <x:v>-298.09</x:v>
      </x:c>
      <x:c r="K1613" s="11" t="n">
        <x:f>ABS(E1613-D1613)</x:f>
        <x:v>200</x:v>
      </x:c>
      <x:c r="L1613" s="11" t="n">
        <x:f>K1613-J1613</x:f>
        <x:v>498.09</x:v>
      </x:c>
      <x:c r="M1613" s="11" t="n">
        <x:f>IF(B1613="Butterfly",MAX(J1613,0),IF(C1613="call","Unlimited",MAX(2*E1613-D1613+J1613,J1613,0)))</x:f>
        <x:v>6101.91</x:v>
      </x:c>
      <x:c r="N1613" s="11" t="n">
        <x:f>IF(B1613="Butterfly",IF(AND(J1613&gt;0,J1613&lt;K1613),D1613+J1613,"n.a."),IF(C1613="call",IF(AND(J1613&gt;0,J1613&lt;K1613),D1613+J1613,"n.a."),IF(AND(K1613&gt;J1613,2*E1613-D1613+J1613&gt;=0),2*E1613-D1613+J1613,"n.a.")))</x:f>
        <x:v>6101.91</x:v>
      </x:c>
      <x:c r="O1613" s="11" t="str">
        <x:f>IF(B1613="Butterfly",IF(AND(J1613&gt;0,J1613&lt;K1613),F1613-J1613,"n.a."),IF(C1613="call",IF(K1613&gt;J1613,2*E1613-D1613-J1613,"n.a."),IF(AND(J1613&gt;0,J1613&lt;K1613),D1613-J1613,"n.a.")))</x:f>
        <x:v>n.a.</x:v>
      </x:c>
      <x:c r="P1613" s="19" t="str">
        <x:f>IF(AND(B1613="Butterfly",J1613&gt;0,J1613&lt;K1613),L1613/J1613,"n.a.")</x:f>
        <x:v>n.a.</x:v>
      </x:c>
      <x:c r="Q1613" s="11" t="n">
        <x:f>J1613*'Model inputs'!$B$8</x:f>
        <x:v>-29808.999999999996</x:v>
      </x:c>
      <x:c r="R1613" s="1" t="str">
        <x:v>Indicative only</x:v>
      </x:c>
      <x:c r="S1613" s="1" t="n">
        <x:v>729</x:v>
      </x:c>
      <x:c r="T1613" s="1" t="n">
        <x:v>710</x:v>
      </x:c>
    </x:row>
    <x:row r="1614" ht="21" customHeight="1">
      <x:c r="A1614" s="12" t="n">
        <x:v>46255</x:v>
      </x:c>
      <x:c r="B1614" s="1" t="str">
        <x:v>1x2 ratio</x:v>
      </x:c>
      <x:c r="C1614" s="1" t="str">
        <x:v>call</x:v>
      </x:c>
      <x:c r="D1614" s="11" t="n">
        <x:v>6600</x:v>
      </x:c>
      <x:c r="E1614" s="11" t="n">
        <x:v>6800</x:v>
      </x:c>
      <x:c r="F1614" s="11"/>
      <x:c r="G1614" s="11" t="n">
        <x:f>'Option source'!B221</x:f>
        <x:v>630</x:v>
      </x:c>
      <x:c r="H1614" s="11" t="n">
        <x:f>'Option source'!B240</x:f>
        <x:v>520</x:v>
      </x:c>
      <x:c r="I1614" s="11"/>
      <x:c r="J1614" s="11" t="n">
        <x:f>G1614-2*H1614+IF(B1614="Butterfly",I1614,0)</x:f>
        <x:v>-410</x:v>
      </x:c>
      <x:c r="K1614" s="11" t="n">
        <x:f>ABS(E1614-D1614)</x:f>
        <x:v>200</x:v>
      </x:c>
      <x:c r="L1614" s="11" t="n">
        <x:f>K1614-J1614</x:f>
        <x:v>610</x:v>
      </x:c>
      <x:c r="M1614" s="11" t="str">
        <x:f>IF(B1614="Butterfly",MAX(J1614,0),IF(C1614="call","Unlimited",MAX(2*E1614-D1614+J1614,J1614,0)))</x:f>
        <x:v>Unlimited</x:v>
      </x:c>
      <x:c r="N1614" s="11" t="str">
        <x:f>IF(B1614="Butterfly",IF(AND(J1614&gt;0,J1614&lt;K1614),D1614+J1614,"n.a."),IF(C1614="call",IF(AND(J1614&gt;0,J1614&lt;K1614),D1614+J1614,"n.a."),IF(AND(K1614&gt;J1614,2*E1614-D1614+J1614&gt;=0),2*E1614-D1614+J1614,"n.a.")))</x:f>
        <x:v>n.a.</x:v>
      </x:c>
      <x:c r="O1614" s="11" t="n">
        <x:f>IF(B1614="Butterfly",IF(AND(J1614&gt;0,J1614&lt;K1614),F1614-J1614,"n.a."),IF(C1614="call",IF(K1614&gt;J1614,2*E1614-D1614-J1614,"n.a."),IF(AND(J1614&gt;0,J1614&lt;K1614),D1614-J1614,"n.a.")))</x:f>
        <x:v>7410</x:v>
      </x:c>
      <x:c r="P1614" s="19" t="str">
        <x:f>IF(AND(B1614="Butterfly",J1614&gt;0,J1614&lt;K1614),L1614/J1614,"n.a.")</x:f>
        <x:v>n.a.</x:v>
      </x:c>
      <x:c r="Q1614" s="11" t="n">
        <x:f>J1614*'Model inputs'!$B$8</x:f>
        <x:v>-41000</x:v>
      </x:c>
      <x:c r="R1614" s="1" t="str">
        <x:v>Indicative only</x:v>
      </x:c>
      <x:c r="S1614" s="1" t="n">
        <x:v>216</x:v>
      </x:c>
      <x:c r="T1614" s="1" t="n">
        <x:v>235</x:v>
      </x:c>
    </x:row>
    <x:row r="1615" ht="21" customHeight="1">
      <x:c r="A1615" s="12" t="n">
        <x:v>46255</x:v>
      </x:c>
      <x:c r="B1615" s="1" t="str">
        <x:v>1x2 ratio</x:v>
      </x:c>
      <x:c r="C1615" s="1" t="str">
        <x:v>put</x:v>
      </x:c>
      <x:c r="D1615" s="11" t="n">
        <x:v>7000</x:v>
      </x:c>
      <x:c r="E1615" s="11" t="n">
        <x:v>6800</x:v>
      </x:c>
      <x:c r="F1615" s="11"/>
      <x:c r="G1615" s="11" t="n">
        <x:f>'Option source'!B753</x:f>
        <x:v>570</x:v>
      </x:c>
      <x:c r="H1615" s="11" t="n">
        <x:f>'Option source'!B734</x:f>
        <x:v>450.05</x:v>
      </x:c>
      <x:c r="I1615" s="11"/>
      <x:c r="J1615" s="11" t="n">
        <x:f>G1615-2*H1615+IF(B1615="Butterfly",I1615,0)</x:f>
        <x:v>-330.1</x:v>
      </x:c>
      <x:c r="K1615" s="11" t="n">
        <x:f>ABS(E1615-D1615)</x:f>
        <x:v>200</x:v>
      </x:c>
      <x:c r="L1615" s="11" t="n">
        <x:f>K1615-J1615</x:f>
        <x:v>530.1</x:v>
      </x:c>
      <x:c r="M1615" s="11" t="n">
        <x:f>IF(B1615="Butterfly",MAX(J1615,0),IF(C1615="call","Unlimited",MAX(2*E1615-D1615+J1615,J1615,0)))</x:f>
        <x:v>6269.9</x:v>
      </x:c>
      <x:c r="N1615" s="11" t="n">
        <x:f>IF(B1615="Butterfly",IF(AND(J1615&gt;0,J1615&lt;K1615),D1615+J1615,"n.a."),IF(C1615="call",IF(AND(J1615&gt;0,J1615&lt;K1615),D1615+J1615,"n.a."),IF(AND(K1615&gt;J1615,2*E1615-D1615+J1615&gt;=0),2*E1615-D1615+J1615,"n.a.")))</x:f>
        <x:v>6269.9</x:v>
      </x:c>
      <x:c r="O1615" s="11" t="str">
        <x:f>IF(B1615="Butterfly",IF(AND(J1615&gt;0,J1615&lt;K1615),F1615-J1615,"n.a."),IF(C1615="call",IF(K1615&gt;J1615,2*E1615-D1615-J1615,"n.a."),IF(AND(J1615&gt;0,J1615&lt;K1615),D1615-J1615,"n.a.")))</x:f>
        <x:v>n.a.</x:v>
      </x:c>
      <x:c r="P1615" s="19" t="str">
        <x:f>IF(AND(B1615="Butterfly",J1615&gt;0,J1615&lt;K1615),L1615/J1615,"n.a.")</x:f>
        <x:v>n.a.</x:v>
      </x:c>
      <x:c r="Q1615" s="11" t="n">
        <x:f>J1615*'Model inputs'!$B$8</x:f>
        <x:v>-33010</x:v>
      </x:c>
      <x:c r="R1615" s="1" t="str">
        <x:v>Indicative only</x:v>
      </x:c>
      <x:c r="S1615" s="1" t="n">
        <x:v>748</x:v>
      </x:c>
      <x:c r="T1615" s="1" t="n">
        <x:v>729</x:v>
      </x:c>
    </x:row>
    <x:row r="1616" ht="21" customHeight="1">
      <x:c r="A1616" s="12" t="n">
        <x:v>46255</x:v>
      </x:c>
      <x:c r="B1616" s="1" t="str">
        <x:v>1x2 ratio</x:v>
      </x:c>
      <x:c r="C1616" s="1" t="str">
        <x:v>call</x:v>
      </x:c>
      <x:c r="D1616" s="11" t="n">
        <x:v>6200</x:v>
      </x:c>
      <x:c r="E1616" s="11" t="n">
        <x:v>6400</x:v>
      </x:c>
      <x:c r="F1616" s="11"/>
      <x:c r="G1616" s="11" t="n">
        <x:f>'Option source'!B183</x:f>
        <x:v>845</x:v>
      </x:c>
      <x:c r="H1616" s="11" t="n">
        <x:f>'Option source'!B202</x:f>
        <x:v>711</x:v>
      </x:c>
      <x:c r="I1616" s="11"/>
      <x:c r="J1616" s="11" t="n">
        <x:f>G1616-2*H1616+IF(B1616="Butterfly",I1616,0)</x:f>
        <x:v>-577</x:v>
      </x:c>
      <x:c r="K1616" s="11" t="n">
        <x:f>ABS(E1616-D1616)</x:f>
        <x:v>200</x:v>
      </x:c>
      <x:c r="L1616" s="11" t="n">
        <x:f>K1616-J1616</x:f>
        <x:v>777</x:v>
      </x:c>
      <x:c r="M1616" s="11" t="str">
        <x:f>IF(B1616="Butterfly",MAX(J1616,0),IF(C1616="call","Unlimited",MAX(2*E1616-D1616+J1616,J1616,0)))</x:f>
        <x:v>Unlimited</x:v>
      </x:c>
      <x:c r="N1616" s="11" t="str">
        <x:f>IF(B1616="Butterfly",IF(AND(J1616&gt;0,J1616&lt;K1616),D1616+J1616,"n.a."),IF(C1616="call",IF(AND(J1616&gt;0,J1616&lt;K1616),D1616+J1616,"n.a."),IF(AND(K1616&gt;J1616,2*E1616-D1616+J1616&gt;=0),2*E1616-D1616+J1616,"n.a.")))</x:f>
        <x:v>n.a.</x:v>
      </x:c>
      <x:c r="O1616" s="11" t="n">
        <x:f>IF(B1616="Butterfly",IF(AND(J1616&gt;0,J1616&lt;K1616),F1616-J1616,"n.a."),IF(C1616="call",IF(K1616&gt;J1616,2*E1616-D1616-J1616,"n.a."),IF(AND(J1616&gt;0,J1616&lt;K1616),D1616-J1616,"n.a.")))</x:f>
        <x:v>7177</x:v>
      </x:c>
      <x:c r="P1616" s="19" t="str">
        <x:f>IF(AND(B1616="Butterfly",J1616&gt;0,J1616&lt;K1616),L1616/J1616,"n.a.")</x:f>
        <x:v>n.a.</x:v>
      </x:c>
      <x:c r="Q1616" s="11" t="n">
        <x:f>J1616*'Model inputs'!$B$8</x:f>
        <x:v>-57700</x:v>
      </x:c>
      <x:c r="R1616" s="1" t="str">
        <x:v>Indicative only</x:v>
      </x:c>
      <x:c r="S1616" s="1" t="n">
        <x:v>178</x:v>
      </x:c>
      <x:c r="T1616" s="1" t="n">
        <x:v>197</x:v>
      </x:c>
    </x:row>
    <x:row r="1617" ht="21" customHeight="1">
      <x:c r="A1617" s="12" t="n">
        <x:v>46255</x:v>
      </x:c>
      <x:c r="B1617" s="1" t="str">
        <x:v>1x2 ratio</x:v>
      </x:c>
      <x:c r="C1617" s="1" t="str">
        <x:v>put</x:v>
      </x:c>
      <x:c r="D1617" s="11" t="n">
        <x:v>6600</x:v>
      </x:c>
      <x:c r="E1617" s="11" t="n">
        <x:v>6400</x:v>
      </x:c>
      <x:c r="F1617" s="11"/>
      <x:c r="G1617" s="11" t="n">
        <x:f>'Option source'!B715</x:f>
        <x:v>374.07</x:v>
      </x:c>
      <x:c r="H1617" s="11" t="n">
        <x:f>'Option source'!B696</x:f>
        <x:v>290.5</x:v>
      </x:c>
      <x:c r="I1617" s="11"/>
      <x:c r="J1617" s="11" t="n">
        <x:f>G1617-2*H1617+IF(B1617="Butterfly",I1617,0)</x:f>
        <x:v>-206.93</x:v>
      </x:c>
      <x:c r="K1617" s="11" t="n">
        <x:f>ABS(E1617-D1617)</x:f>
        <x:v>200</x:v>
      </x:c>
      <x:c r="L1617" s="11" t="n">
        <x:f>K1617-J1617</x:f>
        <x:v>406.93</x:v>
      </x:c>
      <x:c r="M1617" s="11" t="n">
        <x:f>IF(B1617="Butterfly",MAX(J1617,0),IF(C1617="call","Unlimited",MAX(2*E1617-D1617+J1617,J1617,0)))</x:f>
        <x:v>5993.07</x:v>
      </x:c>
      <x:c r="N1617" s="11" t="n">
        <x:f>IF(B1617="Butterfly",IF(AND(J1617&gt;0,J1617&lt;K1617),D1617+J1617,"n.a."),IF(C1617="call",IF(AND(J1617&gt;0,J1617&lt;K1617),D1617+J1617,"n.a."),IF(AND(K1617&gt;J1617,2*E1617-D1617+J1617&gt;=0),2*E1617-D1617+J1617,"n.a.")))</x:f>
        <x:v>5993.07</x:v>
      </x:c>
      <x:c r="O1617" s="11" t="str">
        <x:f>IF(B1617="Butterfly",IF(AND(J1617&gt;0,J1617&lt;K1617),F1617-J1617,"n.a."),IF(C1617="call",IF(K1617&gt;J1617,2*E1617-D1617-J1617,"n.a."),IF(AND(J1617&gt;0,J1617&lt;K1617),D1617-J1617,"n.a.")))</x:f>
        <x:v>n.a.</x:v>
      </x:c>
      <x:c r="P1617" s="19" t="str">
        <x:f>IF(AND(B1617="Butterfly",J1617&gt;0,J1617&lt;K1617),L1617/J1617,"n.a.")</x:f>
        <x:v>n.a.</x:v>
      </x:c>
      <x:c r="Q1617" s="11" t="n">
        <x:f>J1617*'Model inputs'!$B$8</x:f>
        <x:v>-20693</x:v>
      </x:c>
      <x:c r="R1617" s="1" t="str">
        <x:v>Indicative only</x:v>
      </x:c>
      <x:c r="S1617" s="1" t="n">
        <x:v>710</x:v>
      </x:c>
      <x:c r="T1617" s="1" t="n">
        <x:v>691</x:v>
      </x:c>
    </x:row>
    <x:row r="1618" ht="21" customHeight="1">
      <x:c r="A1618" s="12" t="n">
        <x:v>46255</x:v>
      </x:c>
      <x:c r="B1618" s="1" t="str">
        <x:v>1x2 ratio</x:v>
      </x:c>
      <x:c r="C1618" s="1" t="str">
        <x:v>call</x:v>
      </x:c>
      <x:c r="D1618" s="11" t="n">
        <x:v>6800</x:v>
      </x:c>
      <x:c r="E1618" s="11" t="n">
        <x:v>7000</x:v>
      </x:c>
      <x:c r="F1618" s="11"/>
      <x:c r="G1618" s="11" t="n">
        <x:f>'Option source'!B240</x:f>
        <x:v>520</x:v>
      </x:c>
      <x:c r="H1618" s="11" t="n">
        <x:f>'Option source'!B259</x:f>
        <x:v>419.73</x:v>
      </x:c>
      <x:c r="I1618" s="11"/>
      <x:c r="J1618" s="11" t="n">
        <x:f>G1618-2*H1618+IF(B1618="Butterfly",I1618,0)</x:f>
        <x:v>-319.46000000000004</x:v>
      </x:c>
      <x:c r="K1618" s="11" t="n">
        <x:f>ABS(E1618-D1618)</x:f>
        <x:v>200</x:v>
      </x:c>
      <x:c r="L1618" s="11" t="n">
        <x:f>K1618-J1618</x:f>
        <x:v>519.46</x:v>
      </x:c>
      <x:c r="M1618" s="11" t="str">
        <x:f>IF(B1618="Butterfly",MAX(J1618,0),IF(C1618="call","Unlimited",MAX(2*E1618-D1618+J1618,J1618,0)))</x:f>
        <x:v>Unlimited</x:v>
      </x:c>
      <x:c r="N1618" s="11" t="str">
        <x:f>IF(B1618="Butterfly",IF(AND(J1618&gt;0,J1618&lt;K1618),D1618+J1618,"n.a."),IF(C1618="call",IF(AND(J1618&gt;0,J1618&lt;K1618),D1618+J1618,"n.a."),IF(AND(K1618&gt;J1618,2*E1618-D1618+J1618&gt;=0),2*E1618-D1618+J1618,"n.a.")))</x:f>
        <x:v>n.a.</x:v>
      </x:c>
      <x:c r="O1618" s="11" t="n">
        <x:f>IF(B1618="Butterfly",IF(AND(J1618&gt;0,J1618&lt;K1618),F1618-J1618,"n.a."),IF(C1618="call",IF(K1618&gt;J1618,2*E1618-D1618-J1618,"n.a."),IF(AND(J1618&gt;0,J1618&lt;K1618),D1618-J1618,"n.a.")))</x:f>
        <x:v>7519.46</x:v>
      </x:c>
      <x:c r="P1618" s="19" t="str">
        <x:f>IF(AND(B1618="Butterfly",J1618&gt;0,J1618&lt;K1618),L1618/J1618,"n.a.")</x:f>
        <x:v>n.a.</x:v>
      </x:c>
      <x:c r="Q1618" s="11" t="n">
        <x:f>J1618*'Model inputs'!$B$8</x:f>
        <x:v>-31946.000000000004</x:v>
      </x:c>
      <x:c r="R1618" s="1" t="str">
        <x:v>Indicative only</x:v>
      </x:c>
      <x:c r="S1618" s="1" t="n">
        <x:v>235</x:v>
      </x:c>
      <x:c r="T1618" s="1" t="n">
        <x:v>254</x:v>
      </x:c>
    </x:row>
    <x:row r="1619" ht="21" customHeight="1">
      <x:c r="A1619" s="12" t="n">
        <x:v>46255</x:v>
      </x:c>
      <x:c r="B1619" s="1" t="str">
        <x:v>1x2 ratio</x:v>
      </x:c>
      <x:c r="C1619" s="1" t="str">
        <x:v>put</x:v>
      </x:c>
      <x:c r="D1619" s="11" t="n">
        <x:v>7200</x:v>
      </x:c>
      <x:c r="E1619" s="11" t="n">
        <x:v>7000</x:v>
      </x:c>
      <x:c r="F1619" s="11"/>
      <x:c r="G1619" s="11" t="n">
        <x:f>'Option source'!B772</x:f>
        <x:v>731.63</x:v>
      </x:c>
      <x:c r="H1619" s="11" t="n">
        <x:f>'Option source'!B753</x:f>
        <x:v>570</x:v>
      </x:c>
      <x:c r="I1619" s="11"/>
      <x:c r="J1619" s="11" t="n">
        <x:f>G1619-2*H1619+IF(B1619="Butterfly",I1619,0)</x:f>
        <x:v>-408.37</x:v>
      </x:c>
      <x:c r="K1619" s="11" t="n">
        <x:f>ABS(E1619-D1619)</x:f>
        <x:v>200</x:v>
      </x:c>
      <x:c r="L1619" s="11" t="n">
        <x:f>K1619-J1619</x:f>
        <x:v>608.37</x:v>
      </x:c>
      <x:c r="M1619" s="11" t="n">
        <x:f>IF(B1619="Butterfly",MAX(J1619,0),IF(C1619="call","Unlimited",MAX(2*E1619-D1619+J1619,J1619,0)))</x:f>
        <x:v>6391.63</x:v>
      </x:c>
      <x:c r="N1619" s="11" t="n">
        <x:f>IF(B1619="Butterfly",IF(AND(J1619&gt;0,J1619&lt;K1619),D1619+J1619,"n.a."),IF(C1619="call",IF(AND(J1619&gt;0,J1619&lt;K1619),D1619+J1619,"n.a."),IF(AND(K1619&gt;J1619,2*E1619-D1619+J1619&gt;=0),2*E1619-D1619+J1619,"n.a.")))</x:f>
        <x:v>6391.63</x:v>
      </x:c>
      <x:c r="O1619" s="11" t="str">
        <x:f>IF(B1619="Butterfly",IF(AND(J1619&gt;0,J1619&lt;K1619),F1619-J1619,"n.a."),IF(C1619="call",IF(K1619&gt;J1619,2*E1619-D1619-J1619,"n.a."),IF(AND(J1619&gt;0,J1619&lt;K1619),D1619-J1619,"n.a.")))</x:f>
        <x:v>n.a.</x:v>
      </x:c>
      <x:c r="P1619" s="19" t="str">
        <x:f>IF(AND(B1619="Butterfly",J1619&gt;0,J1619&lt;K1619),L1619/J1619,"n.a.")</x:f>
        <x:v>n.a.</x:v>
      </x:c>
      <x:c r="Q1619" s="11" t="n">
        <x:f>J1619*'Model inputs'!$B$8</x:f>
        <x:v>-40837</x:v>
      </x:c>
      <x:c r="R1619" s="1" t="str">
        <x:v>Indicative only</x:v>
      </x:c>
      <x:c r="S1619" s="1" t="n">
        <x:v>767</x:v>
      </x:c>
      <x:c r="T1619" s="1" t="n">
        <x:v>748</x:v>
      </x:c>
    </x:row>
    <x:row r="1620" ht="21" customHeight="1">
      <x:c r="A1620" s="12" t="n">
        <x:v>46255</x:v>
      </x:c>
      <x:c r="B1620" s="1" t="str">
        <x:v>1x2 ratio</x:v>
      </x:c>
      <x:c r="C1620" s="1" t="str">
        <x:v>call</x:v>
      </x:c>
      <x:c r="D1620" s="11" t="n">
        <x:v>6000</x:v>
      </x:c>
      <x:c r="E1620" s="11" t="n">
        <x:v>6200</x:v>
      </x:c>
      <x:c r="F1620" s="11"/>
      <x:c r="G1620" s="11" t="n">
        <x:f>'Option source'!B164</x:f>
        <x:v>995</x:v>
      </x:c>
      <x:c r="H1620" s="11" t="n">
        <x:f>'Option source'!B183</x:f>
        <x:v>845</x:v>
      </x:c>
      <x:c r="I1620" s="11"/>
      <x:c r="J1620" s="11" t="n">
        <x:f>G1620-2*H1620+IF(B1620="Butterfly",I1620,0)</x:f>
        <x:v>-695</x:v>
      </x:c>
      <x:c r="K1620" s="11" t="n">
        <x:f>ABS(E1620-D1620)</x:f>
        <x:v>200</x:v>
      </x:c>
      <x:c r="L1620" s="11" t="n">
        <x:f>K1620-J1620</x:f>
        <x:v>895</x:v>
      </x:c>
      <x:c r="M1620" s="11" t="str">
        <x:f>IF(B1620="Butterfly",MAX(J1620,0),IF(C1620="call","Unlimited",MAX(2*E1620-D1620+J1620,J1620,0)))</x:f>
        <x:v>Unlimited</x:v>
      </x:c>
      <x:c r="N1620" s="11" t="str">
        <x:f>IF(B1620="Butterfly",IF(AND(J1620&gt;0,J1620&lt;K1620),D1620+J1620,"n.a."),IF(C1620="call",IF(AND(J1620&gt;0,J1620&lt;K1620),D1620+J1620,"n.a."),IF(AND(K1620&gt;J1620,2*E1620-D1620+J1620&gt;=0),2*E1620-D1620+J1620,"n.a.")))</x:f>
        <x:v>n.a.</x:v>
      </x:c>
      <x:c r="O1620" s="11" t="n">
        <x:f>IF(B1620="Butterfly",IF(AND(J1620&gt;0,J1620&lt;K1620),F1620-J1620,"n.a."),IF(C1620="call",IF(K1620&gt;J1620,2*E1620-D1620-J1620,"n.a."),IF(AND(J1620&gt;0,J1620&lt;K1620),D1620-J1620,"n.a.")))</x:f>
        <x:v>7095</x:v>
      </x:c>
      <x:c r="P1620" s="19" t="str">
        <x:f>IF(AND(B1620="Butterfly",J1620&gt;0,J1620&lt;K1620),L1620/J1620,"n.a.")</x:f>
        <x:v>n.a.</x:v>
      </x:c>
      <x:c r="Q1620" s="11" t="n">
        <x:f>J1620*'Model inputs'!$B$8</x:f>
        <x:v>-69500</x:v>
      </x:c>
      <x:c r="R1620" s="1" t="str">
        <x:v>Indicative only</x:v>
      </x:c>
      <x:c r="S1620" s="1" t="n">
        <x:v>159</x:v>
      </x:c>
      <x:c r="T1620" s="1" t="n">
        <x:v>178</x:v>
      </x:c>
    </x:row>
    <x:row r="1621" ht="21" customHeight="1">
      <x:c r="A1621" s="12" t="n">
        <x:v>46255</x:v>
      </x:c>
      <x:c r="B1621" s="1" t="str">
        <x:v>1x2 ratio</x:v>
      </x:c>
      <x:c r="C1621" s="1" t="str">
        <x:v>put</x:v>
      </x:c>
      <x:c r="D1621" s="11" t="n">
        <x:v>6400</x:v>
      </x:c>
      <x:c r="E1621" s="11" t="n">
        <x:v>6200</x:v>
      </x:c>
      <x:c r="F1621" s="11"/>
      <x:c r="G1621" s="11" t="n">
        <x:f>'Option source'!B696</x:f>
        <x:v>290.5</x:v>
      </x:c>
      <x:c r="H1621" s="11" t="n">
        <x:f>'Option source'!B677</x:f>
        <x:v>201.71</x:v>
      </x:c>
      <x:c r="I1621" s="11"/>
      <x:c r="J1621" s="11" t="n">
        <x:f>G1621-2*H1621+IF(B1621="Butterfly",I1621,0)</x:f>
        <x:v>-112.92000000000002</x:v>
      </x:c>
      <x:c r="K1621" s="11" t="n">
        <x:f>ABS(E1621-D1621)</x:f>
        <x:v>200</x:v>
      </x:c>
      <x:c r="L1621" s="11" t="n">
        <x:f>K1621-J1621</x:f>
        <x:v>312.92</x:v>
      </x:c>
      <x:c r="M1621" s="11" t="n">
        <x:f>IF(B1621="Butterfly",MAX(J1621,0),IF(C1621="call","Unlimited",MAX(2*E1621-D1621+J1621,J1621,0)))</x:f>
        <x:v>5887.08</x:v>
      </x:c>
      <x:c r="N1621" s="11" t="n">
        <x:f>IF(B1621="Butterfly",IF(AND(J1621&gt;0,J1621&lt;K1621),D1621+J1621,"n.a."),IF(C1621="call",IF(AND(J1621&gt;0,J1621&lt;K1621),D1621+J1621,"n.a."),IF(AND(K1621&gt;J1621,2*E1621-D1621+J1621&gt;=0),2*E1621-D1621+J1621,"n.a.")))</x:f>
        <x:v>5887.08</x:v>
      </x:c>
      <x:c r="O1621" s="11" t="str">
        <x:f>IF(B1621="Butterfly",IF(AND(J1621&gt;0,J1621&lt;K1621),F1621-J1621,"n.a."),IF(C1621="call",IF(K1621&gt;J1621,2*E1621-D1621-J1621,"n.a."),IF(AND(J1621&gt;0,J1621&lt;K1621),D1621-J1621,"n.a.")))</x:f>
        <x:v>n.a.</x:v>
      </x:c>
      <x:c r="P1621" s="19" t="str">
        <x:f>IF(AND(B1621="Butterfly",J1621&gt;0,J1621&lt;K1621),L1621/J1621,"n.a.")</x:f>
        <x:v>n.a.</x:v>
      </x:c>
      <x:c r="Q1621" s="11" t="n">
        <x:f>J1621*'Model inputs'!$B$8</x:f>
        <x:v>-11292.000000000002</x:v>
      </x:c>
      <x:c r="R1621" s="1" t="str">
        <x:v>Indicative only</x:v>
      </x:c>
      <x:c r="S1621" s="1" t="n">
        <x:v>691</x:v>
      </x:c>
      <x:c r="T1621" s="1" t="n">
        <x:v>672</x:v>
      </x:c>
    </x:row>
    <x:row r="1622" ht="21" customHeight="1">
      <x:c r="A1622" s="12" t="n">
        <x:v>46255</x:v>
      </x:c>
      <x:c r="B1622" s="1" t="str">
        <x:v>1x2 ratio</x:v>
      </x:c>
      <x:c r="C1622" s="1" t="str">
        <x:v>call</x:v>
      </x:c>
      <x:c r="D1622" s="11" t="n">
        <x:v>7000</x:v>
      </x:c>
      <x:c r="E1622" s="11" t="n">
        <x:v>7200</x:v>
      </x:c>
      <x:c r="F1622" s="11"/>
      <x:c r="G1622" s="11" t="n">
        <x:f>'Option source'!B259</x:f>
        <x:v>419.73</x:v>
      </x:c>
      <x:c r="H1622" s="11" t="n">
        <x:f>'Option source'!B278</x:f>
        <x:v>339.33</x:v>
      </x:c>
      <x:c r="I1622" s="11"/>
      <x:c r="J1622" s="11" t="n">
        <x:f>G1622-2*H1622+IF(B1622="Butterfly",I1622,0)</x:f>
        <x:v>-258.92999999999995</x:v>
      </x:c>
      <x:c r="K1622" s="11" t="n">
        <x:f>ABS(E1622-D1622)</x:f>
        <x:v>200</x:v>
      </x:c>
      <x:c r="L1622" s="11" t="n">
        <x:f>K1622-J1622</x:f>
        <x:v>458.92999999999995</x:v>
      </x:c>
      <x:c r="M1622" s="11" t="str">
        <x:f>IF(B1622="Butterfly",MAX(J1622,0),IF(C1622="call","Unlimited",MAX(2*E1622-D1622+J1622,J1622,0)))</x:f>
        <x:v>Unlimited</x:v>
      </x:c>
      <x:c r="N1622" s="11" t="str">
        <x:f>IF(B1622="Butterfly",IF(AND(J1622&gt;0,J1622&lt;K1622),D1622+J1622,"n.a."),IF(C1622="call",IF(AND(J1622&gt;0,J1622&lt;K1622),D1622+J1622,"n.a."),IF(AND(K1622&gt;J1622,2*E1622-D1622+J1622&gt;=0),2*E1622-D1622+J1622,"n.a.")))</x:f>
        <x:v>n.a.</x:v>
      </x:c>
      <x:c r="O1622" s="11" t="n">
        <x:f>IF(B1622="Butterfly",IF(AND(J1622&gt;0,J1622&lt;K1622),F1622-J1622,"n.a."),IF(C1622="call",IF(K1622&gt;J1622,2*E1622-D1622-J1622,"n.a."),IF(AND(J1622&gt;0,J1622&lt;K1622),D1622-J1622,"n.a.")))</x:f>
        <x:v>7658.93</x:v>
      </x:c>
      <x:c r="P1622" s="19" t="str">
        <x:f>IF(AND(B1622="Butterfly",J1622&gt;0,J1622&lt;K1622),L1622/J1622,"n.a.")</x:f>
        <x:v>n.a.</x:v>
      </x:c>
      <x:c r="Q1622" s="11" t="n">
        <x:f>J1622*'Model inputs'!$B$8</x:f>
        <x:v>-25892.999999999996</x:v>
      </x:c>
      <x:c r="R1622" s="1" t="str">
        <x:v>Indicative only</x:v>
      </x:c>
      <x:c r="S1622" s="1" t="n">
        <x:v>254</x:v>
      </x:c>
      <x:c r="T1622" s="1" t="n">
        <x:v>273</x:v>
      </x:c>
    </x:row>
    <x:row r="1623" ht="21" customHeight="1">
      <x:c r="A1623" s="12" t="n">
        <x:v>46255</x:v>
      </x:c>
      <x:c r="B1623" s="1" t="str">
        <x:v>1x2 ratio</x:v>
      </x:c>
      <x:c r="C1623" s="1" t="str">
        <x:v>put</x:v>
      </x:c>
      <x:c r="D1623" s="11" t="n">
        <x:v>6200</x:v>
      </x:c>
      <x:c r="E1623" s="11" t="n">
        <x:v>6000</x:v>
      </x:c>
      <x:c r="F1623" s="11"/>
      <x:c r="G1623" s="11" t="n">
        <x:f>'Option source'!B677</x:f>
        <x:v>201.71</x:v>
      </x:c>
      <x:c r="H1623" s="11" t="n">
        <x:f>'Option source'!B658</x:f>
        <x:v>145.03</x:v>
      </x:c>
      <x:c r="I1623" s="11"/>
      <x:c r="J1623" s="11" t="n">
        <x:f>G1623-2*H1623+IF(B1623="Butterfly",I1623,0)</x:f>
        <x:v>-88.35</x:v>
      </x:c>
      <x:c r="K1623" s="11" t="n">
        <x:f>ABS(E1623-D1623)</x:f>
        <x:v>200</x:v>
      </x:c>
      <x:c r="L1623" s="11" t="n">
        <x:f>K1623-J1623</x:f>
        <x:v>288.35</x:v>
      </x:c>
      <x:c r="M1623" s="11" t="n">
        <x:f>IF(B1623="Butterfly",MAX(J1623,0),IF(C1623="call","Unlimited",MAX(2*E1623-D1623+J1623,J1623,0)))</x:f>
        <x:v>5711.65</x:v>
      </x:c>
      <x:c r="N1623" s="11" t="n">
        <x:f>IF(B1623="Butterfly",IF(AND(J1623&gt;0,J1623&lt;K1623),D1623+J1623,"n.a."),IF(C1623="call",IF(AND(J1623&gt;0,J1623&lt;K1623),D1623+J1623,"n.a."),IF(AND(K1623&gt;J1623,2*E1623-D1623+J1623&gt;=0),2*E1623-D1623+J1623,"n.a.")))</x:f>
        <x:v>5711.65</x:v>
      </x:c>
      <x:c r="O1623" s="11" t="str">
        <x:f>IF(B1623="Butterfly",IF(AND(J1623&gt;0,J1623&lt;K1623),F1623-J1623,"n.a."),IF(C1623="call",IF(K1623&gt;J1623,2*E1623-D1623-J1623,"n.a."),IF(AND(J1623&gt;0,J1623&lt;K1623),D1623-J1623,"n.a.")))</x:f>
        <x:v>n.a.</x:v>
      </x:c>
      <x:c r="P1623" s="19" t="str">
        <x:f>IF(AND(B1623="Butterfly",J1623&gt;0,J1623&lt;K1623),L1623/J1623,"n.a.")</x:f>
        <x:v>n.a.</x:v>
      </x:c>
      <x:c r="Q1623" s="11" t="n">
        <x:f>J1623*'Model inputs'!$B$8</x:f>
        <x:v>-8835</x:v>
      </x:c>
      <x:c r="R1623" s="1" t="str">
        <x:v>Indicative only</x:v>
      </x:c>
      <x:c r="S1623" s="1" t="n">
        <x:v>672</x:v>
      </x:c>
      <x:c r="T1623" s="1" t="n">
        <x:v>653</x:v>
      </x:c>
    </x:row>
    <x:row r="1624" ht="21" customHeight="1">
      <x:c r="A1624" s="12" t="n">
        <x:v>46255</x:v>
      </x:c>
      <x:c r="B1624" s="1" t="str">
        <x:v>1x2 ratio</x:v>
      </x:c>
      <x:c r="C1624" s="1" t="str">
        <x:v>call</x:v>
      </x:c>
      <x:c r="D1624" s="11" t="n">
        <x:v>7200</x:v>
      </x:c>
      <x:c r="E1624" s="11" t="n">
        <x:v>7400</x:v>
      </x:c>
      <x:c r="F1624" s="11"/>
      <x:c r="G1624" s="11" t="n">
        <x:f>'Option source'!B278</x:f>
        <x:v>339.33</x:v>
      </x:c>
      <x:c r="H1624" s="11" t="n">
        <x:f>'Option source'!B297</x:f>
        <x:v>271.72</x:v>
      </x:c>
      <x:c r="I1624" s="11"/>
      <x:c r="J1624" s="11" t="n">
        <x:f>G1624-2*H1624+IF(B1624="Butterfly",I1624,0)</x:f>
        <x:v>-204.11000000000007</x:v>
      </x:c>
      <x:c r="K1624" s="11" t="n">
        <x:f>ABS(E1624-D1624)</x:f>
        <x:v>200</x:v>
      </x:c>
      <x:c r="L1624" s="11" t="n">
        <x:f>K1624-J1624</x:f>
        <x:v>404.11000000000007</x:v>
      </x:c>
      <x:c r="M1624" s="11" t="str">
        <x:f>IF(B1624="Butterfly",MAX(J1624,0),IF(C1624="call","Unlimited",MAX(2*E1624-D1624+J1624,J1624,0)))</x:f>
        <x:v>Unlimited</x:v>
      </x:c>
      <x:c r="N1624" s="11" t="str">
        <x:f>IF(B1624="Butterfly",IF(AND(J1624&gt;0,J1624&lt;K1624),D1624+J1624,"n.a."),IF(C1624="call",IF(AND(J1624&gt;0,J1624&lt;K1624),D1624+J1624,"n.a."),IF(AND(K1624&gt;J1624,2*E1624-D1624+J1624&gt;=0),2*E1624-D1624+J1624,"n.a.")))</x:f>
        <x:v>n.a.</x:v>
      </x:c>
      <x:c r="O1624" s="11" t="n">
        <x:f>IF(B1624="Butterfly",IF(AND(J1624&gt;0,J1624&lt;K1624),F1624-J1624,"n.a."),IF(C1624="call",IF(K1624&gt;J1624,2*E1624-D1624-J1624,"n.a."),IF(AND(J1624&gt;0,J1624&lt;K1624),D1624-J1624,"n.a.")))</x:f>
        <x:v>7804.11</x:v>
      </x:c>
      <x:c r="P1624" s="19" t="str">
        <x:f>IF(AND(B1624="Butterfly",J1624&gt;0,J1624&lt;K1624),L1624/J1624,"n.a.")</x:f>
        <x:v>n.a.</x:v>
      </x:c>
      <x:c r="Q1624" s="11" t="n">
        <x:f>J1624*'Model inputs'!$B$8</x:f>
        <x:v>-20411.000000000007</x:v>
      </x:c>
      <x:c r="R1624" s="1" t="str">
        <x:v>Indicative only</x:v>
      </x:c>
      <x:c r="S1624" s="1" t="n">
        <x:v>273</x:v>
      </x:c>
      <x:c r="T1624" s="1" t="n">
        <x:v>292</x:v>
      </x:c>
    </x:row>
    <x:row r="1625" ht="21" customHeight="1">
      <x:c r="A1625" s="12" t="n">
        <x:v>46255</x:v>
      </x:c>
      <x:c r="B1625" s="1" t="str">
        <x:v>1x2 ratio</x:v>
      </x:c>
      <x:c r="C1625" s="1" t="str">
        <x:v>put</x:v>
      </x:c>
      <x:c r="D1625" s="11" t="n">
        <x:v>6000</x:v>
      </x:c>
      <x:c r="E1625" s="11" t="n">
        <x:v>5800</x:v>
      </x:c>
      <x:c r="F1625" s="11"/>
      <x:c r="G1625" s="11" t="n">
        <x:f>'Option source'!B658</x:f>
        <x:v>145.03</x:v>
      </x:c>
      <x:c r="H1625" s="11" t="n">
        <x:f>'Option source'!B639</x:f>
        <x:v>96.17</x:v>
      </x:c>
      <x:c r="I1625" s="11"/>
      <x:c r="J1625" s="11" t="n">
        <x:f>G1625-2*H1625+IF(B1625="Butterfly",I1625,0)</x:f>
        <x:v>-47.31</x:v>
      </x:c>
      <x:c r="K1625" s="11" t="n">
        <x:f>ABS(E1625-D1625)</x:f>
        <x:v>200</x:v>
      </x:c>
      <x:c r="L1625" s="11" t="n">
        <x:f>K1625-J1625</x:f>
        <x:v>247.31</x:v>
      </x:c>
      <x:c r="M1625" s="11" t="n">
        <x:f>IF(B1625="Butterfly",MAX(J1625,0),IF(C1625="call","Unlimited",MAX(2*E1625-D1625+J1625,J1625,0)))</x:f>
        <x:v>5552.69</x:v>
      </x:c>
      <x:c r="N1625" s="11" t="n">
        <x:f>IF(B1625="Butterfly",IF(AND(J1625&gt;0,J1625&lt;K1625),D1625+J1625,"n.a."),IF(C1625="call",IF(AND(J1625&gt;0,J1625&lt;K1625),D1625+J1625,"n.a."),IF(AND(K1625&gt;J1625,2*E1625-D1625+J1625&gt;=0),2*E1625-D1625+J1625,"n.a.")))</x:f>
        <x:v>5552.69</x:v>
      </x:c>
      <x:c r="O1625" s="11" t="str">
        <x:f>IF(B1625="Butterfly",IF(AND(J1625&gt;0,J1625&lt;K1625),F1625-J1625,"n.a."),IF(C1625="call",IF(K1625&gt;J1625,2*E1625-D1625-J1625,"n.a."),IF(AND(J1625&gt;0,J1625&lt;K1625),D1625-J1625,"n.a.")))</x:f>
        <x:v>n.a.</x:v>
      </x:c>
      <x:c r="P1625" s="19" t="str">
        <x:f>IF(AND(B1625="Butterfly",J1625&gt;0,J1625&lt;K1625),L1625/J1625,"n.a.")</x:f>
        <x:v>n.a.</x:v>
      </x:c>
      <x:c r="Q1625" s="11" t="n">
        <x:f>J1625*'Model inputs'!$B$8</x:f>
        <x:v>-4731</x:v>
      </x:c>
      <x:c r="R1625" s="1" t="str">
        <x:v>Indicative only</x:v>
      </x:c>
      <x:c r="S1625" s="1" t="n">
        <x:v>653</x:v>
      </x:c>
      <x:c r="T1625" s="1" t="n">
        <x:v>634</x:v>
      </x:c>
    </x:row>
    <x:row r="1626" ht="21" customHeight="1">
      <x:c r="A1626" s="12" t="n">
        <x:v>46255</x:v>
      </x:c>
      <x:c r="B1626" s="1" t="str">
        <x:v>1x2 ratio</x:v>
      </x:c>
      <x:c r="C1626" s="1" t="str">
        <x:v>call</x:v>
      </x:c>
      <x:c r="D1626" s="11" t="n">
        <x:v>7400</x:v>
      </x:c>
      <x:c r="E1626" s="11" t="n">
        <x:v>7600</x:v>
      </x:c>
      <x:c r="F1626" s="11"/>
      <x:c r="G1626" s="11" t="n">
        <x:f>'Option source'!B297</x:f>
        <x:v>271.72</x:v>
      </x:c>
      <x:c r="H1626" s="11" t="n">
        <x:f>'Option source'!B316</x:f>
        <x:v>215.5</x:v>
      </x:c>
      <x:c r="I1626" s="11"/>
      <x:c r="J1626" s="11" t="n">
        <x:f>G1626-2*H1626+IF(B1626="Butterfly",I1626,0)</x:f>
        <x:v>-159.27999999999997</x:v>
      </x:c>
      <x:c r="K1626" s="11" t="n">
        <x:f>ABS(E1626-D1626)</x:f>
        <x:v>200</x:v>
      </x:c>
      <x:c r="L1626" s="11" t="n">
        <x:f>K1626-J1626</x:f>
        <x:v>359.28</x:v>
      </x:c>
      <x:c r="M1626" s="11" t="str">
        <x:f>IF(B1626="Butterfly",MAX(J1626,0),IF(C1626="call","Unlimited",MAX(2*E1626-D1626+J1626,J1626,0)))</x:f>
        <x:v>Unlimited</x:v>
      </x:c>
      <x:c r="N1626" s="11" t="str">
        <x:f>IF(B1626="Butterfly",IF(AND(J1626&gt;0,J1626&lt;K1626),D1626+J1626,"n.a."),IF(C1626="call",IF(AND(J1626&gt;0,J1626&lt;K1626),D1626+J1626,"n.a."),IF(AND(K1626&gt;J1626,2*E1626-D1626+J1626&gt;=0),2*E1626-D1626+J1626,"n.a.")))</x:f>
        <x:v>n.a.</x:v>
      </x:c>
      <x:c r="O1626" s="11" t="n">
        <x:f>IF(B1626="Butterfly",IF(AND(J1626&gt;0,J1626&lt;K1626),F1626-J1626,"n.a."),IF(C1626="call",IF(K1626&gt;J1626,2*E1626-D1626-J1626,"n.a."),IF(AND(J1626&gt;0,J1626&lt;K1626),D1626-J1626,"n.a.")))</x:f>
        <x:v>7959.28</x:v>
      </x:c>
      <x:c r="P1626" s="19" t="str">
        <x:f>IF(AND(B1626="Butterfly",J1626&gt;0,J1626&lt;K1626),L1626/J1626,"n.a.")</x:f>
        <x:v>n.a.</x:v>
      </x:c>
      <x:c r="Q1626" s="11" t="n">
        <x:f>J1626*'Model inputs'!$B$8</x:f>
        <x:v>-15927.999999999996</x:v>
      </x:c>
      <x:c r="R1626" s="1" t="str">
        <x:v>Indicative only</x:v>
      </x:c>
      <x:c r="S1626" s="1" t="n">
        <x:v>292</x:v>
      </x:c>
      <x:c r="T1626" s="1" t="n">
        <x:v>311</x:v>
      </x:c>
    </x:row>
    <x:row r="1627" ht="21" customHeight="1">
      <x:c r="A1627" s="12" t="n">
        <x:v>46255</x:v>
      </x:c>
      <x:c r="B1627" s="1" t="str">
        <x:v>1x2 ratio</x:v>
      </x:c>
      <x:c r="C1627" s="1" t="str">
        <x:v>put</x:v>
      </x:c>
      <x:c r="D1627" s="11" t="n">
        <x:v>5800</x:v>
      </x:c>
      <x:c r="E1627" s="11" t="n">
        <x:v>5600</x:v>
      </x:c>
      <x:c r="F1627" s="11"/>
      <x:c r="G1627" s="11" t="n">
        <x:f>'Option source'!B639</x:f>
        <x:v>96.17</x:v>
      </x:c>
      <x:c r="H1627" s="11" t="n">
        <x:f>'Option source'!B620</x:f>
        <x:v>62.84</x:v>
      </x:c>
      <x:c r="I1627" s="11"/>
      <x:c r="J1627" s="11" t="n">
        <x:f>G1627-2*H1627+IF(B1627="Butterfly",I1627,0)</x:f>
        <x:v>-29.510000000000005</x:v>
      </x:c>
      <x:c r="K1627" s="11" t="n">
        <x:f>ABS(E1627-D1627)</x:f>
        <x:v>200</x:v>
      </x:c>
      <x:c r="L1627" s="11" t="n">
        <x:f>K1627-J1627</x:f>
        <x:v>229.51</x:v>
      </x:c>
      <x:c r="M1627" s="11" t="n">
        <x:f>IF(B1627="Butterfly",MAX(J1627,0),IF(C1627="call","Unlimited",MAX(2*E1627-D1627+J1627,J1627,0)))</x:f>
        <x:v>5370.49</x:v>
      </x:c>
      <x:c r="N1627" s="11" t="n">
        <x:f>IF(B1627="Butterfly",IF(AND(J1627&gt;0,J1627&lt;K1627),D1627+J1627,"n.a."),IF(C1627="call",IF(AND(J1627&gt;0,J1627&lt;K1627),D1627+J1627,"n.a."),IF(AND(K1627&gt;J1627,2*E1627-D1627+J1627&gt;=0),2*E1627-D1627+J1627,"n.a.")))</x:f>
        <x:v>5370.49</x:v>
      </x:c>
      <x:c r="O1627" s="11" t="str">
        <x:f>IF(B1627="Butterfly",IF(AND(J1627&gt;0,J1627&lt;K1627),F1627-J1627,"n.a."),IF(C1627="call",IF(K1627&gt;J1627,2*E1627-D1627-J1627,"n.a."),IF(AND(J1627&gt;0,J1627&lt;K1627),D1627-J1627,"n.a.")))</x:f>
        <x:v>n.a.</x:v>
      </x:c>
      <x:c r="P1627" s="19" t="str">
        <x:f>IF(AND(B1627="Butterfly",J1627&gt;0,J1627&lt;K1627),L1627/J1627,"n.a.")</x:f>
        <x:v>n.a.</x:v>
      </x:c>
      <x:c r="Q1627" s="11" t="n">
        <x:f>J1627*'Model inputs'!$B$8</x:f>
        <x:v>-2951.0000000000005</x:v>
      </x:c>
      <x:c r="R1627" s="1" t="str">
        <x:v>Indicative only</x:v>
      </x:c>
      <x:c r="S1627" s="1" t="n">
        <x:v>634</x:v>
      </x:c>
      <x:c r="T1627" s="1" t="n">
        <x:v>615</x:v>
      </x:c>
    </x:row>
    <x:row r="1628" ht="21" customHeight="1">
      <x:c r="A1628" s="12" t="n">
        <x:v>46255</x:v>
      </x:c>
      <x:c r="B1628" s="1" t="str">
        <x:v>1x2 ratio</x:v>
      </x:c>
      <x:c r="C1628" s="1" t="str">
        <x:v>call</x:v>
      </x:c>
      <x:c r="D1628" s="11" t="n">
        <x:v>7600</x:v>
      </x:c>
      <x:c r="E1628" s="11" t="n">
        <x:v>7800</x:v>
      </x:c>
      <x:c r="F1628" s="11"/>
      <x:c r="G1628" s="11" t="n">
        <x:f>'Option source'!B316</x:f>
        <x:v>215.5</x:v>
      </x:c>
      <x:c r="H1628" s="11" t="n">
        <x:f>'Option source'!B335</x:f>
        <x:v>175.19</x:v>
      </x:c>
      <x:c r="I1628" s="11"/>
      <x:c r="J1628" s="11" t="n">
        <x:f>G1628-2*H1628+IF(B1628="Butterfly",I1628,0)</x:f>
        <x:v>-134.88</x:v>
      </x:c>
      <x:c r="K1628" s="11" t="n">
        <x:f>ABS(E1628-D1628)</x:f>
        <x:v>200</x:v>
      </x:c>
      <x:c r="L1628" s="11" t="n">
        <x:f>K1628-J1628</x:f>
        <x:v>334.88</x:v>
      </x:c>
      <x:c r="M1628" s="11" t="str">
        <x:f>IF(B1628="Butterfly",MAX(J1628,0),IF(C1628="call","Unlimited",MAX(2*E1628-D1628+J1628,J1628,0)))</x:f>
        <x:v>Unlimited</x:v>
      </x:c>
      <x:c r="N1628" s="11" t="str">
        <x:f>IF(B1628="Butterfly",IF(AND(J1628&gt;0,J1628&lt;K1628),D1628+J1628,"n.a."),IF(C1628="call",IF(AND(J1628&gt;0,J1628&lt;K1628),D1628+J1628,"n.a."),IF(AND(K1628&gt;J1628,2*E1628-D1628+J1628&gt;=0),2*E1628-D1628+J1628,"n.a.")))</x:f>
        <x:v>n.a.</x:v>
      </x:c>
      <x:c r="O1628" s="11" t="n">
        <x:f>IF(B1628="Butterfly",IF(AND(J1628&gt;0,J1628&lt;K1628),F1628-J1628,"n.a."),IF(C1628="call",IF(K1628&gt;J1628,2*E1628-D1628-J1628,"n.a."),IF(AND(J1628&gt;0,J1628&lt;K1628),D1628-J1628,"n.a.")))</x:f>
        <x:v>8134.88</x:v>
      </x:c>
      <x:c r="P1628" s="19" t="str">
        <x:f>IF(AND(B1628="Butterfly",J1628&gt;0,J1628&lt;K1628),L1628/J1628,"n.a.")</x:f>
        <x:v>n.a.</x:v>
      </x:c>
      <x:c r="Q1628" s="11" t="n">
        <x:f>J1628*'Model inputs'!$B$8</x:f>
        <x:v>-13488</x:v>
      </x:c>
      <x:c r="R1628" s="1" t="str">
        <x:v>Indicative only</x:v>
      </x:c>
      <x:c r="S1628" s="1" t="n">
        <x:v>311</x:v>
      </x:c>
      <x:c r="T1628" s="1" t="n">
        <x:v>330</x:v>
      </x:c>
    </x:row>
    <x:row r="1629" ht="21" customHeight="1">
      <x:c r="A1629" s="12" t="n">
        <x:v>46255</x:v>
      </x:c>
      <x:c r="B1629" s="1" t="str">
        <x:v>1x2 ratio</x:v>
      </x:c>
      <x:c r="C1629" s="1" t="str">
        <x:v>put</x:v>
      </x:c>
      <x:c r="D1629" s="11" t="n">
        <x:v>5600</x:v>
      </x:c>
      <x:c r="E1629" s="11" t="n">
        <x:v>5400</x:v>
      </x:c>
      <x:c r="F1629" s="11"/>
      <x:c r="G1629" s="11" t="n">
        <x:f>'Option source'!B620</x:f>
        <x:v>62.84</x:v>
      </x:c>
      <x:c r="H1629" s="11" t="n">
        <x:f>'Option source'!B601</x:f>
        <x:v>39.81</x:v>
      </x:c>
      <x:c r="I1629" s="11"/>
      <x:c r="J1629" s="11" t="n">
        <x:f>G1629-2*H1629+IF(B1629="Butterfly",I1629,0)</x:f>
        <x:v>-16.78</x:v>
      </x:c>
      <x:c r="K1629" s="11" t="n">
        <x:f>ABS(E1629-D1629)</x:f>
        <x:v>200</x:v>
      </x:c>
      <x:c r="L1629" s="11" t="n">
        <x:f>K1629-J1629</x:f>
        <x:v>216.78</x:v>
      </x:c>
      <x:c r="M1629" s="11" t="n">
        <x:f>IF(B1629="Butterfly",MAX(J1629,0),IF(C1629="call","Unlimited",MAX(2*E1629-D1629+J1629,J1629,0)))</x:f>
        <x:v>5183.22</x:v>
      </x:c>
      <x:c r="N1629" s="11" t="n">
        <x:f>IF(B1629="Butterfly",IF(AND(J1629&gt;0,J1629&lt;K1629),D1629+J1629,"n.a."),IF(C1629="call",IF(AND(J1629&gt;0,J1629&lt;K1629),D1629+J1629,"n.a."),IF(AND(K1629&gt;J1629,2*E1629-D1629+J1629&gt;=0),2*E1629-D1629+J1629,"n.a.")))</x:f>
        <x:v>5183.22</x:v>
      </x:c>
      <x:c r="O1629" s="11" t="str">
        <x:f>IF(B1629="Butterfly",IF(AND(J1629&gt;0,J1629&lt;K1629),F1629-J1629,"n.a."),IF(C1629="call",IF(K1629&gt;J1629,2*E1629-D1629-J1629,"n.a."),IF(AND(J1629&gt;0,J1629&lt;K1629),D1629-J1629,"n.a.")))</x:f>
        <x:v>n.a.</x:v>
      </x:c>
      <x:c r="P1629" s="19" t="str">
        <x:f>IF(AND(B1629="Butterfly",J1629&gt;0,J1629&lt;K1629),L1629/J1629,"n.a.")</x:f>
        <x:v>n.a.</x:v>
      </x:c>
      <x:c r="Q1629" s="11" t="n">
        <x:f>J1629*'Model inputs'!$B$8</x:f>
        <x:v>-1678</x:v>
      </x:c>
      <x:c r="R1629" s="1" t="str">
        <x:v>Indicative only</x:v>
      </x:c>
      <x:c r="S1629" s="1" t="n">
        <x:v>615</x:v>
      </x:c>
      <x:c r="T1629" s="1" t="n">
        <x:v>596</x:v>
      </x:c>
    </x:row>
    <x:row r="1630" ht="21" customHeight="1">
      <x:c r="A1630" s="12" t="n">
        <x:v>46255</x:v>
      </x:c>
      <x:c r="B1630" s="1" t="str">
        <x:v>1x2 ratio</x:v>
      </x:c>
      <x:c r="C1630" s="1" t="str">
        <x:v>call</x:v>
      </x:c>
      <x:c r="D1630" s="11" t="n">
        <x:v>7800</x:v>
      </x:c>
      <x:c r="E1630" s="11" t="n">
        <x:v>8000</x:v>
      </x:c>
      <x:c r="F1630" s="11"/>
      <x:c r="G1630" s="11" t="n">
        <x:f>'Option source'!B335</x:f>
        <x:v>175.19</x:v>
      </x:c>
      <x:c r="H1630" s="11" t="n">
        <x:f>'Option source'!B354</x:f>
        <x:v>145.19</x:v>
      </x:c>
      <x:c r="I1630" s="11"/>
      <x:c r="J1630" s="11" t="n">
        <x:f>G1630-2*H1630+IF(B1630="Butterfly",I1630,0)</x:f>
        <x:v>-115.19</x:v>
      </x:c>
      <x:c r="K1630" s="11" t="n">
        <x:f>ABS(E1630-D1630)</x:f>
        <x:v>200</x:v>
      </x:c>
      <x:c r="L1630" s="11" t="n">
        <x:f>K1630-J1630</x:f>
        <x:v>315.19</x:v>
      </x:c>
      <x:c r="M1630" s="11" t="str">
        <x:f>IF(B1630="Butterfly",MAX(J1630,0),IF(C1630="call","Unlimited",MAX(2*E1630-D1630+J1630,J1630,0)))</x:f>
        <x:v>Unlimited</x:v>
      </x:c>
      <x:c r="N1630" s="11" t="str">
        <x:f>IF(B1630="Butterfly",IF(AND(J1630&gt;0,J1630&lt;K1630),D1630+J1630,"n.a."),IF(C1630="call",IF(AND(J1630&gt;0,J1630&lt;K1630),D1630+J1630,"n.a."),IF(AND(K1630&gt;J1630,2*E1630-D1630+J1630&gt;=0),2*E1630-D1630+J1630,"n.a.")))</x:f>
        <x:v>n.a.</x:v>
      </x:c>
      <x:c r="O1630" s="11" t="n">
        <x:f>IF(B1630="Butterfly",IF(AND(J1630&gt;0,J1630&lt;K1630),F1630-J1630,"n.a."),IF(C1630="call",IF(K1630&gt;J1630,2*E1630-D1630-J1630,"n.a."),IF(AND(J1630&gt;0,J1630&lt;K1630),D1630-J1630,"n.a.")))</x:f>
        <x:v>8315.19</x:v>
      </x:c>
      <x:c r="P1630" s="19" t="str">
        <x:f>IF(AND(B1630="Butterfly",J1630&gt;0,J1630&lt;K1630),L1630/J1630,"n.a.")</x:f>
        <x:v>n.a.</x:v>
      </x:c>
      <x:c r="Q1630" s="11" t="n">
        <x:f>J1630*'Model inputs'!$B$8</x:f>
        <x:v>-11519</x:v>
      </x:c>
      <x:c r="R1630" s="1" t="str">
        <x:v>Indicative only</x:v>
      </x:c>
      <x:c r="S1630" s="1" t="n">
        <x:v>330</x:v>
      </x:c>
      <x:c r="T1630" s="1" t="n">
        <x:v>349</x:v>
      </x:c>
    </x:row>
    <x:row r="1631" ht="21" customHeight="1">
      <x:c r="A1631" s="12" t="n">
        <x:v>46255</x:v>
      </x:c>
      <x:c r="B1631" s="1" t="str">
        <x:v>1x2 ratio</x:v>
      </x:c>
      <x:c r="C1631" s="1" t="str">
        <x:v>put</x:v>
      </x:c>
      <x:c r="D1631" s="11" t="n">
        <x:v>5400</x:v>
      </x:c>
      <x:c r="E1631" s="11" t="n">
        <x:v>5200</x:v>
      </x:c>
      <x:c r="F1631" s="11"/>
      <x:c r="G1631" s="11" t="n">
        <x:f>'Option source'!B601</x:f>
        <x:v>39.81</x:v>
      </x:c>
      <x:c r="H1631" s="11" t="n">
        <x:f>'Option source'!B582</x:f>
        <x:v>27.41</x:v>
      </x:c>
      <x:c r="I1631" s="11"/>
      <x:c r="J1631" s="11" t="n">
        <x:f>G1631-2*H1631+IF(B1631="Butterfly",I1631,0)</x:f>
        <x:v>-15.009999999999998</x:v>
      </x:c>
      <x:c r="K1631" s="11" t="n">
        <x:f>ABS(E1631-D1631)</x:f>
        <x:v>200</x:v>
      </x:c>
      <x:c r="L1631" s="11" t="n">
        <x:f>K1631-J1631</x:f>
        <x:v>215.01</x:v>
      </x:c>
      <x:c r="M1631" s="11" t="n">
        <x:f>IF(B1631="Butterfly",MAX(J1631,0),IF(C1631="call","Unlimited",MAX(2*E1631-D1631+J1631,J1631,0)))</x:f>
        <x:v>4984.99</x:v>
      </x:c>
      <x:c r="N1631" s="11" t="n">
        <x:f>IF(B1631="Butterfly",IF(AND(J1631&gt;0,J1631&lt;K1631),D1631+J1631,"n.a."),IF(C1631="call",IF(AND(J1631&gt;0,J1631&lt;K1631),D1631+J1631,"n.a."),IF(AND(K1631&gt;J1631,2*E1631-D1631+J1631&gt;=0),2*E1631-D1631+J1631,"n.a.")))</x:f>
        <x:v>4984.99</x:v>
      </x:c>
      <x:c r="O1631" s="11" t="str">
        <x:f>IF(B1631="Butterfly",IF(AND(J1631&gt;0,J1631&lt;K1631),F1631-J1631,"n.a."),IF(C1631="call",IF(K1631&gt;J1631,2*E1631-D1631-J1631,"n.a."),IF(AND(J1631&gt;0,J1631&lt;K1631),D1631-J1631,"n.a.")))</x:f>
        <x:v>n.a.</x:v>
      </x:c>
      <x:c r="P1631" s="19" t="str">
        <x:f>IF(AND(B1631="Butterfly",J1631&gt;0,J1631&lt;K1631),L1631/J1631,"n.a.")</x:f>
        <x:v>n.a.</x:v>
      </x:c>
      <x:c r="Q1631" s="11" t="n">
        <x:f>J1631*'Model inputs'!$B$8</x:f>
        <x:v>-1500.9999999999998</x:v>
      </x:c>
      <x:c r="R1631" s="1" t="str">
        <x:v>Indicative only</x:v>
      </x:c>
      <x:c r="S1631" s="1" t="n">
        <x:v>596</x:v>
      </x:c>
      <x:c r="T1631" s="1" t="n">
        <x:v>577</x:v>
      </x:c>
    </x:row>
    <x:row r="1632" ht="21" customHeight="1">
      <x:c r="A1632" s="12" t="n">
        <x:v>46255</x:v>
      </x:c>
      <x:c r="B1632" s="1" t="str">
        <x:v>1x2 ratio</x:v>
      </x:c>
      <x:c r="C1632" s="1" t="str">
        <x:v>put</x:v>
      </x:c>
      <x:c r="D1632" s="11" t="n">
        <x:v>5200</x:v>
      </x:c>
      <x:c r="E1632" s="11" t="n">
        <x:v>5000</x:v>
      </x:c>
      <x:c r="F1632" s="11"/>
      <x:c r="G1632" s="11" t="n">
        <x:f>'Option source'!B582</x:f>
        <x:v>27.41</x:v>
      </x:c>
      <x:c r="H1632" s="11" t="n">
        <x:f>'Option source'!B563</x:f>
        <x:v>17.89</x:v>
      </x:c>
      <x:c r="I1632" s="11"/>
      <x:c r="J1632" s="11" t="n">
        <x:f>G1632-2*H1632+IF(B1632="Butterfly",I1632,0)</x:f>
        <x:v>-8.370000000000001</x:v>
      </x:c>
      <x:c r="K1632" s="11" t="n">
        <x:f>ABS(E1632-D1632)</x:f>
        <x:v>200</x:v>
      </x:c>
      <x:c r="L1632" s="11" t="n">
        <x:f>K1632-J1632</x:f>
        <x:v>208.37</x:v>
      </x:c>
      <x:c r="M1632" s="11" t="n">
        <x:f>IF(B1632="Butterfly",MAX(J1632,0),IF(C1632="call","Unlimited",MAX(2*E1632-D1632+J1632,J1632,0)))</x:f>
        <x:v>4791.63</x:v>
      </x:c>
      <x:c r="N1632" s="11" t="n">
        <x:f>IF(B1632="Butterfly",IF(AND(J1632&gt;0,J1632&lt;K1632),D1632+J1632,"n.a."),IF(C1632="call",IF(AND(J1632&gt;0,J1632&lt;K1632),D1632+J1632,"n.a."),IF(AND(K1632&gt;J1632,2*E1632-D1632+J1632&gt;=0),2*E1632-D1632+J1632,"n.a.")))</x:f>
        <x:v>4791.63</x:v>
      </x:c>
      <x:c r="O1632" s="11" t="str">
        <x:f>IF(B1632="Butterfly",IF(AND(J1632&gt;0,J1632&lt;K1632),F1632-J1632,"n.a."),IF(C1632="call",IF(K1632&gt;J1632,2*E1632-D1632-J1632,"n.a."),IF(AND(J1632&gt;0,J1632&lt;K1632),D1632-J1632,"n.a.")))</x:f>
        <x:v>n.a.</x:v>
      </x:c>
      <x:c r="P1632" s="19" t="str">
        <x:f>IF(AND(B1632="Butterfly",J1632&gt;0,J1632&lt;K1632),L1632/J1632,"n.a.")</x:f>
        <x:v>n.a.</x:v>
      </x:c>
      <x:c r="Q1632" s="11" t="n">
        <x:f>J1632*'Model inputs'!$B$8</x:f>
        <x:v>-837.0000000000001</x:v>
      </x:c>
      <x:c r="R1632" s="1" t="str">
        <x:v>Indicative only</x:v>
      </x:c>
      <x:c r="S1632" s="1" t="n">
        <x:v>577</x:v>
      </x:c>
      <x:c r="T1632" s="1" t="n">
        <x:v>558</x:v>
      </x:c>
    </x:row>
    <x:row r="1633" ht="21" customHeight="1">
      <x:c r="A1633" s="12" t="n">
        <x:v>46255</x:v>
      </x:c>
      <x:c r="B1633" s="1" t="str">
        <x:v>1x2 ratio</x:v>
      </x:c>
      <x:c r="C1633" s="1" t="str">
        <x:v>call</x:v>
      </x:c>
      <x:c r="D1633" s="11" t="n">
        <x:v>8000</x:v>
      </x:c>
      <x:c r="E1633" s="11" t="n">
        <x:v>8300</x:v>
      </x:c>
      <x:c r="F1633" s="11"/>
      <x:c r="G1633" s="11" t="n">
        <x:f>'Option source'!B354</x:f>
        <x:v>145.19</x:v>
      </x:c>
      <x:c r="H1633" s="11" t="n">
        <x:f>'Option source'!B373</x:f>
        <x:v>100.86</x:v>
      </x:c>
      <x:c r="I1633" s="11"/>
      <x:c r="J1633" s="11" t="n">
        <x:f>G1633-2*H1633+IF(B1633="Butterfly",I1633,0)</x:f>
        <x:v>-56.53</x:v>
      </x:c>
      <x:c r="K1633" s="11" t="n">
        <x:f>ABS(E1633-D1633)</x:f>
        <x:v>300</x:v>
      </x:c>
      <x:c r="L1633" s="11" t="n">
        <x:f>K1633-J1633</x:f>
        <x:v>356.53</x:v>
      </x:c>
      <x:c r="M1633" s="11" t="str">
        <x:f>IF(B1633="Butterfly",MAX(J1633,0),IF(C1633="call","Unlimited",MAX(2*E1633-D1633+J1633,J1633,0)))</x:f>
        <x:v>Unlimited</x:v>
      </x:c>
      <x:c r="N1633" s="11" t="str">
        <x:f>IF(B1633="Butterfly",IF(AND(J1633&gt;0,J1633&lt;K1633),D1633+J1633,"n.a."),IF(C1633="call",IF(AND(J1633&gt;0,J1633&lt;K1633),D1633+J1633,"n.a."),IF(AND(K1633&gt;J1633,2*E1633-D1633+J1633&gt;=0),2*E1633-D1633+J1633,"n.a.")))</x:f>
        <x:v>n.a.</x:v>
      </x:c>
      <x:c r="O1633" s="11" t="n">
        <x:f>IF(B1633="Butterfly",IF(AND(J1633&gt;0,J1633&lt;K1633),F1633-J1633,"n.a."),IF(C1633="call",IF(K1633&gt;J1633,2*E1633-D1633-J1633,"n.a."),IF(AND(J1633&gt;0,J1633&lt;K1633),D1633-J1633,"n.a.")))</x:f>
        <x:v>8656.53</x:v>
      </x:c>
      <x:c r="P1633" s="19" t="str">
        <x:f>IF(AND(B1633="Butterfly",J1633&gt;0,J1633&lt;K1633),L1633/J1633,"n.a.")</x:f>
        <x:v>n.a.</x:v>
      </x:c>
      <x:c r="Q1633" s="11" t="n">
        <x:f>J1633*'Model inputs'!$B$8</x:f>
        <x:v>-5653</x:v>
      </x:c>
      <x:c r="R1633" s="1" t="str">
        <x:v>Indicative only</x:v>
      </x:c>
      <x:c r="S1633" s="1" t="n">
        <x:v>349</x:v>
      </x:c>
      <x:c r="T1633" s="1" t="n">
        <x:v>368</x:v>
      </x:c>
    </x:row>
    <x:row r="1634" ht="21" customHeight="1">
      <x:c r="A1634" s="12" t="n">
        <x:v>46255</x:v>
      </x:c>
      <x:c r="B1634" s="1" t="str">
        <x:v>1x2 ratio</x:v>
      </x:c>
      <x:c r="C1634" s="1" t="str">
        <x:v>put</x:v>
      </x:c>
      <x:c r="D1634" s="11" t="n">
        <x:v>5000</x:v>
      </x:c>
      <x:c r="E1634" s="11" t="n">
        <x:v>4800</x:v>
      </x:c>
      <x:c r="F1634" s="11"/>
      <x:c r="G1634" s="11" t="n">
        <x:f>'Option source'!B563</x:f>
        <x:v>17.89</x:v>
      </x:c>
      <x:c r="H1634" s="11" t="n">
        <x:f>'Option source'!B544</x:f>
        <x:v>7.23</x:v>
      </x:c>
      <x:c r="I1634" s="11"/>
      <x:c r="J1634" s="11" t="n">
        <x:f>G1634-2*H1634+IF(B1634="Butterfly",I1634,0)</x:f>
        <x:v>3.4299999999999997</x:v>
      </x:c>
      <x:c r="K1634" s="11" t="n">
        <x:f>ABS(E1634-D1634)</x:f>
        <x:v>200</x:v>
      </x:c>
      <x:c r="L1634" s="11" t="n">
        <x:f>K1634-J1634</x:f>
        <x:v>196.57</x:v>
      </x:c>
      <x:c r="M1634" s="11" t="n">
        <x:f>IF(B1634="Butterfly",MAX(J1634,0),IF(C1634="call","Unlimited",MAX(2*E1634-D1634+J1634,J1634,0)))</x:f>
        <x:v>4603.43</x:v>
      </x:c>
      <x:c r="N1634" s="11" t="n">
        <x:f>IF(B1634="Butterfly",IF(AND(J1634&gt;0,J1634&lt;K1634),D1634+J1634,"n.a."),IF(C1634="call",IF(AND(J1634&gt;0,J1634&lt;K1634),D1634+J1634,"n.a."),IF(AND(K1634&gt;J1634,2*E1634-D1634+J1634&gt;=0),2*E1634-D1634+J1634,"n.a.")))</x:f>
        <x:v>4603.43</x:v>
      </x:c>
      <x:c r="O1634" s="11" t="n">
        <x:f>IF(B1634="Butterfly",IF(AND(J1634&gt;0,J1634&lt;K1634),F1634-J1634,"n.a."),IF(C1634="call",IF(K1634&gt;J1634,2*E1634-D1634-J1634,"n.a."),IF(AND(J1634&gt;0,J1634&lt;K1634),D1634-J1634,"n.a.")))</x:f>
        <x:v>4996.57</x:v>
      </x:c>
      <x:c r="P1634" s="19" t="str">
        <x:f>IF(AND(B1634="Butterfly",J1634&gt;0,J1634&lt;K1634),L1634/J1634,"n.a.")</x:f>
        <x:v>n.a.</x:v>
      </x:c>
      <x:c r="Q1634" s="11" t="n">
        <x:f>J1634*'Model inputs'!$B$8</x:f>
        <x:v>343</x:v>
      </x:c>
      <x:c r="R1634" s="1" t="str">
        <x:v>Indicative only</x:v>
      </x:c>
      <x:c r="S1634" s="1" t="n">
        <x:v>558</x:v>
      </x:c>
      <x:c r="T1634" s="1" t="n">
        <x:v>539</x:v>
      </x:c>
    </x:row>
    <x:row r="1635" ht="21" customHeight="1">
      <x:c r="A1635" s="12" t="n">
        <x:v>46255</x:v>
      </x:c>
      <x:c r="B1635" s="1" t="str">
        <x:v>1x2 ratio</x:v>
      </x:c>
      <x:c r="C1635" s="1" t="str">
        <x:v>call</x:v>
      </x:c>
      <x:c r="D1635" s="11" t="n">
        <x:v>8300</x:v>
      </x:c>
      <x:c r="E1635" s="11" t="n">
        <x:v>8600</x:v>
      </x:c>
      <x:c r="F1635" s="11"/>
      <x:c r="G1635" s="11" t="n">
        <x:f>'Option source'!B373</x:f>
        <x:v>100.86</x:v>
      </x:c>
      <x:c r="H1635" s="11" t="n">
        <x:f>'Option source'!B392</x:f>
        <x:v>72.05</x:v>
      </x:c>
      <x:c r="I1635" s="11"/>
      <x:c r="J1635" s="11" t="n">
        <x:f>G1635-2*H1635+IF(B1635="Butterfly",I1635,0)</x:f>
        <x:v>-43.239999999999995</x:v>
      </x:c>
      <x:c r="K1635" s="11" t="n">
        <x:f>ABS(E1635-D1635)</x:f>
        <x:v>300</x:v>
      </x:c>
      <x:c r="L1635" s="11" t="n">
        <x:f>K1635-J1635</x:f>
        <x:v>343.24</x:v>
      </x:c>
      <x:c r="M1635" s="11" t="str">
        <x:f>IF(B1635="Butterfly",MAX(J1635,0),IF(C1635="call","Unlimited",MAX(2*E1635-D1635+J1635,J1635,0)))</x:f>
        <x:v>Unlimited</x:v>
      </x:c>
      <x:c r="N1635" s="11" t="str">
        <x:f>IF(B1635="Butterfly",IF(AND(J1635&gt;0,J1635&lt;K1635),D1635+J1635,"n.a."),IF(C1635="call",IF(AND(J1635&gt;0,J1635&lt;K1635),D1635+J1635,"n.a."),IF(AND(K1635&gt;J1635,2*E1635-D1635+J1635&gt;=0),2*E1635-D1635+J1635,"n.a.")))</x:f>
        <x:v>n.a.</x:v>
      </x:c>
      <x:c r="O1635" s="11" t="n">
        <x:f>IF(B1635="Butterfly",IF(AND(J1635&gt;0,J1635&lt;K1635),F1635-J1635,"n.a."),IF(C1635="call",IF(K1635&gt;J1635,2*E1635-D1635-J1635,"n.a."),IF(AND(J1635&gt;0,J1635&lt;K1635),D1635-J1635,"n.a.")))</x:f>
        <x:v>8943.24</x:v>
      </x:c>
      <x:c r="P1635" s="19" t="str">
        <x:f>IF(AND(B1635="Butterfly",J1635&gt;0,J1635&lt;K1635),L1635/J1635,"n.a.")</x:f>
        <x:v>n.a.</x:v>
      </x:c>
      <x:c r="Q1635" s="11" t="n">
        <x:f>J1635*'Model inputs'!$B$8</x:f>
        <x:v>-4323.999999999999</x:v>
      </x:c>
      <x:c r="R1635" s="1" t="str">
        <x:v>Indicative only</x:v>
      </x:c>
      <x:c r="S1635" s="1" t="n">
        <x:v>368</x:v>
      </x:c>
      <x:c r="T1635" s="1" t="n">
        <x:v>387</x:v>
      </x:c>
    </x:row>
    <x:row r="1636" ht="21" customHeight="1">
      <x:c r="A1636" s="12" t="n">
        <x:v>46255</x:v>
      </x:c>
      <x:c r="B1636" s="1" t="str">
        <x:v>1x2 ratio</x:v>
      </x:c>
      <x:c r="C1636" s="1" t="str">
        <x:v>call</x:v>
      </x:c>
      <x:c r="D1636" s="11" t="n">
        <x:v>8600</x:v>
      </x:c>
      <x:c r="E1636" s="11" t="n">
        <x:v>8900</x:v>
      </x:c>
      <x:c r="F1636" s="11"/>
      <x:c r="G1636" s="11" t="n">
        <x:f>'Option source'!B392</x:f>
        <x:v>72.05</x:v>
      </x:c>
      <x:c r="H1636" s="11" t="n">
        <x:f>'Option source'!B411</x:f>
        <x:v>49.98</x:v>
      </x:c>
      <x:c r="I1636" s="11"/>
      <x:c r="J1636" s="11" t="n">
        <x:f>G1636-2*H1636+IF(B1636="Butterfly",I1636,0)</x:f>
        <x:v>-27.909999999999997</x:v>
      </x:c>
      <x:c r="K1636" s="11" t="n">
        <x:f>ABS(E1636-D1636)</x:f>
        <x:v>300</x:v>
      </x:c>
      <x:c r="L1636" s="11" t="n">
        <x:f>K1636-J1636</x:f>
        <x:v>327.90999999999997</x:v>
      </x:c>
      <x:c r="M1636" s="11" t="str">
        <x:f>IF(B1636="Butterfly",MAX(J1636,0),IF(C1636="call","Unlimited",MAX(2*E1636-D1636+J1636,J1636,0)))</x:f>
        <x:v>Unlimited</x:v>
      </x:c>
      <x:c r="N1636" s="11" t="str">
        <x:f>IF(B1636="Butterfly",IF(AND(J1636&gt;0,J1636&lt;K1636),D1636+J1636,"n.a."),IF(C1636="call",IF(AND(J1636&gt;0,J1636&lt;K1636),D1636+J1636,"n.a."),IF(AND(K1636&gt;J1636,2*E1636-D1636+J1636&gt;=0),2*E1636-D1636+J1636,"n.a.")))</x:f>
        <x:v>n.a.</x:v>
      </x:c>
      <x:c r="O1636" s="11" t="n">
        <x:f>IF(B1636="Butterfly",IF(AND(J1636&gt;0,J1636&lt;K1636),F1636-J1636,"n.a."),IF(C1636="call",IF(K1636&gt;J1636,2*E1636-D1636-J1636,"n.a."),IF(AND(J1636&gt;0,J1636&lt;K1636),D1636-J1636,"n.a.")))</x:f>
        <x:v>9227.91</x:v>
      </x:c>
      <x:c r="P1636" s="19" t="str">
        <x:f>IF(AND(B1636="Butterfly",J1636&gt;0,J1636&lt;K1636),L1636/J1636,"n.a.")</x:f>
        <x:v>n.a.</x:v>
      </x:c>
      <x:c r="Q1636" s="11" t="n">
        <x:f>J1636*'Model inputs'!$B$8</x:f>
        <x:v>-2790.9999999999995</x:v>
      </x:c>
      <x:c r="R1636" s="1" t="str">
        <x:v>Indicative only</x:v>
      </x:c>
      <x:c r="S1636" s="1" t="n">
        <x:v>387</x:v>
      </x:c>
      <x:c r="T1636" s="1" t="n">
        <x:v>406</x:v>
      </x:c>
    </x:row>
    <x:row r="1637" ht="21" customHeight="1">
      <x:c r="A1637" s="12" t="n">
        <x:v>46255</x:v>
      </x:c>
      <x:c r="B1637" s="1" t="str">
        <x:v>1x2 ratio</x:v>
      </x:c>
      <x:c r="C1637" s="1" t="str">
        <x:v>call</x:v>
      </x:c>
      <x:c r="D1637" s="11" t="n">
        <x:v>8900</x:v>
      </x:c>
      <x:c r="E1637" s="11" t="n">
        <x:v>9200</x:v>
      </x:c>
      <x:c r="F1637" s="11"/>
      <x:c r="G1637" s="11" t="n">
        <x:f>'Option source'!B411</x:f>
        <x:v>49.98</x:v>
      </x:c>
      <x:c r="H1637" s="11" t="n">
        <x:f>'Option source'!B430</x:f>
        <x:v>33.56</x:v>
      </x:c>
      <x:c r="I1637" s="11"/>
      <x:c r="J1637" s="11" t="n">
        <x:f>G1637-2*H1637+IF(B1637="Butterfly",I1637,0)</x:f>
        <x:v>-17.140000000000008</x:v>
      </x:c>
      <x:c r="K1637" s="11" t="n">
        <x:f>ABS(E1637-D1637)</x:f>
        <x:v>300</x:v>
      </x:c>
      <x:c r="L1637" s="11" t="n">
        <x:f>K1637-J1637</x:f>
        <x:v>317.14</x:v>
      </x:c>
      <x:c r="M1637" s="11" t="str">
        <x:f>IF(B1637="Butterfly",MAX(J1637,0),IF(C1637="call","Unlimited",MAX(2*E1637-D1637+J1637,J1637,0)))</x:f>
        <x:v>Unlimited</x:v>
      </x:c>
      <x:c r="N1637" s="11" t="str">
        <x:f>IF(B1637="Butterfly",IF(AND(J1637&gt;0,J1637&lt;K1637),D1637+J1637,"n.a."),IF(C1637="call",IF(AND(J1637&gt;0,J1637&lt;K1637),D1637+J1637,"n.a."),IF(AND(K1637&gt;J1637,2*E1637-D1637+J1637&gt;=0),2*E1637-D1637+J1637,"n.a.")))</x:f>
        <x:v>n.a.</x:v>
      </x:c>
      <x:c r="O1637" s="11" t="n">
        <x:f>IF(B1637="Butterfly",IF(AND(J1637&gt;0,J1637&lt;K1637),F1637-J1637,"n.a."),IF(C1637="call",IF(K1637&gt;J1637,2*E1637-D1637-J1637,"n.a."),IF(AND(J1637&gt;0,J1637&lt;K1637),D1637-J1637,"n.a.")))</x:f>
        <x:v>9517.14</x:v>
      </x:c>
      <x:c r="P1637" s="19" t="str">
        <x:f>IF(AND(B1637="Butterfly",J1637&gt;0,J1637&lt;K1637),L1637/J1637,"n.a.")</x:f>
        <x:v>n.a.</x:v>
      </x:c>
      <x:c r="Q1637" s="11" t="n">
        <x:f>J1637*'Model inputs'!$B$8</x:f>
        <x:v>-1714.0000000000007</x:v>
      </x:c>
      <x:c r="R1637" s="1" t="str">
        <x:v>Indicative only</x:v>
      </x:c>
      <x:c r="S1637" s="1" t="n">
        <x:v>406</x:v>
      </x:c>
      <x:c r="T1637" s="1" t="n">
        <x:v>425</x:v>
      </x:c>
    </x:row>
    <x:row r="1638" ht="21" customHeight="1">
      <x:c r="A1638" s="12" t="n">
        <x:v>46255</x:v>
      </x:c>
      <x:c r="B1638" s="1" t="str">
        <x:v>1x2 ratio</x:v>
      </x:c>
      <x:c r="C1638" s="1" t="str">
        <x:v>call</x:v>
      </x:c>
      <x:c r="D1638" s="11" t="n">
        <x:v>9200</x:v>
      </x:c>
      <x:c r="E1638" s="11" t="n">
        <x:v>9500</x:v>
      </x:c>
      <x:c r="F1638" s="11"/>
      <x:c r="G1638" s="11" t="n">
        <x:f>'Option source'!B430</x:f>
        <x:v>33.56</x:v>
      </x:c>
      <x:c r="H1638" s="11" t="n">
        <x:f>'Option source'!B449</x:f>
        <x:v>25.5</x:v>
      </x:c>
      <x:c r="I1638" s="11"/>
      <x:c r="J1638" s="11" t="n">
        <x:f>G1638-2*H1638+IF(B1638="Butterfly",I1638,0)</x:f>
        <x:v>-17.439999999999998</x:v>
      </x:c>
      <x:c r="K1638" s="11" t="n">
        <x:f>ABS(E1638-D1638)</x:f>
        <x:v>300</x:v>
      </x:c>
      <x:c r="L1638" s="11" t="n">
        <x:f>K1638-J1638</x:f>
        <x:v>317.44</x:v>
      </x:c>
      <x:c r="M1638" s="11" t="str">
        <x:f>IF(B1638="Butterfly",MAX(J1638,0),IF(C1638="call","Unlimited",MAX(2*E1638-D1638+J1638,J1638,0)))</x:f>
        <x:v>Unlimited</x:v>
      </x:c>
      <x:c r="N1638" s="11" t="str">
        <x:f>IF(B1638="Butterfly",IF(AND(J1638&gt;0,J1638&lt;K1638),D1638+J1638,"n.a."),IF(C1638="call",IF(AND(J1638&gt;0,J1638&lt;K1638),D1638+J1638,"n.a."),IF(AND(K1638&gt;J1638,2*E1638-D1638+J1638&gt;=0),2*E1638-D1638+J1638,"n.a.")))</x:f>
        <x:v>n.a.</x:v>
      </x:c>
      <x:c r="O1638" s="11" t="n">
        <x:f>IF(B1638="Butterfly",IF(AND(J1638&gt;0,J1638&lt;K1638),F1638-J1638,"n.a."),IF(C1638="call",IF(K1638&gt;J1638,2*E1638-D1638-J1638,"n.a."),IF(AND(J1638&gt;0,J1638&lt;K1638),D1638-J1638,"n.a.")))</x:f>
        <x:v>9817.44</x:v>
      </x:c>
      <x:c r="P1638" s="19" t="str">
        <x:f>IF(AND(B1638="Butterfly",J1638&gt;0,J1638&lt;K1638),L1638/J1638,"n.a.")</x:f>
        <x:v>n.a.</x:v>
      </x:c>
      <x:c r="Q1638" s="11" t="n">
        <x:f>J1638*'Model inputs'!$B$8</x:f>
        <x:v>-1743.9999999999998</x:v>
      </x:c>
      <x:c r="R1638" s="1" t="str">
        <x:v>Indicative only</x:v>
      </x:c>
      <x:c r="S1638" s="1" t="n">
        <x:v>425</x:v>
      </x:c>
      <x:c r="T1638" s="1" t="n">
        <x:v>444</x:v>
      </x:c>
    </x:row>
    <x:row r="1639" ht="21" customHeight="1">
      <x:c r="A1639" s="12" t="n">
        <x:v>46255</x:v>
      </x:c>
      <x:c r="B1639" s="1" t="str">
        <x:v>1x2 ratio</x:v>
      </x:c>
      <x:c r="C1639" s="1" t="str">
        <x:v>call</x:v>
      </x:c>
      <x:c r="D1639" s="11" t="n">
        <x:v>9500</x:v>
      </x:c>
      <x:c r="E1639" s="11" t="n">
        <x:v>9900</x:v>
      </x:c>
      <x:c r="F1639" s="11"/>
      <x:c r="G1639" s="11" t="n">
        <x:f>'Option source'!B449</x:f>
        <x:v>25.5</x:v>
      </x:c>
      <x:c r="H1639" s="11" t="n">
        <x:f>'Option source'!B468</x:f>
        <x:v>16</x:v>
      </x:c>
      <x:c r="I1639" s="11"/>
      <x:c r="J1639" s="11" t="n">
        <x:f>G1639-2*H1639+IF(B1639="Butterfly",I1639,0)</x:f>
        <x:v>-6.5</x:v>
      </x:c>
      <x:c r="K1639" s="11" t="n">
        <x:f>ABS(E1639-D1639)</x:f>
        <x:v>400</x:v>
      </x:c>
      <x:c r="L1639" s="11" t="n">
        <x:f>K1639-J1639</x:f>
        <x:v>406.5</x:v>
      </x:c>
      <x:c r="M1639" s="11" t="str">
        <x:f>IF(B1639="Butterfly",MAX(J1639,0),IF(C1639="call","Unlimited",MAX(2*E1639-D1639+J1639,J1639,0)))</x:f>
        <x:v>Unlimited</x:v>
      </x:c>
      <x:c r="N1639" s="11" t="str">
        <x:f>IF(B1639="Butterfly",IF(AND(J1639&gt;0,J1639&lt;K1639),D1639+J1639,"n.a."),IF(C1639="call",IF(AND(J1639&gt;0,J1639&lt;K1639),D1639+J1639,"n.a."),IF(AND(K1639&gt;J1639,2*E1639-D1639+J1639&gt;=0),2*E1639-D1639+J1639,"n.a.")))</x:f>
        <x:v>n.a.</x:v>
      </x:c>
      <x:c r="O1639" s="11" t="n">
        <x:f>IF(B1639="Butterfly",IF(AND(J1639&gt;0,J1639&lt;K1639),F1639-J1639,"n.a."),IF(C1639="call",IF(K1639&gt;J1639,2*E1639-D1639-J1639,"n.a."),IF(AND(J1639&gt;0,J1639&lt;K1639),D1639-J1639,"n.a.")))</x:f>
        <x:v>10306.5</x:v>
      </x:c>
      <x:c r="P1639" s="19" t="str">
        <x:f>IF(AND(B1639="Butterfly",J1639&gt;0,J1639&lt;K1639),L1639/J1639,"n.a.")</x:f>
        <x:v>n.a.</x:v>
      </x:c>
      <x:c r="Q1639" s="11" t="n">
        <x:f>J1639*'Model inputs'!$B$8</x:f>
        <x:v>-650</x:v>
      </x:c>
      <x:c r="R1639" s="1" t="str">
        <x:v>Indicative only</x:v>
      </x:c>
      <x:c r="S1639" s="1" t="n">
        <x:v>444</x:v>
      </x:c>
      <x:c r="T1639" s="1" t="n">
        <x:v>463</x:v>
      </x:c>
    </x:row>
    <x:row r="1640" ht="21" customHeight="1">
      <x:c r="A1640" s="12" t="n">
        <x:v>46255</x:v>
      </x:c>
      <x:c r="B1640" s="1" t="str">
        <x:v>1x2 ratio</x:v>
      </x:c>
      <x:c r="C1640" s="1" t="str">
        <x:v>put</x:v>
      </x:c>
      <x:c r="D1640" s="11" t="n">
        <x:v>7400</x:v>
      </x:c>
      <x:c r="E1640" s="11" t="n">
        <x:v>7200</x:v>
      </x:c>
      <x:c r="F1640" s="11"/>
      <x:c r="G1640" s="11" t="n">
        <x:f>'Option source'!B791</x:f>
        <x:v>780</x:v>
      </x:c>
      <x:c r="H1640" s="11" t="n">
        <x:f>'Option source'!B772</x:f>
        <x:v>731.63</x:v>
      </x:c>
      <x:c r="I1640" s="11"/>
      <x:c r="J1640" s="11" t="n">
        <x:f>G1640-2*H1640+IF(B1640="Butterfly",I1640,0)</x:f>
        <x:v>-683.26</x:v>
      </x:c>
      <x:c r="K1640" s="11" t="n">
        <x:f>ABS(E1640-D1640)</x:f>
        <x:v>200</x:v>
      </x:c>
      <x:c r="L1640" s="11" t="n">
        <x:f>K1640-J1640</x:f>
        <x:v>883.26</x:v>
      </x:c>
      <x:c r="M1640" s="11" t="n">
        <x:f>IF(B1640="Butterfly",MAX(J1640,0),IF(C1640="call","Unlimited",MAX(2*E1640-D1640+J1640,J1640,0)))</x:f>
        <x:v>6316.74</x:v>
      </x:c>
      <x:c r="N1640" s="11" t="n">
        <x:f>IF(B1640="Butterfly",IF(AND(J1640&gt;0,J1640&lt;K1640),D1640+J1640,"n.a."),IF(C1640="call",IF(AND(J1640&gt;0,J1640&lt;K1640),D1640+J1640,"n.a."),IF(AND(K1640&gt;J1640,2*E1640-D1640+J1640&gt;=0),2*E1640-D1640+J1640,"n.a.")))</x:f>
        <x:v>6316.74</x:v>
      </x:c>
      <x:c r="O1640" s="11" t="str">
        <x:f>IF(B1640="Butterfly",IF(AND(J1640&gt;0,J1640&lt;K1640),F1640-J1640,"n.a."),IF(C1640="call",IF(K1640&gt;J1640,2*E1640-D1640-J1640,"n.a."),IF(AND(J1640&gt;0,J1640&lt;K1640),D1640-J1640,"n.a.")))</x:f>
        <x:v>n.a.</x:v>
      </x:c>
      <x:c r="P1640" s="19" t="str">
        <x:f>IF(AND(B1640="Butterfly",J1640&gt;0,J1640&lt;K1640),L1640/J1640,"n.a.")</x:f>
        <x:v>n.a.</x:v>
      </x:c>
      <x:c r="Q1640" s="11" t="n">
        <x:f>J1640*'Model inputs'!$B$8</x:f>
        <x:v>-68326</x:v>
      </x:c>
      <x:c r="R1640" s="1" t="str">
        <x:v>Flagged leg data</x:v>
      </x:c>
      <x:c r="S1640" s="1" t="n">
        <x:v>786</x:v>
      </x:c>
      <x:c r="T1640" s="1" t="n">
        <x:v>767</x:v>
      </x:c>
    </x:row>
    <x:row r="1641" ht="21" customHeight="1">
      <x:c r="A1641" s="12" t="n">
        <x:v>46255</x:v>
      </x:c>
      <x:c r="B1641" s="1" t="str">
        <x:v>1x2 ratio</x:v>
      </x:c>
      <x:c r="C1641" s="1" t="str">
        <x:v>call</x:v>
      </x:c>
      <x:c r="D1641" s="11" t="n">
        <x:v>5400</x:v>
      </x:c>
      <x:c r="E1641" s="11" t="n">
        <x:v>6000</x:v>
      </x:c>
      <x:c r="F1641" s="11"/>
      <x:c r="G1641" s="11" t="n">
        <x:f>'Option source'!B117</x:f>
        <x:v>1534</x:v>
      </x:c>
      <x:c r="H1641" s="11" t="n">
        <x:f>'Option source'!B164</x:f>
        <x:v>995</x:v>
      </x:c>
      <x:c r="I1641" s="11"/>
      <x:c r="J1641" s="11" t="n">
        <x:f>G1641-2*H1641+IF(B1641="Butterfly",I1641,0)</x:f>
        <x:v>-456</x:v>
      </x:c>
      <x:c r="K1641" s="11" t="n">
        <x:f>ABS(E1641-D1641)</x:f>
        <x:v>600</x:v>
      </x:c>
      <x:c r="L1641" s="11" t="n">
        <x:f>K1641-J1641</x:f>
        <x:v>1056</x:v>
      </x:c>
      <x:c r="M1641" s="11" t="str">
        <x:f>IF(B1641="Butterfly",MAX(J1641,0),IF(C1641="call","Unlimited",MAX(2*E1641-D1641+J1641,J1641,0)))</x:f>
        <x:v>Unlimited</x:v>
      </x:c>
      <x:c r="N1641" s="11" t="str">
        <x:f>IF(B1641="Butterfly",IF(AND(J1641&gt;0,J1641&lt;K1641),D1641+J1641,"n.a."),IF(C1641="call",IF(AND(J1641&gt;0,J1641&lt;K1641),D1641+J1641,"n.a."),IF(AND(K1641&gt;J1641,2*E1641-D1641+J1641&gt;=0),2*E1641-D1641+J1641,"n.a.")))</x:f>
        <x:v>n.a.</x:v>
      </x:c>
      <x:c r="O1641" s="11" t="n">
        <x:f>IF(B1641="Butterfly",IF(AND(J1641&gt;0,J1641&lt;K1641),F1641-J1641,"n.a."),IF(C1641="call",IF(K1641&gt;J1641,2*E1641-D1641-J1641,"n.a."),IF(AND(J1641&gt;0,J1641&lt;K1641),D1641-J1641,"n.a.")))</x:f>
        <x:v>7056</x:v>
      </x:c>
      <x:c r="P1641" s="19" t="str">
        <x:f>IF(AND(B1641="Butterfly",J1641&gt;0,J1641&lt;K1641),L1641/J1641,"n.a.")</x:f>
        <x:v>n.a.</x:v>
      </x:c>
      <x:c r="Q1641" s="11" t="n">
        <x:f>J1641*'Model inputs'!$B$8</x:f>
        <x:v>-45600</x:v>
      </x:c>
      <x:c r="R1641" s="1" t="str">
        <x:v>Flagged leg data</x:v>
      </x:c>
      <x:c r="S1641" s="1" t="n">
        <x:v>112</x:v>
      </x:c>
      <x:c r="T1641" s="1" t="n">
        <x:v>159</x:v>
      </x:c>
    </x:row>
    <x:row r="1642" ht="21" customHeight="1">
      <x:c r="A1642" s="12" t="n">
        <x:v>46255</x:v>
      </x:c>
      <x:c r="B1642" s="1" t="str">
        <x:v>1x2 ratio</x:v>
      </x:c>
      <x:c r="C1642" s="1" t="str">
        <x:v>put</x:v>
      </x:c>
      <x:c r="D1642" s="11" t="n">
        <x:v>7600</x:v>
      </x:c>
      <x:c r="E1642" s="11" t="n">
        <x:v>7400</x:v>
      </x:c>
      <x:c r="F1642" s="11"/>
      <x:c r="G1642" s="11" t="n">
        <x:f>'Option source'!B810</x:f>
        <x:v>987.5</x:v>
      </x:c>
      <x:c r="H1642" s="11" t="n">
        <x:f>'Option source'!B791</x:f>
        <x:v>780</x:v>
      </x:c>
      <x:c r="I1642" s="11"/>
      <x:c r="J1642" s="11" t="n">
        <x:f>G1642-2*H1642+IF(B1642="Butterfly",I1642,0)</x:f>
        <x:v>-572.5</x:v>
      </x:c>
      <x:c r="K1642" s="11" t="n">
        <x:f>ABS(E1642-D1642)</x:f>
        <x:v>200</x:v>
      </x:c>
      <x:c r="L1642" s="11" t="n">
        <x:f>K1642-J1642</x:f>
        <x:v>772.5</x:v>
      </x:c>
      <x:c r="M1642" s="11" t="n">
        <x:f>IF(B1642="Butterfly",MAX(J1642,0),IF(C1642="call","Unlimited",MAX(2*E1642-D1642+J1642,J1642,0)))</x:f>
        <x:v>6627.5</x:v>
      </x:c>
      <x:c r="N1642" s="11" t="n">
        <x:f>IF(B1642="Butterfly",IF(AND(J1642&gt;0,J1642&lt;K1642),D1642+J1642,"n.a."),IF(C1642="call",IF(AND(J1642&gt;0,J1642&lt;K1642),D1642+J1642,"n.a."),IF(AND(K1642&gt;J1642,2*E1642-D1642+J1642&gt;=0),2*E1642-D1642+J1642,"n.a.")))</x:f>
        <x:v>6627.5</x:v>
      </x:c>
      <x:c r="O1642" s="11" t="str">
        <x:f>IF(B1642="Butterfly",IF(AND(J1642&gt;0,J1642&lt;K1642),F1642-J1642,"n.a."),IF(C1642="call",IF(K1642&gt;J1642,2*E1642-D1642-J1642,"n.a."),IF(AND(J1642&gt;0,J1642&lt;K1642),D1642-J1642,"n.a.")))</x:f>
        <x:v>n.a.</x:v>
      </x:c>
      <x:c r="P1642" s="19" t="str">
        <x:f>IF(AND(B1642="Butterfly",J1642&gt;0,J1642&lt;K1642),L1642/J1642,"n.a.")</x:f>
        <x:v>n.a.</x:v>
      </x:c>
      <x:c r="Q1642" s="11" t="n">
        <x:f>J1642*'Model inputs'!$B$8</x:f>
        <x:v>-57250</x:v>
      </x:c>
      <x:c r="R1642" s="1" t="str">
        <x:v>Flagged leg data</x:v>
      </x:c>
      <x:c r="S1642" s="1" t="n">
        <x:v>805</x:v>
      </x:c>
      <x:c r="T1642" s="1" t="n">
        <x:v>786</x:v>
      </x:c>
    </x:row>
    <x:row r="1643" ht="21" customHeight="1">
      <x:c r="A1643" s="12" t="n">
        <x:v>46255</x:v>
      </x:c>
      <x:c r="B1643" s="1" t="str">
        <x:v>1x2 ratio</x:v>
      </x:c>
      <x:c r="C1643" s="1" t="str">
        <x:v>put</x:v>
      </x:c>
      <x:c r="D1643" s="11" t="n">
        <x:v>7800</x:v>
      </x:c>
      <x:c r="E1643" s="11" t="n">
        <x:v>7600</x:v>
      </x:c>
      <x:c r="F1643" s="11"/>
      <x:c r="G1643" s="11" t="n">
        <x:f>'Option source'!B829</x:f>
        <x:v>1150</x:v>
      </x:c>
      <x:c r="H1643" s="11" t="n">
        <x:f>'Option source'!B810</x:f>
        <x:v>987.5</x:v>
      </x:c>
      <x:c r="I1643" s="11"/>
      <x:c r="J1643" s="11" t="n">
        <x:f>G1643-2*H1643+IF(B1643="Butterfly",I1643,0)</x:f>
        <x:v>-825</x:v>
      </x:c>
      <x:c r="K1643" s="11" t="n">
        <x:f>ABS(E1643-D1643)</x:f>
        <x:v>200</x:v>
      </x:c>
      <x:c r="L1643" s="11" t="n">
        <x:f>K1643-J1643</x:f>
        <x:v>1025</x:v>
      </x:c>
      <x:c r="M1643" s="11" t="n">
        <x:f>IF(B1643="Butterfly",MAX(J1643,0),IF(C1643="call","Unlimited",MAX(2*E1643-D1643+J1643,J1643,0)))</x:f>
        <x:v>6575</x:v>
      </x:c>
      <x:c r="N1643" s="11" t="n">
        <x:f>IF(B1643="Butterfly",IF(AND(J1643&gt;0,J1643&lt;K1643),D1643+J1643,"n.a."),IF(C1643="call",IF(AND(J1643&gt;0,J1643&lt;K1643),D1643+J1643,"n.a."),IF(AND(K1643&gt;J1643,2*E1643-D1643+J1643&gt;=0),2*E1643-D1643+J1643,"n.a.")))</x:f>
        <x:v>6575</x:v>
      </x:c>
      <x:c r="O1643" s="11" t="str">
        <x:f>IF(B1643="Butterfly",IF(AND(J1643&gt;0,J1643&lt;K1643),F1643-J1643,"n.a."),IF(C1643="call",IF(K1643&gt;J1643,2*E1643-D1643-J1643,"n.a."),IF(AND(J1643&gt;0,J1643&lt;K1643),D1643-J1643,"n.a.")))</x:f>
        <x:v>n.a.</x:v>
      </x:c>
      <x:c r="P1643" s="19" t="str">
        <x:f>IF(AND(B1643="Butterfly",J1643&gt;0,J1643&lt;K1643),L1643/J1643,"n.a.")</x:f>
        <x:v>n.a.</x:v>
      </x:c>
      <x:c r="Q1643" s="11" t="n">
        <x:f>J1643*'Model inputs'!$B$8</x:f>
        <x:v>-82500</x:v>
      </x:c>
      <x:c r="R1643" s="1" t="str">
        <x:v>Flagged leg data</x:v>
      </x:c>
      <x:c r="S1643" s="1" t="n">
        <x:v>824</x:v>
      </x:c>
      <x:c r="T1643" s="1" t="n">
        <x:v>805</x:v>
      </x:c>
    </x:row>
    <x:row r="1644" ht="21" customHeight="1">
      <x:c r="A1644" s="12" t="n">
        <x:v>46255</x:v>
      </x:c>
      <x:c r="B1644" s="1" t="str">
        <x:v>1x2 ratio</x:v>
      </x:c>
      <x:c r="C1644" s="1" t="str">
        <x:v>put</x:v>
      </x:c>
      <x:c r="D1644" s="11" t="n">
        <x:v>8000</x:v>
      </x:c>
      <x:c r="E1644" s="11" t="n">
        <x:v>7800</x:v>
      </x:c>
      <x:c r="F1644" s="11"/>
      <x:c r="G1644" s="11" t="n">
        <x:f>'Option source'!B848</x:f>
        <x:v>1337.5</x:v>
      </x:c>
      <x:c r="H1644" s="11" t="n">
        <x:f>'Option source'!B829</x:f>
        <x:v>1150</x:v>
      </x:c>
      <x:c r="I1644" s="11"/>
      <x:c r="J1644" s="11" t="n">
        <x:f>G1644-2*H1644+IF(B1644="Butterfly",I1644,0)</x:f>
        <x:v>-962.5</x:v>
      </x:c>
      <x:c r="K1644" s="11" t="n">
        <x:f>ABS(E1644-D1644)</x:f>
        <x:v>200</x:v>
      </x:c>
      <x:c r="L1644" s="11" t="n">
        <x:f>K1644-J1644</x:f>
        <x:v>1162.5</x:v>
      </x:c>
      <x:c r="M1644" s="11" t="n">
        <x:f>IF(B1644="Butterfly",MAX(J1644,0),IF(C1644="call","Unlimited",MAX(2*E1644-D1644+J1644,J1644,0)))</x:f>
        <x:v>6637.5</x:v>
      </x:c>
      <x:c r="N1644" s="11" t="n">
        <x:f>IF(B1644="Butterfly",IF(AND(J1644&gt;0,J1644&lt;K1644),D1644+J1644,"n.a."),IF(C1644="call",IF(AND(J1644&gt;0,J1644&lt;K1644),D1644+J1644,"n.a."),IF(AND(K1644&gt;J1644,2*E1644-D1644+J1644&gt;=0),2*E1644-D1644+J1644,"n.a.")))</x:f>
        <x:v>6637.5</x:v>
      </x:c>
      <x:c r="O1644" s="11" t="str">
        <x:f>IF(B1644="Butterfly",IF(AND(J1644&gt;0,J1644&lt;K1644),F1644-J1644,"n.a."),IF(C1644="call",IF(K1644&gt;J1644,2*E1644-D1644-J1644,"n.a."),IF(AND(J1644&gt;0,J1644&lt;K1644),D1644-J1644,"n.a.")))</x:f>
        <x:v>n.a.</x:v>
      </x:c>
      <x:c r="P1644" s="19" t="str">
        <x:f>IF(AND(B1644="Butterfly",J1644&gt;0,J1644&lt;K1644),L1644/J1644,"n.a.")</x:f>
        <x:v>n.a.</x:v>
      </x:c>
      <x:c r="Q1644" s="11" t="n">
        <x:f>J1644*'Model inputs'!$B$8</x:f>
        <x:v>-96250</x:v>
      </x:c>
      <x:c r="R1644" s="1" t="str">
        <x:v>Flagged leg data</x:v>
      </x:c>
      <x:c r="S1644" s="1" t="n">
        <x:v>843</x:v>
      </x:c>
      <x:c r="T1644" s="1" t="n">
        <x:v>824</x:v>
      </x:c>
    </x:row>
    <x:row r="1645" ht="21" customHeight="1">
      <x:c r="A1645" s="12" t="n">
        <x:v>46255</x:v>
      </x:c>
      <x:c r="B1645" s="1" t="str">
        <x:v>1x2 ratio</x:v>
      </x:c>
      <x:c r="C1645" s="1" t="str">
        <x:v>call</x:v>
      </x:c>
      <x:c r="D1645" s="11" t="n">
        <x:v>5200</x:v>
      </x:c>
      <x:c r="E1645" s="11" t="n">
        <x:v>5400</x:v>
      </x:c>
      <x:c r="F1645" s="11"/>
      <x:c r="G1645" s="11" t="n">
        <x:f>'Option source'!B98</x:f>
        <x:v>1712</x:v>
      </x:c>
      <x:c r="H1645" s="11" t="n">
        <x:f>'Option source'!B117</x:f>
        <x:v>1534</x:v>
      </x:c>
      <x:c r="I1645" s="11"/>
      <x:c r="J1645" s="11" t="n">
        <x:f>G1645-2*H1645+IF(B1645="Butterfly",I1645,0)</x:f>
        <x:v>-1356</x:v>
      </x:c>
      <x:c r="K1645" s="11" t="n">
        <x:f>ABS(E1645-D1645)</x:f>
        <x:v>200</x:v>
      </x:c>
      <x:c r="L1645" s="11" t="n">
        <x:f>K1645-J1645</x:f>
        <x:v>1556</x:v>
      </x:c>
      <x:c r="M1645" s="11" t="str">
        <x:f>IF(B1645="Butterfly",MAX(J1645,0),IF(C1645="call","Unlimited",MAX(2*E1645-D1645+J1645,J1645,0)))</x:f>
        <x:v>Unlimited</x:v>
      </x:c>
      <x:c r="N1645" s="11" t="str">
        <x:f>IF(B1645="Butterfly",IF(AND(J1645&gt;0,J1645&lt;K1645),D1645+J1645,"n.a."),IF(C1645="call",IF(AND(J1645&gt;0,J1645&lt;K1645),D1645+J1645,"n.a."),IF(AND(K1645&gt;J1645,2*E1645-D1645+J1645&gt;=0),2*E1645-D1645+J1645,"n.a.")))</x:f>
        <x:v>n.a.</x:v>
      </x:c>
      <x:c r="O1645" s="11" t="n">
        <x:f>IF(B1645="Butterfly",IF(AND(J1645&gt;0,J1645&lt;K1645),F1645-J1645,"n.a."),IF(C1645="call",IF(K1645&gt;J1645,2*E1645-D1645-J1645,"n.a."),IF(AND(J1645&gt;0,J1645&lt;K1645),D1645-J1645,"n.a.")))</x:f>
        <x:v>6956</x:v>
      </x:c>
      <x:c r="P1645" s="19" t="str">
        <x:f>IF(AND(B1645="Butterfly",J1645&gt;0,J1645&lt;K1645),L1645/J1645,"n.a.")</x:f>
        <x:v>n.a.</x:v>
      </x:c>
      <x:c r="Q1645" s="11" t="n">
        <x:f>J1645*'Model inputs'!$B$8</x:f>
        <x:v>-135600</x:v>
      </x:c>
      <x:c r="R1645" s="1" t="str">
        <x:v>Flagged leg data</x:v>
      </x:c>
      <x:c r="S1645" s="1" t="n">
        <x:v>93</x:v>
      </x:c>
      <x:c r="T1645" s="1" t="n">
        <x:v>112</x:v>
      </x:c>
    </x:row>
    <x:row r="1646" ht="21" customHeight="1">
      <x:c r="A1646" s="12" t="n">
        <x:v>46255</x:v>
      </x:c>
      <x:c r="B1646" s="1" t="str">
        <x:v>1x2 ratio</x:v>
      </x:c>
      <x:c r="C1646" s="1" t="str">
        <x:v>put</x:v>
      </x:c>
      <x:c r="D1646" s="11" t="n">
        <x:v>8300</x:v>
      </x:c>
      <x:c r="E1646" s="11" t="n">
        <x:v>8000</x:v>
      </x:c>
      <x:c r="F1646" s="11"/>
      <x:c r="G1646" s="11" t="n">
        <x:f>'Option source'!B867</x:f>
        <x:v>1580</x:v>
      </x:c>
      <x:c r="H1646" s="11" t="n">
        <x:f>'Option source'!B848</x:f>
        <x:v>1337.5</x:v>
      </x:c>
      <x:c r="I1646" s="11"/>
      <x:c r="J1646" s="11" t="n">
        <x:f>G1646-2*H1646+IF(B1646="Butterfly",I1646,0)</x:f>
        <x:v>-1095</x:v>
      </x:c>
      <x:c r="K1646" s="11" t="n">
        <x:f>ABS(E1646-D1646)</x:f>
        <x:v>300</x:v>
      </x:c>
      <x:c r="L1646" s="11" t="n">
        <x:f>K1646-J1646</x:f>
        <x:v>1395</x:v>
      </x:c>
      <x:c r="M1646" s="11" t="n">
        <x:f>IF(B1646="Butterfly",MAX(J1646,0),IF(C1646="call","Unlimited",MAX(2*E1646-D1646+J1646,J1646,0)))</x:f>
        <x:v>6605</x:v>
      </x:c>
      <x:c r="N1646" s="11" t="n">
        <x:f>IF(B1646="Butterfly",IF(AND(J1646&gt;0,J1646&lt;K1646),D1646+J1646,"n.a."),IF(C1646="call",IF(AND(J1646&gt;0,J1646&lt;K1646),D1646+J1646,"n.a."),IF(AND(K1646&gt;J1646,2*E1646-D1646+J1646&gt;=0),2*E1646-D1646+J1646,"n.a.")))</x:f>
        <x:v>6605</x:v>
      </x:c>
      <x:c r="O1646" s="11" t="str">
        <x:f>IF(B1646="Butterfly",IF(AND(J1646&gt;0,J1646&lt;K1646),F1646-J1646,"n.a."),IF(C1646="call",IF(K1646&gt;J1646,2*E1646-D1646-J1646,"n.a."),IF(AND(J1646&gt;0,J1646&lt;K1646),D1646-J1646,"n.a.")))</x:f>
        <x:v>n.a.</x:v>
      </x:c>
      <x:c r="P1646" s="19" t="str">
        <x:f>IF(AND(B1646="Butterfly",J1646&gt;0,J1646&lt;K1646),L1646/J1646,"n.a.")</x:f>
        <x:v>n.a.</x:v>
      </x:c>
      <x:c r="Q1646" s="11" t="n">
        <x:f>J1646*'Model inputs'!$B$8</x:f>
        <x:v>-109500</x:v>
      </x:c>
      <x:c r="R1646" s="1" t="str">
        <x:v>Flagged leg data</x:v>
      </x:c>
      <x:c r="S1646" s="1" t="n">
        <x:v>862</x:v>
      </x:c>
      <x:c r="T1646" s="1" t="n">
        <x:v>843</x:v>
      </x:c>
    </x:row>
    <x:row r="1647" ht="21" customHeight="1">
      <x:c r="A1647" s="12" t="n">
        <x:v>46255</x:v>
      </x:c>
      <x:c r="B1647" s="1" t="str">
        <x:v>1x2 ratio</x:v>
      </x:c>
      <x:c r="C1647" s="1" t="str">
        <x:v>call</x:v>
      </x:c>
      <x:c r="D1647" s="11" t="n">
        <x:v>4600</x:v>
      </x:c>
      <x:c r="E1647" s="11" t="n">
        <x:v>5200</x:v>
      </x:c>
      <x:c r="F1647" s="11"/>
      <x:c r="G1647" s="11" t="n">
        <x:f>'Option source'!B45</x:f>
        <x:v>2191.92</x:v>
      </x:c>
      <x:c r="H1647" s="11" t="n">
        <x:f>'Option source'!B98</x:f>
        <x:v>1712</x:v>
      </x:c>
      <x:c r="I1647" s="11"/>
      <x:c r="J1647" s="11" t="n">
        <x:f>G1647-2*H1647+IF(B1647="Butterfly",I1647,0)</x:f>
        <x:v>-1232.08</x:v>
      </x:c>
      <x:c r="K1647" s="11" t="n">
        <x:f>ABS(E1647-D1647)</x:f>
        <x:v>600</x:v>
      </x:c>
      <x:c r="L1647" s="11" t="n">
        <x:f>K1647-J1647</x:f>
        <x:v>1832.08</x:v>
      </x:c>
      <x:c r="M1647" s="11" t="str">
        <x:f>IF(B1647="Butterfly",MAX(J1647,0),IF(C1647="call","Unlimited",MAX(2*E1647-D1647+J1647,J1647,0)))</x:f>
        <x:v>Unlimited</x:v>
      </x:c>
      <x:c r="N1647" s="11" t="str">
        <x:f>IF(B1647="Butterfly",IF(AND(J1647&gt;0,J1647&lt;K1647),D1647+J1647,"n.a."),IF(C1647="call",IF(AND(J1647&gt;0,J1647&lt;K1647),D1647+J1647,"n.a."),IF(AND(K1647&gt;J1647,2*E1647-D1647+J1647&gt;=0),2*E1647-D1647+J1647,"n.a.")))</x:f>
        <x:v>n.a.</x:v>
      </x:c>
      <x:c r="O1647" s="11" t="n">
        <x:f>IF(B1647="Butterfly",IF(AND(J1647&gt;0,J1647&lt;K1647),F1647-J1647,"n.a."),IF(C1647="call",IF(K1647&gt;J1647,2*E1647-D1647-J1647,"n.a."),IF(AND(J1647&gt;0,J1647&lt;K1647),D1647-J1647,"n.a.")))</x:f>
        <x:v>7032.08</x:v>
      </x:c>
      <x:c r="P1647" s="19" t="str">
        <x:f>IF(AND(B1647="Butterfly",J1647&gt;0,J1647&lt;K1647),L1647/J1647,"n.a.")</x:f>
        <x:v>n.a.</x:v>
      </x:c>
      <x:c r="Q1647" s="11" t="n">
        <x:f>J1647*'Model inputs'!$B$8</x:f>
        <x:v>-123208</x:v>
      </x:c>
      <x:c r="R1647" s="1" t="str">
        <x:v>Flagged leg data</x:v>
      </x:c>
      <x:c r="S1647" s="1" t="n">
        <x:v>40</x:v>
      </x:c>
      <x:c r="T1647" s="1" t="n">
        <x:v>93</x:v>
      </x:c>
    </x:row>
    <x:row r="1648" ht="21" customHeight="1">
      <x:c r="A1648" s="12" t="n">
        <x:v>46255</x:v>
      </x:c>
      <x:c r="B1648" s="1" t="str">
        <x:v>1x2 ratio</x:v>
      </x:c>
      <x:c r="C1648" s="1" t="str">
        <x:v>put</x:v>
      </x:c>
      <x:c r="D1648" s="11" t="n">
        <x:v>8600</x:v>
      </x:c>
      <x:c r="E1648" s="11" t="n">
        <x:v>8300</x:v>
      </x:c>
      <x:c r="F1648" s="11"/>
      <x:c r="G1648" s="11" t="n">
        <x:f>'Option source'!B886</x:f>
        <x:v>1173.55</x:v>
      </x:c>
      <x:c r="H1648" s="11" t="n">
        <x:f>'Option source'!B867</x:f>
        <x:v>1580</x:v>
      </x:c>
      <x:c r="I1648" s="11"/>
      <x:c r="J1648" s="11" t="n">
        <x:f>G1648-2*H1648+IF(B1648="Butterfly",I1648,0)</x:f>
        <x:v>-1986.45</x:v>
      </x:c>
      <x:c r="K1648" s="11" t="n">
        <x:f>ABS(E1648-D1648)</x:f>
        <x:v>300</x:v>
      </x:c>
      <x:c r="L1648" s="11" t="n">
        <x:f>K1648-J1648</x:f>
        <x:v>2286.45</x:v>
      </x:c>
      <x:c r="M1648" s="11" t="n">
        <x:f>IF(B1648="Butterfly",MAX(J1648,0),IF(C1648="call","Unlimited",MAX(2*E1648-D1648+J1648,J1648,0)))</x:f>
        <x:v>6013.55</x:v>
      </x:c>
      <x:c r="N1648" s="11" t="n">
        <x:f>IF(B1648="Butterfly",IF(AND(J1648&gt;0,J1648&lt;K1648),D1648+J1648,"n.a."),IF(C1648="call",IF(AND(J1648&gt;0,J1648&lt;K1648),D1648+J1648,"n.a."),IF(AND(K1648&gt;J1648,2*E1648-D1648+J1648&gt;=0),2*E1648-D1648+J1648,"n.a.")))</x:f>
        <x:v>6013.55</x:v>
      </x:c>
      <x:c r="O1648" s="11" t="str">
        <x:f>IF(B1648="Butterfly",IF(AND(J1648&gt;0,J1648&lt;K1648),F1648-J1648,"n.a."),IF(C1648="call",IF(K1648&gt;J1648,2*E1648-D1648-J1648,"n.a."),IF(AND(J1648&gt;0,J1648&lt;K1648),D1648-J1648,"n.a.")))</x:f>
        <x:v>n.a.</x:v>
      </x:c>
      <x:c r="P1648" s="19" t="str">
        <x:f>IF(AND(B1648="Butterfly",J1648&gt;0,J1648&lt;K1648),L1648/J1648,"n.a.")</x:f>
        <x:v>n.a.</x:v>
      </x:c>
      <x:c r="Q1648" s="11" t="n">
        <x:f>J1648*'Model inputs'!$B$8</x:f>
        <x:v>-198645</x:v>
      </x:c>
      <x:c r="R1648" s="1" t="str">
        <x:v>Flagged leg data</x:v>
      </x:c>
      <x:c r="S1648" s="1" t="n">
        <x:v>881</x:v>
      </x:c>
      <x:c r="T1648" s="1" t="n">
        <x:v>862</x:v>
      </x:c>
    </x:row>
    <x:row r="1649" ht="21" customHeight="1">
      <x:c r="A1649" s="12" t="n">
        <x:v>46255</x:v>
      </x:c>
      <x:c r="B1649" s="1" t="str">
        <x:v>1x2 ratio</x:v>
      </x:c>
      <x:c r="C1649" s="1" t="str">
        <x:v>call</x:v>
      </x:c>
      <x:c r="D1649" s="11" t="n">
        <x:v>4400</x:v>
      </x:c>
      <x:c r="E1649" s="11" t="n">
        <x:v>4600</x:v>
      </x:c>
      <x:c r="F1649" s="11"/>
      <x:c r="G1649" s="11" t="n">
        <x:f>'Option source'!B26</x:f>
        <x:v>2387.12</x:v>
      </x:c>
      <x:c r="H1649" s="11" t="n">
        <x:f>'Option source'!B45</x:f>
        <x:v>2191.92</x:v>
      </x:c>
      <x:c r="I1649" s="11"/>
      <x:c r="J1649" s="11" t="n">
        <x:f>G1649-2*H1649+IF(B1649="Butterfly",I1649,0)</x:f>
        <x:v>-1996.7200000000003</x:v>
      </x:c>
      <x:c r="K1649" s="11" t="n">
        <x:f>ABS(E1649-D1649)</x:f>
        <x:v>200</x:v>
      </x:c>
      <x:c r="L1649" s="11" t="n">
        <x:f>K1649-J1649</x:f>
        <x:v>2196.7200000000003</x:v>
      </x:c>
      <x:c r="M1649" s="11" t="str">
        <x:f>IF(B1649="Butterfly",MAX(J1649,0),IF(C1649="call","Unlimited",MAX(2*E1649-D1649+J1649,J1649,0)))</x:f>
        <x:v>Unlimited</x:v>
      </x:c>
      <x:c r="N1649" s="11" t="str">
        <x:f>IF(B1649="Butterfly",IF(AND(J1649&gt;0,J1649&lt;K1649),D1649+J1649,"n.a."),IF(C1649="call",IF(AND(J1649&gt;0,J1649&lt;K1649),D1649+J1649,"n.a."),IF(AND(K1649&gt;J1649,2*E1649-D1649+J1649&gt;=0),2*E1649-D1649+J1649,"n.a.")))</x:f>
        <x:v>n.a.</x:v>
      </x:c>
      <x:c r="O1649" s="11" t="n">
        <x:f>IF(B1649="Butterfly",IF(AND(J1649&gt;0,J1649&lt;K1649),F1649-J1649,"n.a."),IF(C1649="call",IF(K1649&gt;J1649,2*E1649-D1649-J1649,"n.a."),IF(AND(J1649&gt;0,J1649&lt;K1649),D1649-J1649,"n.a.")))</x:f>
        <x:v>6796.72</x:v>
      </x:c>
      <x:c r="P1649" s="19" t="str">
        <x:f>IF(AND(B1649="Butterfly",J1649&gt;0,J1649&lt;K1649),L1649/J1649,"n.a.")</x:f>
        <x:v>n.a.</x:v>
      </x:c>
      <x:c r="Q1649" s="11" t="n">
        <x:f>J1649*'Model inputs'!$B$8</x:f>
        <x:v>-199672.00000000003</x:v>
      </x:c>
      <x:c r="R1649" s="1" t="str">
        <x:v>Flagged leg data</x:v>
      </x:c>
      <x:c r="S1649" s="1" t="n">
        <x:v>21</x:v>
      </x:c>
      <x:c r="T1649" s="1" t="n">
        <x:v>40</x:v>
      </x:c>
    </x:row>
    <x:row r="1650" ht="21" customHeight="1">
      <x:c r="A1650" s="12" t="n">
        <x:v>46255</x:v>
      </x:c>
      <x:c r="B1650" s="1" t="str">
        <x:v>1x2 ratio</x:v>
      </x:c>
      <x:c r="C1650" s="1" t="str">
        <x:v>put</x:v>
      </x:c>
      <x:c r="D1650" s="11" t="n">
        <x:v>4800</x:v>
      </x:c>
      <x:c r="E1650" s="11" t="n">
        <x:v>4600</x:v>
      </x:c>
      <x:c r="F1650" s="11"/>
      <x:c r="G1650" s="11" t="n">
        <x:f>'Option source'!B544</x:f>
        <x:v>7.23</x:v>
      </x:c>
      <x:c r="H1650" s="11" t="n">
        <x:f>'Option source'!B525</x:f>
        <x:v>0</x:v>
      </x:c>
      <x:c r="I1650" s="11"/>
      <x:c r="J1650" s="11" t="n">
        <x:f>G1650-2*H1650+IF(B1650="Butterfly",I1650,0)</x:f>
        <x:v>7.23</x:v>
      </x:c>
      <x:c r="K1650" s="11" t="n">
        <x:f>ABS(E1650-D1650)</x:f>
        <x:v>200</x:v>
      </x:c>
      <x:c r="L1650" s="11" t="n">
        <x:f>K1650-J1650</x:f>
        <x:v>192.77</x:v>
      </x:c>
      <x:c r="M1650" s="11" t="n">
        <x:f>IF(B1650="Butterfly",MAX(J1650,0),IF(C1650="call","Unlimited",MAX(2*E1650-D1650+J1650,J1650,0)))</x:f>
        <x:v>4407.23</x:v>
      </x:c>
      <x:c r="N1650" s="11" t="n">
        <x:f>IF(B1650="Butterfly",IF(AND(J1650&gt;0,J1650&lt;K1650),D1650+J1650,"n.a."),IF(C1650="call",IF(AND(J1650&gt;0,J1650&lt;K1650),D1650+J1650,"n.a."),IF(AND(K1650&gt;J1650,2*E1650-D1650+J1650&gt;=0),2*E1650-D1650+J1650,"n.a.")))</x:f>
        <x:v>4407.23</x:v>
      </x:c>
      <x:c r="O1650" s="11" t="n">
        <x:f>IF(B1650="Butterfly",IF(AND(J1650&gt;0,J1650&lt;K1650),F1650-J1650,"n.a."),IF(C1650="call",IF(K1650&gt;J1650,2*E1650-D1650-J1650,"n.a."),IF(AND(J1650&gt;0,J1650&lt;K1650),D1650-J1650,"n.a.")))</x:f>
        <x:v>4792.77</x:v>
      </x:c>
      <x:c r="P1650" s="19" t="str">
        <x:f>IF(AND(B1650="Butterfly",J1650&gt;0,J1650&lt;K1650),L1650/J1650,"n.a.")</x:f>
        <x:v>n.a.</x:v>
      </x:c>
      <x:c r="Q1650" s="11" t="n">
        <x:f>J1650*'Model inputs'!$B$8</x:f>
        <x:v>723</x:v>
      </x:c>
      <x:c r="R1650" s="1" t="str">
        <x:v>Flagged leg data</x:v>
      </x:c>
      <x:c r="S1650" s="1" t="n">
        <x:v>539</x:v>
      </x:c>
      <x:c r="T1650" s="1" t="n">
        <x:v>520</x:v>
      </x:c>
    </x:row>
    <x:row r="1651" ht="21" customHeight="1">
      <x:c r="A1651" s="12" t="n">
        <x:v>46255</x:v>
      </x:c>
      <x:c r="B1651" s="1" t="str">
        <x:v>1x2 ratio</x:v>
      </x:c>
      <x:c r="C1651" s="1" t="str">
        <x:v>call</x:v>
      </x:c>
      <x:c r="D1651" s="11" t="n">
        <x:v>4200</x:v>
      </x:c>
      <x:c r="E1651" s="11" t="n">
        <x:v>4400</x:v>
      </x:c>
      <x:c r="F1651" s="11"/>
      <x:c r="G1651" s="11" t="n">
        <x:f>'Option source'!B7</x:f>
        <x:v>2544.61</x:v>
      </x:c>
      <x:c r="H1651" s="11" t="n">
        <x:f>'Option source'!B26</x:f>
        <x:v>2387.12</x:v>
      </x:c>
      <x:c r="I1651" s="11"/>
      <x:c r="J1651" s="11" t="n">
        <x:f>G1651-2*H1651+IF(B1651="Butterfly",I1651,0)</x:f>
        <x:v>-2229.6299999999997</x:v>
      </x:c>
      <x:c r="K1651" s="11" t="n">
        <x:f>ABS(E1651-D1651)</x:f>
        <x:v>200</x:v>
      </x:c>
      <x:c r="L1651" s="11" t="n">
        <x:f>K1651-J1651</x:f>
        <x:v>2429.6299999999997</x:v>
      </x:c>
      <x:c r="M1651" s="11" t="str">
        <x:f>IF(B1651="Butterfly",MAX(J1651,0),IF(C1651="call","Unlimited",MAX(2*E1651-D1651+J1651,J1651,0)))</x:f>
        <x:v>Unlimited</x:v>
      </x:c>
      <x:c r="N1651" s="11" t="str">
        <x:f>IF(B1651="Butterfly",IF(AND(J1651&gt;0,J1651&lt;K1651),D1651+J1651,"n.a."),IF(C1651="call",IF(AND(J1651&gt;0,J1651&lt;K1651),D1651+J1651,"n.a."),IF(AND(K1651&gt;J1651,2*E1651-D1651+J1651&gt;=0),2*E1651-D1651+J1651,"n.a.")))</x:f>
        <x:v>n.a.</x:v>
      </x:c>
      <x:c r="O1651" s="11" t="n">
        <x:f>IF(B1651="Butterfly",IF(AND(J1651&gt;0,J1651&lt;K1651),F1651-J1651,"n.a."),IF(C1651="call",IF(K1651&gt;J1651,2*E1651-D1651-J1651,"n.a."),IF(AND(J1651&gt;0,J1651&lt;K1651),D1651-J1651,"n.a.")))</x:f>
        <x:v>6829.629999999999</x:v>
      </x:c>
      <x:c r="P1651" s="19" t="str">
        <x:f>IF(AND(B1651="Butterfly",J1651&gt;0,J1651&lt;K1651),L1651/J1651,"n.a.")</x:f>
        <x:v>n.a.</x:v>
      </x:c>
      <x:c r="Q1651" s="11" t="n">
        <x:f>J1651*'Model inputs'!$B$8</x:f>
        <x:v>-222962.99999999997</x:v>
      </x:c>
      <x:c r="R1651" s="1" t="str">
        <x:v>Flagged leg data</x:v>
      </x:c>
      <x:c r="S1651" s="1" t="n">
        <x:v>2</x:v>
      </x:c>
      <x:c r="T1651" s="1" t="n">
        <x:v>21</x:v>
      </x:c>
    </x:row>
    <x:row r="1652" ht="21" customHeight="1">
      <x:c r="A1652" s="12" t="n">
        <x:v>46255</x:v>
      </x:c>
      <x:c r="B1652" s="1" t="str">
        <x:v>1x2 ratio</x:v>
      </x:c>
      <x:c r="C1652" s="1" t="str">
        <x:v>put</x:v>
      </x:c>
      <x:c r="D1652" s="11" t="n">
        <x:v>4600</x:v>
      </x:c>
      <x:c r="E1652" s="11" t="n">
        <x:v>4400</x:v>
      </x:c>
      <x:c r="F1652" s="11"/>
      <x:c r="G1652" s="11" t="n">
        <x:f>'Option source'!B525</x:f>
        <x:v>0</x:v>
      </x:c>
      <x:c r="H1652" s="11" t="n">
        <x:f>'Option source'!B506</x:f>
        <x:v>10</x:v>
      </x:c>
      <x:c r="I1652" s="11"/>
      <x:c r="J1652" s="11" t="n">
        <x:f>G1652-2*H1652+IF(B1652="Butterfly",I1652,0)</x:f>
        <x:v>-20</x:v>
      </x:c>
      <x:c r="K1652" s="11" t="n">
        <x:f>ABS(E1652-D1652)</x:f>
        <x:v>200</x:v>
      </x:c>
      <x:c r="L1652" s="11" t="n">
        <x:f>K1652-J1652</x:f>
        <x:v>220</x:v>
      </x:c>
      <x:c r="M1652" s="11" t="n">
        <x:f>IF(B1652="Butterfly",MAX(J1652,0),IF(C1652="call","Unlimited",MAX(2*E1652-D1652+J1652,J1652,0)))</x:f>
        <x:v>4180</x:v>
      </x:c>
      <x:c r="N1652" s="11" t="n">
        <x:f>IF(B1652="Butterfly",IF(AND(J1652&gt;0,J1652&lt;K1652),D1652+J1652,"n.a."),IF(C1652="call",IF(AND(J1652&gt;0,J1652&lt;K1652),D1652+J1652,"n.a."),IF(AND(K1652&gt;J1652,2*E1652-D1652+J1652&gt;=0),2*E1652-D1652+J1652,"n.a.")))</x:f>
        <x:v>4180</x:v>
      </x:c>
      <x:c r="O1652" s="11" t="str">
        <x:f>IF(B1652="Butterfly",IF(AND(J1652&gt;0,J1652&lt;K1652),F1652-J1652,"n.a."),IF(C1652="call",IF(K1652&gt;J1652,2*E1652-D1652-J1652,"n.a."),IF(AND(J1652&gt;0,J1652&lt;K1652),D1652-J1652,"n.a.")))</x:f>
        <x:v>n.a.</x:v>
      </x:c>
      <x:c r="P1652" s="19" t="str">
        <x:f>IF(AND(B1652="Butterfly",J1652&gt;0,J1652&lt;K1652),L1652/J1652,"n.a.")</x:f>
        <x:v>n.a.</x:v>
      </x:c>
      <x:c r="Q1652" s="11" t="n">
        <x:f>J1652*'Model inputs'!$B$8</x:f>
        <x:v>-2000</x:v>
      </x:c>
      <x:c r="R1652" s="1" t="str">
        <x:v>Flagged leg data</x:v>
      </x:c>
      <x:c r="S1652" s="1" t="n">
        <x:v>520</x:v>
      </x:c>
      <x:c r="T1652" s="1" t="n">
        <x:v>501</x:v>
      </x:c>
    </x:row>
    <x:row r="1653" ht="21" customHeight="1">
      <x:c r="A1653" s="12" t="n">
        <x:v>46255</x:v>
      </x:c>
      <x:c r="B1653" s="1" t="str">
        <x:v>1x2 ratio</x:v>
      </x:c>
      <x:c r="C1653" s="1" t="str">
        <x:v>put</x:v>
      </x:c>
      <x:c r="D1653" s="11" t="n">
        <x:v>4400</x:v>
      </x:c>
      <x:c r="E1653" s="11" t="n">
        <x:v>4200</x:v>
      </x:c>
      <x:c r="F1653" s="11"/>
      <x:c r="G1653" s="11" t="n">
        <x:f>'Option source'!B506</x:f>
        <x:v>10</x:v>
      </x:c>
      <x:c r="H1653" s="11" t="n">
        <x:f>'Option source'!B487</x:f>
        <x:v>10</x:v>
      </x:c>
      <x:c r="I1653" s="11"/>
      <x:c r="J1653" s="11" t="n">
        <x:f>G1653-2*H1653+IF(B1653="Butterfly",I1653,0)</x:f>
        <x:v>-10</x:v>
      </x:c>
      <x:c r="K1653" s="11" t="n">
        <x:f>ABS(E1653-D1653)</x:f>
        <x:v>200</x:v>
      </x:c>
      <x:c r="L1653" s="11" t="n">
        <x:f>K1653-J1653</x:f>
        <x:v>210</x:v>
      </x:c>
      <x:c r="M1653" s="11" t="n">
        <x:f>IF(B1653="Butterfly",MAX(J1653,0),IF(C1653="call","Unlimited",MAX(2*E1653-D1653+J1653,J1653,0)))</x:f>
        <x:v>3990</x:v>
      </x:c>
      <x:c r="N1653" s="11" t="n">
        <x:f>IF(B1653="Butterfly",IF(AND(J1653&gt;0,J1653&lt;K1653),D1653+J1653,"n.a."),IF(C1653="call",IF(AND(J1653&gt;0,J1653&lt;K1653),D1653+J1653,"n.a."),IF(AND(K1653&gt;J1653,2*E1653-D1653+J1653&gt;=0),2*E1653-D1653+J1653,"n.a.")))</x:f>
        <x:v>3990</x:v>
      </x:c>
      <x:c r="O1653" s="11" t="str">
        <x:f>IF(B1653="Butterfly",IF(AND(J1653&gt;0,J1653&lt;K1653),F1653-J1653,"n.a."),IF(C1653="call",IF(K1653&gt;J1653,2*E1653-D1653-J1653,"n.a."),IF(AND(J1653&gt;0,J1653&lt;K1653),D1653-J1653,"n.a.")))</x:f>
        <x:v>n.a.</x:v>
      </x:c>
      <x:c r="P1653" s="19" t="str">
        <x:f>IF(AND(B1653="Butterfly",J1653&gt;0,J1653&lt;K1653),L1653/J1653,"n.a.")</x:f>
        <x:v>n.a.</x:v>
      </x:c>
      <x:c r="Q1653" s="11" t="n">
        <x:f>J1653*'Model inputs'!$B$8</x:f>
        <x:v>-1000</x:v>
      </x:c>
      <x:c r="R1653" s="1" t="str">
        <x:v>Flagged leg data</x:v>
      </x:c>
      <x:c r="S1653" s="1" t="n">
        <x:v>501</x:v>
      </x:c>
      <x:c r="T1653" s="1" t="n">
        <x:v>482</x:v>
      </x:c>
    </x:row>
  </x:sheetData>
  <x:conditionalFormatting sqref="R7:R1653">
    <x:cfRule type="notContainsText" dxfId="1" priority="1" text="Indicative only"/>
  </x:conditionalFormatting>
  <x:pageMargins left="0.7" right="0.7" top="0.75" bottom="0.75" header="0.3" footer="0.3"/>
  <x:tableParts count="1">
    <x:tablePart xmlns:r="http://schemas.openxmlformats.org/officeDocument/2006/relationships" r:id="Rd61305bad636479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1" customHeight="1">
      <x:c r="A2" s="2" t="str">
        <x:v>Original PPI option observations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1" customHeight="1">
      <x:c r="A4" s="4" t="str">
        <x:v>Source: options_data.xlsx / Sheet1. The added Closing price column is not used in the analysis.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customHeight="1">
      <x:c r="A5" s="4" t="str">
        <x:v>Session date preserves the calendar date of the original PPI timestamp (UTC−03:00).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0" customHeight="1">
      <x:c r="A6" s="10" t="str">
        <x:v>Session date</x:v>
      </x:c>
      <x:c r="B6" s="10" t="str">
        <x:v>price (PPI)</x:v>
      </x:c>
      <x:c r="C6" s="10" t="str">
        <x:v>volume (PPI)</x:v>
      </x:c>
      <x:c r="D6" s="10" t="str">
        <x:v>openingPrice</x:v>
      </x:c>
      <x:c r="E6" s="10" t="str">
        <x:v>Closing price (cached)</x:v>
      </x:c>
      <x:c r="F6" s="10" t="str">
        <x:v>max</x:v>
      </x:c>
      <x:c r="G6" s="10" t="str">
        <x:v>min</x:v>
      </x:c>
      <x:c r="H6" s="10" t="str">
        <x:v>previousClose</x:v>
      </x:c>
      <x:c r="I6" s="10" t="str">
        <x:v>marketChange</x:v>
      </x:c>
      <x:c r="J6" s="10" t="str">
        <x:v>marketChangePercent</x:v>
      </x:c>
      <x:c r="K6" s="10" t="str">
        <x:v>ticker</x:v>
      </x:c>
      <x:c r="L6" s="10" t="str">
        <x:v>Closing price formula</x:v>
      </x:c>
    </x:row>
    <x:row r="7" ht="21" customHeight="1">
      <x:c r="A7" s="5" t="n">
        <x:v>46255</x:v>
      </x:c>
      <x:c r="B7" s="11" t="n">
        <x:v>2544.61</x:v>
      </x:c>
      <x:c r="C7" s="11" t="n">
        <x:v>97648600</x:v>
      </x:c>
      <x:c r="D7" s="11" t="n">
        <x:v>2544.61</x:v>
      </x:c>
      <x:c r="E7" s="11" t="n">
        <x:v>2550</x:v>
      </x:c>
      <x:c r="F7" s="11" t="n">
        <x:v>2594.68</x:v>
      </x:c>
      <x:c r="G7" s="11" t="n">
        <x:v>2529.59</x:v>
      </x:c>
      <x:c r="H7" s="11" t="n">
        <x:v>0</x:v>
      </x:c>
      <x:c r="I7" s="11" t="n">
        <x:v>0</x:v>
      </x:c>
      <x:c r="J7" s="11"/>
      <x:c r="K7" s="1" t="str">
        <x:v>GFGC4200OC</x:v>
      </x:c>
      <x:c r="L7" s="1" t="str">
        <x:v>=+D3</x:v>
      </x:c>
    </x:row>
    <x:row r="8" ht="21" customHeight="1">
      <x:c r="A8" s="5" t="n">
        <x:v>46258</x:v>
      </x:c>
      <x:c r="B8" s="11" t="n">
        <x:v>2844.35</x:v>
      </x:c>
      <x:c r="C8" s="11" t="n">
        <x:v>96763072</x:v>
      </x:c>
      <x:c r="D8" s="11" t="n">
        <x:v>2550</x:v>
      </x:c>
      <x:c r="E8" s="11" t="n">
        <x:v>2800</x:v>
      </x:c>
      <x:c r="F8" s="11" t="n">
        <x:v>2839.36</x:v>
      </x:c>
      <x:c r="G8" s="11" t="n">
        <x:v>2550</x:v>
      </x:c>
      <x:c r="H8" s="11" t="n">
        <x:v>0</x:v>
      </x:c>
      <x:c r="I8" s="11" t="n">
        <x:v>0</x:v>
      </x:c>
      <x:c r="J8" s="11"/>
      <x:c r="K8" s="1" t="str">
        <x:v>GFGC4200OC</x:v>
      </x:c>
      <x:c r="L8" s="1" t="str">
        <x:v>=+D4</x:v>
      </x:c>
    </x:row>
    <x:row r="9" ht="21" customHeight="1">
      <x:c r="A9" s="5" t="n">
        <x:v>46259</x:v>
      </x:c>
      <x:c r="B9" s="11" t="n">
        <x:v>2865.46</x:v>
      </x:c>
      <x:c r="C9" s="11" t="n">
        <x:v>3405823</x:v>
      </x:c>
      <x:c r="D9" s="11" t="n">
        <x:v>2800</x:v>
      </x:c>
      <x:c r="E9" s="11" t="n">
        <x:v>2929.59</x:v>
      </x:c>
      <x:c r="F9" s="11" t="n">
        <x:v>2874.05</x:v>
      </x:c>
      <x:c r="G9" s="11" t="n">
        <x:v>2800</x:v>
      </x:c>
      <x:c r="H9" s="11" t="n">
        <x:v>0</x:v>
      </x:c>
      <x:c r="I9" s="11" t="n">
        <x:v>0</x:v>
      </x:c>
      <x:c r="J9" s="11"/>
      <x:c r="K9" s="1" t="str">
        <x:v>GFGC4200OC</x:v>
      </x:c>
      <x:c r="L9" s="1" t="str">
        <x:v>=+D5</x:v>
      </x:c>
    </x:row>
    <x:row r="10" ht="21" customHeight="1">
      <x:c r="A10" s="5" t="n">
        <x:v>46260</x:v>
      </x:c>
      <x:c r="B10" s="11" t="n">
        <x:v>2914.64</x:v>
      </x:c>
      <x:c r="C10" s="11" t="n">
        <x:v>1761738</x:v>
      </x:c>
      <x:c r="D10" s="11" t="n">
        <x:v>2929.59</x:v>
      </x:c>
      <x:c r="E10" s="11" t="n">
        <x:v>2957.26</x:v>
      </x:c>
      <x:c r="F10" s="11" t="n">
        <x:v>2964.46</x:v>
      </x:c>
      <x:c r="G10" s="11" t="n">
        <x:v>2929.59</x:v>
      </x:c>
      <x:c r="H10" s="11" t="n">
        <x:v>0</x:v>
      </x:c>
      <x:c r="I10" s="11" t="n">
        <x:v>0</x:v>
      </x:c>
      <x:c r="J10" s="11"/>
      <x:c r="K10" s="1" t="str">
        <x:v>GFGC4200OC</x:v>
      </x:c>
      <x:c r="L10" s="1" t="str">
        <x:v>=+D6</x:v>
      </x:c>
    </x:row>
    <x:row r="11" ht="21" customHeight="1">
      <x:c r="A11" s="5" t="n">
        <x:v>46261</x:v>
      </x:c>
      <x:c r="B11" s="11" t="n">
        <x:v>2815</x:v>
      </x:c>
      <x:c r="C11" s="11" t="n">
        <x:v>3711634</x:v>
      </x:c>
      <x:c r="D11" s="11" t="n">
        <x:v>2957.26</x:v>
      </x:c>
      <x:c r="E11" s="11" t="n">
        <x:v>2728.37</x:v>
      </x:c>
      <x:c r="F11" s="11" t="n">
        <x:v>2957.26</x:v>
      </x:c>
      <x:c r="G11" s="11" t="n">
        <x:v>2777.9</x:v>
      </x:c>
      <x:c r="H11" s="11" t="n">
        <x:v>0</x:v>
      </x:c>
      <x:c r="I11" s="11" t="n">
        <x:v>0</x:v>
      </x:c>
      <x:c r="J11" s="11"/>
      <x:c r="K11" s="1" t="str">
        <x:v>GFGC4200OC</x:v>
      </x:c>
      <x:c r="L11" s="1" t="str">
        <x:v>=+D7</x:v>
      </x:c>
    </x:row>
    <x:row r="12" ht="21" customHeight="1">
      <x:c r="A12" s="5" t="n">
        <x:v>46262</x:v>
      </x:c>
      <x:c r="B12" s="11" t="n">
        <x:v>2666.16</x:v>
      </x:c>
      <x:c r="C12" s="11" t="n">
        <x:v>19534206</x:v>
      </x:c>
      <x:c r="D12" s="11" t="n">
        <x:v>2728.37</x:v>
      </x:c>
      <x:c r="E12" s="11" t="n">
        <x:v>2853.68</x:v>
      </x:c>
      <x:c r="F12" s="11" t="n">
        <x:v>2728.37</x:v>
      </x:c>
      <x:c r="G12" s="11" t="n">
        <x:v>2623.86</x:v>
      </x:c>
      <x:c r="H12" s="11" t="n">
        <x:v>0</x:v>
      </x:c>
      <x:c r="I12" s="11" t="n">
        <x:v>0</x:v>
      </x:c>
      <x:c r="J12" s="11"/>
      <x:c r="K12" s="1" t="str">
        <x:v>GFGC4200OC</x:v>
      </x:c>
      <x:c r="L12" s="1" t="str">
        <x:v>=+D8</x:v>
      </x:c>
    </x:row>
    <x:row r="13" ht="21" customHeight="1">
      <x:c r="A13" s="5" t="n">
        <x:v>46265</x:v>
      </x:c>
      <x:c r="B13" s="11" t="n">
        <x:v>2933.39</x:v>
      </x:c>
      <x:c r="C13" s="11" t="n">
        <x:v>4581830</x:v>
      </x:c>
      <x:c r="D13" s="11" t="n">
        <x:v>2853.68</x:v>
      </x:c>
      <x:c r="E13" s="11" t="n">
        <x:v>2946.11</x:v>
      </x:c>
      <x:c r="F13" s="11" t="n">
        <x:v>2853.68</x:v>
      </x:c>
      <x:c r="G13" s="11" t="n">
        <x:v>2853.68</x:v>
      </x:c>
      <x:c r="H13" s="11" t="n">
        <x:v>0</x:v>
      </x:c>
      <x:c r="I13" s="11" t="n">
        <x:v>0</x:v>
      </x:c>
      <x:c r="J13" s="11"/>
      <x:c r="K13" s="1" t="str">
        <x:v>GFGC4200OC</x:v>
      </x:c>
      <x:c r="L13" s="1" t="str">
        <x:v>=+D9</x:v>
      </x:c>
    </x:row>
    <x:row r="14" ht="21" customHeight="1">
      <x:c r="A14" s="5" t="n">
        <x:v>46266</x:v>
      </x:c>
      <x:c r="B14" s="11" t="n">
        <x:v>3017.35</x:v>
      </x:c>
      <x:c r="C14" s="11" t="n">
        <x:v>890957</x:v>
      </x:c>
      <x:c r="D14" s="11" t="n">
        <x:v>2946.11</x:v>
      </x:c>
      <x:c r="E14" s="11" t="n">
        <x:v>2946.11</x:v>
      </x:c>
      <x:c r="F14" s="11" t="n">
        <x:v>2946.11</x:v>
      </x:c>
      <x:c r="G14" s="11" t="n">
        <x:v>2946.11</x:v>
      </x:c>
      <x:c r="H14" s="11" t="n">
        <x:v>0</x:v>
      </x:c>
      <x:c r="I14" s="11" t="n">
        <x:v>0</x:v>
      </x:c>
      <x:c r="J14" s="11"/>
      <x:c r="K14" s="1" t="str">
        <x:v>GFGC4200OC</x:v>
      </x:c>
      <x:c r="L14" s="1" t="str">
        <x:v>=+D10</x:v>
      </x:c>
    </x:row>
    <x:row r="15" ht="21" customHeight="1">
      <x:c r="A15" s="5" t="n">
        <x:v>46267</x:v>
      </x:c>
      <x:c r="B15" s="11" t="n">
        <x:v>3017.35</x:v>
      </x:c>
      <x:c r="C15" s="11" t="n">
        <x:v>0</x:v>
      </x:c>
      <x:c r="D15" s="11" t="n">
        <x:v>2946.11</x:v>
      </x:c>
      <x:c r="E15" s="11" t="n">
        <x:v>3039.57</x:v>
      </x:c>
      <x:c r="F15" s="11" t="n">
        <x:v>2946.11</x:v>
      </x:c>
      <x:c r="G15" s="11" t="n">
        <x:v>2946.11</x:v>
      </x:c>
      <x:c r="H15" s="11" t="n">
        <x:v>0</x:v>
      </x:c>
      <x:c r="I15" s="11" t="n">
        <x:v>0</x:v>
      </x:c>
      <x:c r="J15" s="11"/>
      <x:c r="K15" s="1" t="str">
        <x:v>GFGC4200OC</x:v>
      </x:c>
      <x:c r="L15" s="1" t="str">
        <x:v>=+D11</x:v>
      </x:c>
    </x:row>
    <x:row r="16" ht="21" customHeight="1">
      <x:c r="A16" s="5" t="n">
        <x:v>46268</x:v>
      </x:c>
      <x:c r="B16" s="11" t="n">
        <x:v>2964.84</x:v>
      </x:c>
      <x:c r="C16" s="11" t="n">
        <x:v>3574248</x:v>
      </x:c>
      <x:c r="D16" s="11" t="n">
        <x:v>3039.57</x:v>
      </x:c>
      <x:c r="E16" s="11" t="n">
        <x:v>3039.57</x:v>
      </x:c>
      <x:c r="F16" s="11" t="n">
        <x:v>3039.57</x:v>
      </x:c>
      <x:c r="G16" s="11" t="n">
        <x:v>2979.78</x:v>
      </x:c>
      <x:c r="H16" s="11" t="n">
        <x:v>0</x:v>
      </x:c>
      <x:c r="I16" s="11" t="n">
        <x:v>0</x:v>
      </x:c>
      <x:c r="J16" s="11"/>
      <x:c r="K16" s="1" t="str">
        <x:v>GFGC4200OC</x:v>
      </x:c>
      <x:c r="L16" s="1" t="str">
        <x:v>=+D12</x:v>
      </x:c>
    </x:row>
    <x:row r="17" ht="21" customHeight="1">
      <x:c r="A17" s="5" t="n">
        <x:v>46269</x:v>
      </x:c>
      <x:c r="B17" s="11" t="n">
        <x:v>2964.84</x:v>
      </x:c>
      <x:c r="C17" s="11" t="n">
        <x:v>0</x:v>
      </x:c>
      <x:c r="D17" s="11" t="n">
        <x:v>3039.57</x:v>
      </x:c>
      <x:c r="E17" s="11" t="n">
        <x:v>2813.9</x:v>
      </x:c>
      <x:c r="F17" s="11" t="n">
        <x:v>3039.57</x:v>
      </x:c>
      <x:c r="G17" s="11" t="n">
        <x:v>2979.78</x:v>
      </x:c>
      <x:c r="H17" s="11" t="n">
        <x:v>0</x:v>
      </x:c>
      <x:c r="I17" s="11" t="n">
        <x:v>0</x:v>
      </x:c>
      <x:c r="J17" s="11"/>
      <x:c r="K17" s="1" t="str">
        <x:v>GFGC4200OC</x:v>
      </x:c>
      <x:c r="L17" s="1" t="str">
        <x:v>=+D13</x:v>
      </x:c>
    </x:row>
    <x:row r="18" ht="21" customHeight="1">
      <x:c r="A18" s="5" t="n">
        <x:v>46272</x:v>
      </x:c>
      <x:c r="B18" s="11" t="n">
        <x:v>2871.76</x:v>
      </x:c>
      <x:c r="C18" s="11" t="n">
        <x:v>2302020</x:v>
      </x:c>
      <x:c r="D18" s="11" t="n">
        <x:v>2813.9</x:v>
      </x:c>
      <x:c r="E18" s="11" t="n">
        <x:v>2938.68</x:v>
      </x:c>
      <x:c r="F18" s="11" t="n">
        <x:v>2889.09</x:v>
      </x:c>
      <x:c r="G18" s="11" t="n">
        <x:v>2813.9</x:v>
      </x:c>
      <x:c r="H18" s="11" t="n">
        <x:v>0</x:v>
      </x:c>
      <x:c r="I18" s="11" t="n">
        <x:v>0</x:v>
      </x:c>
      <x:c r="J18" s="11"/>
      <x:c r="K18" s="1" t="str">
        <x:v>GFGC4200OC</x:v>
      </x:c>
      <x:c r="L18" s="1" t="str">
        <x:v>=+D14</x:v>
      </x:c>
    </x:row>
    <x:row r="19" ht="21" customHeight="1">
      <x:c r="A19" s="5" t="n">
        <x:v>46273</x:v>
      </x:c>
      <x:c r="B19" s="11" t="n">
        <x:v>2845.62</x:v>
      </x:c>
      <x:c r="C19" s="11" t="n">
        <x:v>3711328.25</x:v>
      </x:c>
      <x:c r="D19" s="11" t="n">
        <x:v>2938.68</x:v>
      </x:c>
      <x:c r="E19" s="11" t="n">
        <x:v>2938.68</x:v>
      </x:c>
      <x:c r="F19" s="11" t="n">
        <x:v>2938.68</x:v>
      </x:c>
      <x:c r="G19" s="11" t="n">
        <x:v>2839.03</x:v>
      </x:c>
      <x:c r="H19" s="11" t="n">
        <x:v>0</x:v>
      </x:c>
      <x:c r="I19" s="11" t="n">
        <x:v>0</x:v>
      </x:c>
      <x:c r="J19" s="11"/>
      <x:c r="K19" s="1" t="str">
        <x:v>GFGC4200OC</x:v>
      </x:c>
      <x:c r="L19" s="1" t="str">
        <x:v>=+D15</x:v>
      </x:c>
    </x:row>
    <x:row r="20" ht="21" customHeight="1">
      <x:c r="A20" s="5" t="n">
        <x:v>46274</x:v>
      </x:c>
      <x:c r="B20" s="11" t="n">
        <x:v>2845.62</x:v>
      </x:c>
      <x:c r="C20" s="11" t="n">
        <x:v>0</x:v>
      </x:c>
      <x:c r="D20" s="11" t="n">
        <x:v>2938.68</x:v>
      </x:c>
      <x:c r="E20" s="11" t="n">
        <x:v>2935.98</x:v>
      </x:c>
      <x:c r="F20" s="11" t="n">
        <x:v>2938.68</x:v>
      </x:c>
      <x:c r="G20" s="11" t="n">
        <x:v>2839.03</x:v>
      </x:c>
      <x:c r="H20" s="11" t="n">
        <x:v>0</x:v>
      </x:c>
      <x:c r="I20" s="11" t="n">
        <x:v>0</x:v>
      </x:c>
      <x:c r="J20" s="11"/>
      <x:c r="K20" s="1" t="str">
        <x:v>GFGC4200OC</x:v>
      </x:c>
      <x:c r="L20" s="1" t="str">
        <x:v>=+D16</x:v>
      </x:c>
    </x:row>
    <x:row r="21" ht="21" customHeight="1">
      <x:c r="A21" s="5" t="n">
        <x:v>46275</x:v>
      </x:c>
      <x:c r="B21" s="11" t="n">
        <x:v>3000</x:v>
      </x:c>
      <x:c r="C21" s="11" t="n">
        <x:v>4212306</x:v>
      </x:c>
      <x:c r="D21" s="11" t="n">
        <x:v>2935.98</x:v>
      </x:c>
      <x:c r="E21" s="11" t="n">
        <x:v>2950</x:v>
      </x:c>
      <x:c r="F21" s="11" t="n">
        <x:v>3050</x:v>
      </x:c>
      <x:c r="G21" s="11" t="n">
        <x:v>2935.98</x:v>
      </x:c>
      <x:c r="H21" s="11" t="n">
        <x:v>0</x:v>
      </x:c>
      <x:c r="I21" s="11" t="n">
        <x:v>0</x:v>
      </x:c>
      <x:c r="J21" s="11"/>
      <x:c r="K21" s="1" t="str">
        <x:v>GFGC4200OC</x:v>
      </x:c>
      <x:c r="L21" s="1" t="str">
        <x:v>=+D17</x:v>
      </x:c>
    </x:row>
    <x:row r="22" ht="21" customHeight="1">
      <x:c r="A22" s="5" t="n">
        <x:v>46276</x:v>
      </x:c>
      <x:c r="B22" s="11" t="n">
        <x:v>2956.52</x:v>
      </x:c>
      <x:c r="C22" s="11" t="n">
        <x:v>2068912</x:v>
      </x:c>
      <x:c r="D22" s="11" t="n">
        <x:v>2950</x:v>
      </x:c>
      <x:c r="E22" s="11" t="n">
        <x:v>2950</x:v>
      </x:c>
      <x:c r="F22" s="11" t="n">
        <x:v>2956.52</x:v>
      </x:c>
      <x:c r="G22" s="11" t="n">
        <x:v>2950</x:v>
      </x:c>
      <x:c r="H22" s="11" t="n">
        <x:v>0</x:v>
      </x:c>
      <x:c r="I22" s="11" t="n">
        <x:v>0</x:v>
      </x:c>
      <x:c r="J22" s="11"/>
      <x:c r="K22" s="1" t="str">
        <x:v>GFGC4200OC</x:v>
      </x:c>
      <x:c r="L22" s="1" t="str">
        <x:v>=+D18</x:v>
      </x:c>
    </x:row>
    <x:row r="23" ht="21" customHeight="1">
      <x:c r="A23" s="5" t="n">
        <x:v>46279</x:v>
      </x:c>
      <x:c r="B23" s="11" t="n">
        <x:v>2956.52</x:v>
      </x:c>
      <x:c r="C23" s="11" t="n">
        <x:v>0</x:v>
      </x:c>
      <x:c r="D23" s="11" t="n">
        <x:v>2950</x:v>
      </x:c>
      <x:c r="E23" s="11" t="n">
        <x:v>2663.71</x:v>
      </x:c>
      <x:c r="F23" s="11" t="n">
        <x:v>2956.52</x:v>
      </x:c>
      <x:c r="G23" s="11" t="n">
        <x:v>2950</x:v>
      </x:c>
      <x:c r="H23" s="11" t="n">
        <x:v>0</x:v>
      </x:c>
      <x:c r="I23" s="11" t="n">
        <x:v>0</x:v>
      </x:c>
      <x:c r="J23" s="11"/>
      <x:c r="K23" s="1" t="str">
        <x:v>GFGC4200OC</x:v>
      </x:c>
      <x:c r="L23" s="1" t="str">
        <x:v>=+D19</x:v>
      </x:c>
    </x:row>
    <x:row r="24" ht="21" customHeight="1">
      <x:c r="A24" s="5" t="n">
        <x:v>46280</x:v>
      </x:c>
      <x:c r="B24" s="11" t="n">
        <x:v>2597.16</x:v>
      </x:c>
      <x:c r="C24" s="11" t="n">
        <x:v>2869639.25</x:v>
      </x:c>
      <x:c r="D24" s="11" t="n">
        <x:v>2663.71</x:v>
      </x:c>
      <x:c r="E24" s="11" t="n">
        <x:v>2587.49</x:v>
      </x:c>
      <x:c r="F24" s="11" t="n">
        <x:v>2663.71</x:v>
      </x:c>
      <x:c r="G24" s="11" t="n">
        <x:v>2597.16</x:v>
      </x:c>
      <x:c r="H24" s="11" t="n">
        <x:v>0</x:v>
      </x:c>
      <x:c r="I24" s="11" t="n">
        <x:v>0</x:v>
      </x:c>
      <x:c r="J24" s="11"/>
      <x:c r="K24" s="1" t="str">
        <x:v>GFGC4200OC</x:v>
      </x:c>
      <x:c r="L24" s="1" t="str">
        <x:v>=+D20</x:v>
      </x:c>
    </x:row>
    <x:row r="25" ht="21" customHeight="1">
      <x:c r="A25" s="5" t="n">
        <x:v>46281</x:v>
      </x:c>
      <x:c r="B25" s="11" t="n">
        <x:v>2587.49</x:v>
      </x:c>
      <x:c r="C25" s="11" t="n">
        <x:v>258749</x:v>
      </x:c>
      <x:c r="D25" s="11" t="n">
        <x:v>2587.49</x:v>
      </x:c>
      <x:c r="E25" s="11" t="n">
        <x:v>2376.5</x:v>
      </x:c>
      <x:c r="F25" s="11" t="n">
        <x:v>0</x:v>
      </x:c>
      <x:c r="G25" s="11" t="n">
        <x:v>0</x:v>
      </x:c>
      <x:c r="H25" s="11" t="n">
        <x:v>0</x:v>
      </x:c>
      <x:c r="I25" s="11" t="n">
        <x:v>0</x:v>
      </x:c>
      <x:c r="J25" s="11"/>
      <x:c r="K25" s="1" t="str">
        <x:v>GFGC4200OC</x:v>
      </x:c>
      <x:c r="L25" s="1" t="str">
        <x:v>=+D21</x:v>
      </x:c>
    </x:row>
    <x:row r="26" ht="21" customHeight="1">
      <x:c r="A26" s="5" t="n">
        <x:v>46255</x:v>
      </x:c>
      <x:c r="B26" s="11" t="n">
        <x:v>2387.12</x:v>
      </x:c>
      <x:c r="C26" s="11" t="n">
        <x:v>2843784</x:v>
      </x:c>
      <x:c r="D26" s="11" t="n">
        <x:v>2376.5</x:v>
      </x:c>
      <x:c r="E26" s="11" t="n">
        <x:v>2376.5</x:v>
      </x:c>
      <x:c r="F26" s="11" t="n">
        <x:v>2376.5</x:v>
      </x:c>
      <x:c r="G26" s="11" t="n">
        <x:v>2366.48</x:v>
      </x:c>
      <x:c r="H26" s="11" t="n">
        <x:v>0</x:v>
      </x:c>
      <x:c r="I26" s="11" t="n">
        <x:v>0</x:v>
      </x:c>
      <x:c r="J26" s="11"/>
      <x:c r="K26" s="1" t="str">
        <x:v>GFGC4400OC</x:v>
      </x:c>
      <x:c r="L26" s="1" t="str">
        <x:v>=+D22</x:v>
      </x:c>
    </x:row>
    <x:row r="27" ht="21" customHeight="1">
      <x:c r="A27" s="5" t="n">
        <x:v>46258</x:v>
      </x:c>
      <x:c r="B27" s="11" t="n">
        <x:v>2387.12</x:v>
      </x:c>
      <x:c r="C27" s="11" t="n">
        <x:v>0</x:v>
      </x:c>
      <x:c r="D27" s="11" t="n">
        <x:v>2376.5</x:v>
      </x:c>
      <x:c r="E27" s="11" t="n">
        <x:v>2376.5</x:v>
      </x:c>
      <x:c r="F27" s="11" t="n">
        <x:v>2376.5</x:v>
      </x:c>
      <x:c r="G27" s="11" t="n">
        <x:v>2366.48</x:v>
      </x:c>
      <x:c r="H27" s="11" t="n">
        <x:v>0</x:v>
      </x:c>
      <x:c r="I27" s="11" t="n">
        <x:v>0</x:v>
      </x:c>
      <x:c r="J27" s="11"/>
      <x:c r="K27" s="1" t="str">
        <x:v>GFGC4400OC</x:v>
      </x:c>
      <x:c r="L27" s="1" t="str">
        <x:v>=+D23</x:v>
      </x:c>
    </x:row>
    <x:row r="28" ht="21" customHeight="1">
      <x:c r="A28" s="5" t="n">
        <x:v>46259</x:v>
      </x:c>
      <x:c r="B28" s="11" t="n">
        <x:v>2387.12</x:v>
      </x:c>
      <x:c r="C28" s="11" t="n">
        <x:v>0</x:v>
      </x:c>
      <x:c r="D28" s="11" t="n">
        <x:v>2376.5</x:v>
      </x:c>
      <x:c r="E28" s="11" t="n">
        <x:v>2376.5</x:v>
      </x:c>
      <x:c r="F28" s="11" t="n">
        <x:v>2376.5</x:v>
      </x:c>
      <x:c r="G28" s="11" t="n">
        <x:v>2366.48</x:v>
      </x:c>
      <x:c r="H28" s="11" t="n">
        <x:v>0</x:v>
      </x:c>
      <x:c r="I28" s="11" t="n">
        <x:v>0</x:v>
      </x:c>
      <x:c r="J28" s="11"/>
      <x:c r="K28" s="1" t="str">
        <x:v>GFGC4400OC</x:v>
      </x:c>
      <x:c r="L28" s="1" t="str">
        <x:v>=+D24</x:v>
      </x:c>
    </x:row>
    <x:row r="29" ht="21" customHeight="1">
      <x:c r="A29" s="5" t="n">
        <x:v>46260</x:v>
      </x:c>
      <x:c r="B29" s="11" t="n">
        <x:v>2387.12</x:v>
      </x:c>
      <x:c r="C29" s="11" t="n">
        <x:v>0</x:v>
      </x:c>
      <x:c r="D29" s="11" t="n">
        <x:v>2376.5</x:v>
      </x:c>
      <x:c r="E29" s="11" t="n">
        <x:v>2376.5</x:v>
      </x:c>
      <x:c r="F29" s="11" t="n">
        <x:v>2376.5</x:v>
      </x:c>
      <x:c r="G29" s="11" t="n">
        <x:v>2366.48</x:v>
      </x:c>
      <x:c r="H29" s="11" t="n">
        <x:v>0</x:v>
      </x:c>
      <x:c r="I29" s="11" t="n">
        <x:v>0</x:v>
      </x:c>
      <x:c r="J29" s="11"/>
      <x:c r="K29" s="1" t="str">
        <x:v>GFGC4400OC</x:v>
      </x:c>
      <x:c r="L29" s="1" t="str">
        <x:v>=+D25</x:v>
      </x:c>
    </x:row>
    <x:row r="30" ht="21" customHeight="1">
      <x:c r="A30" s="5" t="n">
        <x:v>46261</x:v>
      </x:c>
      <x:c r="B30" s="11" t="n">
        <x:v>2387.12</x:v>
      </x:c>
      <x:c r="C30" s="11" t="n">
        <x:v>0</x:v>
      </x:c>
      <x:c r="D30" s="11" t="n">
        <x:v>2376.5</x:v>
      </x:c>
      <x:c r="E30" s="11" t="n">
        <x:v>2429.97</x:v>
      </x:c>
      <x:c r="F30" s="11" t="n">
        <x:v>2376.5</x:v>
      </x:c>
      <x:c r="G30" s="11" t="n">
        <x:v>2366.48</x:v>
      </x:c>
      <x:c r="H30" s="11" t="n">
        <x:v>0</x:v>
      </x:c>
      <x:c r="I30" s="11" t="n">
        <x:v>0</x:v>
      </x:c>
      <x:c r="J30" s="11"/>
      <x:c r="K30" s="1" t="str">
        <x:v>GFGC4400OC</x:v>
      </x:c>
      <x:c r="L30" s="1" t="str">
        <x:v>=+D26</x:v>
      </x:c>
    </x:row>
    <x:row r="31" ht="21" customHeight="1">
      <x:c r="A31" s="5" t="n">
        <x:v>46262</x:v>
      </x:c>
      <x:c r="B31" s="11" t="n">
        <x:v>2429.97</x:v>
      </x:c>
      <x:c r="C31" s="11" t="n">
        <x:v>485994</x:v>
      </x:c>
      <x:c r="D31" s="11" t="n">
        <x:v>2429.97</x:v>
      </x:c>
      <x:c r="E31" s="11" t="n">
        <x:v>2429.97</x:v>
      </x:c>
      <x:c r="F31" s="11" t="n">
        <x:v>0</x:v>
      </x:c>
      <x:c r="G31" s="11" t="n">
        <x:v>0</x:v>
      </x:c>
      <x:c r="H31" s="11" t="n">
        <x:v>0</x:v>
      </x:c>
      <x:c r="I31" s="11" t="n">
        <x:v>0</x:v>
      </x:c>
      <x:c r="J31" s="11"/>
      <x:c r="K31" s="1" t="str">
        <x:v>GFGC4400OC</x:v>
      </x:c>
      <x:c r="L31" s="1" t="str">
        <x:v>=+D27</x:v>
      </x:c>
    </x:row>
    <x:row r="32" ht="21" customHeight="1">
      <x:c r="A32" s="5" t="n">
        <x:v>46265</x:v>
      </x:c>
      <x:c r="B32" s="11" t="n">
        <x:v>2429.97</x:v>
      </x:c>
      <x:c r="C32" s="11" t="n">
        <x:v>0</x:v>
      </x:c>
      <x:c r="D32" s="11" t="n">
        <x:v>2429.97</x:v>
      </x:c>
      <x:c r="E32" s="11" t="n">
        <x:v>2751.8</x:v>
      </x:c>
      <x:c r="F32" s="11" t="n">
        <x:v>2429.97</x:v>
      </x:c>
      <x:c r="G32" s="11" t="n">
        <x:v>2429.97</x:v>
      </x:c>
      <x:c r="H32" s="11" t="n">
        <x:v>0</x:v>
      </x:c>
      <x:c r="I32" s="11" t="n">
        <x:v>0</x:v>
      </x:c>
      <x:c r="J32" s="11"/>
      <x:c r="K32" s="1" t="str">
        <x:v>GFGC4400OC</x:v>
      </x:c>
      <x:c r="L32" s="1" t="str">
        <x:v>=+D28</x:v>
      </x:c>
    </x:row>
    <x:row r="33" ht="21" customHeight="1">
      <x:c r="A33" s="5" t="n">
        <x:v>46266</x:v>
      </x:c>
      <x:c r="B33" s="11" t="n">
        <x:v>2746.82</x:v>
      </x:c>
      <x:c r="C33" s="11" t="n">
        <x:v>2197454</x:v>
      </x:c>
      <x:c r="D33" s="11" t="n">
        <x:v>2751.8</x:v>
      </x:c>
      <x:c r="E33" s="11" t="n">
        <x:v>2819.19</x:v>
      </x:c>
      <x:c r="F33" s="11" t="n">
        <x:v>2751.8</x:v>
      </x:c>
      <x:c r="G33" s="11" t="n">
        <x:v>2731.87</x:v>
      </x:c>
      <x:c r="H33" s="11" t="n">
        <x:v>0</x:v>
      </x:c>
      <x:c r="I33" s="11" t="n">
        <x:v>0</x:v>
      </x:c>
      <x:c r="J33" s="11"/>
      <x:c r="K33" s="1" t="str">
        <x:v>GFGC4400OC</x:v>
      </x:c>
      <x:c r="L33" s="1" t="str">
        <x:v>=+D29</x:v>
      </x:c>
    </x:row>
    <x:row r="34" ht="21" customHeight="1">
      <x:c r="A34" s="5" t="n">
        <x:v>46267</x:v>
      </x:c>
      <x:c r="B34" s="11" t="n">
        <x:v>2849.09</x:v>
      </x:c>
      <x:c r="C34" s="11" t="n">
        <x:v>1133656</x:v>
      </x:c>
      <x:c r="D34" s="11" t="n">
        <x:v>2819.19</x:v>
      </x:c>
      <x:c r="E34" s="11" t="n">
        <x:v>3009.46</x:v>
      </x:c>
      <x:c r="F34" s="11" t="n">
        <x:v>2819.19</x:v>
      </x:c>
      <x:c r="G34" s="11" t="n">
        <x:v>2819.19</x:v>
      </x:c>
      <x:c r="H34" s="11" t="n">
        <x:v>0</x:v>
      </x:c>
      <x:c r="I34" s="11" t="n">
        <x:v>0</x:v>
      </x:c>
      <x:c r="J34" s="11"/>
      <x:c r="K34" s="1" t="str">
        <x:v>GFGC4400OC</x:v>
      </x:c>
      <x:c r="L34" s="1" t="str">
        <x:v>=+D30</x:v>
      </x:c>
    </x:row>
    <x:row r="35" ht="21" customHeight="1">
      <x:c r="A35" s="5" t="n">
        <x:v>46268</x:v>
      </x:c>
      <x:c r="B35" s="11" t="n">
        <x:v>2772.89</x:v>
      </x:c>
      <x:c r="C35" s="11" t="n">
        <x:v>20663730</x:v>
      </x:c>
      <x:c r="D35" s="11" t="n">
        <x:v>3009.46</x:v>
      </x:c>
      <x:c r="E35" s="11" t="n">
        <x:v>2715.46</x:v>
      </x:c>
      <x:c r="F35" s="11" t="n">
        <x:v>3009.46</x:v>
      </x:c>
      <x:c r="G35" s="11" t="n">
        <x:v>2770.32</x:v>
      </x:c>
      <x:c r="H35" s="11" t="n">
        <x:v>0</x:v>
      </x:c>
      <x:c r="I35" s="11" t="n">
        <x:v>0</x:v>
      </x:c>
      <x:c r="J35" s="11"/>
      <x:c r="K35" s="1" t="str">
        <x:v>GFGC4400OC</x:v>
      </x:c>
      <x:c r="L35" s="1" t="str">
        <x:v>=+D31</x:v>
      </x:c>
    </x:row>
    <x:row r="36" ht="21" customHeight="1">
      <x:c r="A36" s="5" t="n">
        <x:v>46269</x:v>
      </x:c>
      <x:c r="B36" s="11" t="n">
        <x:v>2707.45</x:v>
      </x:c>
      <x:c r="C36" s="11" t="n">
        <x:v>5144148</x:v>
      </x:c>
      <x:c r="D36" s="11" t="n">
        <x:v>2715.46</x:v>
      </x:c>
      <x:c r="E36" s="11" t="n">
        <x:v>2619.23</x:v>
      </x:c>
      <x:c r="F36" s="11" t="n">
        <x:v>2722.44</x:v>
      </x:c>
      <x:c r="G36" s="11" t="n">
        <x:v>2685.6</x:v>
      </x:c>
      <x:c r="H36" s="11" t="n">
        <x:v>0</x:v>
      </x:c>
      <x:c r="I36" s="11" t="n">
        <x:v>0</x:v>
      </x:c>
      <x:c r="J36" s="11"/>
      <x:c r="K36" s="1" t="str">
        <x:v>GFGC4400OC</x:v>
      </x:c>
      <x:c r="L36" s="1" t="str">
        <x:v>=+D32</x:v>
      </x:c>
    </x:row>
    <x:row r="37" ht="21" customHeight="1">
      <x:c r="A37" s="5" t="n">
        <x:v>46272</x:v>
      </x:c>
      <x:c r="B37" s="11" t="n">
        <x:v>2762.2</x:v>
      </x:c>
      <x:c r="C37" s="11" t="n">
        <x:v>828660.88</x:v>
      </x:c>
      <x:c r="D37" s="11" t="n">
        <x:v>2619.23</x:v>
      </x:c>
      <x:c r="E37" s="11" t="n">
        <x:v>2619.23</x:v>
      </x:c>
      <x:c r="F37" s="11" t="n">
        <x:v>3006.1</x:v>
      </x:c>
      <x:c r="G37" s="11" t="n">
        <x:v>2619.23</x:v>
      </x:c>
      <x:c r="H37" s="11" t="n">
        <x:v>0</x:v>
      </x:c>
      <x:c r="I37" s="11" t="n">
        <x:v>0</x:v>
      </x:c>
      <x:c r="J37" s="11"/>
      <x:c r="K37" s="1" t="str">
        <x:v>GFGC4400OC</x:v>
      </x:c>
      <x:c r="L37" s="1" t="str">
        <x:v>=+D33</x:v>
      </x:c>
    </x:row>
    <x:row r="38" ht="21" customHeight="1">
      <x:c r="A38" s="5" t="n">
        <x:v>46273</x:v>
      </x:c>
      <x:c r="B38" s="11" t="n">
        <x:v>2762.2</x:v>
      </x:c>
      <x:c r="C38" s="11" t="n">
        <x:v>0</x:v>
      </x:c>
      <x:c r="D38" s="11" t="n">
        <x:v>2619.23</x:v>
      </x:c>
      <x:c r="E38" s="11" t="n">
        <x:v>2619.23</x:v>
      </x:c>
      <x:c r="F38" s="11" t="n">
        <x:v>3006.1</x:v>
      </x:c>
      <x:c r="G38" s="11" t="n">
        <x:v>2619.23</x:v>
      </x:c>
      <x:c r="H38" s="11" t="n">
        <x:v>0</x:v>
      </x:c>
      <x:c r="I38" s="11" t="n">
        <x:v>0</x:v>
      </x:c>
      <x:c r="J38" s="11"/>
      <x:c r="K38" s="1" t="str">
        <x:v>GFGC4400OC</x:v>
      </x:c>
      <x:c r="L38" s="1" t="str">
        <x:v>=+D34</x:v>
      </x:c>
    </x:row>
    <x:row r="39" ht="21" customHeight="1">
      <x:c r="A39" s="5" t="n">
        <x:v>46274</x:v>
      </x:c>
      <x:c r="B39" s="11" t="n">
        <x:v>2762.2</x:v>
      </x:c>
      <x:c r="C39" s="11" t="n">
        <x:v>0</x:v>
      </x:c>
      <x:c r="D39" s="11" t="n">
        <x:v>2619.23</x:v>
      </x:c>
      <x:c r="E39" s="11" t="n">
        <x:v>2792.55</x:v>
      </x:c>
      <x:c r="F39" s="11" t="n">
        <x:v>3006.1</x:v>
      </x:c>
      <x:c r="G39" s="11" t="n">
        <x:v>2619.23</x:v>
      </x:c>
      <x:c r="H39" s="11" t="n">
        <x:v>0</x:v>
      </x:c>
      <x:c r="I39" s="11" t="n">
        <x:v>0</x:v>
      </x:c>
      <x:c r="J39" s="11"/>
      <x:c r="K39" s="1" t="str">
        <x:v>GFGC4400OC</x:v>
      </x:c>
      <x:c r="L39" s="1" t="str">
        <x:v>=+D35</x:v>
      </x:c>
    </x:row>
    <x:row r="40" ht="21" customHeight="1">
      <x:c r="A40" s="5" t="n">
        <x:v>46275</x:v>
      </x:c>
      <x:c r="B40" s="11" t="n">
        <x:v>2828.59</x:v>
      </x:c>
      <x:c r="C40" s="11" t="n">
        <x:v>2525594.5</x:v>
      </x:c>
      <x:c r="D40" s="11" t="n">
        <x:v>2792.55</x:v>
      </x:c>
      <x:c r="E40" s="11" t="n">
        <x:v>2799.47</x:v>
      </x:c>
      <x:c r="F40" s="11" t="n">
        <x:v>2828.59</x:v>
      </x:c>
      <x:c r="G40" s="11" t="n">
        <x:v>2792.55</x:v>
      </x:c>
      <x:c r="H40" s="11" t="n">
        <x:v>0</x:v>
      </x:c>
      <x:c r="I40" s="11" t="n">
        <x:v>0</x:v>
      </x:c>
      <x:c r="J40" s="11"/>
      <x:c r="K40" s="1" t="str">
        <x:v>GFGC4400OC</x:v>
      </x:c>
      <x:c r="L40" s="1" t="str">
        <x:v>=+D36</x:v>
      </x:c>
    </x:row>
    <x:row r="41" ht="21" customHeight="1">
      <x:c r="A41" s="5" t="n">
        <x:v>46276</x:v>
      </x:c>
      <x:c r="B41" s="11" t="n">
        <x:v>2799.47</x:v>
      </x:c>
      <x:c r="C41" s="11" t="n">
        <x:v>559893.38</x:v>
      </x:c>
      <x:c r="D41" s="11" t="n">
        <x:v>2799.47</x:v>
      </x:c>
      <x:c r="E41" s="11" t="n">
        <x:v>2624.82</x:v>
      </x:c>
      <x:c r="F41" s="11" t="n">
        <x:v>0</x:v>
      </x:c>
      <x:c r="G41" s="11" t="n">
        <x:v>0</x:v>
      </x:c>
      <x:c r="H41" s="11" t="n">
        <x:v>0</x:v>
      </x:c>
      <x:c r="I41" s="11" t="n">
        <x:v>0</x:v>
      </x:c>
      <x:c r="J41" s="11"/>
      <x:c r="K41" s="1" t="str">
        <x:v>GFGC4400OC</x:v>
      </x:c>
      <x:c r="L41" s="1" t="str">
        <x:v>=+D37</x:v>
      </x:c>
    </x:row>
    <x:row r="42" ht="21" customHeight="1">
      <x:c r="A42" s="5" t="n">
        <x:v>46279</x:v>
      </x:c>
      <x:c r="B42" s="11" t="n">
        <x:v>2624.82</x:v>
      </x:c>
      <x:c r="C42" s="11" t="n">
        <x:v>524963.19</x:v>
      </x:c>
      <x:c r="D42" s="11" t="n">
        <x:v>2624.82</x:v>
      </x:c>
      <x:c r="E42" s="11" t="n">
        <x:v>2418.17</x:v>
      </x:c>
      <x:c r="F42" s="11" t="n">
        <x:v>0</x:v>
      </x:c>
      <x:c r="G42" s="11" t="n">
        <x:v>0</x:v>
      </x:c>
      <x:c r="H42" s="11" t="n">
        <x:v>0</x:v>
      </x:c>
      <x:c r="I42" s="11" t="n">
        <x:v>0</x:v>
      </x:c>
      <x:c r="J42" s="11"/>
      <x:c r="K42" s="1" t="str">
        <x:v>GFGC4400OC</x:v>
      </x:c>
      <x:c r="L42" s="1" t="str">
        <x:v>=+D38</x:v>
      </x:c>
    </x:row>
    <x:row r="43" ht="21" customHeight="1">
      <x:c r="A43" s="5" t="n">
        <x:v>46280</x:v>
      </x:c>
      <x:c r="B43" s="11" t="n">
        <x:v>2422</x:v>
      </x:c>
      <x:c r="C43" s="11" t="n">
        <x:v>1446295</x:v>
      </x:c>
      <x:c r="D43" s="11" t="n">
        <x:v>2418.17</x:v>
      </x:c>
      <x:c r="E43" s="11" t="n">
        <x:v>2418.17</x:v>
      </x:c>
      <x:c r="F43" s="11" t="n">
        <x:v>2418.17</x:v>
      </x:c>
      <x:c r="G43" s="11" t="n">
        <x:v>2391.3</x:v>
      </x:c>
      <x:c r="H43" s="11" t="n">
        <x:v>0</x:v>
      </x:c>
      <x:c r="I43" s="11" t="n">
        <x:v>0</x:v>
      </x:c>
      <x:c r="J43" s="11"/>
      <x:c r="K43" s="1" t="str">
        <x:v>GFGC4400OC</x:v>
      </x:c>
      <x:c r="L43" s="1" t="str">
        <x:v>=+D39</x:v>
      </x:c>
    </x:row>
    <x:row r="44" ht="21" customHeight="1">
      <x:c r="A44" s="5" t="n">
        <x:v>46281</x:v>
      </x:c>
      <x:c r="B44" s="11" t="n">
        <x:v>2422</x:v>
      </x:c>
      <x:c r="C44" s="11" t="n">
        <x:v>0</x:v>
      </x:c>
      <x:c r="D44" s="11" t="n">
        <x:v>2418.17</x:v>
      </x:c>
      <x:c r="E44" s="11" t="n">
        <x:v>2196.92</x:v>
      </x:c>
      <x:c r="F44" s="11" t="n">
        <x:v>2418.17</x:v>
      </x:c>
      <x:c r="G44" s="11" t="n">
        <x:v>2391.3</x:v>
      </x:c>
      <x:c r="H44" s="11" t="n">
        <x:v>0</x:v>
      </x:c>
      <x:c r="I44" s="11" t="n">
        <x:v>0</x:v>
      </x:c>
      <x:c r="J44" s="11"/>
      <x:c r="K44" s="1" t="str">
        <x:v>GFGC4400OC</x:v>
      </x:c>
      <x:c r="L44" s="1" t="str">
        <x:v>=+D40</x:v>
      </x:c>
    </x:row>
    <x:row r="45" ht="21" customHeight="1">
      <x:c r="A45" s="5" t="n">
        <x:v>46255</x:v>
      </x:c>
      <x:c r="B45" s="11" t="n">
        <x:v>2191.92</x:v>
      </x:c>
      <x:c r="C45" s="11" t="n">
        <x:v>878768</x:v>
      </x:c>
      <x:c r="D45" s="11" t="n">
        <x:v>2196.92</x:v>
      </x:c>
      <x:c r="E45" s="11" t="n">
        <x:v>2196.92</x:v>
      </x:c>
      <x:c r="F45" s="11" t="n">
        <x:v>2196.92</x:v>
      </x:c>
      <x:c r="G45" s="11" t="n">
        <x:v>2196.92</x:v>
      </x:c>
      <x:c r="H45" s="11" t="n">
        <x:v>0</x:v>
      </x:c>
      <x:c r="I45" s="11" t="n">
        <x:v>0</x:v>
      </x:c>
      <x:c r="J45" s="11"/>
      <x:c r="K45" s="1" t="str">
        <x:v>GFGC4600OC</x:v>
      </x:c>
      <x:c r="L45" s="1" t="str">
        <x:v>=+D41</x:v>
      </x:c>
    </x:row>
    <x:row r="46" ht="21" customHeight="1">
      <x:c r="A46" s="5" t="n">
        <x:v>46258</x:v>
      </x:c>
      <x:c r="B46" s="11" t="n">
        <x:v>2195.25</x:v>
      </x:c>
      <x:c r="C46" s="11" t="n">
        <x:v>0</x:v>
      </x:c>
      <x:c r="D46" s="11" t="n">
        <x:v>2196.92</x:v>
      </x:c>
      <x:c r="E46" s="11" t="n">
        <x:v>2493.23</x:v>
      </x:c>
      <x:c r="F46" s="11" t="n">
        <x:v>2196.92</x:v>
      </x:c>
      <x:c r="G46" s="11" t="n">
        <x:v>2196.92</x:v>
      </x:c>
      <x:c r="H46" s="11" t="n">
        <x:v>0</x:v>
      </x:c>
      <x:c r="I46" s="11" t="n">
        <x:v>0</x:v>
      </x:c>
      <x:c r="J46" s="11"/>
      <x:c r="K46" s="1" t="str">
        <x:v>GFGC4600OC</x:v>
      </x:c>
      <x:c r="L46" s="1" t="str">
        <x:v>=+D42</x:v>
      </x:c>
    </x:row>
    <x:row r="47" ht="21" customHeight="1">
      <x:c r="A47" s="5" t="n">
        <x:v>46259</x:v>
      </x:c>
      <x:c r="B47" s="11" t="n">
        <x:v>2493.23</x:v>
      </x:c>
      <x:c r="C47" s="11" t="n">
        <x:v>498646</x:v>
      </x:c>
      <x:c r="D47" s="11" t="n">
        <x:v>2493.23</x:v>
      </x:c>
      <x:c r="E47" s="11" t="n">
        <x:v>2493.23</x:v>
      </x:c>
      <x:c r="F47" s="11" t="n">
        <x:v>0</x:v>
      </x:c>
      <x:c r="G47" s="11" t="n">
        <x:v>0</x:v>
      </x:c>
      <x:c r="H47" s="11" t="n">
        <x:v>0</x:v>
      </x:c>
      <x:c r="I47" s="11" t="n">
        <x:v>0</x:v>
      </x:c>
      <x:c r="J47" s="11"/>
      <x:c r="K47" s="1" t="str">
        <x:v>GFGC4600OC</x:v>
      </x:c>
      <x:c r="L47" s="1" t="str">
        <x:v>=+D43</x:v>
      </x:c>
    </x:row>
    <x:row r="48" ht="21" customHeight="1">
      <x:c r="A48" s="5" t="n">
        <x:v>46260</x:v>
      </x:c>
      <x:c r="B48" s="11" t="n">
        <x:v>2493.23</x:v>
      </x:c>
      <x:c r="C48" s="11" t="n">
        <x:v>0</x:v>
      </x:c>
      <x:c r="D48" s="11" t="n">
        <x:v>2493.23</x:v>
      </x:c>
      <x:c r="E48" s="11" t="n">
        <x:v>2400.31</x:v>
      </x:c>
      <x:c r="F48" s="11" t="n">
        <x:v>2493.23</x:v>
      </x:c>
      <x:c r="G48" s="11" t="n">
        <x:v>2493.23</x:v>
      </x:c>
      <x:c r="H48" s="11" t="n">
        <x:v>0</x:v>
      </x:c>
      <x:c r="I48" s="11" t="n">
        <x:v>0</x:v>
      </x:c>
      <x:c r="J48" s="11"/>
      <x:c r="K48" s="1" t="str">
        <x:v>GFGC4600OC</x:v>
      </x:c>
      <x:c r="L48" s="1" t="str">
        <x:v>=+D44</x:v>
      </x:c>
    </x:row>
    <x:row r="49" ht="21" customHeight="1">
      <x:c r="A49" s="5" t="n">
        <x:v>46261</x:v>
      </x:c>
      <x:c r="B49" s="11" t="n">
        <x:v>2400.31</x:v>
      </x:c>
      <x:c r="C49" s="11" t="n">
        <x:v>240031</x:v>
      </x:c>
      <x:c r="D49" s="11" t="n">
        <x:v>2400.31</x:v>
      </x:c>
      <x:c r="E49" s="11" t="n">
        <x:v>2400.31</x:v>
      </x:c>
      <x:c r="F49" s="11" t="n">
        <x:v>0</x:v>
      </x:c>
      <x:c r="G49" s="11" t="n">
        <x:v>0</x:v>
      </x:c>
      <x:c r="H49" s="11" t="n">
        <x:v>0</x:v>
      </x:c>
      <x:c r="I49" s="11" t="n">
        <x:v>0</x:v>
      </x:c>
      <x:c r="J49" s="11"/>
      <x:c r="K49" s="1" t="str">
        <x:v>GFGC4600OC</x:v>
      </x:c>
      <x:c r="L49" s="1" t="str">
        <x:v>=+D45</x:v>
      </x:c>
    </x:row>
    <x:row r="50" ht="21" customHeight="1">
      <x:c r="A50" s="5" t="n">
        <x:v>46262</x:v>
      </x:c>
      <x:c r="B50" s="11" t="n">
        <x:v>2400.31</x:v>
      </x:c>
      <x:c r="C50" s="11" t="n">
        <x:v>0</x:v>
      </x:c>
      <x:c r="D50" s="11" t="n">
        <x:v>2400.31</x:v>
      </x:c>
      <x:c r="E50" s="11" t="n">
        <x:v>2384.72</x:v>
      </x:c>
      <x:c r="F50" s="11" t="n">
        <x:v>2400.31</x:v>
      </x:c>
      <x:c r="G50" s="11" t="n">
        <x:v>2400.31</x:v>
      </x:c>
      <x:c r="H50" s="11" t="n">
        <x:v>0</x:v>
      </x:c>
      <x:c r="I50" s="11" t="n">
        <x:v>0</x:v>
      </x:c>
      <x:c r="J50" s="11"/>
      <x:c r="K50" s="1" t="str">
        <x:v>GFGC4600OC</x:v>
      </x:c>
      <x:c r="L50" s="1" t="str">
        <x:v>=+D46</x:v>
      </x:c>
    </x:row>
    <x:row r="51" ht="21" customHeight="1">
      <x:c r="A51" s="5" t="n">
        <x:v>46265</x:v>
      </x:c>
      <x:c r="B51" s="11" t="n">
        <x:v>2384.72</x:v>
      </x:c>
      <x:c r="C51" s="11" t="n">
        <x:v>476944.41</x:v>
      </x:c>
      <x:c r="D51" s="11" t="n">
        <x:v>2384.72</x:v>
      </x:c>
      <x:c r="E51" s="11" t="n">
        <x:v>2384.72</x:v>
      </x:c>
      <x:c r="F51" s="11" t="n">
        <x:v>0</x:v>
      </x:c>
      <x:c r="G51" s="11" t="n">
        <x:v>0</x:v>
      </x:c>
      <x:c r="H51" s="11" t="n">
        <x:v>0</x:v>
      </x:c>
      <x:c r="I51" s="11" t="n">
        <x:v>0</x:v>
      </x:c>
      <x:c r="J51" s="11"/>
      <x:c r="K51" s="1" t="str">
        <x:v>GFGC4600OC</x:v>
      </x:c>
      <x:c r="L51" s="1" t="str">
        <x:v>=+D47</x:v>
      </x:c>
    </x:row>
    <x:row r="52" ht="21" customHeight="1">
      <x:c r="A52" s="5" t="n">
        <x:v>46266</x:v>
      </x:c>
      <x:c r="B52" s="11" t="n">
        <x:v>2384.72</x:v>
      </x:c>
      <x:c r="C52" s="11" t="n">
        <x:v>0</x:v>
      </x:c>
      <x:c r="D52" s="11" t="n">
        <x:v>2384.72</x:v>
      </x:c>
      <x:c r="E52" s="11" t="n">
        <x:v>2384.72</x:v>
      </x:c>
      <x:c r="F52" s="11" t="n">
        <x:v>2384.72</x:v>
      </x:c>
      <x:c r="G52" s="11" t="n">
        <x:v>2384.72</x:v>
      </x:c>
      <x:c r="H52" s="11" t="n">
        <x:v>0</x:v>
      </x:c>
      <x:c r="I52" s="11" t="n">
        <x:v>0</x:v>
      </x:c>
      <x:c r="J52" s="11"/>
      <x:c r="K52" s="1" t="str">
        <x:v>GFGC4600OC</x:v>
      </x:c>
      <x:c r="L52" s="1" t="str">
        <x:v>=+D48</x:v>
      </x:c>
    </x:row>
    <x:row r="53" ht="21" customHeight="1">
      <x:c r="A53" s="5" t="n">
        <x:v>46267</x:v>
      </x:c>
      <x:c r="B53" s="11" t="n">
        <x:v>2384.72</x:v>
      </x:c>
      <x:c r="C53" s="11" t="n">
        <x:v>0</x:v>
      </x:c>
      <x:c r="D53" s="11" t="n">
        <x:v>2384.72</x:v>
      </x:c>
      <x:c r="E53" s="11" t="n">
        <x:v>2799.99</x:v>
      </x:c>
      <x:c r="F53" s="11" t="n">
        <x:v>2384.72</x:v>
      </x:c>
      <x:c r="G53" s="11" t="n">
        <x:v>2384.72</x:v>
      </x:c>
      <x:c r="H53" s="11" t="n">
        <x:v>0</x:v>
      </x:c>
      <x:c r="I53" s="11" t="n">
        <x:v>0</x:v>
      </x:c>
      <x:c r="J53" s="11"/>
      <x:c r="K53" s="1" t="str">
        <x:v>GFGC4600OC</x:v>
      </x:c>
      <x:c r="L53" s="1" t="str">
        <x:v>=+D49</x:v>
      </x:c>
    </x:row>
    <x:row r="54" ht="21" customHeight="1">
      <x:c r="A54" s="5" t="n">
        <x:v>46268</x:v>
      </x:c>
      <x:c r="B54" s="11" t="n">
        <x:v>2581.05</x:v>
      </x:c>
      <x:c r="C54" s="11" t="n">
        <x:v>38763936</x:v>
      </x:c>
      <x:c r="D54" s="11" t="n">
        <x:v>2799.99</x:v>
      </x:c>
      <x:c r="E54" s="11" t="n">
        <x:v>2575.58</x:v>
      </x:c>
      <x:c r="F54" s="11" t="n">
        <x:v>2814.94</x:v>
      </x:c>
      <x:c r="G54" s="11" t="n">
        <x:v>2575.79</x:v>
      </x:c>
      <x:c r="H54" s="11" t="n">
        <x:v>0</x:v>
      </x:c>
      <x:c r="I54" s="11" t="n">
        <x:v>0</x:v>
      </x:c>
      <x:c r="J54" s="11"/>
      <x:c r="K54" s="1" t="str">
        <x:v>GFGC4600OC</x:v>
      </x:c>
      <x:c r="L54" s="1" t="str">
        <x:v>=+D50</x:v>
      </x:c>
    </x:row>
    <x:row r="55" ht="21" customHeight="1">
      <x:c r="A55" s="5" t="n">
        <x:v>46269</x:v>
      </x:c>
      <x:c r="B55" s="11" t="n">
        <x:v>2502.92</x:v>
      </x:c>
      <x:c r="C55" s="11" t="n">
        <x:v>3050382</x:v>
      </x:c>
      <x:c r="D55" s="11" t="n">
        <x:v>2575.58</x:v>
      </x:c>
      <x:c r="E55" s="11" t="n">
        <x:v>2409.51</x:v>
      </x:c>
      <x:c r="F55" s="11" t="n">
        <x:v>2575.58</x:v>
      </x:c>
      <x:c r="G55" s="11" t="n">
        <x:v>2510.88</x:v>
      </x:c>
      <x:c r="H55" s="11" t="n">
        <x:v>0</x:v>
      </x:c>
      <x:c r="I55" s="11" t="n">
        <x:v>0</x:v>
      </x:c>
      <x:c r="J55" s="11"/>
      <x:c r="K55" s="1" t="str">
        <x:v>GFGC4600OC</x:v>
      </x:c>
      <x:c r="L55" s="1" t="str">
        <x:v>=+D51</x:v>
      </x:c>
    </x:row>
    <x:row r="56" ht="21" customHeight="1">
      <x:c r="A56" s="5" t="n">
        <x:v>46272</x:v>
      </x:c>
      <x:c r="B56" s="11" t="n">
        <x:v>2499.74</x:v>
      </x:c>
      <x:c r="C56" s="11" t="n">
        <x:v>1240847</x:v>
      </x:c>
      <x:c r="D56" s="11" t="n">
        <x:v>2409.51</x:v>
      </x:c>
      <x:c r="E56" s="11" t="n">
        <x:v>2538.6</x:v>
      </x:c>
      <x:c r="F56" s="11" t="n">
        <x:v>2409.51</x:v>
      </x:c>
      <x:c r="G56" s="11" t="n">
        <x:v>2409.51</x:v>
      </x:c>
      <x:c r="H56" s="11" t="n">
        <x:v>0</x:v>
      </x:c>
      <x:c r="I56" s="11" t="n">
        <x:v>0</x:v>
      </x:c>
      <x:c r="J56" s="11"/>
      <x:c r="K56" s="1" t="str">
        <x:v>GFGC4600OC</x:v>
      </x:c>
      <x:c r="L56" s="1" t="str">
        <x:v>=+D52</x:v>
      </x:c>
    </x:row>
    <x:row r="57" ht="21" customHeight="1">
      <x:c r="A57" s="5" t="n">
        <x:v>46273</x:v>
      </x:c>
      <x:c r="B57" s="11" t="n">
        <x:v>2453.9</x:v>
      </x:c>
      <x:c r="C57" s="11" t="n">
        <x:v>2521660</x:v>
      </x:c>
      <x:c r="D57" s="11" t="n">
        <x:v>2538.6</x:v>
      </x:c>
      <x:c r="E57" s="11" t="n">
        <x:v>2483.73</x:v>
      </x:c>
      <x:c r="F57" s="11" t="n">
        <x:v>2538.6</x:v>
      </x:c>
      <x:c r="G57" s="11" t="n">
        <x:v>2453.9</x:v>
      </x:c>
      <x:c r="H57" s="11" t="n">
        <x:v>0</x:v>
      </x:c>
      <x:c r="I57" s="11" t="n">
        <x:v>0</x:v>
      </x:c>
      <x:c r="J57" s="11"/>
      <x:c r="K57" s="1" t="str">
        <x:v>GFGC4600OC</x:v>
      </x:c>
      <x:c r="L57" s="1" t="str">
        <x:v>=+D53</x:v>
      </x:c>
    </x:row>
    <x:row r="58" ht="21" customHeight="1">
      <x:c r="A58" s="5" t="n">
        <x:v>46274</x:v>
      </x:c>
      <x:c r="B58" s="11" t="n">
        <x:v>2550</x:v>
      </x:c>
      <x:c r="C58" s="11" t="n">
        <x:v>3203120</x:v>
      </x:c>
      <x:c r="D58" s="11" t="n">
        <x:v>2483.73</x:v>
      </x:c>
      <x:c r="E58" s="11" t="n">
        <x:v>2545.3</x:v>
      </x:c>
      <x:c r="F58" s="11" t="n">
        <x:v>2483.73</x:v>
      </x:c>
      <x:c r="G58" s="11" t="n">
        <x:v>2400</x:v>
      </x:c>
      <x:c r="H58" s="11" t="n">
        <x:v>0</x:v>
      </x:c>
      <x:c r="I58" s="11" t="n">
        <x:v>0</x:v>
      </x:c>
      <x:c r="J58" s="11"/>
      <x:c r="K58" s="1" t="str">
        <x:v>GFGC4600OC</x:v>
      </x:c>
      <x:c r="L58" s="1" t="str">
        <x:v>=+D54</x:v>
      </x:c>
    </x:row>
    <x:row r="59" ht="21" customHeight="1">
      <x:c r="A59" s="5" t="n">
        <x:v>46275</x:v>
      </x:c>
      <x:c r="B59" s="11" t="n">
        <x:v>2650</x:v>
      </x:c>
      <x:c r="C59" s="11" t="n">
        <x:v>2099060.5</x:v>
      </x:c>
      <x:c r="D59" s="11" t="n">
        <x:v>2545.3</x:v>
      </x:c>
      <x:c r="E59" s="11" t="n">
        <x:v>2545.3</x:v>
      </x:c>
      <x:c r="F59" s="11" t="n">
        <x:v>2650</x:v>
      </x:c>
      <x:c r="G59" s="11" t="n">
        <x:v>2545.3</x:v>
      </x:c>
      <x:c r="H59" s="11" t="n">
        <x:v>0</x:v>
      </x:c>
      <x:c r="I59" s="11" t="n">
        <x:v>0</x:v>
      </x:c>
      <x:c r="J59" s="11"/>
      <x:c r="K59" s="1" t="str">
        <x:v>GFGC4600OC</x:v>
      </x:c>
      <x:c r="L59" s="1" t="str">
        <x:v>=+D55</x:v>
      </x:c>
    </x:row>
    <x:row r="60" ht="21" customHeight="1">
      <x:c r="A60" s="5" t="n">
        <x:v>46276</x:v>
      </x:c>
      <x:c r="B60" s="11" t="n">
        <x:v>2650</x:v>
      </x:c>
      <x:c r="C60" s="11" t="n">
        <x:v>0</x:v>
      </x:c>
      <x:c r="D60" s="11" t="n">
        <x:v>2545.3</x:v>
      </x:c>
      <x:c r="E60" s="11" t="n">
        <x:v>2400</x:v>
      </x:c>
      <x:c r="F60" s="11" t="n">
        <x:v>2650</x:v>
      </x:c>
      <x:c r="G60" s="11" t="n">
        <x:v>2545.3</x:v>
      </x:c>
      <x:c r="H60" s="11" t="n">
        <x:v>0</x:v>
      </x:c>
      <x:c r="I60" s="11" t="n">
        <x:v>0</x:v>
      </x:c>
      <x:c r="J60" s="11"/>
      <x:c r="K60" s="1" t="str">
        <x:v>GFGC4600OC</x:v>
      </x:c>
      <x:c r="L60" s="1" t="str">
        <x:v>=+D56</x:v>
      </x:c>
    </x:row>
    <x:row r="61" ht="21" customHeight="1">
      <x:c r="A61" s="5" t="n">
        <x:v>46279</x:v>
      </x:c>
      <x:c r="B61" s="11" t="n">
        <x:v>2400</x:v>
      </x:c>
      <x:c r="C61" s="11" t="n">
        <x:v>480000</x:v>
      </x:c>
      <x:c r="D61" s="11" t="n">
        <x:v>2400</x:v>
      </x:c>
      <x:c r="E61" s="11" t="n">
        <x:v>2252.26</x:v>
      </x:c>
      <x:c r="F61" s="11" t="n">
        <x:v>0</x:v>
      </x:c>
      <x:c r="G61" s="11" t="n">
        <x:v>0</x:v>
      </x:c>
      <x:c r="H61" s="11" t="n">
        <x:v>0</x:v>
      </x:c>
      <x:c r="I61" s="11" t="n">
        <x:v>0</x:v>
      </x:c>
      <x:c r="J61" s="11"/>
      <x:c r="K61" s="1" t="str">
        <x:v>GFGC4600OC</x:v>
      </x:c>
      <x:c r="L61" s="1" t="str">
        <x:v>=+D57</x:v>
      </x:c>
    </x:row>
    <x:row r="62" ht="21" customHeight="1">
      <x:c r="A62" s="5" t="n">
        <x:v>46280</x:v>
      </x:c>
      <x:c r="B62" s="11" t="n">
        <x:v>2280.1</x:v>
      </x:c>
      <x:c r="C62" s="11" t="n">
        <x:v>27287726</x:v>
      </x:c>
      <x:c r="D62" s="11" t="n">
        <x:v>2252.26</x:v>
      </x:c>
      <x:c r="E62" s="11" t="n">
        <x:v>2252.26</x:v>
      </x:c>
      <x:c r="F62" s="11" t="n">
        <x:v>2265.16</x:v>
      </x:c>
      <x:c r="G62" s="11" t="n">
        <x:v>2200.39</x:v>
      </x:c>
      <x:c r="H62" s="11" t="n">
        <x:v>0</x:v>
      </x:c>
      <x:c r="I62" s="11" t="n">
        <x:v>0</x:v>
      </x:c>
      <x:c r="J62" s="11"/>
      <x:c r="K62" s="1" t="str">
        <x:v>GFGC4600OC</x:v>
      </x:c>
      <x:c r="L62" s="1" t="str">
        <x:v>=+D58</x:v>
      </x:c>
    </x:row>
    <x:row r="63" ht="21" customHeight="1">
      <x:c r="A63" s="5" t="n">
        <x:v>46281</x:v>
      </x:c>
      <x:c r="B63" s="11" t="n">
        <x:v>2280.1</x:v>
      </x:c>
      <x:c r="C63" s="11" t="n">
        <x:v>0</x:v>
      </x:c>
      <x:c r="D63" s="11" t="n">
        <x:v>2252.26</x:v>
      </x:c>
      <x:c r="E63" s="11" t="n">
        <x:v>2323.19</x:v>
      </x:c>
      <x:c r="F63" s="11" t="n">
        <x:v>2265.16</x:v>
      </x:c>
      <x:c r="G63" s="11" t="n">
        <x:v>2200.39</x:v>
      </x:c>
      <x:c r="H63" s="11" t="n">
        <x:v>0</x:v>
      </x:c>
      <x:c r="I63" s="11" t="n">
        <x:v>0</x:v>
      </x:c>
      <x:c r="J63" s="11"/>
      <x:c r="K63" s="1" t="str">
        <x:v>GFGC4600OC</x:v>
      </x:c>
      <x:c r="L63" s="1" t="str">
        <x:v>=+D59</x:v>
      </x:c>
    </x:row>
    <x:row r="64" ht="21" customHeight="1">
      <x:c r="A64" s="5" t="n">
        <x:v>46259</x:v>
      </x:c>
      <x:c r="B64" s="11" t="n">
        <x:v>2280</x:v>
      </x:c>
      <x:c r="C64" s="11" t="n">
        <x:v>464638</x:v>
      </x:c>
      <x:c r="D64" s="11" t="n">
        <x:v>2323.19</x:v>
      </x:c>
      <x:c r="E64" s="11" t="n">
        <x:v>2323.19</x:v>
      </x:c>
      <x:c r="F64" s="11" t="n">
        <x:v>2323.19</x:v>
      </x:c>
      <x:c r="G64" s="11" t="n">
        <x:v>2323.19</x:v>
      </x:c>
      <x:c r="H64" s="11" t="n">
        <x:v>0</x:v>
      </x:c>
      <x:c r="I64" s="11" t="n">
        <x:v>0</x:v>
      </x:c>
      <x:c r="J64" s="11"/>
      <x:c r="K64" s="1" t="str">
        <x:v>GFGC4800OC</x:v>
      </x:c>
      <x:c r="L64" s="1" t="str">
        <x:v>=+D60</x:v>
      </x:c>
    </x:row>
    <x:row r="65" ht="21" customHeight="1">
      <x:c r="A65" s="5" t="n">
        <x:v>46260</x:v>
      </x:c>
      <x:c r="B65" s="11" t="n">
        <x:v>2280</x:v>
      </x:c>
      <x:c r="C65" s="11" t="n">
        <x:v>0</x:v>
      </x:c>
      <x:c r="D65" s="11" t="n">
        <x:v>2323.19</x:v>
      </x:c>
      <x:c r="E65" s="11" t="n">
        <x:v>2370.75</x:v>
      </x:c>
      <x:c r="F65" s="11" t="n">
        <x:v>2323.19</x:v>
      </x:c>
      <x:c r="G65" s="11" t="n">
        <x:v>2323.19</x:v>
      </x:c>
      <x:c r="H65" s="11" t="n">
        <x:v>0</x:v>
      </x:c>
      <x:c r="I65" s="11" t="n">
        <x:v>0</x:v>
      </x:c>
      <x:c r="J65" s="11"/>
      <x:c r="K65" s="1" t="str">
        <x:v>GFGC4800OC</x:v>
      </x:c>
      <x:c r="L65" s="1" t="str">
        <x:v>=+D61</x:v>
      </x:c>
    </x:row>
    <x:row r="66" ht="21" customHeight="1">
      <x:c r="A66" s="5" t="n">
        <x:v>46261</x:v>
      </x:c>
      <x:c r="B66" s="11" t="n">
        <x:v>2186.6</x:v>
      </x:c>
      <x:c r="C66" s="11" t="n">
        <x:v>692810.38</x:v>
      </x:c>
      <x:c r="D66" s="11" t="n">
        <x:v>2370.75</x:v>
      </x:c>
      <x:c r="E66" s="11" t="n">
        <x:v>2104.21</x:v>
      </x:c>
      <x:c r="F66" s="11" t="n">
        <x:v>2370.75</x:v>
      </x:c>
      <x:c r="G66" s="11" t="n">
        <x:v>2370.75</x:v>
      </x:c>
      <x:c r="H66" s="11" t="n">
        <x:v>0</x:v>
      </x:c>
      <x:c r="I66" s="11" t="n">
        <x:v>0</x:v>
      </x:c>
      <x:c r="J66" s="11"/>
      <x:c r="K66" s="1" t="str">
        <x:v>GFGC4800OC</x:v>
      </x:c>
      <x:c r="L66" s="1" t="str">
        <x:v>=+D62</x:v>
      </x:c>
    </x:row>
    <x:row r="67" ht="21" customHeight="1">
      <x:c r="A67" s="5" t="n">
        <x:v>46262</x:v>
      </x:c>
      <x:c r="B67" s="11" t="n">
        <x:v>2050</x:v>
      </x:c>
      <x:c r="C67" s="11" t="n">
        <x:v>2470841</x:v>
      </x:c>
      <x:c r="D67" s="11" t="n">
        <x:v>2104.21</x:v>
      </x:c>
      <x:c r="E67" s="11" t="n">
        <x:v>2104.21</x:v>
      </x:c>
      <x:c r="F67" s="11" t="n">
        <x:v>2104.21</x:v>
      </x:c>
      <x:c r="G67" s="11" t="n">
        <x:v>2050</x:v>
      </x:c>
      <x:c r="H67" s="11" t="n">
        <x:v>0</x:v>
      </x:c>
      <x:c r="I67" s="11" t="n">
        <x:v>0</x:v>
      </x:c>
      <x:c r="J67" s="11"/>
      <x:c r="K67" s="1" t="str">
        <x:v>GFGC4800OC</x:v>
      </x:c>
      <x:c r="L67" s="1" t="str">
        <x:v>=+D63</x:v>
      </x:c>
    </x:row>
    <x:row r="68" ht="21" customHeight="1">
      <x:c r="A68" s="5" t="n">
        <x:v>46265</x:v>
      </x:c>
      <x:c r="B68" s="11" t="n">
        <x:v>2050</x:v>
      </x:c>
      <x:c r="C68" s="11" t="n">
        <x:v>0</x:v>
      </x:c>
      <x:c r="D68" s="11" t="n">
        <x:v>2104.21</x:v>
      </x:c>
      <x:c r="E68" s="11" t="n">
        <x:v>2375</x:v>
      </x:c>
      <x:c r="F68" s="11" t="n">
        <x:v>2104.21</x:v>
      </x:c>
      <x:c r="G68" s="11" t="n">
        <x:v>2050</x:v>
      </x:c>
      <x:c r="H68" s="11" t="n">
        <x:v>0</x:v>
      </x:c>
      <x:c r="I68" s="11" t="n">
        <x:v>0</x:v>
      </x:c>
      <x:c r="J68" s="11"/>
      <x:c r="K68" s="1" t="str">
        <x:v>GFGC4800OC</x:v>
      </x:c>
      <x:c r="L68" s="1" t="str">
        <x:v>=+D64</x:v>
      </x:c>
    </x:row>
    <x:row r="69" ht="21" customHeight="1">
      <x:c r="A69" s="5" t="n">
        <x:v>46266</x:v>
      </x:c>
      <x:c r="B69" s="11" t="n">
        <x:v>2375</x:v>
      </x:c>
      <x:c r="C69" s="11" t="n">
        <x:v>475000</x:v>
      </x:c>
      <x:c r="D69" s="11" t="n">
        <x:v>2375</x:v>
      </x:c>
      <x:c r="E69" s="11" t="n">
        <x:v>2375</x:v>
      </x:c>
      <x:c r="F69" s="11" t="n">
        <x:v>0</x:v>
      </x:c>
      <x:c r="G69" s="11" t="n">
        <x:v>0</x:v>
      </x:c>
      <x:c r="H69" s="11" t="n">
        <x:v>0</x:v>
      </x:c>
      <x:c r="I69" s="11" t="n">
        <x:v>0</x:v>
      </x:c>
      <x:c r="J69" s="11"/>
      <x:c r="K69" s="1" t="str">
        <x:v>GFGC4800OC</x:v>
      </x:c>
      <x:c r="L69" s="1" t="str">
        <x:v>=+D65</x:v>
      </x:c>
    </x:row>
    <x:row r="70" ht="21" customHeight="1">
      <x:c r="A70" s="5" t="n">
        <x:v>46267</x:v>
      </x:c>
      <x:c r="B70" s="11" t="n">
        <x:v>2375</x:v>
      </x:c>
      <x:c r="C70" s="11" t="n">
        <x:v>0</x:v>
      </x:c>
      <x:c r="D70" s="11" t="n">
        <x:v>2375</x:v>
      </x:c>
      <x:c r="E70" s="11" t="n">
        <x:v>2375</x:v>
      </x:c>
      <x:c r="F70" s="11" t="n">
        <x:v>2375</x:v>
      </x:c>
      <x:c r="G70" s="11" t="n">
        <x:v>2375</x:v>
      </x:c>
      <x:c r="H70" s="11" t="n">
        <x:v>0</x:v>
      </x:c>
      <x:c r="I70" s="11" t="n">
        <x:v>0</x:v>
      </x:c>
      <x:c r="J70" s="11"/>
      <x:c r="K70" s="1" t="str">
        <x:v>GFGC4800OC</x:v>
      </x:c>
      <x:c r="L70" s="1" t="str">
        <x:v>=+D66</x:v>
      </x:c>
    </x:row>
    <x:row r="71" ht="21" customHeight="1">
      <x:c r="A71" s="5" t="n">
        <x:v>46268</x:v>
      </x:c>
      <x:c r="B71" s="11" t="n">
        <x:v>2375</x:v>
      </x:c>
      <x:c r="C71" s="11" t="n">
        <x:v>0</x:v>
      </x:c>
      <x:c r="D71" s="11" t="n">
        <x:v>2375</x:v>
      </x:c>
      <x:c r="E71" s="11" t="n">
        <x:v>2375</x:v>
      </x:c>
      <x:c r="F71" s="11" t="n">
        <x:v>2375</x:v>
      </x:c>
      <x:c r="G71" s="11" t="n">
        <x:v>2375</x:v>
      </x:c>
      <x:c r="H71" s="11" t="n">
        <x:v>0</x:v>
      </x:c>
      <x:c r="I71" s="11" t="n">
        <x:v>0</x:v>
      </x:c>
      <x:c r="J71" s="11"/>
      <x:c r="K71" s="1" t="str">
        <x:v>GFGC4800OC</x:v>
      </x:c>
      <x:c r="L71" s="1" t="str">
        <x:v>=+D67</x:v>
      </x:c>
    </x:row>
    <x:row r="72" ht="21" customHeight="1">
      <x:c r="A72" s="5" t="n">
        <x:v>46269</x:v>
      </x:c>
      <x:c r="B72" s="11" t="n">
        <x:v>2375</x:v>
      </x:c>
      <x:c r="C72" s="11" t="n">
        <x:v>0</x:v>
      </x:c>
      <x:c r="D72" s="11" t="n">
        <x:v>2375</x:v>
      </x:c>
      <x:c r="E72" s="11" t="n">
        <x:v>2261.21</x:v>
      </x:c>
      <x:c r="F72" s="11" t="n">
        <x:v>2375</x:v>
      </x:c>
      <x:c r="G72" s="11" t="n">
        <x:v>2375</x:v>
      </x:c>
      <x:c r="H72" s="11" t="n">
        <x:v>0</x:v>
      </x:c>
      <x:c r="I72" s="11" t="n">
        <x:v>0</x:v>
      </x:c>
      <x:c r="J72" s="11"/>
      <x:c r="K72" s="1" t="str">
        <x:v>GFGC4800OC</x:v>
      </x:c>
      <x:c r="L72" s="1" t="str">
        <x:v>=+D68</x:v>
      </x:c>
    </x:row>
    <x:row r="73" ht="21" customHeight="1">
      <x:c r="A73" s="5" t="n">
        <x:v>46272</x:v>
      </x:c>
      <x:c r="B73" s="11" t="n">
        <x:v>2261.21</x:v>
      </x:c>
      <x:c r="C73" s="11" t="n">
        <x:v>452242.59</x:v>
      </x:c>
      <x:c r="D73" s="11" t="n">
        <x:v>2261.21</x:v>
      </x:c>
      <x:c r="E73" s="11" t="n">
        <x:v>2343.55</x:v>
      </x:c>
      <x:c r="F73" s="11" t="n">
        <x:v>0</x:v>
      </x:c>
      <x:c r="G73" s="11" t="n">
        <x:v>0</x:v>
      </x:c>
      <x:c r="H73" s="11" t="n">
        <x:v>0</x:v>
      </x:c>
      <x:c r="I73" s="11" t="n">
        <x:v>0</x:v>
      </x:c>
      <x:c r="J73" s="11"/>
      <x:c r="K73" s="1" t="str">
        <x:v>GFGC4800OC</x:v>
      </x:c>
      <x:c r="L73" s="1" t="str">
        <x:v>=+D69</x:v>
      </x:c>
    </x:row>
    <x:row r="74" ht="21" customHeight="1">
      <x:c r="A74" s="5" t="n">
        <x:v>46273</x:v>
      </x:c>
      <x:c r="B74" s="11" t="n">
        <x:v>2347.98</x:v>
      </x:c>
      <x:c r="C74" s="11" t="n">
        <x:v>4226358</x:v>
      </x:c>
      <x:c r="D74" s="11" t="n">
        <x:v>2343.55</x:v>
      </x:c>
      <x:c r="E74" s="11" t="n">
        <x:v>2343.55</x:v>
      </x:c>
      <x:c r="F74" s="11" t="n">
        <x:v>2353.51</x:v>
      </x:c>
      <x:c r="G74" s="11" t="n">
        <x:v>2343.55</x:v>
      </x:c>
      <x:c r="H74" s="11" t="n">
        <x:v>0</x:v>
      </x:c>
      <x:c r="I74" s="11" t="n">
        <x:v>0</x:v>
      </x:c>
      <x:c r="J74" s="11"/>
      <x:c r="K74" s="1" t="str">
        <x:v>GFGC4800OC</x:v>
      </x:c>
      <x:c r="L74" s="1" t="str">
        <x:v>=+D70</x:v>
      </x:c>
    </x:row>
    <x:row r="75" ht="21" customHeight="1">
      <x:c r="A75" s="5" t="n">
        <x:v>46274</x:v>
      </x:c>
      <x:c r="B75" s="11" t="n">
        <x:v>2347.98</x:v>
      </x:c>
      <x:c r="C75" s="11" t="n">
        <x:v>0</x:v>
      </x:c>
      <x:c r="D75" s="11" t="n">
        <x:v>2343.55</x:v>
      </x:c>
      <x:c r="E75" s="11" t="n">
        <x:v>2350.09</x:v>
      </x:c>
      <x:c r="F75" s="11" t="n">
        <x:v>2353.51</x:v>
      </x:c>
      <x:c r="G75" s="11" t="n">
        <x:v>2343.55</x:v>
      </x:c>
      <x:c r="H75" s="11" t="n">
        <x:v>0</x:v>
      </x:c>
      <x:c r="I75" s="11" t="n">
        <x:v>0</x:v>
      </x:c>
      <x:c r="J75" s="11"/>
      <x:c r="K75" s="1" t="str">
        <x:v>GFGC4800OC</x:v>
      </x:c>
      <x:c r="L75" s="1" t="str">
        <x:v>=+D71</x:v>
      </x:c>
    </x:row>
    <x:row r="76" ht="21" customHeight="1">
      <x:c r="A76" s="5" t="n">
        <x:v>46275</x:v>
      </x:c>
      <x:c r="B76" s="11" t="n">
        <x:v>2425.74</x:v>
      </x:c>
      <x:c r="C76" s="11" t="n">
        <x:v>8959734</x:v>
      </x:c>
      <x:c r="D76" s="11" t="n">
        <x:v>2350.09</x:v>
      </x:c>
      <x:c r="E76" s="11" t="n">
        <x:v>2350.09</x:v>
      </x:c>
      <x:c r="F76" s="11" t="n">
        <x:v>2428.08</x:v>
      </x:c>
      <x:c r="G76" s="11" t="n">
        <x:v>2350.09</x:v>
      </x:c>
      <x:c r="H76" s="11" t="n">
        <x:v>0</x:v>
      </x:c>
      <x:c r="I76" s="11" t="n">
        <x:v>0</x:v>
      </x:c>
      <x:c r="J76" s="11"/>
      <x:c r="K76" s="1" t="str">
        <x:v>GFGC4800OC</x:v>
      </x:c>
      <x:c r="L76" s="1" t="str">
        <x:v>=+D72</x:v>
      </x:c>
    </x:row>
    <x:row r="77" ht="21" customHeight="1">
      <x:c r="A77" s="5" t="n">
        <x:v>46276</x:v>
      </x:c>
      <x:c r="B77" s="11" t="n">
        <x:v>2425.74</x:v>
      </x:c>
      <x:c r="C77" s="11" t="n">
        <x:v>0</x:v>
      </x:c>
      <x:c r="D77" s="11" t="n">
        <x:v>2350.09</x:v>
      </x:c>
      <x:c r="E77" s="11" t="n">
        <x:v>2233.42</x:v>
      </x:c>
      <x:c r="F77" s="11" t="n">
        <x:v>2428.08</x:v>
      </x:c>
      <x:c r="G77" s="11" t="n">
        <x:v>2350.09</x:v>
      </x:c>
      <x:c r="H77" s="11" t="n">
        <x:v>0</x:v>
      </x:c>
      <x:c r="I77" s="11" t="n">
        <x:v>0</x:v>
      </x:c>
      <x:c r="J77" s="11"/>
      <x:c r="K77" s="1" t="str">
        <x:v>GFGC4800OC</x:v>
      </x:c>
      <x:c r="L77" s="1" t="str">
        <x:v>=+D73</x:v>
      </x:c>
    </x:row>
    <x:row r="78" ht="21" customHeight="1">
      <x:c r="A78" s="5" t="n">
        <x:v>46279</x:v>
      </x:c>
      <x:c r="B78" s="11" t="n">
        <x:v>2235.08</x:v>
      </x:c>
      <x:c r="C78" s="11" t="n">
        <x:v>1341046</x:v>
      </x:c>
      <x:c r="D78" s="11" t="n">
        <x:v>2233.42</x:v>
      </x:c>
      <x:c r="E78" s="11" t="n">
        <x:v>2061.43</x:v>
      </x:c>
      <x:c r="F78" s="11" t="n">
        <x:v>2233.42</x:v>
      </x:c>
      <x:c r="G78" s="11" t="n">
        <x:v>2233.42</x:v>
      </x:c>
      <x:c r="H78" s="11" t="n">
        <x:v>0</x:v>
      </x:c>
      <x:c r="I78" s="11" t="n">
        <x:v>0</x:v>
      </x:c>
      <x:c r="J78" s="11"/>
      <x:c r="K78" s="1" t="str">
        <x:v>GFGC4800OC</x:v>
      </x:c>
      <x:c r="L78" s="1" t="str">
        <x:v>=+D74</x:v>
      </x:c>
    </x:row>
    <x:row r="79" ht="21" customHeight="1">
      <x:c r="A79" s="5" t="n">
        <x:v>46280</x:v>
      </x:c>
      <x:c r="B79" s="11" t="n">
        <x:v>2084.21</x:v>
      </x:c>
      <x:c r="C79" s="11" t="n">
        <x:v>18354320</x:v>
      </x:c>
      <x:c r="D79" s="11" t="n">
        <x:v>2061.43</x:v>
      </x:c>
      <x:c r="E79" s="11" t="n">
        <x:v>2061.43</x:v>
      </x:c>
      <x:c r="F79" s="11" t="n">
        <x:v>2064.28</x:v>
      </x:c>
      <x:c r="G79" s="11" t="n">
        <x:v>2009.47</x:v>
      </x:c>
      <x:c r="H79" s="11" t="n">
        <x:v>0</x:v>
      </x:c>
      <x:c r="I79" s="11" t="n">
        <x:v>0</x:v>
      </x:c>
      <x:c r="J79" s="11"/>
      <x:c r="K79" s="1" t="str">
        <x:v>GFGC4800OC</x:v>
      </x:c>
      <x:c r="L79" s="1" t="str">
        <x:v>=+D75</x:v>
      </x:c>
    </x:row>
    <x:row r="80" ht="21" customHeight="1">
      <x:c r="A80" s="5" t="n">
        <x:v>46281</x:v>
      </x:c>
      <x:c r="B80" s="11" t="n">
        <x:v>2084.21</x:v>
      </x:c>
      <x:c r="C80" s="11" t="n">
        <x:v>0</x:v>
      </x:c>
      <x:c r="D80" s="11" t="n">
        <x:v>2061.43</x:v>
      </x:c>
      <x:c r="E80" s="11" t="n">
        <x:v>2095.38</x:v>
      </x:c>
      <x:c r="F80" s="11" t="n">
        <x:v>2064.28</x:v>
      </x:c>
      <x:c r="G80" s="11" t="n">
        <x:v>2009.47</x:v>
      </x:c>
      <x:c r="H80" s="11" t="n">
        <x:v>0</x:v>
      </x:c>
      <x:c r="I80" s="11" t="n">
        <x:v>0</x:v>
      </x:c>
      <x:c r="J80" s="11"/>
      <x:c r="K80" s="1" t="str">
        <x:v>GFGC4800OC</x:v>
      </x:c>
      <x:c r="L80" s="1" t="str">
        <x:v>=+D76</x:v>
      </x:c>
    </x:row>
    <x:row r="81" ht="21" customHeight="1">
      <x:c r="A81" s="5" t="n">
        <x:v>46259</x:v>
      </x:c>
      <x:c r="B81" s="11" t="n">
        <x:v>2100</x:v>
      </x:c>
      <x:c r="C81" s="11" t="n">
        <x:v>1467228</x:v>
      </x:c>
      <x:c r="D81" s="11" t="n">
        <x:v>2095.38</x:v>
      </x:c>
      <x:c r="E81" s="11" t="n">
        <x:v>2300</x:v>
      </x:c>
      <x:c r="F81" s="11" t="n">
        <x:v>2100</x:v>
      </x:c>
      <x:c r="G81" s="11" t="n">
        <x:v>2095.38</x:v>
      </x:c>
      <x:c r="H81" s="11" t="n">
        <x:v>0</x:v>
      </x:c>
      <x:c r="I81" s="11" t="n">
        <x:v>0</x:v>
      </x:c>
      <x:c r="J81" s="11"/>
      <x:c r="K81" s="1" t="str">
        <x:v>GFGC5000OC</x:v>
      </x:c>
      <x:c r="L81" s="1" t="str">
        <x:v>=+D77</x:v>
      </x:c>
    </x:row>
    <x:row r="82" ht="21" customHeight="1">
      <x:c r="A82" s="5" t="n">
        <x:v>46260</x:v>
      </x:c>
      <x:c r="B82" s="11" t="n">
        <x:v>2232.76</x:v>
      </x:c>
      <x:c r="C82" s="11" t="n">
        <x:v>2937336</x:v>
      </x:c>
      <x:c r="D82" s="11" t="n">
        <x:v>2300</x:v>
      </x:c>
      <x:c r="E82" s="11" t="n">
        <x:v>2031.32</x:v>
      </x:c>
      <x:c r="F82" s="11" t="n">
        <x:v>2300</x:v>
      </x:c>
      <x:c r="G82" s="11" t="n">
        <x:v>2260</x:v>
      </x:c>
      <x:c r="H82" s="11" t="n">
        <x:v>0</x:v>
      </x:c>
      <x:c r="I82" s="11" t="n">
        <x:v>0</x:v>
      </x:c>
      <x:c r="J82" s="11"/>
      <x:c r="K82" s="1" t="str">
        <x:v>GFGC5000OC</x:v>
      </x:c>
      <x:c r="L82" s="1" t="str">
        <x:v>=+D78</x:v>
      </x:c>
    </x:row>
    <x:row r="83" ht="21" customHeight="1">
      <x:c r="A83" s="5" t="n">
        <x:v>46261</x:v>
      </x:c>
      <x:c r="B83" s="11" t="n">
        <x:v>2030</x:v>
      </x:c>
      <x:c r="C83" s="11" t="n">
        <x:v>812264.19</x:v>
      </x:c>
      <x:c r="D83" s="11" t="n">
        <x:v>2031.32</x:v>
      </x:c>
      <x:c r="E83" s="11" t="n">
        <x:v>2000</x:v>
      </x:c>
      <x:c r="F83" s="11" t="n">
        <x:v>2031.32</x:v>
      </x:c>
      <x:c r="G83" s="11" t="n">
        <x:v>2031.32</x:v>
      </x:c>
      <x:c r="H83" s="11" t="n">
        <x:v>0</x:v>
      </x:c>
      <x:c r="I83" s="11" t="n">
        <x:v>0</x:v>
      </x:c>
      <x:c r="J83" s="11"/>
      <x:c r="K83" s="1" t="str">
        <x:v>GFGC5000OC</x:v>
      </x:c>
      <x:c r="L83" s="1" t="str">
        <x:v>=+D79</x:v>
      </x:c>
    </x:row>
    <x:row r="84" ht="21" customHeight="1">
      <x:c r="A84" s="5" t="n">
        <x:v>46262</x:v>
      </x:c>
      <x:c r="B84" s="11" t="n">
        <x:v>1905</x:v>
      </x:c>
      <x:c r="C84" s="11" t="n">
        <x:v>11458460</x:v>
      </x:c>
      <x:c r="D84" s="11" t="n">
        <x:v>2000</x:v>
      </x:c>
      <x:c r="E84" s="11" t="n">
        <x:v>1997.87</x:v>
      </x:c>
      <x:c r="F84" s="11" t="n">
        <x:v>2000</x:v>
      </x:c>
      <x:c r="G84" s="11" t="n">
        <x:v>1864.8</x:v>
      </x:c>
      <x:c r="H84" s="11" t="n">
        <x:v>0</x:v>
      </x:c>
      <x:c r="I84" s="11" t="n">
        <x:v>0</x:v>
      </x:c>
      <x:c r="J84" s="11"/>
      <x:c r="K84" s="1" t="str">
        <x:v>GFGC5000OC</x:v>
      </x:c>
      <x:c r="L84" s="1" t="str">
        <x:v>=+D80</x:v>
      </x:c>
    </x:row>
    <x:row r="85" ht="21" customHeight="1">
      <x:c r="A85" s="5" t="n">
        <x:v>46265</x:v>
      </x:c>
      <x:c r="B85" s="11" t="n">
        <x:v>1997.87</x:v>
      </x:c>
      <x:c r="C85" s="11" t="n">
        <x:v>399574.59</x:v>
      </x:c>
      <x:c r="D85" s="11" t="n">
        <x:v>1997.87</x:v>
      </x:c>
      <x:c r="E85" s="11" t="n">
        <x:v>2203.6</x:v>
      </x:c>
      <x:c r="F85" s="11" t="n">
        <x:v>0</x:v>
      </x:c>
      <x:c r="G85" s="11" t="n">
        <x:v>0</x:v>
      </x:c>
      <x:c r="H85" s="11" t="n">
        <x:v>0</x:v>
      </x:c>
      <x:c r="I85" s="11" t="n">
        <x:v>0</x:v>
      </x:c>
      <x:c r="J85" s="11"/>
      <x:c r="K85" s="1" t="str">
        <x:v>GFGC5000OC</x:v>
      </x:c>
      <x:c r="L85" s="1" t="str">
        <x:v>=+D81</x:v>
      </x:c>
    </x:row>
    <x:row r="86" ht="21" customHeight="1">
      <x:c r="A86" s="5" t="n">
        <x:v>46266</x:v>
      </x:c>
      <x:c r="B86" s="11" t="n">
        <x:v>2180</x:v>
      </x:c>
      <x:c r="C86" s="11" t="n">
        <x:v>6172276.5</x:v>
      </x:c>
      <x:c r="D86" s="11" t="n">
        <x:v>2203.6</x:v>
      </x:c>
      <x:c r="E86" s="11" t="n">
        <x:v>2170</x:v>
      </x:c>
      <x:c r="F86" s="11" t="n">
        <x:v>2300</x:v>
      </x:c>
      <x:c r="G86" s="11" t="n">
        <x:v>2203.6</x:v>
      </x:c>
      <x:c r="H86" s="11" t="n">
        <x:v>0</x:v>
      </x:c>
      <x:c r="I86" s="11" t="n">
        <x:v>0</x:v>
      </x:c>
      <x:c r="J86" s="11"/>
      <x:c r="K86" s="1" t="str">
        <x:v>GFGC5000OC</x:v>
      </x:c>
      <x:c r="L86" s="1" t="str">
        <x:v>=+D82</x:v>
      </x:c>
    </x:row>
    <x:row r="87" ht="21" customHeight="1">
      <x:c r="A87" s="5" t="n">
        <x:v>46267</x:v>
      </x:c>
      <x:c r="B87" s="11" t="n">
        <x:v>2170</x:v>
      </x:c>
      <x:c r="C87" s="11" t="n">
        <x:v>1302000</x:v>
      </x:c>
      <x:c r="D87" s="11" t="n">
        <x:v>2170</x:v>
      </x:c>
      <x:c r="E87" s="11" t="n">
        <x:v>2296.75</x:v>
      </x:c>
      <x:c r="F87" s="11" t="n">
        <x:v>2170</x:v>
      </x:c>
      <x:c r="G87" s="11" t="n">
        <x:v>2170</x:v>
      </x:c>
      <x:c r="H87" s="11" t="n">
        <x:v>0</x:v>
      </x:c>
      <x:c r="I87" s="11" t="n">
        <x:v>0</x:v>
      </x:c>
      <x:c r="J87" s="11"/>
      <x:c r="K87" s="1" t="str">
        <x:v>GFGC5000OC</x:v>
      </x:c>
      <x:c r="L87" s="1" t="str">
        <x:v>=+D83</x:v>
      </x:c>
    </x:row>
    <x:row r="88" ht="21" customHeight="1">
      <x:c r="A88" s="5" t="n">
        <x:v>46268</x:v>
      </x:c>
      <x:c r="B88" s="11" t="n">
        <x:v>2221.63</x:v>
      </x:c>
      <x:c r="C88" s="11" t="n">
        <x:v>681513.19</x:v>
      </x:c>
      <x:c r="D88" s="11" t="n">
        <x:v>2296.75</x:v>
      </x:c>
      <x:c r="E88" s="11" t="n">
        <x:v>2133.58</x:v>
      </x:c>
      <x:c r="F88" s="11" t="n">
        <x:v>2296.75</x:v>
      </x:c>
      <x:c r="G88" s="11" t="n">
        <x:v>2296.75</x:v>
      </x:c>
      <x:c r="H88" s="11" t="n">
        <x:v>0</x:v>
      </x:c>
      <x:c r="I88" s="11" t="n">
        <x:v>0</x:v>
      </x:c>
      <x:c r="J88" s="11"/>
      <x:c r="K88" s="1" t="str">
        <x:v>GFGC5000OC</x:v>
      </x:c>
      <x:c r="L88" s="1" t="str">
        <x:v>=+D84</x:v>
      </x:c>
    </x:row>
    <x:row r="89" ht="21" customHeight="1">
      <x:c r="A89" s="5" t="n">
        <x:v>46269</x:v>
      </x:c>
      <x:c r="B89" s="11" t="n">
        <x:v>2133.58</x:v>
      </x:c>
      <x:c r="C89" s="11" t="n">
        <x:v>213358</x:v>
      </x:c>
      <x:c r="D89" s="11" t="n">
        <x:v>2133.58</x:v>
      </x:c>
      <x:c r="E89" s="11" t="n">
        <x:v>2035.2</x:v>
      </x:c>
      <x:c r="F89" s="11" t="n">
        <x:v>0</x:v>
      </x:c>
      <x:c r="G89" s="11" t="n">
        <x:v>0</x:v>
      </x:c>
      <x:c r="H89" s="11" t="n">
        <x:v>0</x:v>
      </x:c>
      <x:c r="I89" s="11" t="n">
        <x:v>0</x:v>
      </x:c>
      <x:c r="J89" s="11"/>
      <x:c r="K89" s="1" t="str">
        <x:v>GFGC5000OC</x:v>
      </x:c>
      <x:c r="L89" s="1" t="str">
        <x:v>=+D85</x:v>
      </x:c>
    </x:row>
    <x:row r="90" ht="21" customHeight="1">
      <x:c r="A90" s="5" t="n">
        <x:v>46272</x:v>
      </x:c>
      <x:c r="B90" s="11" t="n">
        <x:v>2094.25</x:v>
      </x:c>
      <x:c r="C90" s="11" t="n">
        <x:v>1046059</x:v>
      </x:c>
      <x:c r="D90" s="11" t="n">
        <x:v>2035.2</x:v>
      </x:c>
      <x:c r="E90" s="11" t="n">
        <x:v>2035.2</x:v>
      </x:c>
      <x:c r="F90" s="11" t="n">
        <x:v>2110.38</x:v>
      </x:c>
      <x:c r="G90" s="11" t="n">
        <x:v>2035.2</x:v>
      </x:c>
      <x:c r="H90" s="11" t="n">
        <x:v>0</x:v>
      </x:c>
      <x:c r="I90" s="11" t="n">
        <x:v>0</x:v>
      </x:c>
      <x:c r="J90" s="11"/>
      <x:c r="K90" s="1" t="str">
        <x:v>GFGC5000OC</x:v>
      </x:c>
      <x:c r="L90" s="1" t="str">
        <x:v>=+D86</x:v>
      </x:c>
    </x:row>
    <x:row r="91" ht="21" customHeight="1">
      <x:c r="A91" s="5" t="n">
        <x:v>46273</x:v>
      </x:c>
      <x:c r="B91" s="11" t="n">
        <x:v>2094.25</x:v>
      </x:c>
      <x:c r="C91" s="11" t="n">
        <x:v>0</x:v>
      </x:c>
      <x:c r="D91" s="11" t="n">
        <x:v>2035.2</x:v>
      </x:c>
      <x:c r="E91" s="11" t="n">
        <x:v>2040</x:v>
      </x:c>
      <x:c r="F91" s="11" t="n">
        <x:v>2110.38</x:v>
      </x:c>
      <x:c r="G91" s="11" t="n">
        <x:v>2035.2</x:v>
      </x:c>
      <x:c r="H91" s="11" t="n">
        <x:v>0</x:v>
      </x:c>
      <x:c r="I91" s="11" t="n">
        <x:v>0</x:v>
      </x:c>
      <x:c r="J91" s="11"/>
      <x:c r="K91" s="1" t="str">
        <x:v>GFGC5000OC</x:v>
      </x:c>
      <x:c r="L91" s="1" t="str">
        <x:v>=+D87</x:v>
      </x:c>
    </x:row>
    <x:row r="92" ht="21" customHeight="1">
      <x:c r="A92" s="5" t="n">
        <x:v>46274</x:v>
      </x:c>
      <x:c r="B92" s="11" t="n">
        <x:v>2047.78</x:v>
      </x:c>
      <x:c r="C92" s="11" t="n">
        <x:v>1842999.75</x:v>
      </x:c>
      <x:c r="D92" s="11" t="n">
        <x:v>2040</x:v>
      </x:c>
      <x:c r="E92" s="11" t="n">
        <x:v>2154.75</x:v>
      </x:c>
      <x:c r="F92" s="11" t="n">
        <x:v>2050</x:v>
      </x:c>
      <x:c r="G92" s="11" t="n">
        <x:v>2040</x:v>
      </x:c>
      <x:c r="H92" s="11" t="n">
        <x:v>0</x:v>
      </x:c>
      <x:c r="I92" s="11" t="n">
        <x:v>0</x:v>
      </x:c>
      <x:c r="J92" s="11"/>
      <x:c r="K92" s="1" t="str">
        <x:v>GFGC5000OC</x:v>
      </x:c>
      <x:c r="L92" s="1" t="str">
        <x:v>=+D88</x:v>
      </x:c>
    </x:row>
    <x:row r="93" ht="21" customHeight="1">
      <x:c r="A93" s="5" t="n">
        <x:v>46275</x:v>
      </x:c>
      <x:c r="B93" s="11" t="n">
        <x:v>2248.2</x:v>
      </x:c>
      <x:c r="C93" s="11" t="n">
        <x:v>878331.69</x:v>
      </x:c>
      <x:c r="D93" s="11" t="n">
        <x:v>2154.75</x:v>
      </x:c>
      <x:c r="E93" s="11" t="n">
        <x:v>2154.75</x:v>
      </x:c>
      <x:c r="F93" s="11" t="n">
        <x:v>2225.61</x:v>
      </x:c>
      <x:c r="G93" s="11" t="n">
        <x:v>2154.75</x:v>
      </x:c>
      <x:c r="H93" s="11" t="n">
        <x:v>0</x:v>
      </x:c>
      <x:c r="I93" s="11" t="n">
        <x:v>0</x:v>
      </x:c>
      <x:c r="J93" s="11"/>
      <x:c r="K93" s="1" t="str">
        <x:v>GFGC5000OC</x:v>
      </x:c>
      <x:c r="L93" s="1" t="str">
        <x:v>=+D89</x:v>
      </x:c>
    </x:row>
    <x:row r="94" ht="21" customHeight="1">
      <x:c r="A94" s="5" t="n">
        <x:v>46276</x:v>
      </x:c>
      <x:c r="B94" s="11" t="n">
        <x:v>2248.2</x:v>
      </x:c>
      <x:c r="C94" s="11" t="n">
        <x:v>0</x:v>
      </x:c>
      <x:c r="D94" s="11" t="n">
        <x:v>2154.75</x:v>
      </x:c>
      <x:c r="E94" s="11" t="n">
        <x:v>2154.75</x:v>
      </x:c>
      <x:c r="F94" s="11" t="n">
        <x:v>2225.61</x:v>
      </x:c>
      <x:c r="G94" s="11" t="n">
        <x:v>2154.75</x:v>
      </x:c>
      <x:c r="H94" s="11" t="n">
        <x:v>0</x:v>
      </x:c>
      <x:c r="I94" s="11" t="n">
        <x:v>0</x:v>
      </x:c>
      <x:c r="J94" s="11"/>
      <x:c r="K94" s="1" t="str">
        <x:v>GFGC5000OC</x:v>
      </x:c>
      <x:c r="L94" s="1" t="str">
        <x:v>=+D90</x:v>
      </x:c>
    </x:row>
    <x:row r="95" ht="21" customHeight="1">
      <x:c r="A95" s="5" t="n">
        <x:v>46279</x:v>
      </x:c>
      <x:c r="B95" s="11" t="n">
        <x:v>2248.2</x:v>
      </x:c>
      <x:c r="C95" s="11" t="n">
        <x:v>0</x:v>
      </x:c>
      <x:c r="D95" s="11" t="n">
        <x:v>2154.75</x:v>
      </x:c>
      <x:c r="E95" s="11" t="n">
        <x:v>1840.71</x:v>
      </x:c>
      <x:c r="F95" s="11" t="n">
        <x:v>2225.61</x:v>
      </x:c>
      <x:c r="G95" s="11" t="n">
        <x:v>2154.75</x:v>
      </x:c>
      <x:c r="H95" s="11" t="n">
        <x:v>0</x:v>
      </x:c>
      <x:c r="I95" s="11" t="n">
        <x:v>0</x:v>
      </x:c>
      <x:c r="J95" s="11"/>
      <x:c r="K95" s="1" t="str">
        <x:v>GFGC5000OC</x:v>
      </x:c>
      <x:c r="L95" s="1" t="str">
        <x:v>=+D91</x:v>
      </x:c>
    </x:row>
    <x:row r="96" ht="21" customHeight="1">
      <x:c r="A96" s="5" t="n">
        <x:v>46280</x:v>
      </x:c>
      <x:c r="B96" s="11" t="n">
        <x:v>1851</x:v>
      </x:c>
      <x:c r="C96" s="11" t="n">
        <x:v>2212747.25</x:v>
      </x:c>
      <x:c r="D96" s="11" t="n">
        <x:v>1840.71</x:v>
      </x:c>
      <x:c r="E96" s="11" t="n">
        <x:v>1808.85</x:v>
      </x:c>
      <x:c r="F96" s="11" t="n">
        <x:v>1848.45</x:v>
      </x:c>
      <x:c r="G96" s="11" t="n">
        <x:v>1840.71</x:v>
      </x:c>
      <x:c r="H96" s="11" t="n">
        <x:v>0</x:v>
      </x:c>
      <x:c r="I96" s="11" t="n">
        <x:v>0</x:v>
      </x:c>
      <x:c r="J96" s="11"/>
      <x:c r="K96" s="1" t="str">
        <x:v>GFGC5000OC</x:v>
      </x:c>
      <x:c r="L96" s="1" t="str">
        <x:v>=+D92</x:v>
      </x:c>
    </x:row>
    <x:row r="97" ht="21" customHeight="1">
      <x:c r="A97" s="5" t="n">
        <x:v>46281</x:v>
      </x:c>
      <x:c r="B97" s="11" t="n">
        <x:v>1808.85</x:v>
      </x:c>
      <x:c r="C97" s="11" t="n">
        <x:v>361770.59</x:v>
      </x:c>
      <x:c r="D97" s="11" t="n">
        <x:v>1808.85</x:v>
      </x:c>
      <x:c r="E97" s="11" t="n">
        <x:v>1600</x:v>
      </x:c>
      <x:c r="F97" s="11" t="n">
        <x:v>0</x:v>
      </x:c>
      <x:c r="G97" s="11" t="n">
        <x:v>0</x:v>
      </x:c>
      <x:c r="H97" s="11" t="n">
        <x:v>0</x:v>
      </x:c>
      <x:c r="I97" s="11" t="n">
        <x:v>0</x:v>
      </x:c>
      <x:c r="J97" s="11"/>
      <x:c r="K97" s="1" t="str">
        <x:v>GFGC5000OC</x:v>
      </x:c>
      <x:c r="L97" s="1" t="str">
        <x:v>=+D93</x:v>
      </x:c>
    </x:row>
    <x:row r="98" ht="21" customHeight="1">
      <x:c r="A98" s="5" t="n">
        <x:v>46255</x:v>
      </x:c>
      <x:c r="B98" s="11" t="n">
        <x:v>1712</x:v>
      </x:c>
      <x:c r="C98" s="11" t="n">
        <x:v>331200</x:v>
      </x:c>
      <x:c r="D98" s="11" t="n">
        <x:v>1600</x:v>
      </x:c>
      <x:c r="E98" s="11" t="n">
        <x:v>1856.75</x:v>
      </x:c>
      <x:c r="F98" s="11" t="n">
        <x:v>1600</x:v>
      </x:c>
      <x:c r="G98" s="11" t="n">
        <x:v>1600</x:v>
      </x:c>
      <x:c r="H98" s="11" t="n">
        <x:v>0</x:v>
      </x:c>
      <x:c r="I98" s="11" t="n">
        <x:v>0</x:v>
      </x:c>
      <x:c r="J98" s="11"/>
      <x:c r="K98" s="1" t="str">
        <x:v>GFGC5200OC</x:v>
      </x:c>
      <x:c r="L98" s="1" t="str">
        <x:v>=+D94</x:v>
      </x:c>
    </x:row>
    <x:row r="99" ht="21" customHeight="1">
      <x:c r="A99" s="5" t="n">
        <x:v>46258</x:v>
      </x:c>
      <x:c r="B99" s="11" t="n">
        <x:v>1962</x:v>
      </x:c>
      <x:c r="C99" s="11" t="n">
        <x:v>567549.81</x:v>
      </x:c>
      <x:c r="D99" s="11" t="n">
        <x:v>1856.75</x:v>
      </x:c>
      <x:c r="E99" s="11" t="n">
        <x:v>1888.46</x:v>
      </x:c>
      <x:c r="F99" s="11" t="n">
        <x:v>1856.75</x:v>
      </x:c>
      <x:c r="G99" s="11" t="n">
        <x:v>1856.75</x:v>
      </x:c>
      <x:c r="H99" s="11" t="n">
        <x:v>0</x:v>
      </x:c>
      <x:c r="I99" s="11" t="n">
        <x:v>0</x:v>
      </x:c>
      <x:c r="J99" s="11"/>
      <x:c r="K99" s="1" t="str">
        <x:v>GFGC5200OC</x:v>
      </x:c>
      <x:c r="L99" s="1" t="str">
        <x:v>=+D95</x:v>
      </x:c>
    </x:row>
    <x:row r="100" ht="21" customHeight="1">
      <x:c r="A100" s="5" t="n">
        <x:v>46259</x:v>
      </x:c>
      <x:c r="B100" s="11" t="n">
        <x:v>1953.12</x:v>
      </x:c>
      <x:c r="C100" s="11" t="n">
        <x:v>40872712</x:v>
      </x:c>
      <x:c r="D100" s="11" t="n">
        <x:v>1888.46</x:v>
      </x:c>
      <x:c r="E100" s="11" t="n">
        <x:v>2165.4</x:v>
      </x:c>
      <x:c r="F100" s="11" t="n">
        <x:v>1958.63</x:v>
      </x:c>
      <x:c r="G100" s="11" t="n">
        <x:v>1888.46</x:v>
      </x:c>
      <x:c r="H100" s="11" t="n">
        <x:v>0</x:v>
      </x:c>
      <x:c r="I100" s="11" t="n">
        <x:v>0</x:v>
      </x:c>
      <x:c r="J100" s="11"/>
      <x:c r="K100" s="1" t="str">
        <x:v>GFGC5200OC</x:v>
      </x:c>
      <x:c r="L100" s="1" t="str">
        <x:v>=+D96</x:v>
      </x:c>
    </x:row>
    <x:row r="101" ht="21" customHeight="1">
      <x:c r="A101" s="5" t="n">
        <x:v>46260</x:v>
      </x:c>
      <x:c r="B101" s="11" t="n">
        <x:v>1981.15</x:v>
      </x:c>
      <x:c r="C101" s="11" t="n">
        <x:v>8594971</x:v>
      </x:c>
      <x:c r="D101" s="11" t="n">
        <x:v>2165.4</x:v>
      </x:c>
      <x:c r="E101" s="11" t="n">
        <x:v>1989.33</x:v>
      </x:c>
      <x:c r="F101" s="11" t="n">
        <x:v>2165.4</x:v>
      </x:c>
      <x:c r="G101" s="11" t="n">
        <x:v>1989.77</x:v>
      </x:c>
      <x:c r="H101" s="11" t="n">
        <x:v>0</x:v>
      </x:c>
      <x:c r="I101" s="11" t="n">
        <x:v>0</x:v>
      </x:c>
      <x:c r="J101" s="11"/>
      <x:c r="K101" s="1" t="str">
        <x:v>GFGC5200OC</x:v>
      </x:c>
      <x:c r="L101" s="1" t="str">
        <x:v>=+D97</x:v>
      </x:c>
    </x:row>
    <x:row r="102" ht="21" customHeight="1">
      <x:c r="A102" s="5" t="n">
        <x:v>46261</x:v>
      </x:c>
      <x:c r="B102" s="11" t="n">
        <x:v>1861.9</x:v>
      </x:c>
      <x:c r="C102" s="11" t="n">
        <x:v>11232893</x:v>
      </x:c>
      <x:c r="D102" s="11" t="n">
        <x:v>1989.33</x:v>
      </x:c>
      <x:c r="E102" s="11" t="n">
        <x:v>1810</x:v>
      </x:c>
      <x:c r="F102" s="11" t="n">
        <x:v>2040.3</x:v>
      </x:c>
      <x:c r="G102" s="11" t="n">
        <x:v>1858.73</x:v>
      </x:c>
      <x:c r="H102" s="11" t="n">
        <x:v>0</x:v>
      </x:c>
      <x:c r="I102" s="11" t="n">
        <x:v>0</x:v>
      </x:c>
      <x:c r="J102" s="11"/>
      <x:c r="K102" s="1" t="str">
        <x:v>GFGC5200OC</x:v>
      </x:c>
      <x:c r="L102" s="1" t="str">
        <x:v>=+D98</x:v>
      </x:c>
    </x:row>
    <x:row r="103" ht="21" customHeight="1">
      <x:c r="A103" s="5" t="n">
        <x:v>46262</x:v>
      </x:c>
      <x:c r="B103" s="11" t="n">
        <x:v>1677.12</x:v>
      </x:c>
      <x:c r="C103" s="11" t="n">
        <x:v>2326423.25</x:v>
      </x:c>
      <x:c r="D103" s="11" t="n">
        <x:v>1810</x:v>
      </x:c>
      <x:c r="E103" s="11" t="n">
        <x:v>1810</x:v>
      </x:c>
      <x:c r="F103" s="11" t="n">
        <x:v>1810</x:v>
      </x:c>
      <x:c r="G103" s="11" t="n">
        <x:v>1810</x:v>
      </x:c>
      <x:c r="H103" s="11" t="n">
        <x:v>0</x:v>
      </x:c>
      <x:c r="I103" s="11" t="n">
        <x:v>0</x:v>
      </x:c>
      <x:c r="J103" s="11"/>
      <x:c r="K103" s="1" t="str">
        <x:v>GFGC5200OC</x:v>
      </x:c>
      <x:c r="L103" s="1" t="str">
        <x:v>=+D99</x:v>
      </x:c>
    </x:row>
    <x:row r="104" ht="21" customHeight="1">
      <x:c r="A104" s="5" t="n">
        <x:v>46265</x:v>
      </x:c>
      <x:c r="B104" s="11" t="n">
        <x:v>1677.12</x:v>
      </x:c>
      <x:c r="C104" s="11" t="n">
        <x:v>0</x:v>
      </x:c>
      <x:c r="D104" s="11" t="n">
        <x:v>1810</x:v>
      </x:c>
      <x:c r="E104" s="11" t="n">
        <x:v>2000</x:v>
      </x:c>
      <x:c r="F104" s="11" t="n">
        <x:v>1810</x:v>
      </x:c>
      <x:c r="G104" s="11" t="n">
        <x:v>1810</x:v>
      </x:c>
      <x:c r="H104" s="11" t="n">
        <x:v>0</x:v>
      </x:c>
      <x:c r="I104" s="11" t="n">
        <x:v>0</x:v>
      </x:c>
      <x:c r="J104" s="11"/>
      <x:c r="K104" s="1" t="str">
        <x:v>GFGC5200OC</x:v>
      </x:c>
      <x:c r="L104" s="1" t="str">
        <x:v>=+D100</x:v>
      </x:c>
    </x:row>
    <x:row r="105" ht="21" customHeight="1">
      <x:c r="A105" s="5" t="n">
        <x:v>46266</x:v>
      </x:c>
      <x:c r="B105" s="11" t="n">
        <x:v>1991.75</x:v>
      </x:c>
      <x:c r="C105" s="11" t="n">
        <x:v>11462760</x:v>
      </x:c>
      <x:c r="D105" s="11" t="n">
        <x:v>2000</x:v>
      </x:c>
      <x:c r="E105" s="11" t="n">
        <x:v>2000</x:v>
      </x:c>
      <x:c r="F105" s="11" t="n">
        <x:v>2044.31</x:v>
      </x:c>
      <x:c r="G105" s="11" t="n">
        <x:v>1988</x:v>
      </x:c>
      <x:c r="H105" s="11" t="n">
        <x:v>0</x:v>
      </x:c>
      <x:c r="I105" s="11" t="n">
        <x:v>0</x:v>
      </x:c>
      <x:c r="J105" s="11"/>
      <x:c r="K105" s="1" t="str">
        <x:v>GFGC5200OC</x:v>
      </x:c>
      <x:c r="L105" s="1" t="str">
        <x:v>=+D101</x:v>
      </x:c>
    </x:row>
    <x:row r="106" ht="21" customHeight="1">
      <x:c r="A106" s="5" t="n">
        <x:v>46267</x:v>
      </x:c>
      <x:c r="B106" s="11" t="n">
        <x:v>1991.75</x:v>
      </x:c>
      <x:c r="C106" s="11" t="n">
        <x:v>0</x:v>
      </x:c>
      <x:c r="D106" s="11" t="n">
        <x:v>2000</x:v>
      </x:c>
      <x:c r="E106" s="11" t="n">
        <x:v>2078.43</x:v>
      </x:c>
      <x:c r="F106" s="11" t="n">
        <x:v>2044.31</x:v>
      </x:c>
      <x:c r="G106" s="11" t="n">
        <x:v>1988</x:v>
      </x:c>
      <x:c r="H106" s="11" t="n">
        <x:v>0</x:v>
      </x:c>
      <x:c r="I106" s="11" t="n">
        <x:v>0</x:v>
      </x:c>
      <x:c r="J106" s="11"/>
      <x:c r="K106" s="1" t="str">
        <x:v>GFGC5200OC</x:v>
      </x:c>
      <x:c r="L106" s="1" t="str">
        <x:v>=+D102</x:v>
      </x:c>
    </x:row>
    <x:row r="107" ht="21" customHeight="1">
      <x:c r="A107" s="5" t="n">
        <x:v>46268</x:v>
      </x:c>
      <x:c r="B107" s="11" t="n">
        <x:v>2076.93</x:v>
      </x:c>
      <x:c r="C107" s="11" t="n">
        <x:v>2062511.75</x:v>
      </x:c>
      <x:c r="D107" s="11" t="n">
        <x:v>2078.43</x:v>
      </x:c>
      <x:c r="E107" s="11" t="n">
        <x:v>2078.43</x:v>
      </x:c>
      <x:c r="F107" s="11" t="n">
        <x:v>2102.98</x:v>
      </x:c>
      <x:c r="G107" s="11" t="n">
        <x:v>2027.11</x:v>
      </x:c>
      <x:c r="H107" s="11" t="n">
        <x:v>0</x:v>
      </x:c>
      <x:c r="I107" s="11" t="n">
        <x:v>0</x:v>
      </x:c>
      <x:c r="J107" s="11"/>
      <x:c r="K107" s="1" t="str">
        <x:v>GFGC5200OC</x:v>
      </x:c>
      <x:c r="L107" s="1" t="str">
        <x:v>=+D103</x:v>
      </x:c>
    </x:row>
    <x:row r="108" ht="21" customHeight="1">
      <x:c r="A108" s="5" t="n">
        <x:v>46269</x:v>
      </x:c>
      <x:c r="B108" s="11" t="n">
        <x:v>2076.93</x:v>
      </x:c>
      <x:c r="C108" s="11" t="n">
        <x:v>0</x:v>
      </x:c>
      <x:c r="D108" s="11" t="n">
        <x:v>2078.43</x:v>
      </x:c>
      <x:c r="E108" s="11" t="n">
        <x:v>1840.52</x:v>
      </x:c>
      <x:c r="F108" s="11" t="n">
        <x:v>2102.98</x:v>
      </x:c>
      <x:c r="G108" s="11" t="n">
        <x:v>2027.11</x:v>
      </x:c>
      <x:c r="H108" s="11" t="n">
        <x:v>0</x:v>
      </x:c>
      <x:c r="I108" s="11" t="n">
        <x:v>0</x:v>
      </x:c>
      <x:c r="J108" s="11"/>
      <x:c r="K108" s="1" t="str">
        <x:v>GFGC5200OC</x:v>
      </x:c>
      <x:c r="L108" s="1" t="str">
        <x:v>=+D104</x:v>
      </x:c>
    </x:row>
    <x:row r="109" ht="21" customHeight="1">
      <x:c r="A109" s="5" t="n">
        <x:v>46272</x:v>
      </x:c>
      <x:c r="B109" s="11" t="n">
        <x:v>1880.26</x:v>
      </x:c>
      <x:c r="C109" s="11" t="n">
        <x:v>3207227.25</x:v>
      </x:c>
      <x:c r="D109" s="11" t="n">
        <x:v>1840.52</x:v>
      </x:c>
      <x:c r="E109" s="11" t="n">
        <x:v>1840.52</x:v>
      </x:c>
      <x:c r="F109" s="11" t="n">
        <x:v>1925.73</x:v>
      </x:c>
      <x:c r="G109" s="11" t="n">
        <x:v>1840.52</x:v>
      </x:c>
      <x:c r="H109" s="11" t="n">
        <x:v>0</x:v>
      </x:c>
      <x:c r="I109" s="11" t="n">
        <x:v>0</x:v>
      </x:c>
      <x:c r="J109" s="11"/>
      <x:c r="K109" s="1" t="str">
        <x:v>GFGC5200OC</x:v>
      </x:c>
      <x:c r="L109" s="1" t="str">
        <x:v>=+D105</x:v>
      </x:c>
    </x:row>
    <x:row r="110" ht="21" customHeight="1">
      <x:c r="A110" s="5" t="n">
        <x:v>46273</x:v>
      </x:c>
      <x:c r="B110" s="11" t="n">
        <x:v>1880.26</x:v>
      </x:c>
      <x:c r="C110" s="11" t="n">
        <x:v>0</x:v>
      </x:c>
      <x:c r="D110" s="11" t="n">
        <x:v>1840.52</x:v>
      </x:c>
      <x:c r="E110" s="11" t="n">
        <x:v>1833.77</x:v>
      </x:c>
      <x:c r="F110" s="11" t="n">
        <x:v>1925.73</x:v>
      </x:c>
      <x:c r="G110" s="11" t="n">
        <x:v>1840.52</x:v>
      </x:c>
      <x:c r="H110" s="11" t="n">
        <x:v>0</x:v>
      </x:c>
      <x:c r="I110" s="11" t="n">
        <x:v>0</x:v>
      </x:c>
      <x:c r="J110" s="11"/>
      <x:c r="K110" s="1" t="str">
        <x:v>GFGC5200OC</x:v>
      </x:c>
      <x:c r="L110" s="1" t="str">
        <x:v>=+D106</x:v>
      </x:c>
    </x:row>
    <x:row r="111" ht="21" customHeight="1">
      <x:c r="A111" s="5" t="n">
        <x:v>46274</x:v>
      </x:c>
      <x:c r="B111" s="11" t="n">
        <x:v>1895.85</x:v>
      </x:c>
      <x:c r="C111" s="11" t="n">
        <x:v>745923.19</x:v>
      </x:c>
      <x:c r="D111" s="11" t="n">
        <x:v>1833.77</x:v>
      </x:c>
      <x:c r="E111" s="11" t="n">
        <x:v>1960.86</x:v>
      </x:c>
      <x:c r="F111" s="11" t="n">
        <x:v>1833.77</x:v>
      </x:c>
      <x:c r="G111" s="11" t="n">
        <x:v>1833.77</x:v>
      </x:c>
      <x:c r="H111" s="11" t="n">
        <x:v>0</x:v>
      </x:c>
      <x:c r="I111" s="11" t="n">
        <x:v>0</x:v>
      </x:c>
      <x:c r="J111" s="11"/>
      <x:c r="K111" s="1" t="str">
        <x:v>GFGC5200OC</x:v>
      </x:c>
      <x:c r="L111" s="1" t="str">
        <x:v>=+D107</x:v>
      </x:c>
    </x:row>
    <x:row r="112" ht="21" customHeight="1">
      <x:c r="A112" s="5" t="n">
        <x:v>46275</x:v>
      </x:c>
      <x:c r="B112" s="11" t="n">
        <x:v>1992.7</x:v>
      </x:c>
      <x:c r="C112" s="11" t="n">
        <x:v>2208809.5</x:v>
      </x:c>
      <x:c r="D112" s="11" t="n">
        <x:v>1960.86</x:v>
      </x:c>
      <x:c r="E112" s="11" t="n">
        <x:v>1998.09</x:v>
      </x:c>
      <x:c r="F112" s="11" t="n">
        <x:v>2047.51</x:v>
      </x:c>
      <x:c r="G112" s="11" t="n">
        <x:v>1960.86</x:v>
      </x:c>
      <x:c r="H112" s="11" t="n">
        <x:v>0</x:v>
      </x:c>
      <x:c r="I112" s="11" t="n">
        <x:v>0</x:v>
      </x:c>
      <x:c r="J112" s="11"/>
      <x:c r="K112" s="1" t="str">
        <x:v>GFGC5200OC</x:v>
      </x:c>
      <x:c r="L112" s="1" t="str">
        <x:v>=+D108</x:v>
      </x:c>
    </x:row>
    <x:row r="113" ht="21" customHeight="1">
      <x:c r="A113" s="5" t="n">
        <x:v>46276</x:v>
      </x:c>
      <x:c r="B113" s="11" t="n">
        <x:v>1998.09</x:v>
      </x:c>
      <x:c r="C113" s="11" t="n">
        <x:v>399617.81</x:v>
      </x:c>
      <x:c r="D113" s="11" t="n">
        <x:v>1998.09</x:v>
      </x:c>
      <x:c r="E113" s="11" t="n">
        <x:v>1998.09</x:v>
      </x:c>
      <x:c r="F113" s="11" t="n">
        <x:v>0</x:v>
      </x:c>
      <x:c r="G113" s="11" t="n">
        <x:v>0</x:v>
      </x:c>
      <x:c r="H113" s="11" t="n">
        <x:v>0</x:v>
      </x:c>
      <x:c r="I113" s="11" t="n">
        <x:v>0</x:v>
      </x:c>
      <x:c r="J113" s="11"/>
      <x:c r="K113" s="1" t="str">
        <x:v>GFGC5200OC</x:v>
      </x:c>
      <x:c r="L113" s="1" t="str">
        <x:v>=+D109</x:v>
      </x:c>
    </x:row>
    <x:row r="114" ht="21" customHeight="1">
      <x:c r="A114" s="5" t="n">
        <x:v>46279</x:v>
      </x:c>
      <x:c r="B114" s="11" t="n">
        <x:v>1998.09</x:v>
      </x:c>
      <x:c r="C114" s="11" t="n">
        <x:v>0</x:v>
      </x:c>
      <x:c r="D114" s="11" t="n">
        <x:v>1998.09</x:v>
      </x:c>
      <x:c r="E114" s="11" t="n">
        <x:v>1653.01</x:v>
      </x:c>
      <x:c r="F114" s="11" t="n">
        <x:v>1998.09</x:v>
      </x:c>
      <x:c r="G114" s="11" t="n">
        <x:v>1998.09</x:v>
      </x:c>
      <x:c r="H114" s="11" t="n">
        <x:v>0</x:v>
      </x:c>
      <x:c r="I114" s="11" t="n">
        <x:v>0</x:v>
      </x:c>
      <x:c r="J114" s="11"/>
      <x:c r="K114" s="1" t="str">
        <x:v>GFGC5200OC</x:v>
      </x:c>
      <x:c r="L114" s="1" t="str">
        <x:v>=+D110</x:v>
      </x:c>
    </x:row>
    <x:row r="115" ht="21" customHeight="1">
      <x:c r="A115" s="5" t="n">
        <x:v>46280</x:v>
      </x:c>
      <x:c r="B115" s="11" t="n">
        <x:v>1678.07</x:v>
      </x:c>
      <x:c r="C115" s="11" t="n">
        <x:v>503108.09</x:v>
      </x:c>
      <x:c r="D115" s="11" t="n">
        <x:v>1653.01</x:v>
      </x:c>
      <x:c r="E115" s="11" t="n">
        <x:v>1653.01</x:v>
      </x:c>
      <x:c r="F115" s="11" t="n">
        <x:v>1700</x:v>
      </x:c>
      <x:c r="G115" s="11" t="n">
        <x:v>1653.01</x:v>
      </x:c>
      <x:c r="H115" s="11" t="n">
        <x:v>0</x:v>
      </x:c>
      <x:c r="I115" s="11" t="n">
        <x:v>0</x:v>
      </x:c>
      <x:c r="J115" s="11"/>
      <x:c r="K115" s="1" t="str">
        <x:v>GFGC5200OC</x:v>
      </x:c>
      <x:c r="L115" s="1" t="str">
        <x:v>=+D111</x:v>
      </x:c>
    </x:row>
    <x:row r="116" ht="21" customHeight="1">
      <x:c r="A116" s="5" t="n">
        <x:v>46281</x:v>
      </x:c>
      <x:c r="B116" s="11" t="n">
        <x:v>1678.07</x:v>
      </x:c>
      <x:c r="C116" s="11" t="n">
        <x:v>0</x:v>
      </x:c>
      <x:c r="D116" s="11" t="n">
        <x:v>1653.01</x:v>
      </x:c>
      <x:c r="E116" s="11" t="n">
        <x:v>1534</x:v>
      </x:c>
      <x:c r="F116" s="11" t="n">
        <x:v>1700</x:v>
      </x:c>
      <x:c r="G116" s="11" t="n">
        <x:v>1653.01</x:v>
      </x:c>
      <x:c r="H116" s="11" t="n">
        <x:v>0</x:v>
      </x:c>
      <x:c r="I116" s="11" t="n">
        <x:v>0</x:v>
      </x:c>
      <x:c r="J116" s="11"/>
      <x:c r="K116" s="1" t="str">
        <x:v>GFGC5200OC</x:v>
      </x:c>
      <x:c r="L116" s="1" t="str">
        <x:v>=+D112</x:v>
      </x:c>
    </x:row>
    <x:row r="117" ht="21" customHeight="1">
      <x:c r="A117" s="5" t="n">
        <x:v>46255</x:v>
      </x:c>
      <x:c r="B117" s="11" t="n">
        <x:v>1534</x:v>
      </x:c>
      <x:c r="C117" s="11" t="n">
        <x:v>153400</x:v>
      </x:c>
      <x:c r="D117" s="11" t="n">
        <x:v>1534</x:v>
      </x:c>
      <x:c r="E117" s="11" t="n">
        <x:v>1667.76</x:v>
      </x:c>
      <x:c r="F117" s="11" t="n">
        <x:v>0</x:v>
      </x:c>
      <x:c r="G117" s="11" t="n">
        <x:v>0</x:v>
      </x:c>
      <x:c r="H117" s="11" t="n">
        <x:v>0</x:v>
      </x:c>
      <x:c r="I117" s="11" t="n">
        <x:v>0</x:v>
      </x:c>
      <x:c r="J117" s="11"/>
      <x:c r="K117" s="1" t="str">
        <x:v>GFGC5400OC</x:v>
      </x:c>
      <x:c r="L117" s="1" t="str">
        <x:v>=+D113</x:v>
      </x:c>
    </x:row>
    <x:row r="118" ht="21" customHeight="1">
      <x:c r="A118" s="5" t="n">
        <x:v>46258</x:v>
      </x:c>
      <x:c r="B118" s="11" t="n">
        <x:v>1781.31</x:v>
      </x:c>
      <x:c r="C118" s="11" t="n">
        <x:v>7706996.5</x:v>
      </x:c>
      <x:c r="D118" s="11" t="n">
        <x:v>1667.76</x:v>
      </x:c>
      <x:c r="E118" s="11" t="n">
        <x:v>1706.71</x:v>
      </x:c>
      <x:c r="F118" s="11" t="n">
        <x:v>1778.96</x:v>
      </x:c>
      <x:c r="G118" s="11" t="n">
        <x:v>1667.76</x:v>
      </x:c>
      <x:c r="H118" s="11" t="n">
        <x:v>0</x:v>
      </x:c>
      <x:c r="I118" s="11" t="n">
        <x:v>0</x:v>
      </x:c>
      <x:c r="J118" s="11"/>
      <x:c r="K118" s="1" t="str">
        <x:v>GFGC5400OC</x:v>
      </x:c>
      <x:c r="L118" s="1" t="str">
        <x:v>=+D114</x:v>
      </x:c>
    </x:row>
    <x:row r="119" ht="21" customHeight="1">
      <x:c r="A119" s="5" t="n">
        <x:v>46259</x:v>
      </x:c>
      <x:c r="B119" s="11" t="n">
        <x:v>1752.86</x:v>
      </x:c>
      <x:c r="C119" s="11" t="n">
        <x:v>75597752</x:v>
      </x:c>
      <x:c r="D119" s="11" t="n">
        <x:v>1706.71</x:v>
      </x:c>
      <x:c r="E119" s="11" t="n">
        <x:v>1706.71</x:v>
      </x:c>
      <x:c r="F119" s="11" t="n">
        <x:v>1766.86</x:v>
      </x:c>
      <x:c r="G119" s="11" t="n">
        <x:v>1697.73</x:v>
      </x:c>
      <x:c r="H119" s="11" t="n">
        <x:v>0</x:v>
      </x:c>
      <x:c r="I119" s="11" t="n">
        <x:v>0</x:v>
      </x:c>
      <x:c r="J119" s="11"/>
      <x:c r="K119" s="1" t="str">
        <x:v>GFGC5400OC</x:v>
      </x:c>
      <x:c r="L119" s="1" t="str">
        <x:v>=+D115</x:v>
      </x:c>
    </x:row>
    <x:row r="120" ht="21" customHeight="1">
      <x:c r="A120" s="5" t="n">
        <x:v>46260</x:v>
      </x:c>
      <x:c r="B120" s="11" t="n">
        <x:v>1752.86</x:v>
      </x:c>
      <x:c r="C120" s="11" t="n">
        <x:v>0</x:v>
      </x:c>
      <x:c r="D120" s="11" t="n">
        <x:v>1706.71</x:v>
      </x:c>
      <x:c r="E120" s="11" t="n">
        <x:v>1802.64</x:v>
      </x:c>
      <x:c r="F120" s="11" t="n">
        <x:v>1766.86</x:v>
      </x:c>
      <x:c r="G120" s="11" t="n">
        <x:v>1697.73</x:v>
      </x:c>
      <x:c r="H120" s="11" t="n">
        <x:v>0</x:v>
      </x:c>
      <x:c r="I120" s="11" t="n">
        <x:v>0</x:v>
      </x:c>
      <x:c r="J120" s="11"/>
      <x:c r="K120" s="1" t="str">
        <x:v>GFGC5400OC</x:v>
      </x:c>
      <x:c r="L120" s="1" t="str">
        <x:v>=+D116</x:v>
      </x:c>
    </x:row>
    <x:row r="121" ht="21" customHeight="1">
      <x:c r="A121" s="5" t="n">
        <x:v>46261</x:v>
      </x:c>
      <x:c r="B121" s="11" t="n">
        <x:v>1790.79</x:v>
      </x:c>
      <x:c r="C121" s="11" t="n">
        <x:v>3942097.5</x:v>
      </x:c>
      <x:c r="D121" s="11" t="n">
        <x:v>1802.64</x:v>
      </x:c>
      <x:c r="E121" s="11" t="n">
        <x:v>1610</x:v>
      </x:c>
      <x:c r="F121" s="11" t="n">
        <x:v>1803.24</x:v>
      </x:c>
      <x:c r="G121" s="11" t="n">
        <x:v>1778.33</x:v>
      </x:c>
      <x:c r="H121" s="11" t="n">
        <x:v>0</x:v>
      </x:c>
      <x:c r="I121" s="11" t="n">
        <x:v>0</x:v>
      </x:c>
      <x:c r="J121" s="11"/>
      <x:c r="K121" s="1" t="str">
        <x:v>GFGC5400OC</x:v>
      </x:c>
      <x:c r="L121" s="1" t="str">
        <x:v>=+D117</x:v>
      </x:c>
    </x:row>
    <x:row r="122" ht="21" customHeight="1">
      <x:c r="A122" s="5" t="n">
        <x:v>46262</x:v>
      </x:c>
      <x:c r="B122" s="11" t="n">
        <x:v>1552.16</x:v>
      </x:c>
      <x:c r="C122" s="11" t="n">
        <x:v>3828404.75</x:v>
      </x:c>
      <x:c r="D122" s="11" t="n">
        <x:v>1610</x:v>
      </x:c>
      <x:c r="E122" s="11" t="n">
        <x:v>1616.01</x:v>
      </x:c>
      <x:c r="F122" s="11" t="n">
        <x:v>1610</x:v>
      </x:c>
      <x:c r="G122" s="11" t="n">
        <x:v>1489.86</x:v>
      </x:c>
      <x:c r="H122" s="11" t="n">
        <x:v>0</x:v>
      </x:c>
      <x:c r="I122" s="11" t="n">
        <x:v>0</x:v>
      </x:c>
      <x:c r="J122" s="11"/>
      <x:c r="K122" s="1" t="str">
        <x:v>GFGC5400OC</x:v>
      </x:c>
      <x:c r="L122" s="1" t="str">
        <x:v>=+D118</x:v>
      </x:c>
    </x:row>
    <x:row r="123" ht="21" customHeight="1">
      <x:c r="A123" s="5" t="n">
        <x:v>46265</x:v>
      </x:c>
      <x:c r="B123" s="11" t="n">
        <x:v>1812</x:v>
      </x:c>
      <x:c r="C123" s="11" t="n">
        <x:v>2818746.75</x:v>
      </x:c>
      <x:c r="D123" s="11" t="n">
        <x:v>1616.01</x:v>
      </x:c>
      <x:c r="E123" s="11" t="n">
        <x:v>1700</x:v>
      </x:c>
      <x:c r="F123" s="11" t="n">
        <x:v>1812</x:v>
      </x:c>
      <x:c r="G123" s="11" t="n">
        <x:v>1616.01</x:v>
      </x:c>
      <x:c r="H123" s="11" t="n">
        <x:v>0</x:v>
      </x:c>
      <x:c r="I123" s="11" t="n">
        <x:v>0</x:v>
      </x:c>
      <x:c r="J123" s="11"/>
      <x:c r="K123" s="1" t="str">
        <x:v>GFGC5400OC</x:v>
      </x:c>
      <x:c r="L123" s="1" t="str">
        <x:v>=+D119</x:v>
      </x:c>
    </x:row>
    <x:row r="124" ht="21" customHeight="1">
      <x:c r="A124" s="5" t="n">
        <x:v>46266</x:v>
      </x:c>
      <x:c r="B124" s="11" t="n">
        <x:v>1790</x:v>
      </x:c>
      <x:c r="C124" s="11" t="n">
        <x:v>2144391.25</x:v>
      </x:c>
      <x:c r="D124" s="11" t="n">
        <x:v>1700</x:v>
      </x:c>
      <x:c r="E124" s="11" t="n">
        <x:v>1700</x:v>
      </x:c>
      <x:c r="F124" s="11" t="n">
        <x:v>1822.64</x:v>
      </x:c>
      <x:c r="G124" s="11" t="n">
        <x:v>1700</x:v>
      </x:c>
      <x:c r="H124" s="11" t="n">
        <x:v>0</x:v>
      </x:c>
      <x:c r="I124" s="11" t="n">
        <x:v>0</x:v>
      </x:c>
      <x:c r="J124" s="11"/>
      <x:c r="K124" s="1" t="str">
        <x:v>GFGC5400OC</x:v>
      </x:c>
      <x:c r="L124" s="1" t="str">
        <x:v>=+D120</x:v>
      </x:c>
    </x:row>
    <x:row r="125" ht="21" customHeight="1">
      <x:c r="A125" s="5" t="n">
        <x:v>46267</x:v>
      </x:c>
      <x:c r="B125" s="11" t="n">
        <x:v>1790</x:v>
      </x:c>
      <x:c r="C125" s="11" t="n">
        <x:v>0</x:v>
      </x:c>
      <x:c r="D125" s="11" t="n">
        <x:v>1700</x:v>
      </x:c>
      <x:c r="E125" s="11" t="n">
        <x:v>1887.49</x:v>
      </x:c>
      <x:c r="F125" s="11" t="n">
        <x:v>1822.64</x:v>
      </x:c>
      <x:c r="G125" s="11" t="n">
        <x:v>1700</x:v>
      </x:c>
      <x:c r="H125" s="11" t="n">
        <x:v>0</x:v>
      </x:c>
      <x:c r="I125" s="11" t="n">
        <x:v>0</x:v>
      </x:c>
      <x:c r="J125" s="11"/>
      <x:c r="K125" s="1" t="str">
        <x:v>GFGC5400OC</x:v>
      </x:c>
      <x:c r="L125" s="1" t="str">
        <x:v>=+D121</x:v>
      </x:c>
    </x:row>
    <x:row r="126" ht="21" customHeight="1">
      <x:c r="A126" s="5" t="n">
        <x:v>46268</x:v>
      </x:c>
      <x:c r="B126" s="11" t="n">
        <x:v>1829.26</x:v>
      </x:c>
      <x:c r="C126" s="11" t="n">
        <x:v>24560736</x:v>
      </x:c>
      <x:c r="D126" s="11" t="n">
        <x:v>1887.49</x:v>
      </x:c>
      <x:c r="E126" s="11" t="n">
        <x:v>1680.06</x:v>
      </x:c>
      <x:c r="F126" s="11" t="n">
        <x:v>1911.9</x:v>
      </x:c>
      <x:c r="G126" s="11" t="n">
        <x:v>1788</x:v>
      </x:c>
      <x:c r="H126" s="11" t="n">
        <x:v>0</x:v>
      </x:c>
      <x:c r="I126" s="11" t="n">
        <x:v>0</x:v>
      </x:c>
      <x:c r="J126" s="11"/>
      <x:c r="K126" s="1" t="str">
        <x:v>GFGC5400OC</x:v>
      </x:c>
      <x:c r="L126" s="1" t="str">
        <x:v>=+D122</x:v>
      </x:c>
    </x:row>
    <x:row r="127" ht="21" customHeight="1">
      <x:c r="A127" s="5" t="n">
        <x:v>46269</x:v>
      </x:c>
      <x:c r="B127" s="11" t="n">
        <x:v>1680.06</x:v>
      </x:c>
      <x:c r="C127" s="11" t="n">
        <x:v>168006.09</x:v>
      </x:c>
      <x:c r="D127" s="11" t="n">
        <x:v>1680.06</x:v>
      </x:c>
      <x:c r="E127" s="11" t="n">
        <x:v>1726.88</x:v>
      </x:c>
      <x:c r="F127" s="11" t="n">
        <x:v>0</x:v>
      </x:c>
      <x:c r="G127" s="11" t="n">
        <x:v>0</x:v>
      </x:c>
      <x:c r="H127" s="11" t="n">
        <x:v>0</x:v>
      </x:c>
      <x:c r="I127" s="11" t="n">
        <x:v>0</x:v>
      </x:c>
      <x:c r="J127" s="11"/>
      <x:c r="K127" s="1" t="str">
        <x:v>GFGC5400OC</x:v>
      </x:c>
      <x:c r="L127" s="1" t="str">
        <x:v>=+D123</x:v>
      </x:c>
    </x:row>
    <x:row r="128" ht="21" customHeight="1">
      <x:c r="A128" s="5" t="n">
        <x:v>46272</x:v>
      </x:c>
      <x:c r="B128" s="11" t="n">
        <x:v>1636.72</x:v>
      </x:c>
      <x:c r="C128" s="11" t="n">
        <x:v>1697140.25</x:v>
      </x:c>
      <x:c r="D128" s="11" t="n">
        <x:v>1726.88</x:v>
      </x:c>
      <x:c r="E128" s="11" t="n">
        <x:v>1726.88</x:v>
      </x:c>
      <x:c r="F128" s="11" t="n">
        <x:v>1901.18</x:v>
      </x:c>
      <x:c r="G128" s="11" t="n">
        <x:v>1705.98</x:v>
      </x:c>
      <x:c r="H128" s="11" t="n">
        <x:v>0</x:v>
      </x:c>
      <x:c r="I128" s="11" t="n">
        <x:v>0</x:v>
      </x:c>
      <x:c r="J128" s="11"/>
      <x:c r="K128" s="1" t="str">
        <x:v>GFGC5400OC</x:v>
      </x:c>
      <x:c r="L128" s="1" t="str">
        <x:v>=+D124</x:v>
      </x:c>
    </x:row>
    <x:row r="129" ht="21" customHeight="1">
      <x:c r="A129" s="5" t="n">
        <x:v>46273</x:v>
      </x:c>
      <x:c r="B129" s="11" t="n">
        <x:v>1636.72</x:v>
      </x:c>
      <x:c r="C129" s="11" t="n">
        <x:v>0</x:v>
      </x:c>
      <x:c r="D129" s="11" t="n">
        <x:v>1726.88</x:v>
      </x:c>
      <x:c r="E129" s="11" t="n">
        <x:v>1750</x:v>
      </x:c>
      <x:c r="F129" s="11" t="n">
        <x:v>1901.18</x:v>
      </x:c>
      <x:c r="G129" s="11" t="n">
        <x:v>1705.98</x:v>
      </x:c>
      <x:c r="H129" s="11" t="n">
        <x:v>0</x:v>
      </x:c>
      <x:c r="I129" s="11" t="n">
        <x:v>0</x:v>
      </x:c>
      <x:c r="J129" s="11"/>
      <x:c r="K129" s="1" t="str">
        <x:v>GFGC5400OC</x:v>
      </x:c>
      <x:c r="L129" s="1" t="str">
        <x:v>=+D125</x:v>
      </x:c>
    </x:row>
    <x:row r="130" ht="21" customHeight="1">
      <x:c r="A130" s="5" t="n">
        <x:v>46274</x:v>
      </x:c>
      <x:c r="B130" s="11" t="n">
        <x:v>1750</x:v>
      </x:c>
      <x:c r="C130" s="11" t="n">
        <x:v>350000</x:v>
      </x:c>
      <x:c r="D130" s="11" t="n">
        <x:v>1750</x:v>
      </x:c>
      <x:c r="E130" s="11" t="n">
        <x:v>1768.14</x:v>
      </x:c>
      <x:c r="F130" s="11" t="n">
        <x:v>0</x:v>
      </x:c>
      <x:c r="G130" s="11" t="n">
        <x:v>0</x:v>
      </x:c>
      <x:c r="H130" s="11" t="n">
        <x:v>0</x:v>
      </x:c>
      <x:c r="I130" s="11" t="n">
        <x:v>0</x:v>
      </x:c>
      <x:c r="J130" s="11"/>
      <x:c r="K130" s="1" t="str">
        <x:v>GFGC5400OC</x:v>
      </x:c>
      <x:c r="L130" s="1" t="str">
        <x:v>=+D126</x:v>
      </x:c>
    </x:row>
    <x:row r="131" ht="21" customHeight="1">
      <x:c r="A131" s="5" t="n">
        <x:v>46275</x:v>
      </x:c>
      <x:c r="B131" s="11" t="n">
        <x:v>1846.26</x:v>
      </x:c>
      <x:c r="C131" s="11" t="n">
        <x:v>6062021.5</x:v>
      </x:c>
      <x:c r="D131" s="11" t="n">
        <x:v>1768.14</x:v>
      </x:c>
      <x:c r="E131" s="11" t="n">
        <x:v>1800</x:v>
      </x:c>
      <x:c r="F131" s="11" t="n">
        <x:v>1899.43</x:v>
      </x:c>
      <x:c r="G131" s="11" t="n">
        <x:v>1768.14</x:v>
      </x:c>
      <x:c r="H131" s="11" t="n">
        <x:v>0</x:v>
      </x:c>
      <x:c r="I131" s="11" t="n">
        <x:v>0</x:v>
      </x:c>
      <x:c r="J131" s="11"/>
      <x:c r="K131" s="1" t="str">
        <x:v>GFGC5400OC</x:v>
      </x:c>
      <x:c r="L131" s="1" t="str">
        <x:v>=+D127</x:v>
      </x:c>
    </x:row>
    <x:row r="132" ht="21" customHeight="1">
      <x:c r="A132" s="5" t="n">
        <x:v>46276</x:v>
      </x:c>
      <x:c r="B132" s="11" t="n">
        <x:v>1801.16</x:v>
      </x:c>
      <x:c r="C132" s="11" t="n">
        <x:v>720464.62</x:v>
      </x:c>
      <x:c r="D132" s="11" t="n">
        <x:v>1800</x:v>
      </x:c>
      <x:c r="E132" s="11" t="n">
        <x:v>1647</x:v>
      </x:c>
      <x:c r="F132" s="11" t="n">
        <x:v>1800</x:v>
      </x:c>
      <x:c r="G132" s="11" t="n">
        <x:v>1800</x:v>
      </x:c>
      <x:c r="H132" s="11" t="n">
        <x:v>0</x:v>
      </x:c>
      <x:c r="I132" s="11" t="n">
        <x:v>0</x:v>
      </x:c>
      <x:c r="J132" s="11"/>
      <x:c r="K132" s="1" t="str">
        <x:v>GFGC5400OC</x:v>
      </x:c>
      <x:c r="L132" s="1" t="str">
        <x:v>=+D128</x:v>
      </x:c>
    </x:row>
    <x:row r="133" ht="21" customHeight="1">
      <x:c r="A133" s="5" t="n">
        <x:v>46279</x:v>
      </x:c>
      <x:c r="B133" s="11" t="n">
        <x:v>1616</x:v>
      </x:c>
      <x:c r="C133" s="11" t="n">
        <x:v>3268665</x:v>
      </x:c>
      <x:c r="D133" s="11" t="n">
        <x:v>1647</x:v>
      </x:c>
      <x:c r="E133" s="11" t="n">
        <x:v>1424.19</x:v>
      </x:c>
      <x:c r="F133" s="11" t="n">
        <x:v>1647</x:v>
      </x:c>
      <x:c r="G133" s="11" t="n">
        <x:v>1600</x:v>
      </x:c>
      <x:c r="H133" s="11" t="n">
        <x:v>0</x:v>
      </x:c>
      <x:c r="I133" s="11" t="n">
        <x:v>0</x:v>
      </x:c>
      <x:c r="J133" s="11"/>
      <x:c r="K133" s="1" t="str">
        <x:v>GFGC5400OC</x:v>
      </x:c>
      <x:c r="L133" s="1" t="str">
        <x:v>=+D129</x:v>
      </x:c>
    </x:row>
    <x:row r="134" ht="21" customHeight="1">
      <x:c r="A134" s="5" t="n">
        <x:v>46280</x:v>
      </x:c>
      <x:c r="B134" s="11" t="n">
        <x:v>1470</x:v>
      </x:c>
      <x:c r="C134" s="11" t="n">
        <x:v>11837598</x:v>
      </x:c>
      <x:c r="D134" s="11" t="n">
        <x:v>1424.19</x:v>
      </x:c>
      <x:c r="E134" s="11" t="n">
        <x:v>1424.19</x:v>
      </x:c>
      <x:c r="F134" s="11" t="n">
        <x:v>1532.25</x:v>
      </x:c>
      <x:c r="G134" s="11" t="n">
        <x:v>1424.19</x:v>
      </x:c>
      <x:c r="H134" s="11" t="n">
        <x:v>0</x:v>
      </x:c>
      <x:c r="I134" s="11" t="n">
        <x:v>0</x:v>
      </x:c>
      <x:c r="J134" s="11"/>
      <x:c r="K134" s="1" t="str">
        <x:v>GFGC5400OC</x:v>
      </x:c>
      <x:c r="L134" s="1" t="str">
        <x:v>=+D130</x:v>
      </x:c>
    </x:row>
    <x:row r="135" ht="21" customHeight="1">
      <x:c r="A135" s="5" t="n">
        <x:v>46281</x:v>
      </x:c>
      <x:c r="B135" s="11" t="n">
        <x:v>1470</x:v>
      </x:c>
      <x:c r="C135" s="11" t="n">
        <x:v>0</x:v>
      </x:c>
      <x:c r="D135" s="11" t="n">
        <x:v>1424.19</x:v>
      </x:c>
      <x:c r="E135" s="11" t="n">
        <x:v>1460.62</x:v>
      </x:c>
      <x:c r="F135" s="11" t="n">
        <x:v>1532.25</x:v>
      </x:c>
      <x:c r="G135" s="11" t="n">
        <x:v>1424.19</x:v>
      </x:c>
      <x:c r="H135" s="11" t="n">
        <x:v>0</x:v>
      </x:c>
      <x:c r="I135" s="11" t="n">
        <x:v>0</x:v>
      </x:c>
      <x:c r="J135" s="11"/>
      <x:c r="K135" s="1" t="str">
        <x:v>GFGC5400OC</x:v>
      </x:c>
      <x:c r="L135" s="1" t="str">
        <x:v>=+D131</x:v>
      </x:c>
    </x:row>
    <x:row r="136" ht="21" customHeight="1">
      <x:c r="A136" s="5" t="n">
        <x:v>46258</x:v>
      </x:c>
      <x:c r="B136" s="11" t="n">
        <x:v>1460.62</x:v>
      </x:c>
      <x:c r="C136" s="11" t="n">
        <x:v>292123.81</x:v>
      </x:c>
      <x:c r="D136" s="11" t="n">
        <x:v>1460.62</x:v>
      </x:c>
      <x:c r="E136" s="11" t="n">
        <x:v>1566.63</x:v>
      </x:c>
      <x:c r="F136" s="11" t="n">
        <x:v>0</x:v>
      </x:c>
      <x:c r="G136" s="11" t="n">
        <x:v>0</x:v>
      </x:c>
      <x:c r="H136" s="11" t="n">
        <x:v>0</x:v>
      </x:c>
      <x:c r="I136" s="11" t="n">
        <x:v>0</x:v>
      </x:c>
      <x:c r="J136" s="11"/>
      <x:c r="K136" s="1" t="str">
        <x:v>GFGC5600OC</x:v>
      </x:c>
      <x:c r="L136" s="1" t="str">
        <x:v>=+D132</x:v>
      </x:c>
    </x:row>
    <x:row r="137" ht="21" customHeight="1">
      <x:c r="A137" s="5" t="n">
        <x:v>46259</x:v>
      </x:c>
      <x:c r="B137" s="11" t="n">
        <x:v>1550.9</x:v>
      </x:c>
      <x:c r="C137" s="11" t="n">
        <x:v>465269.59</x:v>
      </x:c>
      <x:c r="D137" s="11" t="n">
        <x:v>1566.63</x:v>
      </x:c>
      <x:c r="E137" s="11" t="n">
        <x:v>1645</x:v>
      </x:c>
      <x:c r="F137" s="11" t="n">
        <x:v>1566.63</x:v>
      </x:c>
      <x:c r="G137" s="11" t="n">
        <x:v>1566.63</x:v>
      </x:c>
      <x:c r="H137" s="11" t="n">
        <x:v>0</x:v>
      </x:c>
      <x:c r="I137" s="11" t="n">
        <x:v>0</x:v>
      </x:c>
      <x:c r="J137" s="11"/>
      <x:c r="K137" s="1" t="str">
        <x:v>GFGC5600OC</x:v>
      </x:c>
      <x:c r="L137" s="1" t="str">
        <x:v>=+D133</x:v>
      </x:c>
    </x:row>
    <x:row r="138" ht="21" customHeight="1">
      <x:c r="A138" s="5" t="n">
        <x:v>46260</x:v>
      </x:c>
      <x:c r="B138" s="11" t="n">
        <x:v>1645</x:v>
      </x:c>
      <x:c r="C138" s="11" t="n">
        <x:v>164500</x:v>
      </x:c>
      <x:c r="D138" s="11" t="n">
        <x:v>1645</x:v>
      </x:c>
      <x:c r="E138" s="11" t="n">
        <x:v>1622.66</x:v>
      </x:c>
      <x:c r="F138" s="11" t="n">
        <x:v>0</x:v>
      </x:c>
      <x:c r="G138" s="11" t="n">
        <x:v>0</x:v>
      </x:c>
      <x:c r="H138" s="11" t="n">
        <x:v>0</x:v>
      </x:c>
      <x:c r="I138" s="11" t="n">
        <x:v>0</x:v>
      </x:c>
      <x:c r="J138" s="11"/>
      <x:c r="K138" s="1" t="str">
        <x:v>GFGC5600OC</x:v>
      </x:c>
      <x:c r="L138" s="1" t="str">
        <x:v>=+D134</x:v>
      </x:c>
    </x:row>
    <x:row r="139" ht="21" customHeight="1">
      <x:c r="A139" s="5" t="n">
        <x:v>46261</x:v>
      </x:c>
      <x:c r="B139" s="11" t="n">
        <x:v>1490.13</x:v>
      </x:c>
      <x:c r="C139" s="11" t="n">
        <x:v>2222197.5</x:v>
      </x:c>
      <x:c r="D139" s="11" t="n">
        <x:v>1622.66</x:v>
      </x:c>
      <x:c r="E139" s="11" t="n">
        <x:v>1311.48</x:v>
      </x:c>
      <x:c r="F139" s="11" t="n">
        <x:v>1622.66</x:v>
      </x:c>
      <x:c r="G139" s="11" t="n">
        <x:v>1599.64</x:v>
      </x:c>
      <x:c r="H139" s="11" t="n">
        <x:v>0</x:v>
      </x:c>
      <x:c r="I139" s="11" t="n">
        <x:v>0</x:v>
      </x:c>
      <x:c r="J139" s="11"/>
      <x:c r="K139" s="1" t="str">
        <x:v>GFGC5600OC</x:v>
      </x:c>
      <x:c r="L139" s="1" t="str">
        <x:v>=+D135</x:v>
      </x:c>
    </x:row>
    <x:row r="140" ht="21" customHeight="1">
      <x:c r="A140" s="5" t="n">
        <x:v>46262</x:v>
      </x:c>
      <x:c r="B140" s="11" t="n">
        <x:v>1311.48</x:v>
      </x:c>
      <x:c r="C140" s="11" t="n">
        <x:v>262295.19</x:v>
      </x:c>
      <x:c r="D140" s="11" t="n">
        <x:v>1311.48</x:v>
      </x:c>
      <x:c r="E140" s="11" t="n">
        <x:v>1311.48</x:v>
      </x:c>
      <x:c r="F140" s="11" t="n">
        <x:v>0</x:v>
      </x:c>
      <x:c r="G140" s="11" t="n">
        <x:v>0</x:v>
      </x:c>
      <x:c r="H140" s="11" t="n">
        <x:v>0</x:v>
      </x:c>
      <x:c r="I140" s="11" t="n">
        <x:v>0</x:v>
      </x:c>
      <x:c r="J140" s="11"/>
      <x:c r="K140" s="1" t="str">
        <x:v>GFGC5600OC</x:v>
      </x:c>
      <x:c r="L140" s="1" t="str">
        <x:v>=+D136</x:v>
      </x:c>
    </x:row>
    <x:row r="141" ht="21" customHeight="1">
      <x:c r="A141" s="5" t="n">
        <x:v>46265</x:v>
      </x:c>
      <x:c r="B141" s="11" t="n">
        <x:v>1311.48</x:v>
      </x:c>
      <x:c r="C141" s="11" t="n">
        <x:v>0</x:v>
      </x:c>
      <x:c r="D141" s="11" t="n">
        <x:v>1311.48</x:v>
      </x:c>
      <x:c r="E141" s="11" t="n">
        <x:v>1563</x:v>
      </x:c>
      <x:c r="F141" s="11" t="n">
        <x:v>1311.48</x:v>
      </x:c>
      <x:c r="G141" s="11" t="n">
        <x:v>1311.48</x:v>
      </x:c>
      <x:c r="H141" s="11" t="n">
        <x:v>0</x:v>
      </x:c>
      <x:c r="I141" s="11" t="n">
        <x:v>0</x:v>
      </x:c>
      <x:c r="J141" s="11"/>
      <x:c r="K141" s="1" t="str">
        <x:v>GFGC5600OC</x:v>
      </x:c>
      <x:c r="L141" s="1" t="str">
        <x:v>=+D137</x:v>
      </x:c>
    </x:row>
    <x:row r="142" ht="21" customHeight="1">
      <x:c r="A142" s="5" t="n">
        <x:v>46266</x:v>
      </x:c>
      <x:c r="B142" s="11" t="n">
        <x:v>1600</x:v>
      </x:c>
      <x:c r="C142" s="11" t="n">
        <x:v>5124500</x:v>
      </x:c>
      <x:c r="D142" s="11" t="n">
        <x:v>1563</x:v>
      </x:c>
      <x:c r="E142" s="11" t="n">
        <x:v>1563</x:v>
      </x:c>
      <x:c r="F142" s="11" t="n">
        <x:v>1640</x:v>
      </x:c>
      <x:c r="G142" s="11" t="n">
        <x:v>1563</x:v>
      </x:c>
      <x:c r="H142" s="11" t="n">
        <x:v>0</x:v>
      </x:c>
      <x:c r="I142" s="11" t="n">
        <x:v>0</x:v>
      </x:c>
      <x:c r="J142" s="11"/>
      <x:c r="K142" s="1" t="str">
        <x:v>GFGC5600OC</x:v>
      </x:c>
      <x:c r="L142" s="1" t="str">
        <x:v>=+D138</x:v>
      </x:c>
    </x:row>
    <x:row r="143" ht="21" customHeight="1">
      <x:c r="A143" s="5" t="n">
        <x:v>46267</x:v>
      </x:c>
      <x:c r="B143" s="11" t="n">
        <x:v>1600</x:v>
      </x:c>
      <x:c r="C143" s="11" t="n">
        <x:v>0</x:v>
      </x:c>
      <x:c r="D143" s="11" t="n">
        <x:v>1563</x:v>
      </x:c>
      <x:c r="E143" s="11" t="n">
        <x:v>1770.93</x:v>
      </x:c>
      <x:c r="F143" s="11" t="n">
        <x:v>1640</x:v>
      </x:c>
      <x:c r="G143" s="11" t="n">
        <x:v>1563</x:v>
      </x:c>
      <x:c r="H143" s="11" t="n">
        <x:v>0</x:v>
      </x:c>
      <x:c r="I143" s="11" t="n">
        <x:v>0</x:v>
      </x:c>
      <x:c r="J143" s="11"/>
      <x:c r="K143" s="1" t="str">
        <x:v>GFGC5600OC</x:v>
      </x:c>
      <x:c r="L143" s="1" t="str">
        <x:v>=+D139</x:v>
      </x:c>
    </x:row>
    <x:row r="144" ht="21" customHeight="1">
      <x:c r="A144" s="5" t="n">
        <x:v>46268</x:v>
      </x:c>
      <x:c r="B144" s="11" t="n">
        <x:v>1600</x:v>
      </x:c>
      <x:c r="C144" s="11" t="n">
        <x:v>17176826</x:v>
      </x:c>
      <x:c r="D144" s="11" t="n">
        <x:v>1770.93</x:v>
      </x:c>
      <x:c r="E144" s="11" t="n">
        <x:v>1770.93</x:v>
      </x:c>
      <x:c r="F144" s="11" t="n">
        <x:v>1770.93</x:v>
      </x:c>
      <x:c r="G144" s="11" t="n">
        <x:v>1600</x:v>
      </x:c>
      <x:c r="H144" s="11" t="n">
        <x:v>0</x:v>
      </x:c>
      <x:c r="I144" s="11" t="n">
        <x:v>0</x:v>
      </x:c>
      <x:c r="J144" s="11"/>
      <x:c r="K144" s="1" t="str">
        <x:v>GFGC5600OC</x:v>
      </x:c>
      <x:c r="L144" s="1" t="str">
        <x:v>=+D140</x:v>
      </x:c>
    </x:row>
    <x:row r="145" ht="21" customHeight="1">
      <x:c r="A145" s="5" t="n">
        <x:v>46269</x:v>
      </x:c>
      <x:c r="B145" s="11" t="n">
        <x:v>1600</x:v>
      </x:c>
      <x:c r="C145" s="11" t="n">
        <x:v>0</x:v>
      </x:c>
      <x:c r="D145" s="11" t="n">
        <x:v>1770.93</x:v>
      </x:c>
      <x:c r="E145" s="11" t="n">
        <x:v>1460.26</x:v>
      </x:c>
      <x:c r="F145" s="11" t="n">
        <x:v>1770.93</x:v>
      </x:c>
      <x:c r="G145" s="11" t="n">
        <x:v>1600</x:v>
      </x:c>
      <x:c r="H145" s="11" t="n">
        <x:v>0</x:v>
      </x:c>
      <x:c r="I145" s="11" t="n">
        <x:v>0</x:v>
      </x:c>
      <x:c r="J145" s="11"/>
      <x:c r="K145" s="1" t="str">
        <x:v>GFGC5600OC</x:v>
      </x:c>
      <x:c r="L145" s="1" t="str">
        <x:v>=+D141</x:v>
      </x:c>
    </x:row>
    <x:row r="146" ht="21" customHeight="1">
      <x:c r="A146" s="5" t="n">
        <x:v>46272</x:v>
      </x:c>
      <x:c r="B146" s="11" t="n">
        <x:v>1500</x:v>
      </x:c>
      <x:c r="C146" s="11" t="n">
        <x:v>4102120.5</x:v>
      </x:c>
      <x:c r="D146" s="11" t="n">
        <x:v>1460.26</x:v>
      </x:c>
      <x:c r="E146" s="11" t="n">
        <x:v>1500</x:v>
      </x:c>
      <x:c r="F146" s="11" t="n">
        <x:v>1538.47</x:v>
      </x:c>
      <x:c r="G146" s="11" t="n">
        <x:v>1445.23</x:v>
      </x:c>
      <x:c r="H146" s="11" t="n">
        <x:v>0</x:v>
      </x:c>
      <x:c r="I146" s="11" t="n">
        <x:v>0</x:v>
      </x:c>
      <x:c r="J146" s="11"/>
      <x:c r="K146" s="1" t="str">
        <x:v>GFGC5600OC</x:v>
      </x:c>
      <x:c r="L146" s="1" t="str">
        <x:v>=+D142</x:v>
      </x:c>
    </x:row>
    <x:row r="147" ht="21" customHeight="1">
      <x:c r="A147" s="5" t="n">
        <x:v>46273</x:v>
      </x:c>
      <x:c r="B147" s="11" t="n">
        <x:v>1490</x:v>
      </x:c>
      <x:c r="C147" s="11" t="n">
        <x:v>8490000</x:v>
      </x:c>
      <x:c r="D147" s="11" t="n">
        <x:v>1500</x:v>
      </x:c>
      <x:c r="E147" s="11" t="n">
        <x:v>1500</x:v>
      </x:c>
      <x:c r="F147" s="11" t="n">
        <x:v>1500</x:v>
      </x:c>
      <x:c r="G147" s="11" t="n">
        <x:v>1480</x:v>
      </x:c>
      <x:c r="H147" s="11" t="n">
        <x:v>0</x:v>
      </x:c>
      <x:c r="I147" s="11" t="n">
        <x:v>0</x:v>
      </x:c>
      <x:c r="J147" s="11"/>
      <x:c r="K147" s="1" t="str">
        <x:v>GFGC5600OC</x:v>
      </x:c>
      <x:c r="L147" s="1" t="str">
        <x:v>=+D143</x:v>
      </x:c>
    </x:row>
    <x:row r="148" ht="21" customHeight="1">
      <x:c r="A148" s="5" t="n">
        <x:v>46274</x:v>
      </x:c>
      <x:c r="B148" s="11" t="n">
        <x:v>1490</x:v>
      </x:c>
      <x:c r="C148" s="11" t="n">
        <x:v>0</x:v>
      </x:c>
      <x:c r="D148" s="11" t="n">
        <x:v>1500</x:v>
      </x:c>
      <x:c r="E148" s="11" t="n">
        <x:v>1575.8</x:v>
      </x:c>
      <x:c r="F148" s="11" t="n">
        <x:v>1500</x:v>
      </x:c>
      <x:c r="G148" s="11" t="n">
        <x:v>1480</x:v>
      </x:c>
      <x:c r="H148" s="11" t="n">
        <x:v>0</x:v>
      </x:c>
      <x:c r="I148" s="11" t="n">
        <x:v>0</x:v>
      </x:c>
      <x:c r="J148" s="11"/>
      <x:c r="K148" s="1" t="str">
        <x:v>GFGC5600OC</x:v>
      </x:c>
      <x:c r="L148" s="1" t="str">
        <x:v>=+D144</x:v>
      </x:c>
    </x:row>
    <x:row r="149" ht="21" customHeight="1">
      <x:c r="A149" s="5" t="n">
        <x:v>46275</x:v>
      </x:c>
      <x:c r="B149" s="11" t="n">
        <x:v>1600</x:v>
      </x:c>
      <x:c r="C149" s="11" t="n">
        <x:v>4385161</x:v>
      </x:c>
      <x:c r="D149" s="11" t="n">
        <x:v>1575.8</x:v>
      </x:c>
      <x:c r="E149" s="11" t="n">
        <x:v>1614.96</x:v>
      </x:c>
      <x:c r="F149" s="11" t="n">
        <x:v>1700</x:v>
      </x:c>
      <x:c r="G149" s="11" t="n">
        <x:v>1575.8</x:v>
      </x:c>
      <x:c r="H149" s="11" t="n">
        <x:v>0</x:v>
      </x:c>
      <x:c r="I149" s="11" t="n">
        <x:v>0</x:v>
      </x:c>
      <x:c r="J149" s="11"/>
      <x:c r="K149" s="1" t="str">
        <x:v>GFGC5600OC</x:v>
      </x:c>
      <x:c r="L149" s="1" t="str">
        <x:v>=+D145</x:v>
      </x:c>
    </x:row>
    <x:row r="150" ht="21" customHeight="1">
      <x:c r="A150" s="5" t="n">
        <x:v>46276</x:v>
      </x:c>
      <x:c r="B150" s="11" t="n">
        <x:v>1490</x:v>
      </x:c>
      <x:c r="C150" s="11" t="n">
        <x:v>5163728.5</x:v>
      </x:c>
      <x:c r="D150" s="11" t="n">
        <x:v>1614.96</x:v>
      </x:c>
      <x:c r="E150" s="11" t="n">
        <x:v>1455</x:v>
      </x:c>
      <x:c r="F150" s="11" t="n">
        <x:v>1647.76</x:v>
      </x:c>
      <x:c r="G150" s="11" t="n">
        <x:v>1450</x:v>
      </x:c>
      <x:c r="H150" s="11" t="n">
        <x:v>0</x:v>
      </x:c>
      <x:c r="I150" s="11" t="n">
        <x:v>0</x:v>
      </x:c>
      <x:c r="J150" s="11"/>
      <x:c r="K150" s="1" t="str">
        <x:v>GFGC5600OC</x:v>
      </x:c>
      <x:c r="L150" s="1" t="str">
        <x:v>=+D146</x:v>
      </x:c>
    </x:row>
    <x:row r="151" ht="21" customHeight="1">
      <x:c r="A151" s="5" t="n">
        <x:v>46279</x:v>
      </x:c>
      <x:c r="B151" s="11" t="n">
        <x:v>1455</x:v>
      </x:c>
      <x:c r="C151" s="11" t="n">
        <x:v>1455000</x:v>
      </x:c>
      <x:c r="D151" s="11" t="n">
        <x:v>1455</x:v>
      </x:c>
      <x:c r="E151" s="11" t="n">
        <x:v>1455</x:v>
      </x:c>
      <x:c r="F151" s="11" t="n">
        <x:v>1455</x:v>
      </x:c>
      <x:c r="G151" s="11" t="n">
        <x:v>1455</x:v>
      </x:c>
      <x:c r="H151" s="11" t="n">
        <x:v>0</x:v>
      </x:c>
      <x:c r="I151" s="11" t="n">
        <x:v>0</x:v>
      </x:c>
      <x:c r="J151" s="11"/>
      <x:c r="K151" s="1" t="str">
        <x:v>GFGC5600OC</x:v>
      </x:c>
      <x:c r="L151" s="1" t="str">
        <x:v>=+D147</x:v>
      </x:c>
    </x:row>
    <x:row r="152" ht="21" customHeight="1">
      <x:c r="A152" s="5" t="n">
        <x:v>46280</x:v>
      </x:c>
      <x:c r="B152" s="11" t="n">
        <x:v>1455</x:v>
      </x:c>
      <x:c r="C152" s="11" t="n">
        <x:v>0</x:v>
      </x:c>
      <x:c r="D152" s="11" t="n">
        <x:v>1455</x:v>
      </x:c>
      <x:c r="E152" s="11" t="n">
        <x:v>1227.44</x:v>
      </x:c>
      <x:c r="F152" s="11" t="n">
        <x:v>1455</x:v>
      </x:c>
      <x:c r="G152" s="11" t="n">
        <x:v>1455</x:v>
      </x:c>
      <x:c r="H152" s="11" t="n">
        <x:v>0</x:v>
      </x:c>
      <x:c r="I152" s="11" t="n">
        <x:v>0</x:v>
      </x:c>
      <x:c r="J152" s="11"/>
      <x:c r="K152" s="1" t="str">
        <x:v>GFGC5600OC</x:v>
      </x:c>
      <x:c r="L152" s="1" t="str">
        <x:v>=+D148</x:v>
      </x:c>
    </x:row>
    <x:row r="153" ht="21" customHeight="1">
      <x:c r="A153" s="5" t="n">
        <x:v>46281</x:v>
      </x:c>
      <x:c r="B153" s="11" t="n">
        <x:v>1233.13</x:v>
      </x:c>
      <x:c r="C153" s="11" t="n">
        <x:v>1870673.75</x:v>
      </x:c>
      <x:c r="D153" s="11" t="n">
        <x:v>1227.44</x:v>
      </x:c>
      <x:c r="E153" s="11" t="n">
        <x:v>1517.49</x:v>
      </x:c>
      <x:c r="F153" s="11" t="n">
        <x:v>1335.39</x:v>
      </x:c>
      <x:c r="G153" s="11" t="n">
        <x:v>1227.44</x:v>
      </x:c>
      <x:c r="H153" s="11" t="n">
        <x:v>0</x:v>
      </x:c>
      <x:c r="I153" s="11" t="n">
        <x:v>0</x:v>
      </x:c>
      <x:c r="J153" s="11"/>
      <x:c r="K153" s="1" t="str">
        <x:v>GFGC5600OC</x:v>
      </x:c>
      <x:c r="L153" s="1" t="str">
        <x:v>=+D149</x:v>
      </x:c>
    </x:row>
    <x:row r="154" ht="21" customHeight="1">
      <x:c r="A154" s="5" t="n">
        <x:v>46268</x:v>
      </x:c>
      <x:c r="B154" s="11" t="n">
        <x:v>1490</x:v>
      </x:c>
      <x:c r="C154" s="11" t="n">
        <x:v>14665750</x:v>
      </x:c>
      <x:c r="D154" s="11" t="n">
        <x:v>1517.49</x:v>
      </x:c>
      <x:c r="E154" s="11" t="n">
        <x:v>1517.49</x:v>
      </x:c>
      <x:c r="F154" s="11" t="n">
        <x:v>1518</x:v>
      </x:c>
      <x:c r="G154" s="11" t="n">
        <x:v>1413</x:v>
      </x:c>
      <x:c r="H154" s="11" t="n">
        <x:v>0</x:v>
      </x:c>
      <x:c r="I154" s="11" t="n">
        <x:v>0</x:v>
      </x:c>
      <x:c r="J154" s="11"/>
      <x:c r="K154" s="1" t="str">
        <x:v>GFGC5800OC</x:v>
      </x:c>
      <x:c r="L154" s="1" t="str">
        <x:v>=+D150</x:v>
      </x:c>
    </x:row>
    <x:row r="155" ht="21" customHeight="1">
      <x:c r="A155" s="5" t="n">
        <x:v>46269</x:v>
      </x:c>
      <x:c r="B155" s="11" t="n">
        <x:v>1490</x:v>
      </x:c>
      <x:c r="C155" s="11" t="n">
        <x:v>0</x:v>
      </x:c>
      <x:c r="D155" s="11" t="n">
        <x:v>1517.49</x:v>
      </x:c>
      <x:c r="E155" s="11" t="n">
        <x:v>1306.95</x:v>
      </x:c>
      <x:c r="F155" s="11" t="n">
        <x:v>1518</x:v>
      </x:c>
      <x:c r="G155" s="11" t="n">
        <x:v>1413</x:v>
      </x:c>
      <x:c r="H155" s="11" t="n">
        <x:v>0</x:v>
      </x:c>
      <x:c r="I155" s="11" t="n">
        <x:v>0</x:v>
      </x:c>
      <x:c r="J155" s="11"/>
      <x:c r="K155" s="1" t="str">
        <x:v>GFGC5800OC</x:v>
      </x:c>
      <x:c r="L155" s="1" t="str">
        <x:v>=+D151</x:v>
      </x:c>
    </x:row>
    <x:row r="156" ht="21" customHeight="1">
      <x:c r="A156" s="5" t="n">
        <x:v>46272</x:v>
      </x:c>
      <x:c r="B156" s="11" t="n">
        <x:v>1330</x:v>
      </x:c>
      <x:c r="C156" s="11" t="n">
        <x:v>2134019</x:v>
      </x:c>
      <x:c r="D156" s="11" t="n">
        <x:v>1306.95</x:v>
      </x:c>
      <x:c r="E156" s="11" t="n">
        <x:v>1280</x:v>
      </x:c>
      <x:c r="F156" s="11" t="n">
        <x:v>1375.37</x:v>
      </x:c>
      <x:c r="G156" s="11" t="n">
        <x:v>1300.18</x:v>
      </x:c>
      <x:c r="H156" s="11" t="n">
        <x:v>0</x:v>
      </x:c>
      <x:c r="I156" s="11" t="n">
        <x:v>0</x:v>
      </x:c>
      <x:c r="J156" s="11"/>
      <x:c r="K156" s="1" t="str">
        <x:v>GFGC5800OC</x:v>
      </x:c>
      <x:c r="L156" s="1" t="str">
        <x:v>=+D152</x:v>
      </x:c>
    </x:row>
    <x:row r="157" ht="21" customHeight="1">
      <x:c r="A157" s="5" t="n">
        <x:v>46273</x:v>
      </x:c>
      <x:c r="B157" s="11" t="n">
        <x:v>1310</x:v>
      </x:c>
      <x:c r="C157" s="11" t="n">
        <x:v>776913.62</x:v>
      </x:c>
      <x:c r="D157" s="11" t="n">
        <x:v>1280</x:v>
      </x:c>
      <x:c r="E157" s="11" t="n">
        <x:v>1285</x:v>
      </x:c>
      <x:c r="F157" s="11" t="n">
        <x:v>1310</x:v>
      </x:c>
      <x:c r="G157" s="11" t="n">
        <x:v>1277.08</x:v>
      </x:c>
      <x:c r="H157" s="11" t="n">
        <x:v>0</x:v>
      </x:c>
      <x:c r="I157" s="11" t="n">
        <x:v>0</x:v>
      </x:c>
      <x:c r="J157" s="11"/>
      <x:c r="K157" s="1" t="str">
        <x:v>GFGC5800OC</x:v>
      </x:c>
      <x:c r="L157" s="1" t="str">
        <x:v>=+D153</x:v>
      </x:c>
    </x:row>
    <x:row r="158" ht="21" customHeight="1">
      <x:c r="A158" s="5" t="n">
        <x:v>46274</x:v>
      </x:c>
      <x:c r="B158" s="11" t="n">
        <x:v>1403.14</x:v>
      </x:c>
      <x:c r="C158" s="11" t="n">
        <x:v>7112980</x:v>
      </x:c>
      <x:c r="D158" s="11" t="n">
        <x:v>1285</x:v>
      </x:c>
      <x:c r="E158" s="11" t="n">
        <x:v>1384</x:v>
      </x:c>
      <x:c r="F158" s="11" t="n">
        <x:v>1285</x:v>
      </x:c>
      <x:c r="G158" s="11" t="n">
        <x:v>1265</x:v>
      </x:c>
      <x:c r="H158" s="11" t="n">
        <x:v>0</x:v>
      </x:c>
      <x:c r="I158" s="11" t="n">
        <x:v>0</x:v>
      </x:c>
      <x:c r="J158" s="11"/>
      <x:c r="K158" s="1" t="str">
        <x:v>GFGC5800OC</x:v>
      </x:c>
      <x:c r="L158" s="1" t="str">
        <x:v>=+D154</x:v>
      </x:c>
    </x:row>
    <x:row r="159" ht="21" customHeight="1">
      <x:c r="A159" s="5" t="n">
        <x:v>46275</x:v>
      </x:c>
      <x:c r="B159" s="11" t="n">
        <x:v>1483.43</x:v>
      </x:c>
      <x:c r="C159" s="11" t="n">
        <x:v>12320064</x:v>
      </x:c>
      <x:c r="D159" s="11" t="n">
        <x:v>1384</x:v>
      </x:c>
      <x:c r="E159" s="11" t="n">
        <x:v>1450</x:v>
      </x:c>
      <x:c r="F159" s="11" t="n">
        <x:v>1510</x:v>
      </x:c>
      <x:c r="G159" s="11" t="n">
        <x:v>1384</x:v>
      </x:c>
      <x:c r="H159" s="11" t="n">
        <x:v>0</x:v>
      </x:c>
      <x:c r="I159" s="11" t="n">
        <x:v>0</x:v>
      </x:c>
      <x:c r="J159" s="11"/>
      <x:c r="K159" s="1" t="str">
        <x:v>GFGC5800OC</x:v>
      </x:c>
      <x:c r="L159" s="1" t="str">
        <x:v>=+D155</x:v>
      </x:c>
    </x:row>
    <x:row r="160" ht="21" customHeight="1">
      <x:c r="A160" s="5" t="n">
        <x:v>46276</x:v>
      </x:c>
      <x:c r="B160" s="11" t="n">
        <x:v>1343.33</x:v>
      </x:c>
      <x:c r="C160" s="11" t="n">
        <x:v>14677796</x:v>
      </x:c>
      <x:c r="D160" s="11" t="n">
        <x:v>1450</x:v>
      </x:c>
      <x:c r="E160" s="11" t="n">
        <x:v>1337.15</x:v>
      </x:c>
      <x:c r="F160" s="11" t="n">
        <x:v>1459.88</x:v>
      </x:c>
      <x:c r="G160" s="11" t="n">
        <x:v>1330</x:v>
      </x:c>
      <x:c r="H160" s="11" t="n">
        <x:v>0</x:v>
      </x:c>
      <x:c r="I160" s="11" t="n">
        <x:v>0</x:v>
      </x:c>
      <x:c r="J160" s="11"/>
      <x:c r="K160" s="1" t="str">
        <x:v>GFGC5800OC</x:v>
      </x:c>
      <x:c r="L160" s="1" t="str">
        <x:v>=+D156</x:v>
      </x:c>
    </x:row>
    <x:row r="161" ht="21" customHeight="1">
      <x:c r="A161" s="5" t="n">
        <x:v>46279</x:v>
      </x:c>
      <x:c r="B161" s="11" t="n">
        <x:v>1198.65</x:v>
      </x:c>
      <x:c r="C161" s="11" t="n">
        <x:v>18114076</x:v>
      </x:c>
      <x:c r="D161" s="11" t="n">
        <x:v>1337.15</x:v>
      </x:c>
      <x:c r="E161" s="11" t="n">
        <x:v>1337.15</x:v>
      </x:c>
      <x:c r="F161" s="11" t="n">
        <x:v>1337.15</x:v>
      </x:c>
      <x:c r="G161" s="11" t="n">
        <x:v>1163.54</x:v>
      </x:c>
      <x:c r="H161" s="11" t="n">
        <x:v>0</x:v>
      </x:c>
      <x:c r="I161" s="11" t="n">
        <x:v>0</x:v>
      </x:c>
      <x:c r="J161" s="11"/>
      <x:c r="K161" s="1" t="str">
        <x:v>GFGC5800OC</x:v>
      </x:c>
      <x:c r="L161" s="1" t="str">
        <x:v>=+D157</x:v>
      </x:c>
    </x:row>
    <x:row r="162" ht="21" customHeight="1">
      <x:c r="A162" s="5" t="n">
        <x:v>46280</x:v>
      </x:c>
      <x:c r="B162" s="11" t="n">
        <x:v>1198.65</x:v>
      </x:c>
      <x:c r="C162" s="11" t="n">
        <x:v>0</x:v>
      </x:c>
      <x:c r="D162" s="11" t="n">
        <x:v>1337.15</x:v>
      </x:c>
      <x:c r="E162" s="11" t="n">
        <x:v>1059.3</x:v>
      </x:c>
      <x:c r="F162" s="11" t="n">
        <x:v>1337.15</x:v>
      </x:c>
      <x:c r="G162" s="11" t="n">
        <x:v>1163.54</x:v>
      </x:c>
      <x:c r="H162" s="11" t="n">
        <x:v>0</x:v>
      </x:c>
      <x:c r="I162" s="11" t="n">
        <x:v>0</x:v>
      </x:c>
      <x:c r="J162" s="11"/>
      <x:c r="K162" s="1" t="str">
        <x:v>GFGC5800OC</x:v>
      </x:c>
      <x:c r="L162" s="1" t="str">
        <x:v>=+D158</x:v>
      </x:c>
    </x:row>
    <x:row r="163" ht="21" customHeight="1">
      <x:c r="A163" s="5" t="n">
        <x:v>46281</x:v>
      </x:c>
      <x:c r="B163" s="11" t="n">
        <x:v>1049.9</x:v>
      </x:c>
      <x:c r="C163" s="11" t="n">
        <x:v>1980739.25</x:v>
      </x:c>
      <x:c r="D163" s="11" t="n">
        <x:v>1059.3</x:v>
      </x:c>
      <x:c r="E163" s="11" t="n">
        <x:v>1000</x:v>
      </x:c>
      <x:c r="F163" s="11" t="n">
        <x:v>1142.92</x:v>
      </x:c>
      <x:c r="G163" s="11" t="n">
        <x:v>1059.3</x:v>
      </x:c>
      <x:c r="H163" s="11" t="n">
        <x:v>0</x:v>
      </x:c>
      <x:c r="I163" s="11" t="n">
        <x:v>0</x:v>
      </x:c>
      <x:c r="J163" s="11"/>
      <x:c r="K163" s="1" t="str">
        <x:v>GFGC5800OC</x:v>
      </x:c>
      <x:c r="L163" s="1" t="str">
        <x:v>=+D159</x:v>
      </x:c>
    </x:row>
    <x:row r="164" ht="21" customHeight="1">
      <x:c r="A164" s="5" t="n">
        <x:v>46255</x:v>
      </x:c>
      <x:c r="B164" s="11" t="n">
        <x:v>995</x:v>
      </x:c>
      <x:c r="C164" s="11" t="n">
        <x:v>10241728</x:v>
      </x:c>
      <x:c r="D164" s="11" t="n">
        <x:v>1000</x:v>
      </x:c>
      <x:c r="E164" s="11" t="n">
        <x:v>995</x:v>
      </x:c>
      <x:c r="F164" s="11" t="n">
        <x:v>1019.18</x:v>
      </x:c>
      <x:c r="G164" s="11" t="n">
        <x:v>950</x:v>
      </x:c>
      <x:c r="H164" s="11" t="n">
        <x:v>0</x:v>
      </x:c>
      <x:c r="I164" s="11" t="n">
        <x:v>0</x:v>
      </x:c>
      <x:c r="J164" s="11"/>
      <x:c r="K164" s="1" t="str">
        <x:v>GFGC6000OC</x:v>
      </x:c>
      <x:c r="L164" s="1" t="str">
        <x:v>=+D160</x:v>
      </x:c>
    </x:row>
    <x:row r="165" ht="21" customHeight="1">
      <x:c r="A165" s="5" t="n">
        <x:v>46258</x:v>
      </x:c>
      <x:c r="B165" s="11" t="n">
        <x:v>1350</x:v>
      </x:c>
      <x:c r="C165" s="11" t="n">
        <x:v>17557000</x:v>
      </x:c>
      <x:c r="D165" s="11" t="n">
        <x:v>995</x:v>
      </x:c>
      <x:c r="E165" s="11" t="n">
        <x:v>1200</x:v>
      </x:c>
      <x:c r="F165" s="11" t="n">
        <x:v>1248</x:v>
      </x:c>
      <x:c r="G165" s="11" t="n">
        <x:v>995</x:v>
      </x:c>
      <x:c r="H165" s="11" t="n">
        <x:v>0</x:v>
      </x:c>
      <x:c r="I165" s="11" t="n">
        <x:v>0</x:v>
      </x:c>
      <x:c r="J165" s="11"/>
      <x:c r="K165" s="1" t="str">
        <x:v>GFGC6000OC</x:v>
      </x:c>
      <x:c r="L165" s="1" t="str">
        <x:v>=+D161</x:v>
      </x:c>
    </x:row>
    <x:row r="166" ht="21" customHeight="1">
      <x:c r="A166" s="5" t="n">
        <x:v>46259</x:v>
      </x:c>
      <x:c r="B166" s="11" t="n">
        <x:v>1200</x:v>
      </x:c>
      <x:c r="C166" s="11" t="n">
        <x:v>120000</x:v>
      </x:c>
      <x:c r="D166" s="11" t="n">
        <x:v>1200</x:v>
      </x:c>
      <x:c r="E166" s="11" t="n">
        <x:v>1400</x:v>
      </x:c>
      <x:c r="F166" s="11" t="n">
        <x:v>0</x:v>
      </x:c>
      <x:c r="G166" s="11" t="n">
        <x:v>0</x:v>
      </x:c>
      <x:c r="H166" s="11" t="n">
        <x:v>0</x:v>
      </x:c>
      <x:c r="I166" s="11" t="n">
        <x:v>0</x:v>
      </x:c>
      <x:c r="J166" s="11"/>
      <x:c r="K166" s="1" t="str">
        <x:v>GFGC6000OC</x:v>
      </x:c>
      <x:c r="L166" s="1" t="str">
        <x:v>=+D162</x:v>
      </x:c>
    </x:row>
    <x:row r="167" ht="21" customHeight="1">
      <x:c r="A167" s="5" t="n">
        <x:v>46260</x:v>
      </x:c>
      <x:c r="B167" s="11" t="n">
        <x:v>1439.96</x:v>
      </x:c>
      <x:c r="C167" s="11" t="n">
        <x:v>283995.91</x:v>
      </x:c>
      <x:c r="D167" s="11" t="n">
        <x:v>1400</x:v>
      </x:c>
      <x:c r="E167" s="11" t="n">
        <x:v>1200</x:v>
      </x:c>
      <x:c r="F167" s="11" t="n">
        <x:v>1400</x:v>
      </x:c>
      <x:c r="G167" s="11" t="n">
        <x:v>1400</x:v>
      </x:c>
      <x:c r="H167" s="11" t="n">
        <x:v>0</x:v>
      </x:c>
      <x:c r="I167" s="11" t="n">
        <x:v>0</x:v>
      </x:c>
      <x:c r="J167" s="11"/>
      <x:c r="K167" s="1" t="str">
        <x:v>GFGC6000OC</x:v>
      </x:c>
      <x:c r="L167" s="1" t="str">
        <x:v>=+D163</x:v>
      </x:c>
    </x:row>
    <x:row r="168" ht="21" customHeight="1">
      <x:c r="A168" s="5" t="n">
        <x:v>46261</x:v>
      </x:c>
      <x:c r="B168" s="11" t="n">
        <x:v>1178.78</x:v>
      </x:c>
      <x:c r="C168" s="11" t="n">
        <x:v>5776001</x:v>
      </x:c>
      <x:c r="D168" s="11" t="n">
        <x:v>1200</x:v>
      </x:c>
      <x:c r="E168" s="11" t="n">
        <x:v>1200</x:v>
      </x:c>
      <x:c r="F168" s="11" t="n">
        <x:v>1200</x:v>
      </x:c>
      <x:c r="G168" s="11" t="n">
        <x:v>1165</x:v>
      </x:c>
      <x:c r="H168" s="11" t="n">
        <x:v>0</x:v>
      </x:c>
      <x:c r="I168" s="11" t="n">
        <x:v>0</x:v>
      </x:c>
      <x:c r="J168" s="11"/>
      <x:c r="K168" s="1" t="str">
        <x:v>GFGC6000OC</x:v>
      </x:c>
      <x:c r="L168" s="1" t="str">
        <x:v>=+D164</x:v>
      </x:c>
    </x:row>
    <x:row r="169" ht="21" customHeight="1">
      <x:c r="A169" s="5" t="n">
        <x:v>46262</x:v>
      </x:c>
      <x:c r="B169" s="11" t="n">
        <x:v>1178.78</x:v>
      </x:c>
      <x:c r="C169" s="11" t="n">
        <x:v>0</x:v>
      </x:c>
      <x:c r="D169" s="11" t="n">
        <x:v>1200</x:v>
      </x:c>
      <x:c r="E169" s="11" t="n">
        <x:v>1300</x:v>
      </x:c>
      <x:c r="F169" s="11" t="n">
        <x:v>1200</x:v>
      </x:c>
      <x:c r="G169" s="11" t="n">
        <x:v>1165</x:v>
      </x:c>
      <x:c r="H169" s="11" t="n">
        <x:v>0</x:v>
      </x:c>
      <x:c r="I169" s="11" t="n">
        <x:v>0</x:v>
      </x:c>
      <x:c r="J169" s="11"/>
      <x:c r="K169" s="1" t="str">
        <x:v>GFGC6000OC</x:v>
      </x:c>
      <x:c r="L169" s="1" t="str">
        <x:v>=+D165</x:v>
      </x:c>
    </x:row>
    <x:row r="170" ht="21" customHeight="1">
      <x:c r="A170" s="5" t="n">
        <x:v>46265</x:v>
      </x:c>
      <x:c r="B170" s="11" t="n">
        <x:v>1200</x:v>
      </x:c>
      <x:c r="C170" s="11" t="n">
        <x:v>682000</x:v>
      </x:c>
      <x:c r="D170" s="11" t="n">
        <x:v>1300</x:v>
      </x:c>
      <x:c r="E170" s="11" t="n">
        <x:v>1300</x:v>
      </x:c>
      <x:c r="F170" s="11" t="n">
        <x:v>1440</x:v>
      </x:c>
      <x:c r="G170" s="11" t="n">
        <x:v>1300</x:v>
      </x:c>
      <x:c r="H170" s="11" t="n">
        <x:v>0</x:v>
      </x:c>
      <x:c r="I170" s="11" t="n">
        <x:v>0</x:v>
      </x:c>
      <x:c r="J170" s="11"/>
      <x:c r="K170" s="1" t="str">
        <x:v>GFGC6000OC</x:v>
      </x:c>
      <x:c r="L170" s="1" t="str">
        <x:v>=+D166</x:v>
      </x:c>
    </x:row>
    <x:row r="171" ht="21" customHeight="1">
      <x:c r="A171" s="5" t="n">
        <x:v>46266</x:v>
      </x:c>
      <x:c r="B171" s="11" t="n">
        <x:v>1200</x:v>
      </x:c>
      <x:c r="C171" s="11" t="n">
        <x:v>0</x:v>
      </x:c>
      <x:c r="D171" s="11" t="n">
        <x:v>1300</x:v>
      </x:c>
      <x:c r="E171" s="11" t="n">
        <x:v>1350</x:v>
      </x:c>
      <x:c r="F171" s="11" t="n">
        <x:v>1440</x:v>
      </x:c>
      <x:c r="G171" s="11" t="n">
        <x:v>1300</x:v>
      </x:c>
      <x:c r="H171" s="11" t="n">
        <x:v>0</x:v>
      </x:c>
      <x:c r="I171" s="11" t="n">
        <x:v>0</x:v>
      </x:c>
      <x:c r="J171" s="11"/>
      <x:c r="K171" s="1" t="str">
        <x:v>GFGC6000OC</x:v>
      </x:c>
      <x:c r="L171" s="1" t="str">
        <x:v>=+D167</x:v>
      </x:c>
    </x:row>
    <x:row r="172" ht="21" customHeight="1">
      <x:c r="A172" s="5" t="n">
        <x:v>46267</x:v>
      </x:c>
      <x:c r="B172" s="11" t="n">
        <x:v>1350</x:v>
      </x:c>
      <x:c r="C172" s="11" t="n">
        <x:v>135000</x:v>
      </x:c>
      <x:c r="D172" s="11" t="n">
        <x:v>1350</x:v>
      </x:c>
      <x:c r="E172" s="11" t="n">
        <x:v>1407.04</x:v>
      </x:c>
      <x:c r="F172" s="11" t="n">
        <x:v>0</x:v>
      </x:c>
      <x:c r="G172" s="11" t="n">
        <x:v>0</x:v>
      </x:c>
      <x:c r="H172" s="11" t="n">
        <x:v>0</x:v>
      </x:c>
      <x:c r="I172" s="11" t="n">
        <x:v>0</x:v>
      </x:c>
      <x:c r="J172" s="11"/>
      <x:c r="K172" s="1" t="str">
        <x:v>GFGC6000OC</x:v>
      </x:c>
      <x:c r="L172" s="1" t="str">
        <x:v>=+D168</x:v>
      </x:c>
    </x:row>
    <x:row r="173" ht="21" customHeight="1">
      <x:c r="A173" s="5" t="n">
        <x:v>46268</x:v>
      </x:c>
      <x:c r="B173" s="11" t="n">
        <x:v>1215.59</x:v>
      </x:c>
      <x:c r="C173" s="11" t="n">
        <x:v>16902164</x:v>
      </x:c>
      <x:c r="D173" s="11" t="n">
        <x:v>1407.04</x:v>
      </x:c>
      <x:c r="E173" s="11" t="n">
        <x:v>1205.29</x:v>
      </x:c>
      <x:c r="F173" s="11" t="n">
        <x:v>1407.04</x:v>
      </x:c>
      <x:c r="G173" s="11" t="n">
        <x:v>1250</x:v>
      </x:c>
      <x:c r="H173" s="11" t="n">
        <x:v>0</x:v>
      </x:c>
      <x:c r="I173" s="11" t="n">
        <x:v>0</x:v>
      </x:c>
      <x:c r="J173" s="11"/>
      <x:c r="K173" s="1" t="str">
        <x:v>GFGC6000OC</x:v>
      </x:c>
      <x:c r="L173" s="1" t="str">
        <x:v>=+D169</x:v>
      </x:c>
    </x:row>
    <x:row r="174" ht="21" customHeight="1">
      <x:c r="A174" s="5" t="n">
        <x:v>46269</x:v>
      </x:c>
      <x:c r="B174" s="11" t="n">
        <x:v>1200.05</x:v>
      </x:c>
      <x:c r="C174" s="11" t="n">
        <x:v>7445408.5</x:v>
      </x:c>
      <x:c r="D174" s="11" t="n">
        <x:v>1205.29</x:v>
      </x:c>
      <x:c r="E174" s="11" t="n">
        <x:v>1142.51</x:v>
      </x:c>
      <x:c r="F174" s="11" t="n">
        <x:v>1205.29</x:v>
      </x:c>
      <x:c r="G174" s="11" t="n">
        <x:v>1200</x:v>
      </x:c>
      <x:c r="H174" s="11" t="n">
        <x:v>0</x:v>
      </x:c>
      <x:c r="I174" s="11" t="n">
        <x:v>0</x:v>
      </x:c>
      <x:c r="J174" s="11"/>
      <x:c r="K174" s="1" t="str">
        <x:v>GFGC6000OC</x:v>
      </x:c>
      <x:c r="L174" s="1" t="str">
        <x:v>=+D170</x:v>
      </x:c>
    </x:row>
    <x:row r="175" ht="21" customHeight="1">
      <x:c r="A175" s="5" t="n">
        <x:v>46272</x:v>
      </x:c>
      <x:c r="B175" s="11" t="n">
        <x:v>1158.57</x:v>
      </x:c>
      <x:c r="C175" s="11" t="n">
        <x:v>11853357</x:v>
      </x:c>
      <x:c r="D175" s="11" t="n">
        <x:v>1142.51</x:v>
      </x:c>
      <x:c r="E175" s="11" t="n">
        <x:v>1210</x:v>
      </x:c>
      <x:c r="F175" s="11" t="n">
        <x:v>1245.77</x:v>
      </x:c>
      <x:c r="G175" s="11" t="n">
        <x:v>1080</x:v>
      </x:c>
      <x:c r="H175" s="11" t="n">
        <x:v>0</x:v>
      </x:c>
      <x:c r="I175" s="11" t="n">
        <x:v>0</x:v>
      </x:c>
      <x:c r="J175" s="11"/>
      <x:c r="K175" s="1" t="str">
        <x:v>GFGC6000OC</x:v>
      </x:c>
      <x:c r="L175" s="1" t="str">
        <x:v>=+D171</x:v>
      </x:c>
    </x:row>
    <x:row r="176" ht="21" customHeight="1">
      <x:c r="A176" s="5" t="n">
        <x:v>46273</x:v>
      </x:c>
      <x:c r="B176" s="11" t="n">
        <x:v>1200</x:v>
      </x:c>
      <x:c r="C176" s="11" t="n">
        <x:v>1927000</x:v>
      </x:c>
      <x:c r="D176" s="11" t="n">
        <x:v>1210</x:v>
      </x:c>
      <x:c r="E176" s="11" t="n">
        <x:v>1120</x:v>
      </x:c>
      <x:c r="F176" s="11" t="n">
        <x:v>1210</x:v>
      </x:c>
      <x:c r="G176" s="11" t="n">
        <x:v>1200</x:v>
      </x:c>
      <x:c r="H176" s="11" t="n">
        <x:v>0</x:v>
      </x:c>
      <x:c r="I176" s="11" t="n">
        <x:v>0</x:v>
      </x:c>
      <x:c r="J176" s="11"/>
      <x:c r="K176" s="1" t="str">
        <x:v>GFGC6000OC</x:v>
      </x:c>
      <x:c r="L176" s="1" t="str">
        <x:v>=+D172</x:v>
      </x:c>
    </x:row>
    <x:row r="177" ht="21" customHeight="1">
      <x:c r="A177" s="5" t="n">
        <x:v>46274</x:v>
      </x:c>
      <x:c r="B177" s="11" t="n">
        <x:v>1253.91</x:v>
      </x:c>
      <x:c r="C177" s="11" t="n">
        <x:v>3520692.25</x:v>
      </x:c>
      <x:c r="D177" s="11" t="n">
        <x:v>1120</x:v>
      </x:c>
      <x:c r="E177" s="11" t="n">
        <x:v>1207.2</x:v>
      </x:c>
      <x:c r="F177" s="11" t="n">
        <x:v>1253.92</x:v>
      </x:c>
      <x:c r="G177" s="11" t="n">
        <x:v>1085</x:v>
      </x:c>
      <x:c r="H177" s="11" t="n">
        <x:v>0</x:v>
      </x:c>
      <x:c r="I177" s="11" t="n">
        <x:v>0</x:v>
      </x:c>
      <x:c r="J177" s="11"/>
      <x:c r="K177" s="1" t="str">
        <x:v>GFGC6000OC</x:v>
      </x:c>
      <x:c r="L177" s="1" t="str">
        <x:v>=+D173</x:v>
      </x:c>
    </x:row>
    <x:row r="178" ht="21" customHeight="1">
      <x:c r="A178" s="5" t="n">
        <x:v>46275</x:v>
      </x:c>
      <x:c r="B178" s="11" t="n">
        <x:v>1269.8</x:v>
      </x:c>
      <x:c r="C178" s="11" t="n">
        <x:v>3449371.75</x:v>
      </x:c>
      <x:c r="D178" s="11" t="n">
        <x:v>1207.2</x:v>
      </x:c>
      <x:c r="E178" s="11" t="n">
        <x:v>1185</x:v>
      </x:c>
      <x:c r="F178" s="11" t="n">
        <x:v>1304.01</x:v>
      </x:c>
      <x:c r="G178" s="11" t="n">
        <x:v>1207.2</x:v>
      </x:c>
      <x:c r="H178" s="11" t="n">
        <x:v>0</x:v>
      </x:c>
      <x:c r="I178" s="11" t="n">
        <x:v>0</x:v>
      </x:c>
      <x:c r="J178" s="11"/>
      <x:c r="K178" s="1" t="str">
        <x:v>GFGC6000OC</x:v>
      </x:c>
      <x:c r="L178" s="1" t="str">
        <x:v>=+D174</x:v>
      </x:c>
    </x:row>
    <x:row r="179" ht="21" customHeight="1">
      <x:c r="A179" s="5" t="n">
        <x:v>46276</x:v>
      </x:c>
      <x:c r="B179" s="11" t="n">
        <x:v>1130</x:v>
      </x:c>
      <x:c r="C179" s="11" t="n">
        <x:v>686932.81</x:v>
      </x:c>
      <x:c r="D179" s="11" t="n">
        <x:v>1185</x:v>
      </x:c>
      <x:c r="E179" s="11" t="n">
        <x:v>1135</x:v>
      </x:c>
      <x:c r="F179" s="11" t="n">
        <x:v>1185</x:v>
      </x:c>
      <x:c r="G179" s="11" t="n">
        <x:v>1130</x:v>
      </x:c>
      <x:c r="H179" s="11" t="n">
        <x:v>0</x:v>
      </x:c>
      <x:c r="I179" s="11" t="n">
        <x:v>0</x:v>
      </x:c>
      <x:c r="J179" s="11"/>
      <x:c r="K179" s="1" t="str">
        <x:v>GFGC6000OC</x:v>
      </x:c>
      <x:c r="L179" s="1" t="str">
        <x:v>=+D175</x:v>
      </x:c>
    </x:row>
    <x:row r="180" ht="21" customHeight="1">
      <x:c r="A180" s="5" t="n">
        <x:v>46279</x:v>
      </x:c>
      <x:c r="B180" s="11" t="n">
        <x:v>1010</x:v>
      </x:c>
      <x:c r="C180" s="11" t="n">
        <x:v>22518816</x:v>
      </x:c>
      <x:c r="D180" s="11" t="n">
        <x:v>1135</x:v>
      </x:c>
      <x:c r="E180" s="11" t="n">
        <x:v>890</x:v>
      </x:c>
      <x:c r="F180" s="11" t="n">
        <x:v>1145</x:v>
      </x:c>
      <x:c r="G180" s="11" t="n">
        <x:v>997.35</x:v>
      </x:c>
      <x:c r="H180" s="11" t="n">
        <x:v>0</x:v>
      </x:c>
      <x:c r="I180" s="11" t="n">
        <x:v>0</x:v>
      </x:c>
      <x:c r="J180" s="11"/>
      <x:c r="K180" s="1" t="str">
        <x:v>GFGC6000OC</x:v>
      </x:c>
      <x:c r="L180" s="1" t="str">
        <x:v>=+D176</x:v>
      </x:c>
    </x:row>
    <x:row r="181" ht="21" customHeight="1">
      <x:c r="A181" s="5" t="n">
        <x:v>46280</x:v>
      </x:c>
      <x:c r="B181" s="11" t="n">
        <x:v>930</x:v>
      </x:c>
      <x:c r="C181" s="11" t="n">
        <x:v>2821693.25</x:v>
      </x:c>
      <x:c r="D181" s="11" t="n">
        <x:v>890</x:v>
      </x:c>
      <x:c r="E181" s="11" t="n">
        <x:v>946.54</x:v>
      </x:c>
      <x:c r="F181" s="11" t="n">
        <x:v>990</x:v>
      </x:c>
      <x:c r="G181" s="11" t="n">
        <x:v>890</x:v>
      </x:c>
      <x:c r="H181" s="11" t="n">
        <x:v>0</x:v>
      </x:c>
      <x:c r="I181" s="11" t="n">
        <x:v>0</x:v>
      </x:c>
      <x:c r="J181" s="11"/>
      <x:c r="K181" s="1" t="str">
        <x:v>GFGC6000OC</x:v>
      </x:c>
      <x:c r="L181" s="1" t="str">
        <x:v>=+D177</x:v>
      </x:c>
    </x:row>
    <x:row r="182" ht="21" customHeight="1">
      <x:c r="A182" s="5" t="n">
        <x:v>46281</x:v>
      </x:c>
      <x:c r="B182" s="11" t="n">
        <x:v>916.41</x:v>
      </x:c>
      <x:c r="C182" s="11" t="n">
        <x:v>11611929</x:v>
      </x:c>
      <x:c r="D182" s="11" t="n">
        <x:v>946.54</x:v>
      </x:c>
      <x:c r="E182" s="11" t="n">
        <x:v>900</x:v>
      </x:c>
      <x:c r="F182" s="11" t="n">
        <x:v>946.54</x:v>
      </x:c>
      <x:c r="G182" s="11" t="n">
        <x:v>856.28</x:v>
      </x:c>
      <x:c r="H182" s="11" t="n">
        <x:v>0</x:v>
      </x:c>
      <x:c r="I182" s="11" t="n">
        <x:v>0</x:v>
      </x:c>
      <x:c r="J182" s="11"/>
      <x:c r="K182" s="1" t="str">
        <x:v>GFGC6000OC</x:v>
      </x:c>
      <x:c r="L182" s="1" t="str">
        <x:v>=+D178</x:v>
      </x:c>
    </x:row>
    <x:row r="183" ht="21" customHeight="1">
      <x:c r="A183" s="5" t="n">
        <x:v>46255</x:v>
      </x:c>
      <x:c r="B183" s="11" t="n">
        <x:v>845</x:v>
      </x:c>
      <x:c r="C183" s="11" t="n">
        <x:v>13107226</x:v>
      </x:c>
      <x:c r="D183" s="11" t="n">
        <x:v>900</x:v>
      </x:c>
      <x:c r="E183" s="11" t="n">
        <x:v>946</x:v>
      </x:c>
      <x:c r="F183" s="11" t="n">
        <x:v>900</x:v>
      </x:c>
      <x:c r="G183" s="11" t="n">
        <x:v>825</x:v>
      </x:c>
      <x:c r="H183" s="11" t="n">
        <x:v>0</x:v>
      </x:c>
      <x:c r="I183" s="11" t="n">
        <x:v>0</x:v>
      </x:c>
      <x:c r="J183" s="11"/>
      <x:c r="K183" s="1" t="str">
        <x:v>GFGC6200OC</x:v>
      </x:c>
      <x:c r="L183" s="1" t="str">
        <x:v>=+D179</x:v>
      </x:c>
    </x:row>
    <x:row r="184" ht="21" customHeight="1">
      <x:c r="A184" s="5" t="n">
        <x:v>46258</x:v>
      </x:c>
      <x:c r="B184" s="11" t="n">
        <x:v>1075</x:v>
      </x:c>
      <x:c r="C184" s="11" t="n">
        <x:v>3516235.75</x:v>
      </x:c>
      <x:c r="D184" s="11" t="n">
        <x:v>946</x:v>
      </x:c>
      <x:c r="E184" s="11" t="n">
        <x:v>1000</x:v>
      </x:c>
      <x:c r="F184" s="11" t="n">
        <x:v>1042.5</x:v>
      </x:c>
      <x:c r="G184" s="11" t="n">
        <x:v>924.51</x:v>
      </x:c>
      <x:c r="H184" s="11" t="n">
        <x:v>0</x:v>
      </x:c>
      <x:c r="I184" s="11" t="n">
        <x:v>0</x:v>
      </x:c>
      <x:c r="J184" s="11"/>
      <x:c r="K184" s="1" t="str">
        <x:v>GFGC6200OC</x:v>
      </x:c>
      <x:c r="L184" s="1" t="str">
        <x:v>=+D180</x:v>
      </x:c>
    </x:row>
    <x:row r="185" ht="21" customHeight="1">
      <x:c r="A185" s="5" t="n">
        <x:v>46259</x:v>
      </x:c>
      <x:c r="B185" s="11" t="n">
        <x:v>1000</x:v>
      </x:c>
      <x:c r="C185" s="11" t="n">
        <x:v>200000.09</x:v>
      </x:c>
      <x:c r="D185" s="11" t="n">
        <x:v>1000</x:v>
      </x:c>
      <x:c r="E185" s="11" t="n">
        <x:v>1000</x:v>
      </x:c>
      <x:c r="F185" s="11" t="n">
        <x:v>1000</x:v>
      </x:c>
      <x:c r="G185" s="11" t="n">
        <x:v>1000</x:v>
      </x:c>
      <x:c r="H185" s="11" t="n">
        <x:v>0</x:v>
      </x:c>
      <x:c r="I185" s="11" t="n">
        <x:v>0</x:v>
      </x:c>
      <x:c r="J185" s="11"/>
      <x:c r="K185" s="1" t="str">
        <x:v>GFGC6200OC</x:v>
      </x:c>
      <x:c r="L185" s="1" t="str">
        <x:v>=+D181</x:v>
      </x:c>
    </x:row>
    <x:row r="186" ht="21" customHeight="1">
      <x:c r="A186" s="5" t="n">
        <x:v>46260</x:v>
      </x:c>
      <x:c r="B186" s="11" t="n">
        <x:v>1000</x:v>
      </x:c>
      <x:c r="C186" s="11" t="n">
        <x:v>0</x:v>
      </x:c>
      <x:c r="D186" s="11" t="n">
        <x:v>1000</x:v>
      </x:c>
      <x:c r="E186" s="11" t="n">
        <x:v>1015.87</x:v>
      </x:c>
      <x:c r="F186" s="11" t="n">
        <x:v>1000</x:v>
      </x:c>
      <x:c r="G186" s="11" t="n">
        <x:v>1000</x:v>
      </x:c>
      <x:c r="H186" s="11" t="n">
        <x:v>0</x:v>
      </x:c>
      <x:c r="I186" s="11" t="n">
        <x:v>0</x:v>
      </x:c>
      <x:c r="J186" s="11"/>
      <x:c r="K186" s="1" t="str">
        <x:v>GFGC6200OC</x:v>
      </x:c>
      <x:c r="L186" s="1" t="str">
        <x:v>=+D182</x:v>
      </x:c>
    </x:row>
    <x:row r="187" ht="21" customHeight="1">
      <x:c r="A187" s="5" t="n">
        <x:v>46261</x:v>
      </x:c>
      <x:c r="B187" s="11" t="n">
        <x:v>1000</x:v>
      </x:c>
      <x:c r="C187" s="11" t="n">
        <x:v>6149087</x:v>
      </x:c>
      <x:c r="D187" s="11" t="n">
        <x:v>1015.87</x:v>
      </x:c>
      <x:c r="E187" s="11" t="n">
        <x:v>983.31</x:v>
      </x:c>
      <x:c r="F187" s="11" t="n">
        <x:v>1015.87</x:v>
      </x:c>
      <x:c r="G187" s="11" t="n">
        <x:v>1000</x:v>
      </x:c>
      <x:c r="H187" s="11" t="n">
        <x:v>0</x:v>
      </x:c>
      <x:c r="I187" s="11" t="n">
        <x:v>0</x:v>
      </x:c>
      <x:c r="J187" s="11"/>
      <x:c r="K187" s="1" t="str">
        <x:v>GFGC6200OC</x:v>
      </x:c>
      <x:c r="L187" s="1" t="str">
        <x:v>=+D183</x:v>
      </x:c>
    </x:row>
    <x:row r="188" ht="21" customHeight="1">
      <x:c r="A188" s="5" t="n">
        <x:v>46262</x:v>
      </x:c>
      <x:c r="B188" s="11" t="n">
        <x:v>870</x:v>
      </x:c>
      <x:c r="C188" s="11" t="n">
        <x:v>3803161.5</x:v>
      </x:c>
      <x:c r="D188" s="11" t="n">
        <x:v>983.31</x:v>
      </x:c>
      <x:c r="E188" s="11" t="n">
        <x:v>971.66</x:v>
      </x:c>
      <x:c r="F188" s="11" t="n">
        <x:v>983.31</x:v>
      </x:c>
      <x:c r="G188" s="11" t="n">
        <x:v>833.09</x:v>
      </x:c>
      <x:c r="H188" s="11" t="n">
        <x:v>0</x:v>
      </x:c>
      <x:c r="I188" s="11" t="n">
        <x:v>0</x:v>
      </x:c>
      <x:c r="J188" s="11"/>
      <x:c r="K188" s="1" t="str">
        <x:v>GFGC6200OC</x:v>
      </x:c>
      <x:c r="L188" s="1" t="str">
        <x:v>=+D184</x:v>
      </x:c>
    </x:row>
    <x:row r="189" ht="21" customHeight="1">
      <x:c r="A189" s="5" t="n">
        <x:v>46265</x:v>
      </x:c>
      <x:c r="B189" s="11" t="n">
        <x:v>1069</x:v>
      </x:c>
      <x:c r="C189" s="11" t="n">
        <x:v>4061122.25</x:v>
      </x:c>
      <x:c r="D189" s="11" t="n">
        <x:v>971.66</x:v>
      </x:c>
      <x:c r="E189" s="11" t="n">
        <x:v>971.66</x:v>
      </x:c>
      <x:c r="F189" s="11" t="n">
        <x:v>1080</x:v>
      </x:c>
      <x:c r="G189" s="11" t="n">
        <x:v>971.66</x:v>
      </x:c>
      <x:c r="H189" s="11" t="n">
        <x:v>0</x:v>
      </x:c>
      <x:c r="I189" s="11" t="n">
        <x:v>0</x:v>
      </x:c>
      <x:c r="J189" s="11"/>
      <x:c r="K189" s="1" t="str">
        <x:v>GFGC6200OC</x:v>
      </x:c>
      <x:c r="L189" s="1" t="str">
        <x:v>=+D185</x:v>
      </x:c>
    </x:row>
    <x:row r="190" ht="21" customHeight="1">
      <x:c r="A190" s="5" t="n">
        <x:v>46266</x:v>
      </x:c>
      <x:c r="B190" s="11" t="n">
        <x:v>1069</x:v>
      </x:c>
      <x:c r="C190" s="11" t="n">
        <x:v>0</x:v>
      </x:c>
      <x:c r="D190" s="11" t="n">
        <x:v>971.66</x:v>
      </x:c>
      <x:c r="E190" s="11" t="n">
        <x:v>1089.32</x:v>
      </x:c>
      <x:c r="F190" s="11" t="n">
        <x:v>1080</x:v>
      </x:c>
      <x:c r="G190" s="11" t="n">
        <x:v>971.66</x:v>
      </x:c>
      <x:c r="H190" s="11" t="n">
        <x:v>0</x:v>
      </x:c>
      <x:c r="I190" s="11" t="n">
        <x:v>0</x:v>
      </x:c>
      <x:c r="J190" s="11"/>
      <x:c r="K190" s="1" t="str">
        <x:v>GFGC6200OC</x:v>
      </x:c>
      <x:c r="L190" s="1" t="str">
        <x:v>=+D186</x:v>
      </x:c>
    </x:row>
    <x:row r="191" ht="21" customHeight="1">
      <x:c r="A191" s="5" t="n">
        <x:v>46267</x:v>
      </x:c>
      <x:c r="B191" s="11" t="n">
        <x:v>1088.47</x:v>
      </x:c>
      <x:c r="C191" s="11" t="n">
        <x:v>435389.41</x:v>
      </x:c>
      <x:c r="D191" s="11" t="n">
        <x:v>1089.32</x:v>
      </x:c>
      <x:c r="E191" s="11" t="n">
        <x:v>1168.09</x:v>
      </x:c>
      <x:c r="F191" s="11" t="n">
        <x:v>1089.32</x:v>
      </x:c>
      <x:c r="G191" s="11" t="n">
        <x:v>1089.32</x:v>
      </x:c>
      <x:c r="H191" s="11" t="n">
        <x:v>0</x:v>
      </x:c>
      <x:c r="I191" s="11" t="n">
        <x:v>0</x:v>
      </x:c>
      <x:c r="J191" s="11"/>
      <x:c r="K191" s="1" t="str">
        <x:v>GFGC6200OC</x:v>
      </x:c>
      <x:c r="L191" s="1" t="str">
        <x:v>=+D187</x:v>
      </x:c>
    </x:row>
    <x:row r="192" ht="21" customHeight="1">
      <x:c r="A192" s="5" t="n">
        <x:v>46268</x:v>
      </x:c>
      <x:c r="B192" s="11" t="n">
        <x:v>1100</x:v>
      </x:c>
      <x:c r="C192" s="11" t="n">
        <x:v>7780003.5</x:v>
      </x:c>
      <x:c r="D192" s="11" t="n">
        <x:v>1168.09</x:v>
      </x:c>
      <x:c r="E192" s="11" t="n">
        <x:v>1100.38</x:v>
      </x:c>
      <x:c r="F192" s="11" t="n">
        <x:v>1171.93</x:v>
      </x:c>
      <x:c r="G192" s="11" t="n">
        <x:v>1090</x:v>
      </x:c>
      <x:c r="H192" s="11" t="n">
        <x:v>0</x:v>
      </x:c>
      <x:c r="I192" s="11" t="n">
        <x:v>0</x:v>
      </x:c>
      <x:c r="J192" s="11"/>
      <x:c r="K192" s="1" t="str">
        <x:v>GFGC6200OC</x:v>
      </x:c>
      <x:c r="L192" s="1" t="str">
        <x:v>=+D188</x:v>
      </x:c>
    </x:row>
    <x:row r="193" ht="21" customHeight="1">
      <x:c r="A193" s="5" t="n">
        <x:v>46269</x:v>
      </x:c>
      <x:c r="B193" s="11" t="n">
        <x:v>1015</x:v>
      </x:c>
      <x:c r="C193" s="11" t="n">
        <x:v>4714691</x:v>
      </x:c>
      <x:c r="D193" s="11" t="n">
        <x:v>1100.38</x:v>
      </x:c>
      <x:c r="E193" s="11" t="n">
        <x:v>1100.38</x:v>
      </x:c>
      <x:c r="F193" s="11" t="n">
        <x:v>1100.38</x:v>
      </x:c>
      <x:c r="G193" s="11" t="n">
        <x:v>1010</x:v>
      </x:c>
      <x:c r="H193" s="11" t="n">
        <x:v>0</x:v>
      </x:c>
      <x:c r="I193" s="11" t="n">
        <x:v>0</x:v>
      </x:c>
      <x:c r="J193" s="11"/>
      <x:c r="K193" s="1" t="str">
        <x:v>GFGC6200OC</x:v>
      </x:c>
      <x:c r="L193" s="1" t="str">
        <x:v>=+D189</x:v>
      </x:c>
    </x:row>
    <x:row r="194" ht="21" customHeight="1">
      <x:c r="A194" s="5" t="n">
        <x:v>46272</x:v>
      </x:c>
      <x:c r="B194" s="11" t="n">
        <x:v>1015</x:v>
      </x:c>
      <x:c r="C194" s="11" t="n">
        <x:v>0</x:v>
      </x:c>
      <x:c r="D194" s="11" t="n">
        <x:v>1100.38</x:v>
      </x:c>
      <x:c r="E194" s="11" t="n">
        <x:v>1000</x:v>
      </x:c>
      <x:c r="F194" s="11" t="n">
        <x:v>1100.38</x:v>
      </x:c>
      <x:c r="G194" s="11" t="n">
        <x:v>1010</x:v>
      </x:c>
      <x:c r="H194" s="11" t="n">
        <x:v>0</x:v>
      </x:c>
      <x:c r="I194" s="11" t="n">
        <x:v>0</x:v>
      </x:c>
      <x:c r="J194" s="11"/>
      <x:c r="K194" s="1" t="str">
        <x:v>GFGC6200OC</x:v>
      </x:c>
      <x:c r="L194" s="1" t="str">
        <x:v>=+D190</x:v>
      </x:c>
    </x:row>
    <x:row r="195" ht="21" customHeight="1">
      <x:c r="A195" s="5" t="n">
        <x:v>46273</x:v>
      </x:c>
      <x:c r="B195" s="11" t="n">
        <x:v>1065</x:v>
      </x:c>
      <x:c r="C195" s="11" t="n">
        <x:v>2420717.5</x:v>
      </x:c>
      <x:c r="D195" s="11" t="n">
        <x:v>1000</x:v>
      </x:c>
      <x:c r="E195" s="11" t="n">
        <x:v>987.79</x:v>
      </x:c>
      <x:c r="F195" s="11" t="n">
        <x:v>1065</x:v>
      </x:c>
      <x:c r="G195" s="11" t="n">
        <x:v>980</x:v>
      </x:c>
      <x:c r="H195" s="11" t="n">
        <x:v>0</x:v>
      </x:c>
      <x:c r="I195" s="11" t="n">
        <x:v>0</x:v>
      </x:c>
      <x:c r="J195" s="11"/>
      <x:c r="K195" s="1" t="str">
        <x:v>GFGC6200OC</x:v>
      </x:c>
      <x:c r="L195" s="1" t="str">
        <x:v>=+D191</x:v>
      </x:c>
    </x:row>
    <x:row r="196" ht="21" customHeight="1">
      <x:c r="A196" s="5" t="n">
        <x:v>46274</x:v>
      </x:c>
      <x:c r="B196" s="11" t="n">
        <x:v>1070</x:v>
      </x:c>
      <x:c r="C196" s="11" t="n">
        <x:v>6157861</x:v>
      </x:c>
      <x:c r="D196" s="11" t="n">
        <x:v>987.79</x:v>
      </x:c>
      <x:c r="E196" s="11" t="n">
        <x:v>1036.93</x:v>
      </x:c>
      <x:c r="F196" s="11" t="n">
        <x:v>1100</x:v>
      </x:c>
      <x:c r="G196" s="11" t="n">
        <x:v>918</x:v>
      </x:c>
      <x:c r="H196" s="11" t="n">
        <x:v>0</x:v>
      </x:c>
      <x:c r="I196" s="11" t="n">
        <x:v>0</x:v>
      </x:c>
      <x:c r="J196" s="11"/>
      <x:c r="K196" s="1" t="str">
        <x:v>GFGC6200OC</x:v>
      </x:c>
      <x:c r="L196" s="1" t="str">
        <x:v>=+D192</x:v>
      </x:c>
    </x:row>
    <x:row r="197" ht="21" customHeight="1">
      <x:c r="A197" s="5" t="n">
        <x:v>46275</x:v>
      </x:c>
      <x:c r="B197" s="11" t="n">
        <x:v>1112.5</x:v>
      </x:c>
      <x:c r="C197" s="11" t="n">
        <x:v>2148986.75</x:v>
      </x:c>
      <x:c r="D197" s="11" t="n">
        <x:v>1036.93</x:v>
      </x:c>
      <x:c r="E197" s="11" t="n">
        <x:v>1088.92</x:v>
      </x:c>
      <x:c r="F197" s="11" t="n">
        <x:v>1180.1</x:v>
      </x:c>
      <x:c r="G197" s="11" t="n">
        <x:v>1036.93</x:v>
      </x:c>
      <x:c r="H197" s="11" t="n">
        <x:v>0</x:v>
      </x:c>
      <x:c r="I197" s="11" t="n">
        <x:v>0</x:v>
      </x:c>
      <x:c r="J197" s="11"/>
      <x:c r="K197" s="1" t="str">
        <x:v>GFGC6200OC</x:v>
      </x:c>
      <x:c r="L197" s="1" t="str">
        <x:v>=+D193</x:v>
      </x:c>
    </x:row>
    <x:row r="198" ht="21" customHeight="1">
      <x:c r="A198" s="5" t="n">
        <x:v>46276</x:v>
      </x:c>
      <x:c r="B198" s="11" t="n">
        <x:v>941.05</x:v>
      </x:c>
      <x:c r="C198" s="11" t="n">
        <x:v>7676950</x:v>
      </x:c>
      <x:c r="D198" s="11" t="n">
        <x:v>1088.92</x:v>
      </x:c>
      <x:c r="E198" s="11" t="n">
        <x:v>950</x:v>
      </x:c>
      <x:c r="F198" s="11" t="n">
        <x:v>1104.76</x:v>
      </x:c>
      <x:c r="G198" s="11" t="n">
        <x:v>893.51</x:v>
      </x:c>
      <x:c r="H198" s="11" t="n">
        <x:v>0</x:v>
      </x:c>
      <x:c r="I198" s="11" t="n">
        <x:v>0</x:v>
      </x:c>
      <x:c r="J198" s="11"/>
      <x:c r="K198" s="1" t="str">
        <x:v>GFGC6200OC</x:v>
      </x:c>
      <x:c r="L198" s="1" t="str">
        <x:v>=+D194</x:v>
      </x:c>
    </x:row>
    <x:row r="199" ht="21" customHeight="1">
      <x:c r="A199" s="5" t="n">
        <x:v>46279</x:v>
      </x:c>
      <x:c r="B199" s="11" t="n">
        <x:v>847.81</x:v>
      </x:c>
      <x:c r="C199" s="11" t="n">
        <x:v>4077403.75</x:v>
      </x:c>
      <x:c r="D199" s="11" t="n">
        <x:v>950</x:v>
      </x:c>
      <x:c r="E199" s="11" t="n">
        <x:v>750</x:v>
      </x:c>
      <x:c r="F199" s="11" t="n">
        <x:v>950</x:v>
      </x:c>
      <x:c r="G199" s="11" t="n">
        <x:v>845</x:v>
      </x:c>
      <x:c r="H199" s="11" t="n">
        <x:v>0</x:v>
      </x:c>
      <x:c r="I199" s="11" t="n">
        <x:v>0</x:v>
      </x:c>
      <x:c r="J199" s="11"/>
      <x:c r="K199" s="1" t="str">
        <x:v>GFGC6200OC</x:v>
      </x:c>
      <x:c r="L199" s="1" t="str">
        <x:v>=+D195</x:v>
      </x:c>
    </x:row>
    <x:row r="200" ht="21" customHeight="1">
      <x:c r="A200" s="5" t="n">
        <x:v>46280</x:v>
      </x:c>
      <x:c r="B200" s="11" t="n">
        <x:v>757.6</x:v>
      </x:c>
      <x:c r="C200" s="11" t="n">
        <x:v>13415150</x:v>
      </x:c>
      <x:c r="D200" s="11" t="n">
        <x:v>750</x:v>
      </x:c>
      <x:c r="E200" s="11" t="n">
        <x:v>700</x:v>
      </x:c>
      <x:c r="F200" s="11" t="n">
        <x:v>822.13</x:v>
      </x:c>
      <x:c r="G200" s="11" t="n">
        <x:v>730</x:v>
      </x:c>
      <x:c r="H200" s="11" t="n">
        <x:v>0</x:v>
      </x:c>
      <x:c r="I200" s="11" t="n">
        <x:v>0</x:v>
      </x:c>
      <x:c r="J200" s="11"/>
      <x:c r="K200" s="1" t="str">
        <x:v>GFGC6200OC</x:v>
      </x:c>
      <x:c r="L200" s="1" t="str">
        <x:v>=+D196</x:v>
      </x:c>
    </x:row>
    <x:row r="201" ht="21" customHeight="1">
      <x:c r="A201" s="5" t="n">
        <x:v>46281</x:v>
      </x:c>
      <x:c r="B201" s="11" t="n">
        <x:v>704.74</x:v>
      </x:c>
      <x:c r="C201" s="11" t="n">
        <x:v>13875889</x:v>
      </x:c>
      <x:c r="D201" s="11" t="n">
        <x:v>700</x:v>
      </x:c>
      <x:c r="E201" s="11" t="n">
        <x:v>775</x:v>
      </x:c>
      <x:c r="F201" s="11" t="n">
        <x:v>810</x:v>
      </x:c>
      <x:c r="G201" s="11" t="n">
        <x:v>700</x:v>
      </x:c>
      <x:c r="H201" s="11" t="n">
        <x:v>0</x:v>
      </x:c>
      <x:c r="I201" s="11" t="n">
        <x:v>0</x:v>
      </x:c>
      <x:c r="J201" s="11"/>
      <x:c r="K201" s="1" t="str">
        <x:v>GFGC6200OC</x:v>
      </x:c>
      <x:c r="L201" s="1" t="str">
        <x:v>=+D197</x:v>
      </x:c>
    </x:row>
    <x:row r="202" ht="21" customHeight="1">
      <x:c r="A202" s="5" t="n">
        <x:v>46255</x:v>
      </x:c>
      <x:c r="B202" s="11" t="n">
        <x:v>711</x:v>
      </x:c>
      <x:c r="C202" s="11" t="n">
        <x:v>15215765</x:v>
      </x:c>
      <x:c r="D202" s="11" t="n">
        <x:v>775</x:v>
      </x:c>
      <x:c r="E202" s="11" t="n">
        <x:v>756.99</x:v>
      </x:c>
      <x:c r="F202" s="11" t="n">
        <x:v>830</x:v>
      </x:c>
      <x:c r="G202" s="11" t="n">
        <x:v>685.01</x:v>
      </x:c>
      <x:c r="H202" s="11" t="n">
        <x:v>0</x:v>
      </x:c>
      <x:c r="I202" s="11" t="n">
        <x:v>0</x:v>
      </x:c>
      <x:c r="J202" s="11"/>
      <x:c r="K202" s="1" t="str">
        <x:v>GFGC6400OC</x:v>
      </x:c>
      <x:c r="L202" s="1" t="str">
        <x:v>=+D198</x:v>
      </x:c>
    </x:row>
    <x:row r="203" ht="21" customHeight="1">
      <x:c r="A203" s="5" t="n">
        <x:v>46258</x:v>
      </x:c>
      <x:c r="B203" s="11" t="n">
        <x:v>918.25</x:v>
      </x:c>
      <x:c r="C203" s="11" t="n">
        <x:v>66371088</x:v>
      </x:c>
      <x:c r="D203" s="11" t="n">
        <x:v>756.99</x:v>
      </x:c>
      <x:c r="E203" s="11" t="n">
        <x:v>850.01</x:v>
      </x:c>
      <x:c r="F203" s="11" t="n">
        <x:v>982.25</x:v>
      </x:c>
      <x:c r="G203" s="11" t="n">
        <x:v>750</x:v>
      </x:c>
      <x:c r="H203" s="11" t="n">
        <x:v>0</x:v>
      </x:c>
      <x:c r="I203" s="11" t="n">
        <x:v>0</x:v>
      </x:c>
      <x:c r="J203" s="11"/>
      <x:c r="K203" s="1" t="str">
        <x:v>GFGC6400OC</x:v>
      </x:c>
      <x:c r="L203" s="1" t="str">
        <x:v>=+D199</x:v>
      </x:c>
    </x:row>
    <x:row r="204" ht="21" customHeight="1">
      <x:c r="A204" s="5" t="n">
        <x:v>46259</x:v>
      </x:c>
      <x:c r="B204" s="11" t="n">
        <x:v>982.67</x:v>
      </x:c>
      <x:c r="C204" s="11" t="n">
        <x:v>31800552</x:v>
      </x:c>
      <x:c r="D204" s="11" t="n">
        <x:v>850.01</x:v>
      </x:c>
      <x:c r="E204" s="11" t="n">
        <x:v>1000</x:v>
      </x:c>
      <x:c r="F204" s="11" t="n">
        <x:v>1025.1</x:v>
      </x:c>
      <x:c r="G204" s="11" t="n">
        <x:v>850.01</x:v>
      </x:c>
      <x:c r="H204" s="11" t="n">
        <x:v>0</x:v>
      </x:c>
      <x:c r="I204" s="11" t="n">
        <x:v>0</x:v>
      </x:c>
      <x:c r="J204" s="11"/>
      <x:c r="K204" s="1" t="str">
        <x:v>GFGC6400OC</x:v>
      </x:c>
      <x:c r="L204" s="1" t="str">
        <x:v>=+D200</x:v>
      </x:c>
    </x:row>
    <x:row r="205" ht="21" customHeight="1">
      <x:c r="A205" s="5" t="n">
        <x:v>46260</x:v>
      </x:c>
      <x:c r="B205" s="11" t="n">
        <x:v>944.2</x:v>
      </x:c>
      <x:c r="C205" s="11" t="n">
        <x:v>4527855</x:v>
      </x:c>
      <x:c r="D205" s="11" t="n">
        <x:v>1000</x:v>
      </x:c>
      <x:c r="E205" s="11" t="n">
        <x:v>990</x:v>
      </x:c>
      <x:c r="F205" s="11" t="n">
        <x:v>1020</x:v>
      </x:c>
      <x:c r="G205" s="11" t="n">
        <x:v>932</x:v>
      </x:c>
      <x:c r="H205" s="11" t="n">
        <x:v>0</x:v>
      </x:c>
      <x:c r="I205" s="11" t="n">
        <x:v>0</x:v>
      </x:c>
      <x:c r="J205" s="11"/>
      <x:c r="K205" s="1" t="str">
        <x:v>GFGC6400OC</x:v>
      </x:c>
      <x:c r="L205" s="1" t="str">
        <x:v>=+D201</x:v>
      </x:c>
    </x:row>
    <x:row r="206" ht="21" customHeight="1">
      <x:c r="A206" s="5" t="n">
        <x:v>46261</x:v>
      </x:c>
      <x:c r="B206" s="11" t="n">
        <x:v>843.84</x:v>
      </x:c>
      <x:c r="C206" s="11" t="n">
        <x:v>55175124</x:v>
      </x:c>
      <x:c r="D206" s="11" t="n">
        <x:v>990</x:v>
      </x:c>
      <x:c r="E206" s="11" t="n">
        <x:v>837.08</x:v>
      </x:c>
      <x:c r="F206" s="11" t="n">
        <x:v>990</x:v>
      </x:c>
      <x:c r="G206" s="11" t="n">
        <x:v>823.5</x:v>
      </x:c>
      <x:c r="H206" s="11" t="n">
        <x:v>0</x:v>
      </x:c>
      <x:c r="I206" s="11" t="n">
        <x:v>0</x:v>
      </x:c>
      <x:c r="J206" s="11"/>
      <x:c r="K206" s="1" t="str">
        <x:v>GFGC6400OC</x:v>
      </x:c>
      <x:c r="L206" s="1" t="str">
        <x:v>=+D202</x:v>
      </x:c>
    </x:row>
    <x:row r="207" ht="21" customHeight="1">
      <x:c r="A207" s="5" t="n">
        <x:v>46262</x:v>
      </x:c>
      <x:c r="B207" s="11" t="n">
        <x:v>775</x:v>
      </x:c>
      <x:c r="C207" s="11" t="n">
        <x:v>25748998</x:v>
      </x:c>
      <x:c r="D207" s="11" t="n">
        <x:v>837.08</x:v>
      </x:c>
      <x:c r="E207" s="11" t="n">
        <x:v>798</x:v>
      </x:c>
      <x:c r="F207" s="11" t="n">
        <x:v>840</x:v>
      </x:c>
      <x:c r="G207" s="11" t="n">
        <x:v>700</x:v>
      </x:c>
      <x:c r="H207" s="11" t="n">
        <x:v>0</x:v>
      </x:c>
      <x:c r="I207" s="11" t="n">
        <x:v>0</x:v>
      </x:c>
      <x:c r="J207" s="11"/>
      <x:c r="K207" s="1" t="str">
        <x:v>GFGC6400OC</x:v>
      </x:c>
      <x:c r="L207" s="1" t="str">
        <x:v>=+D203</x:v>
      </x:c>
    </x:row>
    <x:row r="208" ht="21" customHeight="1">
      <x:c r="A208" s="5" t="n">
        <x:v>46265</x:v>
      </x:c>
      <x:c r="B208" s="11" t="n">
        <x:v>925</x:v>
      </x:c>
      <x:c r="C208" s="11" t="n">
        <x:v>37233648</x:v>
      </x:c>
      <x:c r="D208" s="11" t="n">
        <x:v>798</x:v>
      </x:c>
      <x:c r="E208" s="11" t="n">
        <x:v>967.88</x:v>
      </x:c>
      <x:c r="F208" s="11" t="n">
        <x:v>1000</x:v>
      </x:c>
      <x:c r="G208" s="11" t="n">
        <x:v>798</x:v>
      </x:c>
      <x:c r="H208" s="11" t="n">
        <x:v>0</x:v>
      </x:c>
      <x:c r="I208" s="11" t="n">
        <x:v>0</x:v>
      </x:c>
      <x:c r="J208" s="11"/>
      <x:c r="K208" s="1" t="str">
        <x:v>GFGC6400OC</x:v>
      </x:c>
      <x:c r="L208" s="1" t="str">
        <x:v>=+D204</x:v>
      </x:c>
    </x:row>
    <x:row r="209" ht="21" customHeight="1">
      <x:c r="A209" s="5" t="n">
        <x:v>46266</x:v>
      </x:c>
      <x:c r="B209" s="11" t="n">
        <x:v>909.97</x:v>
      </x:c>
      <x:c r="C209" s="11" t="n">
        <x:v>14920983</x:v>
      </x:c>
      <x:c r="D209" s="11" t="n">
        <x:v>967.88</x:v>
      </x:c>
      <x:c r="E209" s="11" t="n">
        <x:v>890</x:v>
      </x:c>
      <x:c r="F209" s="11" t="n">
        <x:v>1050</x:v>
      </x:c>
      <x:c r="G209" s="11" t="n">
        <x:v>890</x:v>
      </x:c>
      <x:c r="H209" s="11" t="n">
        <x:v>0</x:v>
      </x:c>
      <x:c r="I209" s="11" t="n">
        <x:v>0</x:v>
      </x:c>
      <x:c r="J209" s="11"/>
      <x:c r="K209" s="1" t="str">
        <x:v>GFGC6400OC</x:v>
      </x:c>
      <x:c r="L209" s="1" t="str">
        <x:v>=+D205</x:v>
      </x:c>
    </x:row>
    <x:row r="210" ht="21" customHeight="1">
      <x:c r="A210" s="5" t="n">
        <x:v>46267</x:v>
      </x:c>
      <x:c r="B210" s="11" t="n">
        <x:v>1025</x:v>
      </x:c>
      <x:c r="C210" s="11" t="n">
        <x:v>9232591</x:v>
      </x:c>
      <x:c r="D210" s="11" t="n">
        <x:v>890</x:v>
      </x:c>
      <x:c r="E210" s="11" t="n">
        <x:v>1037.89</x:v>
      </x:c>
      <x:c r="F210" s="11" t="n">
        <x:v>1025</x:v>
      </x:c>
      <x:c r="G210" s="11" t="n">
        <x:v>890</x:v>
      </x:c>
      <x:c r="H210" s="11" t="n">
        <x:v>0</x:v>
      </x:c>
      <x:c r="I210" s="11" t="n">
        <x:v>0</x:v>
      </x:c>
      <x:c r="J210" s="11"/>
      <x:c r="K210" s="1" t="str">
        <x:v>GFGC6400OC</x:v>
      </x:c>
      <x:c r="L210" s="1" t="str">
        <x:v>=+D206</x:v>
      </x:c>
    </x:row>
    <x:row r="211" ht="21" customHeight="1">
      <x:c r="A211" s="5" t="n">
        <x:v>46268</x:v>
      </x:c>
      <x:c r="B211" s="11" t="n">
        <x:v>935</x:v>
      </x:c>
      <x:c r="C211" s="11" t="n">
        <x:v>11888418</x:v>
      </x:c>
      <x:c r="D211" s="11" t="n">
        <x:v>1037.89</x:v>
      </x:c>
      <x:c r="E211" s="11" t="n">
        <x:v>909.55</x:v>
      </x:c>
      <x:c r="F211" s="11" t="n">
        <x:v>1037.89</x:v>
      </x:c>
      <x:c r="G211" s="11" t="n">
        <x:v>938.46</x:v>
      </x:c>
      <x:c r="H211" s="11" t="n">
        <x:v>0</x:v>
      </x:c>
      <x:c r="I211" s="11" t="n">
        <x:v>0</x:v>
      </x:c>
      <x:c r="J211" s="11"/>
      <x:c r="K211" s="1" t="str">
        <x:v>GFGC6400OC</x:v>
      </x:c>
      <x:c r="L211" s="1" t="str">
        <x:v>=+D207</x:v>
      </x:c>
    </x:row>
    <x:row r="212" ht="21" customHeight="1">
      <x:c r="A212" s="5" t="n">
        <x:v>46269</x:v>
      </x:c>
      <x:c r="B212" s="11" t="n">
        <x:v>850</x:v>
      </x:c>
      <x:c r="C212" s="11" t="n">
        <x:v>49858820</x:v>
      </x:c>
      <x:c r="D212" s="11" t="n">
        <x:v>909.55</x:v>
      </x:c>
      <x:c r="E212" s="11" t="n">
        <x:v>831.72</x:v>
      </x:c>
      <x:c r="F212" s="11" t="n">
        <x:v>964.56</x:v>
      </x:c>
      <x:c r="G212" s="11" t="n">
        <x:v>865</x:v>
      </x:c>
      <x:c r="H212" s="11" t="n">
        <x:v>0</x:v>
      </x:c>
      <x:c r="I212" s="11" t="n">
        <x:v>0</x:v>
      </x:c>
      <x:c r="J212" s="11"/>
      <x:c r="K212" s="1" t="str">
        <x:v>GFGC6400OC</x:v>
      </x:c>
      <x:c r="L212" s="1" t="str">
        <x:v>=+D208</x:v>
      </x:c>
    </x:row>
    <x:row r="213" ht="21" customHeight="1">
      <x:c r="A213" s="5" t="n">
        <x:v>46272</x:v>
      </x:c>
      <x:c r="B213" s="11" t="n">
        <x:v>829</x:v>
      </x:c>
      <x:c r="C213" s="11" t="n">
        <x:v>16878956</x:v>
      </x:c>
      <x:c r="D213" s="11" t="n">
        <x:v>831.72</x:v>
      </x:c>
      <x:c r="E213" s="11" t="n">
        <x:v>860</x:v>
      </x:c>
      <x:c r="F213" s="11" t="n">
        <x:v>850</x:v>
      </x:c>
      <x:c r="G213" s="11" t="n">
        <x:v>821</x:v>
      </x:c>
      <x:c r="H213" s="11" t="n">
        <x:v>0</x:v>
      </x:c>
      <x:c r="I213" s="11" t="n">
        <x:v>0</x:v>
      </x:c>
      <x:c r="J213" s="11"/>
      <x:c r="K213" s="1" t="str">
        <x:v>GFGC6400OC</x:v>
      </x:c>
      <x:c r="L213" s="1" t="str">
        <x:v>=+D209</x:v>
      </x:c>
    </x:row>
    <x:row r="214" ht="21" customHeight="1">
      <x:c r="A214" s="5" t="n">
        <x:v>46273</x:v>
      </x:c>
      <x:c r="B214" s="11" t="n">
        <x:v>900</x:v>
      </x:c>
      <x:c r="C214" s="11" t="n">
        <x:v>19926616</x:v>
      </x:c>
      <x:c r="D214" s="11" t="n">
        <x:v>860</x:v>
      </x:c>
      <x:c r="E214" s="11" t="n">
        <x:v>820</x:v>
      </x:c>
      <x:c r="F214" s="11" t="n">
        <x:v>955</x:v>
      </x:c>
      <x:c r="G214" s="11" t="n">
        <x:v>800</x:v>
      </x:c>
      <x:c r="H214" s="11" t="n">
        <x:v>0</x:v>
      </x:c>
      <x:c r="I214" s="11" t="n">
        <x:v>0</x:v>
      </x:c>
      <x:c r="J214" s="11"/>
      <x:c r="K214" s="1" t="str">
        <x:v>GFGC6400OC</x:v>
      </x:c>
      <x:c r="L214" s="1" t="str">
        <x:v>=+D210</x:v>
      </x:c>
    </x:row>
    <x:row r="215" ht="21" customHeight="1">
      <x:c r="A215" s="5" t="n">
        <x:v>46274</x:v>
      </x:c>
      <x:c r="B215" s="11" t="n">
        <x:v>875.61</x:v>
      </x:c>
      <x:c r="C215" s="11" t="n">
        <x:v>21708370</x:v>
      </x:c>
      <x:c r="D215" s="11" t="n">
        <x:v>820</x:v>
      </x:c>
      <x:c r="E215" s="11" t="n">
        <x:v>889.84</x:v>
      </x:c>
      <x:c r="F215" s="11" t="n">
        <x:v>983.13</x:v>
      </x:c>
      <x:c r="G215" s="11" t="n">
        <x:v>773.01</x:v>
      </x:c>
      <x:c r="H215" s="11" t="n">
        <x:v>0</x:v>
      </x:c>
      <x:c r="I215" s="11" t="n">
        <x:v>0</x:v>
      </x:c>
      <x:c r="J215" s="11"/>
      <x:c r="K215" s="1" t="str">
        <x:v>GFGC6400OC</x:v>
      </x:c>
      <x:c r="L215" s="1" t="str">
        <x:v>=+D211</x:v>
      </x:c>
    </x:row>
    <x:row r="216" ht="21" customHeight="1">
      <x:c r="A216" s="5" t="n">
        <x:v>46275</x:v>
      </x:c>
      <x:c r="B216" s="11" t="n">
        <x:v>945</x:v>
      </x:c>
      <x:c r="C216" s="11" t="n">
        <x:v>4725870</x:v>
      </x:c>
      <x:c r="D216" s="11" t="n">
        <x:v>889.84</x:v>
      </x:c>
      <x:c r="E216" s="11" t="n">
        <x:v>918</x:v>
      </x:c>
      <x:c r="F216" s="11" t="n">
        <x:v>1031.95</x:v>
      </x:c>
      <x:c r="G216" s="11" t="n">
        <x:v>889.84</x:v>
      </x:c>
      <x:c r="H216" s="11" t="n">
        <x:v>0</x:v>
      </x:c>
      <x:c r="I216" s="11" t="n">
        <x:v>0</x:v>
      </x:c>
      <x:c r="J216" s="11"/>
      <x:c r="K216" s="1" t="str">
        <x:v>GFGC6400OC</x:v>
      </x:c>
      <x:c r="L216" s="1" t="str">
        <x:v>=+D212</x:v>
      </x:c>
    </x:row>
    <x:row r="217" ht="21" customHeight="1">
      <x:c r="A217" s="5" t="n">
        <x:v>46276</x:v>
      </x:c>
      <x:c r="B217" s="11" t="n">
        <x:v>830</x:v>
      </x:c>
      <x:c r="C217" s="11" t="n">
        <x:v>27462252</x:v>
      </x:c>
      <x:c r="D217" s="11" t="n">
        <x:v>918</x:v>
      </x:c>
      <x:c r="E217" s="11" t="n">
        <x:v>800</x:v>
      </x:c>
      <x:c r="F217" s="11" t="n">
        <x:v>919.98</x:v>
      </x:c>
      <x:c r="G217" s="11" t="n">
        <x:v>770</x:v>
      </x:c>
      <x:c r="H217" s="11" t="n">
        <x:v>0</x:v>
      </x:c>
      <x:c r="I217" s="11" t="n">
        <x:v>0</x:v>
      </x:c>
      <x:c r="J217" s="11"/>
      <x:c r="K217" s="1" t="str">
        <x:v>GFGC6400OC</x:v>
      </x:c>
      <x:c r="L217" s="1" t="str">
        <x:v>=+D213</x:v>
      </x:c>
    </x:row>
    <x:row r="218" ht="21" customHeight="1">
      <x:c r="A218" s="5" t="n">
        <x:v>46279</x:v>
      </x:c>
      <x:c r="B218" s="11" t="n">
        <x:v>675.11</x:v>
      </x:c>
      <x:c r="C218" s="11" t="n">
        <x:v>29115720</x:v>
      </x:c>
      <x:c r="D218" s="11" t="n">
        <x:v>800</x:v>
      </x:c>
      <x:c r="E218" s="11" t="n">
        <x:v>675.13</x:v>
      </x:c>
      <x:c r="F218" s="11" t="n">
        <x:v>800</x:v>
      </x:c>
      <x:c r="G218" s="11" t="n">
        <x:v>671</x:v>
      </x:c>
      <x:c r="H218" s="11" t="n">
        <x:v>0</x:v>
      </x:c>
      <x:c r="I218" s="11" t="n">
        <x:v>0</x:v>
      </x:c>
      <x:c r="J218" s="11"/>
      <x:c r="K218" s="1" t="str">
        <x:v>GFGC6400OC</x:v>
      </x:c>
      <x:c r="L218" s="1" t="str">
        <x:v>=+D214</x:v>
      </x:c>
    </x:row>
    <x:row r="219" ht="21" customHeight="1">
      <x:c r="A219" s="5" t="n">
        <x:v>46280</x:v>
      </x:c>
      <x:c r="B219" s="11" t="n">
        <x:v>600.2</x:v>
      </x:c>
      <x:c r="C219" s="11" t="n">
        <x:v>52725424</x:v>
      </x:c>
      <x:c r="D219" s="11" t="n">
        <x:v>675.13</x:v>
      </x:c>
      <x:c r="E219" s="11" t="n">
        <x:v>600</x:v>
      </x:c>
      <x:c r="F219" s="11" t="n">
        <x:v>675.13</x:v>
      </x:c>
      <x:c r="G219" s="11" t="n">
        <x:v>580</x:v>
      </x:c>
      <x:c r="H219" s="11" t="n">
        <x:v>0</x:v>
      </x:c>
      <x:c r="I219" s="11" t="n">
        <x:v>0</x:v>
      </x:c>
      <x:c r="J219" s="11"/>
      <x:c r="K219" s="1" t="str">
        <x:v>GFGC6400OC</x:v>
      </x:c>
      <x:c r="L219" s="1" t="str">
        <x:v>=+D215</x:v>
      </x:c>
    </x:row>
    <x:row r="220" ht="21" customHeight="1">
      <x:c r="A220" s="5" t="n">
        <x:v>46281</x:v>
      </x:c>
      <x:c r="B220" s="11" t="n">
        <x:v>616.1</x:v>
      </x:c>
      <x:c r="C220" s="11" t="n">
        <x:v>27128652</x:v>
      </x:c>
      <x:c r="D220" s="11" t="n">
        <x:v>600</x:v>
      </x:c>
      <x:c r="E220" s="11" t="n">
        <x:v>600</x:v>
      </x:c>
      <x:c r="F220" s="11" t="n">
        <x:v>670</x:v>
      </x:c>
      <x:c r="G220" s="11" t="n">
        <x:v>570</x:v>
      </x:c>
      <x:c r="H220" s="11" t="n">
        <x:v>0</x:v>
      </x:c>
      <x:c r="I220" s="11" t="n">
        <x:v>0</x:v>
      </x:c>
      <x:c r="J220" s="11"/>
      <x:c r="K220" s="1" t="str">
        <x:v>GFGC6400OC</x:v>
      </x:c>
      <x:c r="L220" s="1" t="str">
        <x:v>=+D216</x:v>
      </x:c>
    </x:row>
    <x:row r="221" ht="21" customHeight="1">
      <x:c r="A221" s="5" t="n">
        <x:v>46255</x:v>
      </x:c>
      <x:c r="B221" s="11" t="n">
        <x:v>630</x:v>
      </x:c>
      <x:c r="C221" s="11" t="n">
        <x:v>64370992</x:v>
      </x:c>
      <x:c r="D221" s="11" t="n">
        <x:v>600</x:v>
      </x:c>
      <x:c r="E221" s="11" t="n">
        <x:v>484</x:v>
      </x:c>
      <x:c r="F221" s="11" t="n">
        <x:v>716.22</x:v>
      </x:c>
      <x:c r="G221" s="11" t="n">
        <x:v>576</x:v>
      </x:c>
      <x:c r="H221" s="11" t="n">
        <x:v>0</x:v>
      </x:c>
      <x:c r="I221" s="11" t="n">
        <x:v>0</x:v>
      </x:c>
      <x:c r="J221" s="11"/>
      <x:c r="K221" s="1" t="str">
        <x:v>GFGC6600OC</x:v>
      </x:c>
      <x:c r="L221" s="1" t="str">
        <x:v>=+D217</x:v>
      </x:c>
    </x:row>
    <x:row r="222" ht="21" customHeight="1">
      <x:c r="A222" s="5" t="n">
        <x:v>46258</x:v>
      </x:c>
      <x:c r="B222" s="11" t="n">
        <x:v>801.3</x:v>
      </x:c>
      <x:c r="C222" s="11" t="n">
        <x:v>133091224</x:v>
      </x:c>
      <x:c r="D222" s="11" t="n">
        <x:v>484</x:v>
      </x:c>
      <x:c r="E222" s="11" t="n">
        <x:v>800</x:v>
      </x:c>
      <x:c r="F222" s="11" t="n">
        <x:v>860</x:v>
      </x:c>
      <x:c r="G222" s="11" t="n">
        <x:v>484</x:v>
      </x:c>
      <x:c r="H222" s="11" t="n">
        <x:v>0</x:v>
      </x:c>
      <x:c r="I222" s="11" t="n">
        <x:v>0</x:v>
      </x:c>
      <x:c r="J222" s="11"/>
      <x:c r="K222" s="1" t="str">
        <x:v>GFGC6600OC</x:v>
      </x:c>
      <x:c r="L222" s="1" t="str">
        <x:v>=+D218</x:v>
      </x:c>
    </x:row>
    <x:row r="223" ht="21" customHeight="1">
      <x:c r="A223" s="5" t="n">
        <x:v>46259</x:v>
      </x:c>
      <x:c r="B223" s="11" t="n">
        <x:v>852.31</x:v>
      </x:c>
      <x:c r="C223" s="11" t="n">
        <x:v>139653152</x:v>
      </x:c>
      <x:c r="D223" s="11" t="n">
        <x:v>800</x:v>
      </x:c>
      <x:c r="E223" s="11" t="n">
        <x:v>895</x:v>
      </x:c>
      <x:c r="F223" s="11" t="n">
        <x:v>859.9</x:v>
      </x:c>
      <x:c r="G223" s="11" t="n">
        <x:v>650</x:v>
      </x:c>
      <x:c r="H223" s="11" t="n">
        <x:v>0</x:v>
      </x:c>
      <x:c r="I223" s="11" t="n">
        <x:v>0</x:v>
      </x:c>
      <x:c r="J223" s="11"/>
      <x:c r="K223" s="1" t="str">
        <x:v>GFGC6600OC</x:v>
      </x:c>
      <x:c r="L223" s="1" t="str">
        <x:v>=+D219</x:v>
      </x:c>
    </x:row>
    <x:row r="224" ht="21" customHeight="1">
      <x:c r="A224" s="5" t="n">
        <x:v>46260</x:v>
      </x:c>
      <x:c r="B224" s="11" t="n">
        <x:v>808.58</x:v>
      </x:c>
      <x:c r="C224" s="11" t="n">
        <x:v>49664944</x:v>
      </x:c>
      <x:c r="D224" s="11" t="n">
        <x:v>895</x:v>
      </x:c>
      <x:c r="E224" s="11" t="n">
        <x:v>780.04</x:v>
      </x:c>
      <x:c r="F224" s="11" t="n">
        <x:v>939.99</x:v>
      </x:c>
      <x:c r="G224" s="11" t="n">
        <x:v>800</x:v>
      </x:c>
      <x:c r="H224" s="11" t="n">
        <x:v>0</x:v>
      </x:c>
      <x:c r="I224" s="11" t="n">
        <x:v>0</x:v>
      </x:c>
      <x:c r="J224" s="11"/>
      <x:c r="K224" s="1" t="str">
        <x:v>GFGC6600OC</x:v>
      </x:c>
      <x:c r="L224" s="1" t="str">
        <x:v>=+D220</x:v>
      </x:c>
    </x:row>
    <x:row r="225" ht="21" customHeight="1">
      <x:c r="A225" s="5" t="n">
        <x:v>46261</x:v>
      </x:c>
      <x:c r="B225" s="11" t="n">
        <x:v>706.67</x:v>
      </x:c>
      <x:c r="C225" s="11" t="n">
        <x:v>69429448</x:v>
      </x:c>
      <x:c r="D225" s="11" t="n">
        <x:v>780.04</x:v>
      </x:c>
      <x:c r="E225" s="11" t="n">
        <x:v>690</x:v>
      </x:c>
      <x:c r="F225" s="11" t="n">
        <x:v>780.04</x:v>
      </x:c>
      <x:c r="G225" s="11" t="n">
        <x:v>700</x:v>
      </x:c>
      <x:c r="H225" s="11" t="n">
        <x:v>0</x:v>
      </x:c>
      <x:c r="I225" s="11" t="n">
        <x:v>0</x:v>
      </x:c>
      <x:c r="J225" s="11"/>
      <x:c r="K225" s="1" t="str">
        <x:v>GFGC6600OC</x:v>
      </x:c>
      <x:c r="L225" s="1" t="str">
        <x:v>=+D221</x:v>
      </x:c>
    </x:row>
    <x:row r="226" ht="21" customHeight="1">
      <x:c r="A226" s="5" t="n">
        <x:v>46262</x:v>
      </x:c>
      <x:c r="B226" s="11" t="n">
        <x:v>651.81</x:v>
      </x:c>
      <x:c r="C226" s="11" t="n">
        <x:v>55706680</x:v>
      </x:c>
      <x:c r="D226" s="11" t="n">
        <x:v>690</x:v>
      </x:c>
      <x:c r="E226" s="11" t="n">
        <x:v>685</x:v>
      </x:c>
      <x:c r="F226" s="11" t="n">
        <x:v>690.79</x:v>
      </x:c>
      <x:c r="G226" s="11" t="n">
        <x:v>580</x:v>
      </x:c>
      <x:c r="H226" s="11" t="n">
        <x:v>0</x:v>
      </x:c>
      <x:c r="I226" s="11" t="n">
        <x:v>0</x:v>
      </x:c>
      <x:c r="J226" s="11"/>
      <x:c r="K226" s="1" t="str">
        <x:v>GFGC6600OC</x:v>
      </x:c>
      <x:c r="L226" s="1" t="str">
        <x:v>=+D222</x:v>
      </x:c>
    </x:row>
    <x:row r="227" ht="21" customHeight="1">
      <x:c r="A227" s="5" t="n">
        <x:v>46265</x:v>
      </x:c>
      <x:c r="B227" s="11" t="n">
        <x:v>785.86</x:v>
      </x:c>
      <x:c r="C227" s="11" t="n">
        <x:v>21813032</x:v>
      </x:c>
      <x:c r="D227" s="11" t="n">
        <x:v>685</x:v>
      </x:c>
      <x:c r="E227" s="11" t="n">
        <x:v>800</x:v>
      </x:c>
      <x:c r="F227" s="11" t="n">
        <x:v>885</x:v>
      </x:c>
      <x:c r="G227" s="11" t="n">
        <x:v>670</x:v>
      </x:c>
      <x:c r="H227" s="11" t="n">
        <x:v>0</x:v>
      </x:c>
      <x:c r="I227" s="11" t="n">
        <x:v>0</x:v>
      </x:c>
      <x:c r="J227" s="11"/>
      <x:c r="K227" s="1" t="str">
        <x:v>GFGC6600OC</x:v>
      </x:c>
      <x:c r="L227" s="1" t="str">
        <x:v>=+D223</x:v>
      </x:c>
    </x:row>
    <x:row r="228" ht="21" customHeight="1">
      <x:c r="A228" s="5" t="n">
        <x:v>46266</x:v>
      </x:c>
      <x:c r="B228" s="11" t="n">
        <x:v>808.51</x:v>
      </x:c>
      <x:c r="C228" s="11" t="n">
        <x:v>30988906</x:v>
      </x:c>
      <x:c r="D228" s="11" t="n">
        <x:v>800</x:v>
      </x:c>
      <x:c r="E228" s="11" t="n">
        <x:v>810</x:v>
      </x:c>
      <x:c r="F228" s="11" t="n">
        <x:v>890</x:v>
      </x:c>
      <x:c r="G228" s="11" t="n">
        <x:v>763.57</x:v>
      </x:c>
      <x:c r="H228" s="11" t="n">
        <x:v>0</x:v>
      </x:c>
      <x:c r="I228" s="11" t="n">
        <x:v>0</x:v>
      </x:c>
      <x:c r="J228" s="11"/>
      <x:c r="K228" s="1" t="str">
        <x:v>GFGC6600OC</x:v>
      </x:c>
      <x:c r="L228" s="1" t="str">
        <x:v>=+D224</x:v>
      </x:c>
    </x:row>
    <x:row r="229" ht="21" customHeight="1">
      <x:c r="A229" s="5" t="n">
        <x:v>46267</x:v>
      </x:c>
      <x:c r="B229" s="11" t="n">
        <x:v>884.58</x:v>
      </x:c>
      <x:c r="C229" s="11" t="n">
        <x:v>58310144</x:v>
      </x:c>
      <x:c r="D229" s="11" t="n">
        <x:v>810</x:v>
      </x:c>
      <x:c r="E229" s="11" t="n">
        <x:v>950</x:v>
      </x:c>
      <x:c r="F229" s="11" t="n">
        <x:v>899.91</x:v>
      </x:c>
      <x:c r="G229" s="11" t="n">
        <x:v>790</x:v>
      </x:c>
      <x:c r="H229" s="11" t="n">
        <x:v>0</x:v>
      </x:c>
      <x:c r="I229" s="11" t="n">
        <x:v>0</x:v>
      </x:c>
      <x:c r="J229" s="11"/>
      <x:c r="K229" s="1" t="str">
        <x:v>GFGC6600OC</x:v>
      </x:c>
      <x:c r="L229" s="1" t="str">
        <x:v>=+D225</x:v>
      </x:c>
    </x:row>
    <x:row r="230" ht="21" customHeight="1">
      <x:c r="A230" s="5" t="n">
        <x:v>46268</x:v>
      </x:c>
      <x:c r="B230" s="11" t="n">
        <x:v>800.04</x:v>
      </x:c>
      <x:c r="C230" s="11" t="n">
        <x:v>61064284</x:v>
      </x:c>
      <x:c r="D230" s="11" t="n">
        <x:v>950</x:v>
      </x:c>
      <x:c r="E230" s="11" t="n">
        <x:v>782.67</x:v>
      </x:c>
      <x:c r="F230" s="11" t="n">
        <x:v>990</x:v>
      </x:c>
      <x:c r="G230" s="11" t="n">
        <x:v>775</x:v>
      </x:c>
      <x:c r="H230" s="11" t="n">
        <x:v>0</x:v>
      </x:c>
      <x:c r="I230" s="11" t="n">
        <x:v>0</x:v>
      </x:c>
      <x:c r="J230" s="11"/>
      <x:c r="K230" s="1" t="str">
        <x:v>GFGC6600OC</x:v>
      </x:c>
      <x:c r="L230" s="1" t="str">
        <x:v>=+D226</x:v>
      </x:c>
    </x:row>
    <x:row r="231" ht="21" customHeight="1">
      <x:c r="A231" s="5" t="n">
        <x:v>46269</x:v>
      </x:c>
      <x:c r="B231" s="11" t="n">
        <x:v>738.92</x:v>
      </x:c>
      <x:c r="C231" s="11" t="n">
        <x:v>34423560</x:v>
      </x:c>
      <x:c r="D231" s="11" t="n">
        <x:v>782.67</x:v>
      </x:c>
      <x:c r="E231" s="11" t="n">
        <x:v>715.86</x:v>
      </x:c>
      <x:c r="F231" s="11" t="n">
        <x:v>814</x:v>
      </x:c>
      <x:c r="G231" s="11" t="n">
        <x:v>710.1</x:v>
      </x:c>
      <x:c r="H231" s="11" t="n">
        <x:v>0</x:v>
      </x:c>
      <x:c r="I231" s="11" t="n">
        <x:v>0</x:v>
      </x:c>
      <x:c r="J231" s="11"/>
      <x:c r="K231" s="1" t="str">
        <x:v>GFGC6600OC</x:v>
      </x:c>
      <x:c r="L231" s="1" t="str">
        <x:v>=+D227</x:v>
      </x:c>
    </x:row>
    <x:row r="232" ht="21" customHeight="1">
      <x:c r="A232" s="5" t="n">
        <x:v>46272</x:v>
      </x:c>
      <x:c r="B232" s="11" t="n">
        <x:v>687.1</x:v>
      </x:c>
      <x:c r="C232" s="11" t="n">
        <x:v>26867160</x:v>
      </x:c>
      <x:c r="D232" s="11" t="n">
        <x:v>715.86</x:v>
      </x:c>
      <x:c r="E232" s="11" t="n">
        <x:v>750</x:v>
      </x:c>
      <x:c r="F232" s="11" t="n">
        <x:v>715.86</x:v>
      </x:c>
      <x:c r="G232" s="11" t="n">
        <x:v>680.11</x:v>
      </x:c>
      <x:c r="H232" s="11" t="n">
        <x:v>0</x:v>
      </x:c>
      <x:c r="I232" s="11" t="n">
        <x:v>0</x:v>
      </x:c>
      <x:c r="J232" s="11"/>
      <x:c r="K232" s="1" t="str">
        <x:v>GFGC6600OC</x:v>
      </x:c>
      <x:c r="L232" s="1" t="str">
        <x:v>=+D228</x:v>
      </x:c>
    </x:row>
    <x:row r="233" ht="21" customHeight="1">
      <x:c r="A233" s="5" t="n">
        <x:v>46273</x:v>
      </x:c>
      <x:c r="B233" s="11" t="n">
        <x:v>731.04</x:v>
      </x:c>
      <x:c r="C233" s="11" t="n">
        <x:v>70286280</x:v>
      </x:c>
      <x:c r="D233" s="11" t="n">
        <x:v>750</x:v>
      </x:c>
      <x:c r="E233" s="11" t="n">
        <x:v>650</x:v>
      </x:c>
      <x:c r="F233" s="11" t="n">
        <x:v>750</x:v>
      </x:c>
      <x:c r="G233" s="11" t="n">
        <x:v>650</x:v>
      </x:c>
      <x:c r="H233" s="11" t="n">
        <x:v>0</x:v>
      </x:c>
      <x:c r="I233" s="11" t="n">
        <x:v>0</x:v>
      </x:c>
      <x:c r="J233" s="11"/>
      <x:c r="K233" s="1" t="str">
        <x:v>GFGC6600OC</x:v>
      </x:c>
      <x:c r="L233" s="1" t="str">
        <x:v>=+D229</x:v>
      </x:c>
    </x:row>
    <x:row r="234" ht="21" customHeight="1">
      <x:c r="A234" s="5" t="n">
        <x:v>46274</x:v>
      </x:c>
      <x:c r="B234" s="11" t="n">
        <x:v>773.75</x:v>
      </x:c>
      <x:c r="C234" s="11" t="n">
        <x:v>67822120</x:v>
      </x:c>
      <x:c r="D234" s="11" t="n">
        <x:v>650</x:v>
      </x:c>
      <x:c r="E234" s="11" t="n">
        <x:v>749.73</x:v>
      </x:c>
      <x:c r="F234" s="11" t="n">
        <x:v>815</x:v>
      </x:c>
      <x:c r="G234" s="11" t="n">
        <x:v>639</x:v>
      </x:c>
      <x:c r="H234" s="11" t="n">
        <x:v>0</x:v>
      </x:c>
      <x:c r="I234" s="11" t="n">
        <x:v>0</x:v>
      </x:c>
      <x:c r="J234" s="11"/>
      <x:c r="K234" s="1" t="str">
        <x:v>GFGC6600OC</x:v>
      </x:c>
      <x:c r="L234" s="1" t="str">
        <x:v>=+D230</x:v>
      </x:c>
    </x:row>
    <x:row r="235" ht="21" customHeight="1">
      <x:c r="A235" s="5" t="n">
        <x:v>46275</x:v>
      </x:c>
      <x:c r="B235" s="11" t="n">
        <x:v>763.51</x:v>
      </x:c>
      <x:c r="C235" s="11" t="n">
        <x:v>74862256</x:v>
      </x:c>
      <x:c r="D235" s="11" t="n">
        <x:v>749.73</x:v>
      </x:c>
      <x:c r="E235" s="11" t="n">
        <x:v>753.43</x:v>
      </x:c>
      <x:c r="F235" s="11" t="n">
        <x:v>910</x:v>
      </x:c>
      <x:c r="G235" s="11" t="n">
        <x:v>725</x:v>
      </x:c>
      <x:c r="H235" s="11" t="n">
        <x:v>0</x:v>
      </x:c>
      <x:c r="I235" s="11" t="n">
        <x:v>0</x:v>
      </x:c>
      <x:c r="J235" s="11"/>
      <x:c r="K235" s="1" t="str">
        <x:v>GFGC6600OC</x:v>
      </x:c>
      <x:c r="L235" s="1" t="str">
        <x:v>=+D231</x:v>
      </x:c>
    </x:row>
    <x:row r="236" ht="21" customHeight="1">
      <x:c r="A236" s="5" t="n">
        <x:v>46276</x:v>
      </x:c>
      <x:c r="B236" s="11" t="n">
        <x:v>663.81</x:v>
      </x:c>
      <x:c r="C236" s="11" t="n">
        <x:v>89392912</x:v>
      </x:c>
      <x:c r="D236" s="11" t="n">
        <x:v>753.43</x:v>
      </x:c>
      <x:c r="E236" s="11" t="n">
        <x:v>665</x:v>
      </x:c>
      <x:c r="F236" s="11" t="n">
        <x:v>777.95</x:v>
      </x:c>
      <x:c r="G236" s="11" t="n">
        <x:v>598.07</x:v>
      </x:c>
      <x:c r="H236" s="11" t="n">
        <x:v>0</x:v>
      </x:c>
      <x:c r="I236" s="11" t="n">
        <x:v>0</x:v>
      </x:c>
      <x:c r="J236" s="11"/>
      <x:c r="K236" s="1" t="str">
        <x:v>GFGC6600OC</x:v>
      </x:c>
      <x:c r="L236" s="1" t="str">
        <x:v>=+D232</x:v>
      </x:c>
    </x:row>
    <x:row r="237" ht="21" customHeight="1">
      <x:c r="A237" s="5" t="n">
        <x:v>46279</x:v>
      </x:c>
      <x:c r="B237" s="11" t="n">
        <x:v>574.6</x:v>
      </x:c>
      <x:c r="C237" s="11" t="n">
        <x:v>79085528</x:v>
      </x:c>
      <x:c r="D237" s="11" t="n">
        <x:v>665</x:v>
      </x:c>
      <x:c r="E237" s="11" t="n">
        <x:v>520</x:v>
      </x:c>
      <x:c r="F237" s="11" t="n">
        <x:v>665</x:v>
      </x:c>
      <x:c r="G237" s="11" t="n">
        <x:v>540</x:v>
      </x:c>
      <x:c r="H237" s="11" t="n">
        <x:v>0</x:v>
      </x:c>
      <x:c r="I237" s="11" t="n">
        <x:v>0</x:v>
      </x:c>
      <x:c r="J237" s="11"/>
      <x:c r="K237" s="1" t="str">
        <x:v>GFGC6600OC</x:v>
      </x:c>
      <x:c r="L237" s="1" t="str">
        <x:v>=+D233</x:v>
      </x:c>
    </x:row>
    <x:row r="238" ht="21" customHeight="1">
      <x:c r="A238" s="5" t="n">
        <x:v>46280</x:v>
      </x:c>
      <x:c r="B238" s="11" t="n">
        <x:v>490</x:v>
      </x:c>
      <x:c r="C238" s="11" t="n">
        <x:v>51367756</x:v>
      </x:c>
      <x:c r="D238" s="11" t="n">
        <x:v>520</x:v>
      </x:c>
      <x:c r="E238" s="11" t="n">
        <x:v>435</x:v>
      </x:c>
      <x:c r="F238" s="11" t="n">
        <x:v>536.65</x:v>
      </x:c>
      <x:c r="G238" s="11" t="n">
        <x:v>450</x:v>
      </x:c>
      <x:c r="H238" s="11" t="n">
        <x:v>0</x:v>
      </x:c>
      <x:c r="I238" s="11" t="n">
        <x:v>0</x:v>
      </x:c>
      <x:c r="J238" s="11"/>
      <x:c r="K238" s="1" t="str">
        <x:v>GFGC6600OC</x:v>
      </x:c>
      <x:c r="L238" s="1" t="str">
        <x:v>=+D234</x:v>
      </x:c>
    </x:row>
    <x:row r="239" ht="21" customHeight="1">
      <x:c r="A239" s="5" t="n">
        <x:v>46281</x:v>
      </x:c>
      <x:c r="B239" s="11" t="n">
        <x:v>478.22</x:v>
      </x:c>
      <x:c r="C239" s="11" t="n">
        <x:v>55284376</x:v>
      </x:c>
      <x:c r="D239" s="11" t="n">
        <x:v>435</x:v>
      </x:c>
      <x:c r="E239" s="11" t="n">
        <x:v>510</x:v>
      </x:c>
      <x:c r="F239" s="11" t="n">
        <x:v>540</x:v>
      </x:c>
      <x:c r="G239" s="11" t="n">
        <x:v>435</x:v>
      </x:c>
      <x:c r="H239" s="11" t="n">
        <x:v>0</x:v>
      </x:c>
      <x:c r="I239" s="11" t="n">
        <x:v>0</x:v>
      </x:c>
      <x:c r="J239" s="11"/>
      <x:c r="K239" s="1" t="str">
        <x:v>GFGC6600OC</x:v>
      </x:c>
      <x:c r="L239" s="1" t="str">
        <x:v>=+D235</x:v>
      </x:c>
    </x:row>
    <x:row r="240" ht="21" customHeight="1">
      <x:c r="A240" s="5" t="n">
        <x:v>46255</x:v>
      </x:c>
      <x:c r="B240" s="11" t="n">
        <x:v>520</x:v>
      </x:c>
      <x:c r="C240" s="11" t="n">
        <x:v>103459176</x:v>
      </x:c>
      <x:c r="D240" s="11" t="n">
        <x:v>510</x:v>
      </x:c>
      <x:c r="E240" s="11" t="n">
        <x:v>550</x:v>
      </x:c>
      <x:c r="F240" s="11" t="n">
        <x:v>625</x:v>
      </x:c>
      <x:c r="G240" s="11" t="n">
        <x:v>485</x:v>
      </x:c>
      <x:c r="H240" s="11" t="n">
        <x:v>0</x:v>
      </x:c>
      <x:c r="I240" s="11" t="n">
        <x:v>0</x:v>
      </x:c>
      <x:c r="J240" s="11"/>
      <x:c r="K240" s="1" t="str">
        <x:v>GFGC6800OC</x:v>
      </x:c>
      <x:c r="L240" s="1" t="str">
        <x:v>=+D236</x:v>
      </x:c>
    </x:row>
    <x:row r="241" ht="21" customHeight="1">
      <x:c r="A241" s="5" t="n">
        <x:v>46258</x:v>
      </x:c>
      <x:c r="B241" s="11" t="n">
        <x:v>686.77</x:v>
      </x:c>
      <x:c r="C241" s="11" t="n">
        <x:v>612210304</x:v>
      </x:c>
      <x:c r="D241" s="11" t="n">
        <x:v>550</x:v>
      </x:c>
      <x:c r="E241" s="11" t="n">
        <x:v>650</x:v>
      </x:c>
      <x:c r="F241" s="11" t="n">
        <x:v>725</x:v>
      </x:c>
      <x:c r="G241" s="11" t="n">
        <x:v>482</x:v>
      </x:c>
      <x:c r="H241" s="11" t="n">
        <x:v>0</x:v>
      </x:c>
      <x:c r="I241" s="11" t="n">
        <x:v>0</x:v>
      </x:c>
      <x:c r="J241" s="11"/>
      <x:c r="K241" s="1" t="str">
        <x:v>GFGC6800OC</x:v>
      </x:c>
      <x:c r="L241" s="1" t="str">
        <x:v>=+D237</x:v>
      </x:c>
    </x:row>
    <x:row r="242" ht="21" customHeight="1">
      <x:c r="A242" s="5" t="n">
        <x:v>46259</x:v>
      </x:c>
      <x:c r="B242" s="11" t="n">
        <x:v>720.8</x:v>
      </x:c>
      <x:c r="C242" s="11" t="n">
        <x:v>187535632</x:v>
      </x:c>
      <x:c r="D242" s="11" t="n">
        <x:v>650</x:v>
      </x:c>
      <x:c r="E242" s="11" t="n">
        <x:v>750.01</x:v>
      </x:c>
      <x:c r="F242" s="11" t="n">
        <x:v>749</x:v>
      </x:c>
      <x:c r="G242" s="11" t="n">
        <x:v>628</x:v>
      </x:c>
      <x:c r="H242" s="11" t="n">
        <x:v>0</x:v>
      </x:c>
      <x:c r="I242" s="11" t="n">
        <x:v>0</x:v>
      </x:c>
      <x:c r="J242" s="11"/>
      <x:c r="K242" s="1" t="str">
        <x:v>GFGC6800OC</x:v>
      </x:c>
      <x:c r="L242" s="1" t="str">
        <x:v>=+D238</x:v>
      </x:c>
    </x:row>
    <x:row r="243" ht="21" customHeight="1">
      <x:c r="A243" s="5" t="n">
        <x:v>46260</x:v>
      </x:c>
      <x:c r="B243" s="11" t="n">
        <x:v>690.84</x:v>
      </x:c>
      <x:c r="C243" s="11" t="n">
        <x:v>155714400</x:v>
      </x:c>
      <x:c r="D243" s="11" t="n">
        <x:v>750.01</x:v>
      </x:c>
      <x:c r="E243" s="11" t="n">
        <x:v>691.24</x:v>
      </x:c>
      <x:c r="F243" s="11" t="n">
        <x:v>815</x:v>
      </x:c>
      <x:c r="G243" s="11" t="n">
        <x:v>670.01</x:v>
      </x:c>
      <x:c r="H243" s="11" t="n">
        <x:v>0</x:v>
      </x:c>
      <x:c r="I243" s="11" t="n">
        <x:v>0</x:v>
      </x:c>
      <x:c r="J243" s="11"/>
      <x:c r="K243" s="1" t="str">
        <x:v>GFGC6800OC</x:v>
      </x:c>
      <x:c r="L243" s="1" t="str">
        <x:v>=+D239</x:v>
      </x:c>
    </x:row>
    <x:row r="244" ht="21" customHeight="1">
      <x:c r="A244" s="5" t="n">
        <x:v>46261</x:v>
      </x:c>
      <x:c r="B244" s="11" t="n">
        <x:v>587.6</x:v>
      </x:c>
      <x:c r="C244" s="11" t="n">
        <x:v>169466192</x:v>
      </x:c>
      <x:c r="D244" s="11" t="n">
        <x:v>691.24</x:v>
      </x:c>
      <x:c r="E244" s="11" t="n">
        <x:v>600.01</x:v>
      </x:c>
      <x:c r="F244" s="11" t="n">
        <x:v>691.24</x:v>
      </x:c>
      <x:c r="G244" s="11" t="n">
        <x:v>585</x:v>
      </x:c>
      <x:c r="H244" s="11" t="n">
        <x:v>0</x:v>
      </x:c>
      <x:c r="I244" s="11" t="n">
        <x:v>0</x:v>
      </x:c>
      <x:c r="J244" s="11"/>
      <x:c r="K244" s="1" t="str">
        <x:v>GFGC6800OC</x:v>
      </x:c>
      <x:c r="L244" s="1" t="str">
        <x:v>=+D240</x:v>
      </x:c>
    </x:row>
    <x:row r="245" ht="21" customHeight="1">
      <x:c r="A245" s="5" t="n">
        <x:v>46262</x:v>
      </x:c>
      <x:c r="B245" s="11" t="n">
        <x:v>532.71</x:v>
      </x:c>
      <x:c r="C245" s="11" t="n">
        <x:v>147764528</x:v>
      </x:c>
      <x:c r="D245" s="11" t="n">
        <x:v>600.01</x:v>
      </x:c>
      <x:c r="E245" s="11" t="n">
        <x:v>534</x:v>
      </x:c>
      <x:c r="F245" s="11" t="n">
        <x:v>600.01</x:v>
      </x:c>
      <x:c r="G245" s="11" t="n">
        <x:v>470</x:v>
      </x:c>
      <x:c r="H245" s="11" t="n">
        <x:v>0</x:v>
      </x:c>
      <x:c r="I245" s="11" t="n">
        <x:v>0</x:v>
      </x:c>
      <x:c r="J245" s="11"/>
      <x:c r="K245" s="1" t="str">
        <x:v>GFGC6800OC</x:v>
      </x:c>
      <x:c r="L245" s="1" t="str">
        <x:v>=+D241</x:v>
      </x:c>
    </x:row>
    <x:row r="246" ht="21" customHeight="1">
      <x:c r="A246" s="5" t="n">
        <x:v>46265</x:v>
      </x:c>
      <x:c r="B246" s="11" t="n">
        <x:v>661.02</x:v>
      </x:c>
      <x:c r="C246" s="11" t="n">
        <x:v>177637984</x:v>
      </x:c>
      <x:c r="D246" s="11" t="n">
        <x:v>534</x:v>
      </x:c>
      <x:c r="E246" s="11" t="n">
        <x:v>652</x:v>
      </x:c>
      <x:c r="F246" s="11" t="n">
        <x:v>720</x:v>
      </x:c>
      <x:c r="G246" s="11" t="n">
        <x:v>534</x:v>
      </x:c>
      <x:c r="H246" s="11" t="n">
        <x:v>0</x:v>
      </x:c>
      <x:c r="I246" s="11" t="n">
        <x:v>0</x:v>
      </x:c>
      <x:c r="J246" s="11"/>
      <x:c r="K246" s="1" t="str">
        <x:v>GFGC6800OC</x:v>
      </x:c>
      <x:c r="L246" s="1" t="str">
        <x:v>=+D242</x:v>
      </x:c>
    </x:row>
    <x:row r="247" ht="21" customHeight="1">
      <x:c r="A247" s="5" t="n">
        <x:v>46266</x:v>
      </x:c>
      <x:c r="B247" s="11" t="n">
        <x:v>688.81</x:v>
      </x:c>
      <x:c r="C247" s="11" t="n">
        <x:v>310467520</x:v>
      </x:c>
      <x:c r="D247" s="11" t="n">
        <x:v>652</x:v>
      </x:c>
      <x:c r="E247" s="11" t="n">
        <x:v>690</x:v>
      </x:c>
      <x:c r="F247" s="11" t="n">
        <x:v>760</x:v>
      </x:c>
      <x:c r="G247" s="11" t="n">
        <x:v>630</x:v>
      </x:c>
      <x:c r="H247" s="11" t="n">
        <x:v>0</x:v>
      </x:c>
      <x:c r="I247" s="11" t="n">
        <x:v>0</x:v>
      </x:c>
      <x:c r="J247" s="11"/>
      <x:c r="K247" s="1" t="str">
        <x:v>GFGC6800OC</x:v>
      </x:c>
      <x:c r="L247" s="1" t="str">
        <x:v>=+D243</x:v>
      </x:c>
    </x:row>
    <x:row r="248" ht="21" customHeight="1">
      <x:c r="A248" s="5" t="n">
        <x:v>46267</x:v>
      </x:c>
      <x:c r="B248" s="11" t="n">
        <x:v>745.47</x:v>
      </x:c>
      <x:c r="C248" s="11" t="n">
        <x:v>94739640</x:v>
      </x:c>
      <x:c r="D248" s="11" t="n">
        <x:v>690</x:v>
      </x:c>
      <x:c r="E248" s="11" t="n">
        <x:v>796</x:v>
      </x:c>
      <x:c r="F248" s="11" t="n">
        <x:v>750</x:v>
      </x:c>
      <x:c r="G248" s="11" t="n">
        <x:v>660.01</x:v>
      </x:c>
      <x:c r="H248" s="11" t="n">
        <x:v>0</x:v>
      </x:c>
      <x:c r="I248" s="11" t="n">
        <x:v>0</x:v>
      </x:c>
      <x:c r="J248" s="11"/>
      <x:c r="K248" s="1" t="str">
        <x:v>GFGC6800OC</x:v>
      </x:c>
      <x:c r="L248" s="1" t="str">
        <x:v>=+D244</x:v>
      </x:c>
    </x:row>
    <x:row r="249" ht="21" customHeight="1">
      <x:c r="A249" s="5" t="n">
        <x:v>46268</x:v>
      </x:c>
      <x:c r="B249" s="11" t="n">
        <x:v>665.11</x:v>
      </x:c>
      <x:c r="C249" s="11" t="n">
        <x:v>96836888</x:v>
      </x:c>
      <x:c r="D249" s="11" t="n">
        <x:v>796</x:v>
      </x:c>
      <x:c r="E249" s="11" t="n">
        <x:v>630</x:v>
      </x:c>
      <x:c r="F249" s="11" t="n">
        <x:v>820</x:v>
      </x:c>
      <x:c r="G249" s="11" t="n">
        <x:v>640</x:v>
      </x:c>
      <x:c r="H249" s="11" t="n">
        <x:v>0</x:v>
      </x:c>
      <x:c r="I249" s="11" t="n">
        <x:v>0</x:v>
      </x:c>
      <x:c r="J249" s="11"/>
      <x:c r="K249" s="1" t="str">
        <x:v>GFGC6800OC</x:v>
      </x:c>
      <x:c r="L249" s="1" t="str">
        <x:v>=+D245</x:v>
      </x:c>
    </x:row>
    <x:row r="250" ht="21" customHeight="1">
      <x:c r="A250" s="5" t="n">
        <x:v>46269</x:v>
      </x:c>
      <x:c r="B250" s="11" t="n">
        <x:v>616.63</x:v>
      </x:c>
      <x:c r="C250" s="11" t="n">
        <x:v>101920112</x:v>
      </x:c>
      <x:c r="D250" s="11" t="n">
        <x:v>630</x:v>
      </x:c>
      <x:c r="E250" s="11" t="n">
        <x:v>600</x:v>
      </x:c>
      <x:c r="F250" s="11" t="n">
        <x:v>669.98</x:v>
      </x:c>
      <x:c r="G250" s="11" t="n">
        <x:v>557.3</x:v>
      </x:c>
      <x:c r="H250" s="11" t="n">
        <x:v>0</x:v>
      </x:c>
      <x:c r="I250" s="11" t="n">
        <x:v>0</x:v>
      </x:c>
      <x:c r="J250" s="11"/>
      <x:c r="K250" s="1" t="str">
        <x:v>GFGC6800OC</x:v>
      </x:c>
      <x:c r="L250" s="1" t="str">
        <x:v>=+D246</x:v>
      </x:c>
    </x:row>
    <x:row r="251" ht="21" customHeight="1">
      <x:c r="A251" s="5" t="n">
        <x:v>46272</x:v>
      </x:c>
      <x:c r="B251" s="11" t="n">
        <x:v>567</x:v>
      </x:c>
      <x:c r="C251" s="11" t="n">
        <x:v>17502592</x:v>
      </x:c>
      <x:c r="D251" s="11" t="n">
        <x:v>600</x:v>
      </x:c>
      <x:c r="E251" s="11" t="n">
        <x:v>599.99</x:v>
      </x:c>
      <x:c r="F251" s="11" t="n">
        <x:v>600</x:v>
      </x:c>
      <x:c r="G251" s="11" t="n">
        <x:v>565</x:v>
      </x:c>
      <x:c r="H251" s="11" t="n">
        <x:v>0</x:v>
      </x:c>
      <x:c r="I251" s="11" t="n">
        <x:v>0</x:v>
      </x:c>
      <x:c r="J251" s="11"/>
      <x:c r="K251" s="1" t="str">
        <x:v>GFGC6800OC</x:v>
      </x:c>
      <x:c r="L251" s="1" t="str">
        <x:v>=+D247</x:v>
      </x:c>
    </x:row>
    <x:row r="252" ht="21" customHeight="1">
      <x:c r="A252" s="5" t="n">
        <x:v>46273</x:v>
      </x:c>
      <x:c r="B252" s="11" t="n">
        <x:v>595.26</x:v>
      </x:c>
      <x:c r="C252" s="11" t="n">
        <x:v>118256008</x:v>
      </x:c>
      <x:c r="D252" s="11" t="n">
        <x:v>599.99</x:v>
      </x:c>
      <x:c r="E252" s="11" t="n">
        <x:v>540</x:v>
      </x:c>
      <x:c r="F252" s="11" t="n">
        <x:v>624</x:v>
      </x:c>
      <x:c r="G252" s="11" t="n">
        <x:v>520</x:v>
      </x:c>
      <x:c r="H252" s="11" t="n">
        <x:v>0</x:v>
      </x:c>
      <x:c r="I252" s="11" t="n">
        <x:v>0</x:v>
      </x:c>
      <x:c r="J252" s="11"/>
      <x:c r="K252" s="1" t="str">
        <x:v>GFGC6800OC</x:v>
      </x:c>
      <x:c r="L252" s="1" t="str">
        <x:v>=+D248</x:v>
      </x:c>
    </x:row>
    <x:row r="253" ht="21" customHeight="1">
      <x:c r="A253" s="5" t="n">
        <x:v>46274</x:v>
      </x:c>
      <x:c r="B253" s="11" t="n">
        <x:v>630.86</x:v>
      </x:c>
      <x:c r="C253" s="11" t="n">
        <x:v>103997440</x:v>
      </x:c>
      <x:c r="D253" s="11" t="n">
        <x:v>540</x:v>
      </x:c>
      <x:c r="E253" s="11" t="n">
        <x:v>593.36</x:v>
      </x:c>
      <x:c r="F253" s="11" t="n">
        <x:v>685</x:v>
      </x:c>
      <x:c r="G253" s="11" t="n">
        <x:v>520</x:v>
      </x:c>
      <x:c r="H253" s="11" t="n">
        <x:v>0</x:v>
      </x:c>
      <x:c r="I253" s="11" t="n">
        <x:v>0</x:v>
      </x:c>
      <x:c r="J253" s="11"/>
      <x:c r="K253" s="1" t="str">
        <x:v>GFGC6800OC</x:v>
      </x:c>
      <x:c r="L253" s="1" t="str">
        <x:v>=+D249</x:v>
      </x:c>
    </x:row>
    <x:row r="254" ht="21" customHeight="1">
      <x:c r="A254" s="5" t="n">
        <x:v>46275</x:v>
      </x:c>
      <x:c r="B254" s="11" t="n">
        <x:v>648.79</x:v>
      </x:c>
      <x:c r="C254" s="11" t="n">
        <x:v>107303256</x:v>
      </x:c>
      <x:c r="D254" s="11" t="n">
        <x:v>593.36</x:v>
      </x:c>
      <x:c r="E254" s="11" t="n">
        <x:v>609.57</x:v>
      </x:c>
      <x:c r="F254" s="11" t="n">
        <x:v>760</x:v>
      </x:c>
      <x:c r="G254" s="11" t="n">
        <x:v>593.36</x:v>
      </x:c>
      <x:c r="H254" s="11" t="n">
        <x:v>0</x:v>
      </x:c>
      <x:c r="I254" s="11" t="n">
        <x:v>0</x:v>
      </x:c>
      <x:c r="J254" s="11"/>
      <x:c r="K254" s="1" t="str">
        <x:v>GFGC6800OC</x:v>
      </x:c>
      <x:c r="L254" s="1" t="str">
        <x:v>=+D250</x:v>
      </x:c>
    </x:row>
    <x:row r="255" ht="21" customHeight="1">
      <x:c r="A255" s="5" t="n">
        <x:v>46276</x:v>
      </x:c>
      <x:c r="B255" s="11" t="n">
        <x:v>544.29</x:v>
      </x:c>
      <x:c r="C255" s="11" t="n">
        <x:v>119737312</x:v>
      </x:c>
      <x:c r="D255" s="11" t="n">
        <x:v>609.57</x:v>
      </x:c>
      <x:c r="E255" s="11" t="n">
        <x:v>508.89</x:v>
      </x:c>
      <x:c r="F255" s="11" t="n">
        <x:v>641</x:v>
      </x:c>
      <x:c r="G255" s="11" t="n">
        <x:v>505</x:v>
      </x:c>
      <x:c r="H255" s="11" t="n">
        <x:v>0</x:v>
      </x:c>
      <x:c r="I255" s="11" t="n">
        <x:v>0</x:v>
      </x:c>
      <x:c r="J255" s="11"/>
      <x:c r="K255" s="1" t="str">
        <x:v>GFGC6800OC</x:v>
      </x:c>
      <x:c r="L255" s="1" t="str">
        <x:v>=+D251</x:v>
      </x:c>
    </x:row>
    <x:row r="256" ht="21" customHeight="1">
      <x:c r="A256" s="5" t="n">
        <x:v>46279</x:v>
      </x:c>
      <x:c r="B256" s="11" t="n">
        <x:v>449.91</x:v>
      </x:c>
      <x:c r="C256" s="11" t="n">
        <x:v>135067376</x:v>
      </x:c>
      <x:c r="D256" s="11" t="n">
        <x:v>508.89</x:v>
      </x:c>
      <x:c r="E256" s="11" t="n">
        <x:v>393.71</x:v>
      </x:c>
      <x:c r="F256" s="11" t="n">
        <x:v>533</x:v>
      </x:c>
      <x:c r="G256" s="11" t="n">
        <x:v>430</x:v>
      </x:c>
      <x:c r="H256" s="11" t="n">
        <x:v>0</x:v>
      </x:c>
      <x:c r="I256" s="11" t="n">
        <x:v>0</x:v>
      </x:c>
      <x:c r="J256" s="11"/>
      <x:c r="K256" s="1" t="str">
        <x:v>GFGC6800OC</x:v>
      </x:c>
      <x:c r="L256" s="1" t="str">
        <x:v>=+D252</x:v>
      </x:c>
    </x:row>
    <x:row r="257" ht="21" customHeight="1">
      <x:c r="A257" s="5" t="n">
        <x:v>46280</x:v>
      </x:c>
      <x:c r="B257" s="11" t="n">
        <x:v>380.09</x:v>
      </x:c>
      <x:c r="C257" s="11" t="n">
        <x:v>189504416</x:v>
      </x:c>
      <x:c r="D257" s="11" t="n">
        <x:v>393.71</x:v>
      </x:c>
      <x:c r="E257" s="11" t="n">
        <x:v>360.01</x:v>
      </x:c>
      <x:c r="F257" s="11" t="n">
        <x:v>419.9</x:v>
      </x:c>
      <x:c r="G257" s="11" t="n">
        <x:v>350</x:v>
      </x:c>
      <x:c r="H257" s="11" t="n">
        <x:v>0</x:v>
      </x:c>
      <x:c r="I257" s="11" t="n">
        <x:v>0</x:v>
      </x:c>
      <x:c r="J257" s="11"/>
      <x:c r="K257" s="1" t="str">
        <x:v>GFGC6800OC</x:v>
      </x:c>
      <x:c r="L257" s="1" t="str">
        <x:v>=+D253</x:v>
      </x:c>
    </x:row>
    <x:row r="258" ht="21" customHeight="1">
      <x:c r="A258" s="5" t="n">
        <x:v>46281</x:v>
      </x:c>
      <x:c r="B258" s="11" t="n">
        <x:v>376.43</x:v>
      </x:c>
      <x:c r="C258" s="11" t="n">
        <x:v>100339456</x:v>
      </x:c>
      <x:c r="D258" s="11" t="n">
        <x:v>360.01</x:v>
      </x:c>
      <x:c r="E258" s="11" t="n">
        <x:v>430</x:v>
      </x:c>
      <x:c r="F258" s="11" t="n">
        <x:v>429.88</x:v>
      </x:c>
      <x:c r="G258" s="11" t="n">
        <x:v>330</x:v>
      </x:c>
      <x:c r="H258" s="11" t="n">
        <x:v>0</x:v>
      </x:c>
      <x:c r="I258" s="11" t="n">
        <x:v>0</x:v>
      </x:c>
      <x:c r="J258" s="11"/>
      <x:c r="K258" s="1" t="str">
        <x:v>GFGC6800OC</x:v>
      </x:c>
      <x:c r="L258" s="1" t="str">
        <x:v>=+D254</x:v>
      </x:c>
    </x:row>
    <x:row r="259" ht="21" customHeight="1">
      <x:c r="A259" s="5" t="n">
        <x:v>46255</x:v>
      </x:c>
      <x:c r="B259" s="11" t="n">
        <x:v>419.73</x:v>
      </x:c>
      <x:c r="C259" s="11" t="n">
        <x:v>255199440</x:v>
      </x:c>
      <x:c r="D259" s="11" t="n">
        <x:v>430</x:v>
      </x:c>
      <x:c r="E259" s="11" t="n">
        <x:v>419</x:v>
      </x:c>
      <x:c r="F259" s="11" t="n">
        <x:v>510</x:v>
      </x:c>
      <x:c r="G259" s="11" t="n">
        <x:v>406</x:v>
      </x:c>
      <x:c r="H259" s="11" t="n">
        <x:v>0</x:v>
      </x:c>
      <x:c r="I259" s="11" t="n">
        <x:v>0</x:v>
      </x:c>
      <x:c r="J259" s="11"/>
      <x:c r="K259" s="1" t="str">
        <x:v>GFGC7000OC</x:v>
      </x:c>
      <x:c r="L259" s="1" t="str">
        <x:v>=+D255</x:v>
      </x:c>
    </x:row>
    <x:row r="260" ht="21" customHeight="1">
      <x:c r="A260" s="5" t="n">
        <x:v>46258</x:v>
      </x:c>
      <x:c r="B260" s="11" t="n">
        <x:v>579.21</x:v>
      </x:c>
      <x:c r="C260" s="11" t="n">
        <x:v>904627648</x:v>
      </x:c>
      <x:c r="D260" s="11" t="n">
        <x:v>419</x:v>
      </x:c>
      <x:c r="E260" s="11" t="n">
        <x:v>560</x:v>
      </x:c>
      <x:c r="F260" s="11" t="n">
        <x:v>618</x:v>
      </x:c>
      <x:c r="G260" s="11" t="n">
        <x:v>385</x:v>
      </x:c>
      <x:c r="H260" s="11" t="n">
        <x:v>0</x:v>
      </x:c>
      <x:c r="I260" s="11" t="n">
        <x:v>0</x:v>
      </x:c>
      <x:c r="J260" s="11"/>
      <x:c r="K260" s="1" t="str">
        <x:v>GFGC7000OC</x:v>
      </x:c>
      <x:c r="L260" s="1" t="str">
        <x:v>=+D256</x:v>
      </x:c>
    </x:row>
    <x:row r="261" ht="21" customHeight="1">
      <x:c r="A261" s="5" t="n">
        <x:v>46259</x:v>
      </x:c>
      <x:c r="B261" s="11" t="n">
        <x:v>604.66</x:v>
      </x:c>
      <x:c r="C261" s="11" t="n">
        <x:v>487959488</x:v>
      </x:c>
      <x:c r="D261" s="11" t="n">
        <x:v>560</x:v>
      </x:c>
      <x:c r="E261" s="11" t="n">
        <x:v>650</x:v>
      </x:c>
      <x:c r="F261" s="11" t="n">
        <x:v>615</x:v>
      </x:c>
      <x:c r="G261" s="11" t="n">
        <x:v>520</x:v>
      </x:c>
      <x:c r="H261" s="11" t="n">
        <x:v>0</x:v>
      </x:c>
      <x:c r="I261" s="11" t="n">
        <x:v>0</x:v>
      </x:c>
      <x:c r="J261" s="11"/>
      <x:c r="K261" s="1" t="str">
        <x:v>GFGC7000OC</x:v>
      </x:c>
      <x:c r="L261" s="1" t="str">
        <x:v>=+D257</x:v>
      </x:c>
    </x:row>
    <x:row r="262" ht="21" customHeight="1">
      <x:c r="A262" s="5" t="n">
        <x:v>46260</x:v>
      </x:c>
      <x:c r="B262" s="11" t="n">
        <x:v>565.7</x:v>
      </x:c>
      <x:c r="C262" s="11" t="n">
        <x:v>228865776</x:v>
      </x:c>
      <x:c r="D262" s="11" t="n">
        <x:v>650</x:v>
      </x:c>
      <x:c r="E262" s="11" t="n">
        <x:v>612</x:v>
      </x:c>
      <x:c r="F262" s="11" t="n">
        <x:v>800</x:v>
      </x:c>
      <x:c r="G262" s="11" t="n">
        <x:v>555</x:v>
      </x:c>
      <x:c r="H262" s="11" t="n">
        <x:v>0</x:v>
      </x:c>
      <x:c r="I262" s="11" t="n">
        <x:v>0</x:v>
      </x:c>
      <x:c r="J262" s="11"/>
      <x:c r="K262" s="1" t="str">
        <x:v>GFGC7000OC</x:v>
      </x:c>
      <x:c r="L262" s="1" t="str">
        <x:v>=+D258</x:v>
      </x:c>
    </x:row>
    <x:row r="263" ht="21" customHeight="1">
      <x:c r="A263" s="5" t="n">
        <x:v>46261</x:v>
      </x:c>
      <x:c r="B263" s="11" t="n">
        <x:v>484.8</x:v>
      </x:c>
      <x:c r="C263" s="11" t="n">
        <x:v>409799456</x:v>
      </x:c>
      <x:c r="D263" s="11" t="n">
        <x:v>612</x:v>
      </x:c>
      <x:c r="E263" s="11" t="n">
        <x:v>485</x:v>
      </x:c>
      <x:c r="F263" s="11" t="n">
        <x:v>617.99</x:v>
      </x:c>
      <x:c r="G263" s="11" t="n">
        <x:v>481.7</x:v>
      </x:c>
      <x:c r="H263" s="11" t="n">
        <x:v>0</x:v>
      </x:c>
      <x:c r="I263" s="11" t="n">
        <x:v>0</x:v>
      </x:c>
      <x:c r="J263" s="11"/>
      <x:c r="K263" s="1" t="str">
        <x:v>GFGC7000OC</x:v>
      </x:c>
      <x:c r="L263" s="1" t="str">
        <x:v>=+D259</x:v>
      </x:c>
    </x:row>
    <x:row r="264" ht="21" customHeight="1">
      <x:c r="A264" s="5" t="n">
        <x:v>46262</x:v>
      </x:c>
      <x:c r="B264" s="11" t="n">
        <x:v>438.78</x:v>
      </x:c>
      <x:c r="C264" s="11" t="n">
        <x:v>207209360</x:v>
      </x:c>
      <x:c r="D264" s="11" t="n">
        <x:v>485</x:v>
      </x:c>
      <x:c r="E264" s="11" t="n">
        <x:v>450</x:v>
      </x:c>
      <x:c r="F264" s="11" t="n">
        <x:v>485</x:v>
      </x:c>
      <x:c r="G264" s="11" t="n">
        <x:v>380</x:v>
      </x:c>
      <x:c r="H264" s="11" t="n">
        <x:v>0</x:v>
      </x:c>
      <x:c r="I264" s="11" t="n">
        <x:v>0</x:v>
      </x:c>
      <x:c r="J264" s="11"/>
      <x:c r="K264" s="1" t="str">
        <x:v>GFGC7000OC</x:v>
      </x:c>
      <x:c r="L264" s="1" t="str">
        <x:v>=+D260</x:v>
      </x:c>
    </x:row>
    <x:row r="265" ht="21" customHeight="1">
      <x:c r="A265" s="5" t="n">
        <x:v>46265</x:v>
      </x:c>
      <x:c r="B265" s="11" t="n">
        <x:v>552.7</x:v>
      </x:c>
      <x:c r="C265" s="11" t="n">
        <x:v>264683120</x:v>
      </x:c>
      <x:c r="D265" s="11" t="n">
        <x:v>450</x:v>
      </x:c>
      <x:c r="E265" s="11" t="n">
        <x:v>510</x:v>
      </x:c>
      <x:c r="F265" s="11" t="n">
        <x:v>609.99</x:v>
      </x:c>
      <x:c r="G265" s="11" t="n">
        <x:v>440</x:v>
      </x:c>
      <x:c r="H265" s="11" t="n">
        <x:v>0</x:v>
      </x:c>
      <x:c r="I265" s="11" t="n">
        <x:v>0</x:v>
      </x:c>
      <x:c r="J265" s="11"/>
      <x:c r="K265" s="1" t="str">
        <x:v>GFGC7000OC</x:v>
      </x:c>
      <x:c r="L265" s="1" t="str">
        <x:v>=+D261</x:v>
      </x:c>
    </x:row>
    <x:row r="266" ht="21" customHeight="1">
      <x:c r="A266" s="5" t="n">
        <x:v>46266</x:v>
      </x:c>
      <x:c r="B266" s="11" t="n">
        <x:v>562.73</x:v>
      </x:c>
      <x:c r="C266" s="11" t="n">
        <x:v>401417760</x:v>
      </x:c>
      <x:c r="D266" s="11" t="n">
        <x:v>510</x:v>
      </x:c>
      <x:c r="E266" s="11" t="n">
        <x:v>573.97</x:v>
      </x:c>
      <x:c r="F266" s="11" t="n">
        <x:v>645</x:v>
      </x:c>
      <x:c r="G266" s="11" t="n">
        <x:v>508.33</x:v>
      </x:c>
      <x:c r="H266" s="11" t="n">
        <x:v>0</x:v>
      </x:c>
      <x:c r="I266" s="11" t="n">
        <x:v>0</x:v>
      </x:c>
      <x:c r="J266" s="11"/>
      <x:c r="K266" s="1" t="str">
        <x:v>GFGC7000OC</x:v>
      </x:c>
      <x:c r="L266" s="1" t="str">
        <x:v>=+D262</x:v>
      </x:c>
    </x:row>
    <x:row r="267" ht="21" customHeight="1">
      <x:c r="A267" s="5" t="n">
        <x:v>46267</x:v>
      </x:c>
      <x:c r="B267" s="11" t="n">
        <x:v>617.88</x:v>
      </x:c>
      <x:c r="C267" s="11" t="n">
        <x:v>216383168</x:v>
      </x:c>
      <x:c r="D267" s="11" t="n">
        <x:v>573.97</x:v>
      </x:c>
      <x:c r="E267" s="11" t="n">
        <x:v>650</x:v>
      </x:c>
      <x:c r="F267" s="11" t="n">
        <x:v>626.06</x:v>
      </x:c>
      <x:c r="G267" s="11" t="n">
        <x:v>543</x:v>
      </x:c>
      <x:c r="H267" s="11" t="n">
        <x:v>0</x:v>
      </x:c>
      <x:c r="I267" s="11" t="n">
        <x:v>0</x:v>
      </x:c>
      <x:c r="J267" s="11"/>
      <x:c r="K267" s="1" t="str">
        <x:v>GFGC7000OC</x:v>
      </x:c>
      <x:c r="L267" s="1" t="str">
        <x:v>=+D263</x:v>
      </x:c>
    </x:row>
    <x:row r="268" ht="21" customHeight="1">
      <x:c r="A268" s="5" t="n">
        <x:v>46268</x:v>
      </x:c>
      <x:c r="B268" s="11" t="n">
        <x:v>547.83</x:v>
      </x:c>
      <x:c r="C268" s="11" t="n">
        <x:v>272889632</x:v>
      </x:c>
      <x:c r="D268" s="11" t="n">
        <x:v>650</x:v>
      </x:c>
      <x:c r="E268" s="11" t="n">
        <x:v>505.12</x:v>
      </x:c>
      <x:c r="F268" s="11" t="n">
        <x:v>720</x:v>
      </x:c>
      <x:c r="G268" s="11" t="n">
        <x:v>528</x:v>
      </x:c>
      <x:c r="H268" s="11" t="n">
        <x:v>0</x:v>
      </x:c>
      <x:c r="I268" s="11" t="n">
        <x:v>0</x:v>
      </x:c>
      <x:c r="J268" s="11"/>
      <x:c r="K268" s="1" t="str">
        <x:v>GFGC7000OC</x:v>
      </x:c>
      <x:c r="L268" s="1" t="str">
        <x:v>=+D264</x:v>
      </x:c>
    </x:row>
    <x:row r="269" ht="21" customHeight="1">
      <x:c r="A269" s="5" t="n">
        <x:v>46269</x:v>
      </x:c>
      <x:c r="B269" s="11" t="n">
        <x:v>501.55</x:v>
      </x:c>
      <x:c r="C269" s="11" t="n">
        <x:v>257316112</x:v>
      </x:c>
      <x:c r="D269" s="11" t="n">
        <x:v>505.12</x:v>
      </x:c>
      <x:c r="E269" s="11" t="n">
        <x:v>490</x:v>
      </x:c>
      <x:c r="F269" s="11" t="n">
        <x:v>547.89</x:v>
      </x:c>
      <x:c r="G269" s="11" t="n">
        <x:v>475</x:v>
      </x:c>
      <x:c r="H269" s="11" t="n">
        <x:v>0</x:v>
      </x:c>
      <x:c r="I269" s="11" t="n">
        <x:v>0</x:v>
      </x:c>
      <x:c r="J269" s="11"/>
      <x:c r="K269" s="1" t="str">
        <x:v>GFGC7000OC</x:v>
      </x:c>
      <x:c r="L269" s="1" t="str">
        <x:v>=+D265</x:v>
      </x:c>
    </x:row>
    <x:row r="270" ht="21" customHeight="1">
      <x:c r="A270" s="5" t="n">
        <x:v>46272</x:v>
      </x:c>
      <x:c r="B270" s="11" t="n">
        <x:v>460.71</x:v>
      </x:c>
      <x:c r="C270" s="11" t="n">
        <x:v>73510856</x:v>
      </x:c>
      <x:c r="D270" s="11" t="n">
        <x:v>490</x:v>
      </x:c>
      <x:c r="E270" s="11" t="n">
        <x:v>500</x:v>
      </x:c>
      <x:c r="F270" s="11" t="n">
        <x:v>490</x:v>
      </x:c>
      <x:c r="G270" s="11" t="n">
        <x:v>458</x:v>
      </x:c>
      <x:c r="H270" s="11" t="n">
        <x:v>0</x:v>
      </x:c>
      <x:c r="I270" s="11" t="n">
        <x:v>0</x:v>
      </x:c>
      <x:c r="J270" s="11"/>
      <x:c r="K270" s="1" t="str">
        <x:v>GFGC7000OC</x:v>
      </x:c>
      <x:c r="L270" s="1" t="str">
        <x:v>=+D266</x:v>
      </x:c>
    </x:row>
    <x:row r="271" ht="21" customHeight="1">
      <x:c r="A271" s="5" t="n">
        <x:v>46273</x:v>
      </x:c>
      <x:c r="B271" s="11" t="n">
        <x:v>485.45</x:v>
      </x:c>
      <x:c r="C271" s="11" t="n">
        <x:v>448907360</x:v>
      </x:c>
      <x:c r="D271" s="11" t="n">
        <x:v>500</x:v>
      </x:c>
      <x:c r="E271" s="11" t="n">
        <x:v>470</x:v>
      </x:c>
      <x:c r="F271" s="11" t="n">
        <x:v>535</x:v>
      </x:c>
      <x:c r="G271" s="11" t="n">
        <x:v>390</x:v>
      </x:c>
      <x:c r="H271" s="11" t="n">
        <x:v>0</x:v>
      </x:c>
      <x:c r="I271" s="11" t="n">
        <x:v>0</x:v>
      </x:c>
      <x:c r="J271" s="11"/>
      <x:c r="K271" s="1" t="str">
        <x:v>GFGC7000OC</x:v>
      </x:c>
      <x:c r="L271" s="1" t="str">
        <x:v>=+D267</x:v>
      </x:c>
    </x:row>
    <x:row r="272" ht="21" customHeight="1">
      <x:c r="A272" s="5" t="n">
        <x:v>46274</x:v>
      </x:c>
      <x:c r="B272" s="11" t="n">
        <x:v>521.43</x:v>
      </x:c>
      <x:c r="C272" s="11" t="n">
        <x:v>399605344</x:v>
      </x:c>
      <x:c r="D272" s="11" t="n">
        <x:v>470</x:v>
      </x:c>
      <x:c r="E272" s="11" t="n">
        <x:v>495</x:v>
      </x:c>
      <x:c r="F272" s="11" t="n">
        <x:v>550</x:v>
      </x:c>
      <x:c r="G272" s="11" t="n">
        <x:v>410</x:v>
      </x:c>
      <x:c r="H272" s="11" t="n">
        <x:v>0</x:v>
      </x:c>
      <x:c r="I272" s="11" t="n">
        <x:v>0</x:v>
      </x:c>
      <x:c r="J272" s="11"/>
      <x:c r="K272" s="1" t="str">
        <x:v>GFGC7000OC</x:v>
      </x:c>
      <x:c r="L272" s="1" t="str">
        <x:v>=+D268</x:v>
      </x:c>
    </x:row>
    <x:row r="273" ht="21" customHeight="1">
      <x:c r="A273" s="5" t="n">
        <x:v>46275</x:v>
      </x:c>
      <x:c r="B273" s="11" t="n">
        <x:v>523.63</x:v>
      </x:c>
      <x:c r="C273" s="11" t="n">
        <x:v>306754368</x:v>
      </x:c>
      <x:c r="D273" s="11" t="n">
        <x:v>495</x:v>
      </x:c>
      <x:c r="E273" s="11" t="n">
        <x:v>527</x:v>
      </x:c>
      <x:c r="F273" s="11" t="n">
        <x:v>639</x:v>
      </x:c>
      <x:c r="G273" s="11" t="n">
        <x:v>467.75</x:v>
      </x:c>
      <x:c r="H273" s="11" t="n">
        <x:v>0</x:v>
      </x:c>
      <x:c r="I273" s="11" t="n">
        <x:v>0</x:v>
      </x:c>
      <x:c r="J273" s="11"/>
      <x:c r="K273" s="1" t="str">
        <x:v>GFGC7000OC</x:v>
      </x:c>
      <x:c r="L273" s="1" t="str">
        <x:v>=+D269</x:v>
      </x:c>
    </x:row>
    <x:row r="274" ht="21" customHeight="1">
      <x:c r="A274" s="5" t="n">
        <x:v>46276</x:v>
      </x:c>
      <x:c r="B274" s="11" t="n">
        <x:v>438.34</x:v>
      </x:c>
      <x:c r="C274" s="11" t="n">
        <x:v>352488384</x:v>
      </x:c>
      <x:c r="D274" s="11" t="n">
        <x:v>527</x:v>
      </x:c>
      <x:c r="E274" s="11" t="n">
        <x:v>415</x:v>
      </x:c>
      <x:c r="F274" s="11" t="n">
        <x:v>527.49</x:v>
      </x:c>
      <x:c r="G274" s="11" t="n">
        <x:v>406</x:v>
      </x:c>
      <x:c r="H274" s="11" t="n">
        <x:v>0</x:v>
      </x:c>
      <x:c r="I274" s="11" t="n">
        <x:v>0</x:v>
      </x:c>
      <x:c r="J274" s="11"/>
      <x:c r="K274" s="1" t="str">
        <x:v>GFGC7000OC</x:v>
      </x:c>
      <x:c r="L274" s="1" t="str">
        <x:v>=+D270</x:v>
      </x:c>
    </x:row>
    <x:row r="275" ht="21" customHeight="1">
      <x:c r="A275" s="5" t="n">
        <x:v>46279</x:v>
      </x:c>
      <x:c r="B275" s="11" t="n">
        <x:v>351.33</x:v>
      </x:c>
      <x:c r="C275" s="11" t="n">
        <x:v>212083968</x:v>
      </x:c>
      <x:c r="D275" s="11" t="n">
        <x:v>415</x:v>
      </x:c>
      <x:c r="E275" s="11" t="n">
        <x:v>310</x:v>
      </x:c>
      <x:c r="F275" s="11" t="n">
        <x:v>425</x:v>
      </x:c>
      <x:c r="G275" s="11" t="n">
        <x:v>337.5</x:v>
      </x:c>
      <x:c r="H275" s="11" t="n">
        <x:v>0</x:v>
      </x:c>
      <x:c r="I275" s="11" t="n">
        <x:v>0</x:v>
      </x:c>
      <x:c r="J275" s="11"/>
      <x:c r="K275" s="1" t="str">
        <x:v>GFGC7000OC</x:v>
      </x:c>
      <x:c r="L275" s="1" t="str">
        <x:v>=+D271</x:v>
      </x:c>
    </x:row>
    <x:row r="276" ht="21" customHeight="1">
      <x:c r="A276" s="5" t="n">
        <x:v>46280</x:v>
      </x:c>
      <x:c r="B276" s="11" t="n">
        <x:v>277.07</x:v>
      </x:c>
      <x:c r="C276" s="11" t="n">
        <x:v>418205024</x:v>
      </x:c>
      <x:c r="D276" s="11" t="n">
        <x:v>310</x:v>
      </x:c>
      <x:c r="E276" s="11" t="n">
        <x:v>277</x:v>
      </x:c>
      <x:c r="F276" s="11" t="n">
        <x:v>315</x:v>
      </x:c>
      <x:c r="G276" s="11" t="n">
        <x:v>260</x:v>
      </x:c>
      <x:c r="H276" s="11" t="n">
        <x:v>0</x:v>
      </x:c>
      <x:c r="I276" s="11" t="n">
        <x:v>0</x:v>
      </x:c>
      <x:c r="J276" s="11"/>
      <x:c r="K276" s="1" t="str">
        <x:v>GFGC7000OC</x:v>
      </x:c>
      <x:c r="L276" s="1" t="str">
        <x:v>=+D272</x:v>
      </x:c>
    </x:row>
    <x:row r="277" ht="21" customHeight="1">
      <x:c r="A277" s="5" t="n">
        <x:v>46281</x:v>
      </x:c>
      <x:c r="B277" s="11" t="n">
        <x:v>289.65</x:v>
      </x:c>
      <x:c r="C277" s="11" t="n">
        <x:v>223562320</x:v>
      </x:c>
      <x:c r="D277" s="11" t="n">
        <x:v>277</x:v>
      </x:c>
      <x:c r="E277" s="11" t="n">
        <x:v>341</x:v>
      </x:c>
      <x:c r="F277" s="11" t="n">
        <x:v>329.06</x:v>
      </x:c>
      <x:c r="G277" s="11" t="n">
        <x:v>237</x:v>
      </x:c>
      <x:c r="H277" s="11" t="n">
        <x:v>0</x:v>
      </x:c>
      <x:c r="I277" s="11" t="n">
        <x:v>0</x:v>
      </x:c>
      <x:c r="J277" s="11"/>
      <x:c r="K277" s="1" t="str">
        <x:v>GFGC7000OC</x:v>
      </x:c>
      <x:c r="L277" s="1" t="str">
        <x:v>=+D273</x:v>
      </x:c>
    </x:row>
    <x:row r="278" ht="21" customHeight="1">
      <x:c r="A278" s="5" t="n">
        <x:v>46255</x:v>
      </x:c>
      <x:c r="B278" s="11" t="n">
        <x:v>339.33</x:v>
      </x:c>
      <x:c r="C278" s="11" t="n">
        <x:v>76861992</x:v>
      </x:c>
      <x:c r="D278" s="11" t="n">
        <x:v>341</x:v>
      </x:c>
      <x:c r="E278" s="11" t="n">
        <x:v>330</x:v>
      </x:c>
      <x:c r="F278" s="11" t="n">
        <x:v>440</x:v>
      </x:c>
      <x:c r="G278" s="11" t="n">
        <x:v>337.32</x:v>
      </x:c>
      <x:c r="H278" s="11" t="n">
        <x:v>0</x:v>
      </x:c>
      <x:c r="I278" s="11" t="n">
        <x:v>0</x:v>
      </x:c>
      <x:c r="J278" s="11"/>
      <x:c r="K278" s="1" t="str">
        <x:v>GFGC7200OC</x:v>
      </x:c>
      <x:c r="L278" s="1" t="str">
        <x:v>=+D274</x:v>
      </x:c>
    </x:row>
    <x:row r="279" ht="21" customHeight="1">
      <x:c r="A279" s="5" t="n">
        <x:v>46258</x:v>
      </x:c>
      <x:c r="B279" s="11" t="n">
        <x:v>485.19</x:v>
      </x:c>
      <x:c r="C279" s="11" t="n">
        <x:v>274389984</x:v>
      </x:c>
      <x:c r="D279" s="11" t="n">
        <x:v>330</x:v>
      </x:c>
      <x:c r="E279" s="11" t="n">
        <x:v>450</x:v>
      </x:c>
      <x:c r="F279" s="11" t="n">
        <x:v>511</x:v>
      </x:c>
      <x:c r="G279" s="11" t="n">
        <x:v>300</x:v>
      </x:c>
      <x:c r="H279" s="11" t="n">
        <x:v>0</x:v>
      </x:c>
      <x:c r="I279" s="11" t="n">
        <x:v>0</x:v>
      </x:c>
      <x:c r="J279" s="11"/>
      <x:c r="K279" s="1" t="str">
        <x:v>GFGC7200OC</x:v>
      </x:c>
      <x:c r="L279" s="1" t="str">
        <x:v>=+D275</x:v>
      </x:c>
    </x:row>
    <x:row r="280" ht="21" customHeight="1">
      <x:c r="A280" s="5" t="n">
        <x:v>46259</x:v>
      </x:c>
      <x:c r="B280" s="11" t="n">
        <x:v>501.24</x:v>
      </x:c>
      <x:c r="C280" s="11" t="n">
        <x:v>350747936</x:v>
      </x:c>
      <x:c r="D280" s="11" t="n">
        <x:v>450</x:v>
      </x:c>
      <x:c r="E280" s="11" t="n">
        <x:v>589.99</x:v>
      </x:c>
      <x:c r="F280" s="11" t="n">
        <x:v>513.01</x:v>
      </x:c>
      <x:c r="G280" s="11" t="n">
        <x:v>440</x:v>
      </x:c>
      <x:c r="H280" s="11" t="n">
        <x:v>0</x:v>
      </x:c>
      <x:c r="I280" s="11" t="n">
        <x:v>0</x:v>
      </x:c>
      <x:c r="J280" s="11"/>
      <x:c r="K280" s="1" t="str">
        <x:v>GFGC7200OC</x:v>
      </x:c>
      <x:c r="L280" s="1" t="str">
        <x:v>=+D276</x:v>
      </x:c>
    </x:row>
    <x:row r="281" ht="21" customHeight="1">
      <x:c r="A281" s="5" t="n">
        <x:v>46260</x:v>
      </x:c>
      <x:c r="B281" s="11" t="n">
        <x:v>475.76</x:v>
      </x:c>
      <x:c r="C281" s="11" t="n">
        <x:v>207573168</x:v>
      </x:c>
      <x:c r="D281" s="11" t="n">
        <x:v>589.99</x:v>
      </x:c>
      <x:c r="E281" s="11" t="n">
        <x:v>455</x:v>
      </x:c>
      <x:c r="F281" s="11" t="n">
        <x:v>589.99</x:v>
      </x:c>
      <x:c r="G281" s="11" t="n">
        <x:v>458.32</x:v>
      </x:c>
      <x:c r="H281" s="11" t="n">
        <x:v>0</x:v>
      </x:c>
      <x:c r="I281" s="11" t="n">
        <x:v>0</x:v>
      </x:c>
      <x:c r="J281" s="11"/>
      <x:c r="K281" s="1" t="str">
        <x:v>GFGC7200OC</x:v>
      </x:c>
      <x:c r="L281" s="1" t="str">
        <x:v>=+D277</x:v>
      </x:c>
    </x:row>
    <x:row r="282" ht="21" customHeight="1">
      <x:c r="A282" s="5" t="n">
        <x:v>46261</x:v>
      </x:c>
      <x:c r="B282" s="11" t="n">
        <x:v>393.33</x:v>
      </x:c>
      <x:c r="C282" s="11" t="n">
        <x:v>419758912</x:v>
      </x:c>
      <x:c r="D282" s="11" t="n">
        <x:v>455</x:v>
      </x:c>
      <x:c r="E282" s="11" t="n">
        <x:v>388.01</x:v>
      </x:c>
      <x:c r="F282" s="11" t="n">
        <x:v>509</x:v>
      </x:c>
      <x:c r="G282" s="11" t="n">
        <x:v>390</x:v>
      </x:c>
      <x:c r="H282" s="11" t="n">
        <x:v>0</x:v>
      </x:c>
      <x:c r="I282" s="11" t="n">
        <x:v>0</x:v>
      </x:c>
      <x:c r="J282" s="11"/>
      <x:c r="K282" s="1" t="str">
        <x:v>GFGC7200OC</x:v>
      </x:c>
      <x:c r="L282" s="1" t="str">
        <x:v>=+D278</x:v>
      </x:c>
    </x:row>
    <x:row r="283" ht="21" customHeight="1">
      <x:c r="A283" s="5" t="n">
        <x:v>46262</x:v>
      </x:c>
      <x:c r="B283" s="11" t="n">
        <x:v>358.14</x:v>
      </x:c>
      <x:c r="C283" s="11" t="n">
        <x:v>296442560</x:v>
      </x:c>
      <x:c r="D283" s="11" t="n">
        <x:v>388.01</x:v>
      </x:c>
      <x:c r="E283" s="11" t="n">
        <x:v>360</x:v>
      </x:c>
      <x:c r="F283" s="11" t="n">
        <x:v>388.01</x:v>
      </x:c>
      <x:c r="G283" s="11" t="n">
        <x:v>292</x:v>
      </x:c>
      <x:c r="H283" s="11" t="n">
        <x:v>0</x:v>
      </x:c>
      <x:c r="I283" s="11" t="n">
        <x:v>0</x:v>
      </x:c>
      <x:c r="J283" s="11"/>
      <x:c r="K283" s="1" t="str">
        <x:v>GFGC7200OC</x:v>
      </x:c>
      <x:c r="L283" s="1" t="str">
        <x:v>=+D279</x:v>
      </x:c>
    </x:row>
    <x:row r="284" ht="21" customHeight="1">
      <x:c r="A284" s="5" t="n">
        <x:v>46265</x:v>
      </x:c>
      <x:c r="B284" s="11" t="n">
        <x:v>453.57</x:v>
      </x:c>
      <x:c r="C284" s="11" t="n">
        <x:v>375388416</x:v>
      </x:c>
      <x:c r="D284" s="11" t="n">
        <x:v>360</x:v>
      </x:c>
      <x:c r="E284" s="11" t="n">
        <x:v>420</x:v>
      </x:c>
      <x:c r="F284" s="11" t="n">
        <x:v>500</x:v>
      </x:c>
      <x:c r="G284" s="11" t="n">
        <x:v>359.99</x:v>
      </x:c>
      <x:c r="H284" s="11" t="n">
        <x:v>0</x:v>
      </x:c>
      <x:c r="I284" s="11" t="n">
        <x:v>0</x:v>
      </x:c>
      <x:c r="J284" s="11"/>
      <x:c r="K284" s="1" t="str">
        <x:v>GFGC7200OC</x:v>
      </x:c>
      <x:c r="L284" s="1" t="str">
        <x:v>=+D280</x:v>
      </x:c>
    </x:row>
    <x:row r="285" ht="21" customHeight="1">
      <x:c r="A285" s="5" t="n">
        <x:v>46266</x:v>
      </x:c>
      <x:c r="B285" s="11" t="n">
        <x:v>464.15</x:v>
      </x:c>
      <x:c r="C285" s="11" t="n">
        <x:v>667446912</x:v>
      </x:c>
      <x:c r="D285" s="11" t="n">
        <x:v>420</x:v>
      </x:c>
      <x:c r="E285" s="11" t="n">
        <x:v>408.42</x:v>
      </x:c>
      <x:c r="F285" s="11" t="n">
        <x:v>531</x:v>
      </x:c>
      <x:c r="G285" s="11" t="n">
        <x:v>403</x:v>
      </x:c>
      <x:c r="H285" s="11" t="n">
        <x:v>0</x:v>
      </x:c>
      <x:c r="I285" s="11" t="n">
        <x:v>0</x:v>
      </x:c>
      <x:c r="J285" s="11"/>
      <x:c r="K285" s="1" t="str">
        <x:v>GFGC7200OC</x:v>
      </x:c>
      <x:c r="L285" s="1" t="str">
        <x:v>=+D281</x:v>
      </x:c>
    </x:row>
    <x:row r="286" ht="21" customHeight="1">
      <x:c r="A286" s="5" t="n">
        <x:v>46267</x:v>
      </x:c>
      <x:c r="B286" s="11" t="n">
        <x:v>507.78</x:v>
      </x:c>
      <x:c r="C286" s="11" t="n">
        <x:v>383027872</x:v>
      </x:c>
      <x:c r="D286" s="11" t="n">
        <x:v>408.42</x:v>
      </x:c>
      <x:c r="E286" s="11" t="n">
        <x:v>542</x:v>
      </x:c>
      <x:c r="F286" s="11" t="n">
        <x:v>512</x:v>
      </x:c>
      <x:c r="G286" s="11" t="n">
        <x:v>408.42</x:v>
      </x:c>
      <x:c r="H286" s="11" t="n">
        <x:v>0</x:v>
      </x:c>
      <x:c r="I286" s="11" t="n">
        <x:v>0</x:v>
      </x:c>
      <x:c r="J286" s="11"/>
      <x:c r="K286" s="1" t="str">
        <x:v>GFGC7200OC</x:v>
      </x:c>
      <x:c r="L286" s="1" t="str">
        <x:v>=+D282</x:v>
      </x:c>
    </x:row>
    <x:row r="287" ht="21" customHeight="1">
      <x:c r="A287" s="5" t="n">
        <x:v>46268</x:v>
      </x:c>
      <x:c r="B287" s="11" t="n">
        <x:v>446.85</x:v>
      </x:c>
      <x:c r="C287" s="11" t="n">
        <x:v>559743360</x:v>
      </x:c>
      <x:c r="D287" s="11" t="n">
        <x:v>542</x:v>
      </x:c>
      <x:c r="E287" s="11" t="n">
        <x:v>417</x:v>
      </x:c>
      <x:c r="F287" s="11" t="n">
        <x:v>640</x:v>
      </x:c>
      <x:c r="G287" s="11" t="n">
        <x:v>425</x:v>
      </x:c>
      <x:c r="H287" s="11" t="n">
        <x:v>0</x:v>
      </x:c>
      <x:c r="I287" s="11" t="n">
        <x:v>0</x:v>
      </x:c>
      <x:c r="J287" s="11"/>
      <x:c r="K287" s="1" t="str">
        <x:v>GFGC7200OC</x:v>
      </x:c>
      <x:c r="L287" s="1" t="str">
        <x:v>=+D283</x:v>
      </x:c>
    </x:row>
    <x:row r="288" ht="21" customHeight="1">
      <x:c r="A288" s="5" t="n">
        <x:v>46269</x:v>
      </x:c>
      <x:c r="B288" s="11" t="n">
        <x:v>399.74</x:v>
      </x:c>
      <x:c r="C288" s="11" t="n">
        <x:v>189516416</x:v>
      </x:c>
      <x:c r="D288" s="11" t="n">
        <x:v>417</x:v>
      </x:c>
      <x:c r="E288" s="11" t="n">
        <x:v>398</x:v>
      </x:c>
      <x:c r="F288" s="11" t="n">
        <x:v>440</x:v>
      </x:c>
      <x:c r="G288" s="11" t="n">
        <x:v>381</x:v>
      </x:c>
      <x:c r="H288" s="11" t="n">
        <x:v>0</x:v>
      </x:c>
      <x:c r="I288" s="11" t="n">
        <x:v>0</x:v>
      </x:c>
      <x:c r="J288" s="11"/>
      <x:c r="K288" s="1" t="str">
        <x:v>GFGC7200OC</x:v>
      </x:c>
      <x:c r="L288" s="1" t="str">
        <x:v>=+D284</x:v>
      </x:c>
    </x:row>
    <x:row r="289" ht="21" customHeight="1">
      <x:c r="A289" s="5" t="n">
        <x:v>46272</x:v>
      </x:c>
      <x:c r="B289" s="11" t="n">
        <x:v>366.28</x:v>
      </x:c>
      <x:c r="C289" s="11" t="n">
        <x:v>32911494</x:v>
      </x:c>
      <x:c r="D289" s="11" t="n">
        <x:v>398</x:v>
      </x:c>
      <x:c r="E289" s="11" t="n">
        <x:v>390</x:v>
      </x:c>
      <x:c r="F289" s="11" t="n">
        <x:v>398</x:v>
      </x:c>
      <x:c r="G289" s="11" t="n">
        <x:v>365.4</x:v>
      </x:c>
      <x:c r="H289" s="11" t="n">
        <x:v>0</x:v>
      </x:c>
      <x:c r="I289" s="11" t="n">
        <x:v>0</x:v>
      </x:c>
      <x:c r="J289" s="11"/>
      <x:c r="K289" s="1" t="str">
        <x:v>GFGC7200OC</x:v>
      </x:c>
      <x:c r="L289" s="1" t="str">
        <x:v>=+D285</x:v>
      </x:c>
    </x:row>
    <x:row r="290" ht="21" customHeight="1">
      <x:c r="A290" s="5" t="n">
        <x:v>46273</x:v>
      </x:c>
      <x:c r="B290" s="11" t="n">
        <x:v>385.82</x:v>
      </x:c>
      <x:c r="C290" s="11" t="n">
        <x:v>219621456</x:v>
      </x:c>
      <x:c r="D290" s="11" t="n">
        <x:v>390</x:v>
      </x:c>
      <x:c r="E290" s="11" t="n">
        <x:v>352</x:v>
      </x:c>
      <x:c r="F290" s="11" t="n">
        <x:v>409</x:v>
      </x:c>
      <x:c r="G290" s="11" t="n">
        <x:v>316.22</x:v>
      </x:c>
      <x:c r="H290" s="11" t="n">
        <x:v>0</x:v>
      </x:c>
      <x:c r="I290" s="11" t="n">
        <x:v>0</x:v>
      </x:c>
      <x:c r="J290" s="11"/>
      <x:c r="K290" s="1" t="str">
        <x:v>GFGC7200OC</x:v>
      </x:c>
      <x:c r="L290" s="1" t="str">
        <x:v>=+D286</x:v>
      </x:c>
    </x:row>
    <x:row r="291" ht="21" customHeight="1">
      <x:c r="A291" s="5" t="n">
        <x:v>46274</x:v>
      </x:c>
      <x:c r="B291" s="11" t="n">
        <x:v>418.29</x:v>
      </x:c>
      <x:c r="C291" s="11" t="n">
        <x:v>233066080</x:v>
      </x:c>
      <x:c r="D291" s="11" t="n">
        <x:v>352</x:v>
      </x:c>
      <x:c r="E291" s="11" t="n">
        <x:v>380</x:v>
      </x:c>
      <x:c r="F291" s="11" t="n">
        <x:v>444</x:v>
      </x:c>
      <x:c r="G291" s="11" t="n">
        <x:v>320</x:v>
      </x:c>
      <x:c r="H291" s="11" t="n">
        <x:v>0</x:v>
      </x:c>
      <x:c r="I291" s="11" t="n">
        <x:v>0</x:v>
      </x:c>
      <x:c r="J291" s="11"/>
      <x:c r="K291" s="1" t="str">
        <x:v>GFGC7200OC</x:v>
      </x:c>
      <x:c r="L291" s="1" t="str">
        <x:v>=+D287</x:v>
      </x:c>
    </x:row>
    <x:row r="292" ht="21" customHeight="1">
      <x:c r="A292" s="5" t="n">
        <x:v>46275</x:v>
      </x:c>
      <x:c r="B292" s="11" t="n">
        <x:v>423.4</x:v>
      </x:c>
      <x:c r="C292" s="11" t="n">
        <x:v>441164896</x:v>
      </x:c>
      <x:c r="D292" s="11" t="n">
        <x:v>380</x:v>
      </x:c>
      <x:c r="E292" s="11" t="n">
        <x:v>450</x:v>
      </x:c>
      <x:c r="F292" s="11" t="n">
        <x:v>520</x:v>
      </x:c>
      <x:c r="G292" s="11" t="n">
        <x:v>376</x:v>
      </x:c>
      <x:c r="H292" s="11" t="n">
        <x:v>0</x:v>
      </x:c>
      <x:c r="I292" s="11" t="n">
        <x:v>0</x:v>
      </x:c>
      <x:c r="J292" s="11"/>
      <x:c r="K292" s="1" t="str">
        <x:v>GFGC7200OC</x:v>
      </x:c>
      <x:c r="L292" s="1" t="str">
        <x:v>=+D288</x:v>
      </x:c>
    </x:row>
    <x:row r="293" ht="21" customHeight="1">
      <x:c r="A293" s="5" t="n">
        <x:v>46276</x:v>
      </x:c>
      <x:c r="B293" s="11" t="n">
        <x:v>345.7</x:v>
      </x:c>
      <x:c r="C293" s="11" t="n">
        <x:v>276915808</x:v>
      </x:c>
      <x:c r="D293" s="11" t="n">
        <x:v>450</x:v>
      </x:c>
      <x:c r="E293" s="11" t="n">
        <x:v>295</x:v>
      </x:c>
      <x:c r="F293" s="11" t="n">
        <x:v>450</x:v>
      </x:c>
      <x:c r="G293" s="11" t="n">
        <x:v>313</x:v>
      </x:c>
      <x:c r="H293" s="11" t="n">
        <x:v>0</x:v>
      </x:c>
      <x:c r="I293" s="11" t="n">
        <x:v>0</x:v>
      </x:c>
      <x:c r="J293" s="11"/>
      <x:c r="K293" s="1" t="str">
        <x:v>GFGC7200OC</x:v>
      </x:c>
      <x:c r="L293" s="1" t="str">
        <x:v>=+D289</x:v>
      </x:c>
    </x:row>
    <x:row r="294" ht="21" customHeight="1">
      <x:c r="A294" s="5" t="n">
        <x:v>46279</x:v>
      </x:c>
      <x:c r="B294" s="11" t="n">
        <x:v>261.93</x:v>
      </x:c>
      <x:c r="C294" s="11" t="n">
        <x:v>225884640</x:v>
      </x:c>
      <x:c r="D294" s="11" t="n">
        <x:v>295</x:v>
      </x:c>
      <x:c r="E294" s="11" t="n">
        <x:v>260</x:v>
      </x:c>
      <x:c r="F294" s="11" t="n">
        <x:v>324</x:v>
      </x:c>
      <x:c r="G294" s="11" t="n">
        <x:v>255</x:v>
      </x:c>
      <x:c r="H294" s="11" t="n">
        <x:v>0</x:v>
      </x:c>
      <x:c r="I294" s="11" t="n">
        <x:v>0</x:v>
      </x:c>
      <x:c r="J294" s="11"/>
      <x:c r="K294" s="1" t="str">
        <x:v>GFGC7200OC</x:v>
      </x:c>
      <x:c r="L294" s="1" t="str">
        <x:v>=+D290</x:v>
      </x:c>
    </x:row>
    <x:row r="295" ht="21" customHeight="1">
      <x:c r="A295" s="5" t="n">
        <x:v>46280</x:v>
      </x:c>
      <x:c r="B295" s="11" t="n">
        <x:v>205.53</x:v>
      </x:c>
      <x:c r="C295" s="11" t="n">
        <x:v>191148784</x:v>
      </x:c>
      <x:c r="D295" s="11" t="n">
        <x:v>260</x:v>
      </x:c>
      <x:c r="E295" s="11" t="n">
        <x:v>181</x:v>
      </x:c>
      <x:c r="F295" s="11" t="n">
        <x:v>260</x:v>
      </x:c>
      <x:c r="G295" s="11" t="n">
        <x:v>187.08</x:v>
      </x:c>
      <x:c r="H295" s="11" t="n">
        <x:v>0</x:v>
      </x:c>
      <x:c r="I295" s="11" t="n">
        <x:v>0</x:v>
      </x:c>
      <x:c r="J295" s="11"/>
      <x:c r="K295" s="1" t="str">
        <x:v>GFGC7200OC</x:v>
      </x:c>
      <x:c r="L295" s="1" t="str">
        <x:v>=+D291</x:v>
      </x:c>
    </x:row>
    <x:row r="296" ht="21" customHeight="1">
      <x:c r="A296" s="5" t="n">
        <x:v>46281</x:v>
      </x:c>
      <x:c r="B296" s="11" t="n">
        <x:v>213.18</x:v>
      </x:c>
      <x:c r="C296" s="11" t="n">
        <x:v>147861040</x:v>
      </x:c>
      <x:c r="D296" s="11" t="n">
        <x:v>181</x:v>
      </x:c>
      <x:c r="E296" s="11" t="n">
        <x:v>280</x:v>
      </x:c>
      <x:c r="F296" s="11" t="n">
        <x:v>245</x:v>
      </x:c>
      <x:c r="G296" s="11" t="n">
        <x:v>181</x:v>
      </x:c>
      <x:c r="H296" s="11" t="n">
        <x:v>0</x:v>
      </x:c>
      <x:c r="I296" s="11" t="n">
        <x:v>0</x:v>
      </x:c>
      <x:c r="J296" s="11"/>
      <x:c r="K296" s="1" t="str">
        <x:v>GFGC7200OC</x:v>
      </x:c>
      <x:c r="L296" s="1" t="str">
        <x:v>=+D292</x:v>
      </x:c>
    </x:row>
    <x:row r="297" ht="21" customHeight="1">
      <x:c r="A297" s="5" t="n">
        <x:v>46255</x:v>
      </x:c>
      <x:c r="B297" s="11" t="n">
        <x:v>271.72</x:v>
      </x:c>
      <x:c r="C297" s="11" t="n">
        <x:v>68027704</x:v>
      </x:c>
      <x:c r="D297" s="11" t="n">
        <x:v>280</x:v>
      </x:c>
      <x:c r="E297" s="11" t="n">
        <x:v>280</x:v>
      </x:c>
      <x:c r="F297" s="11" t="n">
        <x:v>335</x:v>
      </x:c>
      <x:c r="G297" s="11" t="n">
        <x:v>268.01</x:v>
      </x:c>
      <x:c r="H297" s="11" t="n">
        <x:v>0</x:v>
      </x:c>
      <x:c r="I297" s="11" t="n">
        <x:v>0</x:v>
      </x:c>
      <x:c r="J297" s="11"/>
      <x:c r="K297" s="1" t="str">
        <x:v>GFGC7400OC</x:v>
      </x:c>
      <x:c r="L297" s="1" t="str">
        <x:v>=+D293</x:v>
      </x:c>
    </x:row>
    <x:row r="298" ht="21" customHeight="1">
      <x:c r="A298" s="5" t="n">
        <x:v>46258</x:v>
      </x:c>
      <x:c r="B298" s="11" t="n">
        <x:v>396.15</x:v>
      </x:c>
      <x:c r="C298" s="11" t="n">
        <x:v>237999520</x:v>
      </x:c>
      <x:c r="D298" s="11" t="n">
        <x:v>280</x:v>
      </x:c>
      <x:c r="E298" s="11" t="n">
        <x:v>395</x:v>
      </x:c>
      <x:c r="F298" s="11" t="n">
        <x:v>421</x:v>
      </x:c>
      <x:c r="G298" s="11" t="n">
        <x:v>260</x:v>
      </x:c>
      <x:c r="H298" s="11" t="n">
        <x:v>0</x:v>
      </x:c>
      <x:c r="I298" s="11" t="n">
        <x:v>0</x:v>
      </x:c>
      <x:c r="J298" s="11"/>
      <x:c r="K298" s="1" t="str">
        <x:v>GFGC7400OC</x:v>
      </x:c>
      <x:c r="L298" s="1" t="str">
        <x:v>=+D294</x:v>
      </x:c>
    </x:row>
    <x:row r="299" ht="21" customHeight="1">
      <x:c r="A299" s="5" t="n">
        <x:v>46259</x:v>
      </x:c>
      <x:c r="B299" s="11" t="n">
        <x:v>414.81</x:v>
      </x:c>
      <x:c r="C299" s="11" t="n">
        <x:v>250697120</x:v>
      </x:c>
      <x:c r="D299" s="11" t="n">
        <x:v>395</x:v>
      </x:c>
      <x:c r="E299" s="11" t="n">
        <x:v>450</x:v>
      </x:c>
      <x:c r="F299" s="11" t="n">
        <x:v>425</x:v>
      </x:c>
      <x:c r="G299" s="11" t="n">
        <x:v>358</x:v>
      </x:c>
      <x:c r="H299" s="11" t="n">
        <x:v>0</x:v>
      </x:c>
      <x:c r="I299" s="11" t="n">
        <x:v>0</x:v>
      </x:c>
      <x:c r="J299" s="11"/>
      <x:c r="K299" s="1" t="str">
        <x:v>GFGC7400OC</x:v>
      </x:c>
      <x:c r="L299" s="1" t="str">
        <x:v>=+D295</x:v>
      </x:c>
    </x:row>
    <x:row r="300" ht="21" customHeight="1">
      <x:c r="A300" s="5" t="n">
        <x:v>46260</x:v>
      </x:c>
      <x:c r="B300" s="11" t="n">
        <x:v>391.75</x:v>
      </x:c>
      <x:c r="C300" s="11" t="n">
        <x:v>243192128</x:v>
      </x:c>
      <x:c r="D300" s="11" t="n">
        <x:v>450</x:v>
      </x:c>
      <x:c r="E300" s="11" t="n">
        <x:v>385</x:v>
      </x:c>
      <x:c r="F300" s="11" t="n">
        <x:v>520</x:v>
      </x:c>
      <x:c r="G300" s="11" t="n">
        <x:v>370</x:v>
      </x:c>
      <x:c r="H300" s="11" t="n">
        <x:v>0</x:v>
      </x:c>
      <x:c r="I300" s="11" t="n">
        <x:v>0</x:v>
      </x:c>
      <x:c r="J300" s="11"/>
      <x:c r="K300" s="1" t="str">
        <x:v>GFGC7400OC</x:v>
      </x:c>
      <x:c r="L300" s="1" t="str">
        <x:v>=+D296</x:v>
      </x:c>
    </x:row>
    <x:row r="301" ht="21" customHeight="1">
      <x:c r="A301" s="5" t="n">
        <x:v>46261</x:v>
      </x:c>
      <x:c r="B301" s="11" t="n">
        <x:v>310.39</x:v>
      </x:c>
      <x:c r="C301" s="11" t="n">
        <x:v>243252768</x:v>
      </x:c>
      <x:c r="D301" s="11" t="n">
        <x:v>385</x:v>
      </x:c>
      <x:c r="E301" s="11" t="n">
        <x:v>320</x:v>
      </x:c>
      <x:c r="F301" s="11" t="n">
        <x:v>416.99</x:v>
      </x:c>
      <x:c r="G301" s="11" t="n">
        <x:v>305</x:v>
      </x:c>
      <x:c r="H301" s="11" t="n">
        <x:v>0</x:v>
      </x:c>
      <x:c r="I301" s="11" t="n">
        <x:v>0</x:v>
      </x:c>
      <x:c r="J301" s="11"/>
      <x:c r="K301" s="1" t="str">
        <x:v>GFGC7400OC</x:v>
      </x:c>
      <x:c r="L301" s="1" t="str">
        <x:v>=+D297</x:v>
      </x:c>
    </x:row>
    <x:row r="302" ht="21" customHeight="1">
      <x:c r="A302" s="5" t="n">
        <x:v>46262</x:v>
      </x:c>
      <x:c r="B302" s="11" t="n">
        <x:v>280.61</x:v>
      </x:c>
      <x:c r="C302" s="11" t="n">
        <x:v>309063168</x:v>
      </x:c>
      <x:c r="D302" s="11" t="n">
        <x:v>320</x:v>
      </x:c>
      <x:c r="E302" s="11" t="n">
        <x:v>274.32</x:v>
      </x:c>
      <x:c r="F302" s="11" t="n">
        <x:v>330</x:v>
      </x:c>
      <x:c r="G302" s="11" t="n">
        <x:v>220.65</x:v>
      </x:c>
      <x:c r="H302" s="11" t="n">
        <x:v>0</x:v>
      </x:c>
      <x:c r="I302" s="11" t="n">
        <x:v>0</x:v>
      </x:c>
      <x:c r="J302" s="11"/>
      <x:c r="K302" s="1" t="str">
        <x:v>GFGC7400OC</x:v>
      </x:c>
      <x:c r="L302" s="1" t="str">
        <x:v>=+D298</x:v>
      </x:c>
    </x:row>
    <x:row r="303" ht="21" customHeight="1">
      <x:c r="A303" s="5" t="n">
        <x:v>46265</x:v>
      </x:c>
      <x:c r="B303" s="11" t="n">
        <x:v>370.64</x:v>
      </x:c>
      <x:c r="C303" s="11" t="n">
        <x:v>459135296</x:v>
      </x:c>
      <x:c r="D303" s="11" t="n">
        <x:v>274.32</x:v>
      </x:c>
      <x:c r="E303" s="11" t="n">
        <x:v>365</x:v>
      </x:c>
      <x:c r="F303" s="11" t="n">
        <x:v>410</x:v>
      </x:c>
      <x:c r="G303" s="11" t="n">
        <x:v>270</x:v>
      </x:c>
      <x:c r="H303" s="11" t="n">
        <x:v>0</x:v>
      </x:c>
      <x:c r="I303" s="11" t="n">
        <x:v>0</x:v>
      </x:c>
      <x:c r="J303" s="11"/>
      <x:c r="K303" s="1" t="str">
        <x:v>GFGC7400OC</x:v>
      </x:c>
      <x:c r="L303" s="1" t="str">
        <x:v>=+D299</x:v>
      </x:c>
    </x:row>
    <x:row r="304" ht="21" customHeight="1">
      <x:c r="A304" s="5" t="n">
        <x:v>46266</x:v>
      </x:c>
      <x:c r="B304" s="11" t="n">
        <x:v>372.77</x:v>
      </x:c>
      <x:c r="C304" s="11" t="n">
        <x:v>632641600</x:v>
      </x:c>
      <x:c r="D304" s="11" t="n">
        <x:v>365</x:v>
      </x:c>
      <x:c r="E304" s="11" t="n">
        <x:v>422</x:v>
      </x:c>
      <x:c r="F304" s="11" t="n">
        <x:v>430</x:v>
      </x:c>
      <x:c r="G304" s="11" t="n">
        <x:v>331.01</x:v>
      </x:c>
      <x:c r="H304" s="11" t="n">
        <x:v>0</x:v>
      </x:c>
      <x:c r="I304" s="11" t="n">
        <x:v>0</x:v>
      </x:c>
      <x:c r="J304" s="11"/>
      <x:c r="K304" s="1" t="str">
        <x:v>GFGC7400OC</x:v>
      </x:c>
      <x:c r="L304" s="1" t="str">
        <x:v>=+D300</x:v>
      </x:c>
    </x:row>
    <x:row r="305" ht="21" customHeight="1">
      <x:c r="A305" s="5" t="n">
        <x:v>46267</x:v>
      </x:c>
      <x:c r="B305" s="11" t="n">
        <x:v>410.55</x:v>
      </x:c>
      <x:c r="C305" s="11" t="n">
        <x:v>522480896</x:v>
      </x:c>
      <x:c r="D305" s="11" t="n">
        <x:v>422</x:v>
      </x:c>
      <x:c r="E305" s="11" t="n">
        <x:v>475</x:v>
      </x:c>
      <x:c r="F305" s="11" t="n">
        <x:v>455</x:v>
      </x:c>
      <x:c r="G305" s="11" t="n">
        <x:v>350</x:v>
      </x:c>
      <x:c r="H305" s="11" t="n">
        <x:v>0</x:v>
      </x:c>
      <x:c r="I305" s="11" t="n">
        <x:v>0</x:v>
      </x:c>
      <x:c r="J305" s="11"/>
      <x:c r="K305" s="1" t="str">
        <x:v>GFGC7400OC</x:v>
      </x:c>
      <x:c r="L305" s="1" t="str">
        <x:v>=+D301</x:v>
      </x:c>
    </x:row>
    <x:row r="306" ht="21" customHeight="1">
      <x:c r="A306" s="5" t="n">
        <x:v>46268</x:v>
      </x:c>
      <x:c r="B306" s="11" t="n">
        <x:v>355.55</x:v>
      </x:c>
      <x:c r="C306" s="11" t="n">
        <x:v>549382400</x:v>
      </x:c>
      <x:c r="D306" s="11" t="n">
        <x:v>475</x:v>
      </x:c>
      <x:c r="E306" s="11" t="n">
        <x:v>335</x:v>
      </x:c>
      <x:c r="F306" s="11" t="n">
        <x:v>490</x:v>
      </x:c>
      <x:c r="G306" s="11" t="n">
        <x:v>331.24</x:v>
      </x:c>
      <x:c r="H306" s="11" t="n">
        <x:v>0</x:v>
      </x:c>
      <x:c r="I306" s="11" t="n">
        <x:v>0</x:v>
      </x:c>
      <x:c r="J306" s="11"/>
      <x:c r="K306" s="1" t="str">
        <x:v>GFGC7400OC</x:v>
      </x:c>
      <x:c r="L306" s="1" t="str">
        <x:v>=+D302</x:v>
      </x:c>
    </x:row>
    <x:row r="307" ht="21" customHeight="1">
      <x:c r="A307" s="5" t="n">
        <x:v>46269</x:v>
      </x:c>
      <x:c r="B307" s="11" t="n">
        <x:v>315.27</x:v>
      </x:c>
      <x:c r="C307" s="11" t="n">
        <x:v>148316400</x:v>
      </x:c>
      <x:c r="D307" s="11" t="n">
        <x:v>335</x:v>
      </x:c>
      <x:c r="E307" s="11" t="n">
        <x:v>301</x:v>
      </x:c>
      <x:c r="F307" s="11" t="n">
        <x:v>352</x:v>
      </x:c>
      <x:c r="G307" s="11" t="n">
        <x:v>300</x:v>
      </x:c>
      <x:c r="H307" s="11" t="n">
        <x:v>0</x:v>
      </x:c>
      <x:c r="I307" s="11" t="n">
        <x:v>0</x:v>
      </x:c>
      <x:c r="J307" s="11"/>
      <x:c r="K307" s="1" t="str">
        <x:v>GFGC7400OC</x:v>
      </x:c>
      <x:c r="L307" s="1" t="str">
        <x:v>=+D303</x:v>
      </x:c>
    </x:row>
    <x:row r="308" ht="21" customHeight="1">
      <x:c r="A308" s="5" t="n">
        <x:v>46272</x:v>
      </x:c>
      <x:c r="B308" s="11" t="n">
        <x:v>286.38</x:v>
      </x:c>
      <x:c r="C308" s="11" t="n">
        <x:v>25585736</x:v>
      </x:c>
      <x:c r="D308" s="11" t="n">
        <x:v>301</x:v>
      </x:c>
      <x:c r="E308" s="11" t="n">
        <x:v>310</x:v>
      </x:c>
      <x:c r="F308" s="11" t="n">
        <x:v>303.38</x:v>
      </x:c>
      <x:c r="G308" s="11" t="n">
        <x:v>276.01</x:v>
      </x:c>
      <x:c r="H308" s="11" t="n">
        <x:v>0</x:v>
      </x:c>
      <x:c r="I308" s="11" t="n">
        <x:v>0</x:v>
      </x:c>
      <x:c r="J308" s="11"/>
      <x:c r="K308" s="1" t="str">
        <x:v>GFGC7400OC</x:v>
      </x:c>
      <x:c r="L308" s="1" t="str">
        <x:v>=+D304</x:v>
      </x:c>
    </x:row>
    <x:row r="309" ht="21" customHeight="1">
      <x:c r="A309" s="5" t="n">
        <x:v>46273</x:v>
      </x:c>
      <x:c r="B309" s="11" t="n">
        <x:v>298.68</x:v>
      </x:c>
      <x:c r="C309" s="11" t="n">
        <x:v>233745536</x:v>
      </x:c>
      <x:c r="D309" s="11" t="n">
        <x:v>310</x:v>
      </x:c>
      <x:c r="E309" s="11" t="n">
        <x:v>271</x:v>
      </x:c>
      <x:c r="F309" s="11" t="n">
        <x:v>319</x:v>
      </x:c>
      <x:c r="G309" s="11" t="n">
        <x:v>250.5</x:v>
      </x:c>
      <x:c r="H309" s="11" t="n">
        <x:v>0</x:v>
      </x:c>
      <x:c r="I309" s="11" t="n">
        <x:v>0</x:v>
      </x:c>
      <x:c r="J309" s="11"/>
      <x:c r="K309" s="1" t="str">
        <x:v>GFGC7400OC</x:v>
      </x:c>
      <x:c r="L309" s="1" t="str">
        <x:v>=+D305</x:v>
      </x:c>
    </x:row>
    <x:row r="310" ht="21" customHeight="1">
      <x:c r="A310" s="5" t="n">
        <x:v>46274</x:v>
      </x:c>
      <x:c r="B310" s="11" t="n">
        <x:v>324.41</x:v>
      </x:c>
      <x:c r="C310" s="11" t="n">
        <x:v>186321136</x:v>
      </x:c>
      <x:c r="D310" s="11" t="n">
        <x:v>271</x:v>
      </x:c>
      <x:c r="E310" s="11" t="n">
        <x:v>290.84</x:v>
      </x:c>
      <x:c r="F310" s="11" t="n">
        <x:v>350</x:v>
      </x:c>
      <x:c r="G310" s="11" t="n">
        <x:v>248</x:v>
      </x:c>
      <x:c r="H310" s="11" t="n">
        <x:v>0</x:v>
      </x:c>
      <x:c r="I310" s="11" t="n">
        <x:v>0</x:v>
      </x:c>
      <x:c r="J310" s="11"/>
      <x:c r="K310" s="1" t="str">
        <x:v>GFGC7400OC</x:v>
      </x:c>
      <x:c r="L310" s="1" t="str">
        <x:v>=+D306</x:v>
      </x:c>
    </x:row>
    <x:row r="311" ht="21" customHeight="1">
      <x:c r="A311" s="5" t="n">
        <x:v>46275</x:v>
      </x:c>
      <x:c r="B311" s="11" t="n">
        <x:v>328.35</x:v>
      </x:c>
      <x:c r="C311" s="11" t="n">
        <x:v>352982912</x:v>
      </x:c>
      <x:c r="D311" s="11" t="n">
        <x:v>290.84</x:v>
      </x:c>
      <x:c r="E311" s="11" t="n">
        <x:v>350</x:v>
      </x:c>
      <x:c r="F311" s="11" t="n">
        <x:v>410</x:v>
      </x:c>
      <x:c r="G311" s="11" t="n">
        <x:v>290</x:v>
      </x:c>
      <x:c r="H311" s="11" t="n">
        <x:v>0</x:v>
      </x:c>
      <x:c r="I311" s="11" t="n">
        <x:v>0</x:v>
      </x:c>
      <x:c r="J311" s="11"/>
      <x:c r="K311" s="1" t="str">
        <x:v>GFGC7400OC</x:v>
      </x:c>
      <x:c r="L311" s="1" t="str">
        <x:v>=+D307</x:v>
      </x:c>
    </x:row>
    <x:row r="312" ht="21" customHeight="1">
      <x:c r="A312" s="5" t="n">
        <x:v>46276</x:v>
      </x:c>
      <x:c r="B312" s="11" t="n">
        <x:v>262.49</x:v>
      </x:c>
      <x:c r="C312" s="11" t="n">
        <x:v>238090352</x:v>
      </x:c>
      <x:c r="D312" s="11" t="n">
        <x:v>350</x:v>
      </x:c>
      <x:c r="E312" s="11" t="n">
        <x:v>254.99</x:v>
      </x:c>
      <x:c r="F312" s="11" t="n">
        <x:v>380</x:v>
      </x:c>
      <x:c r="G312" s="11" t="n">
        <x:v>241</x:v>
      </x:c>
      <x:c r="H312" s="11" t="n">
        <x:v>0</x:v>
      </x:c>
      <x:c r="I312" s="11" t="n">
        <x:v>0</x:v>
      </x:c>
      <x:c r="J312" s="11"/>
      <x:c r="K312" s="1" t="str">
        <x:v>GFGC7400OC</x:v>
      </x:c>
      <x:c r="L312" s="1" t="str">
        <x:v>=+D308</x:v>
      </x:c>
    </x:row>
    <x:row r="313" ht="21" customHeight="1">
      <x:c r="A313" s="5" t="n">
        <x:v>46279</x:v>
      </x:c>
      <x:c r="B313" s="11" t="n">
        <x:v>198.36</x:v>
      </x:c>
      <x:c r="C313" s="11" t="n">
        <x:v>139453056</x:v>
      </x:c>
      <x:c r="D313" s="11" t="n">
        <x:v>254.99</x:v>
      </x:c>
      <x:c r="E313" s="11" t="n">
        <x:v>180</x:v>
      </x:c>
      <x:c r="F313" s="11" t="n">
        <x:v>254.99</x:v>
      </x:c>
      <x:c r="G313" s="11" t="n">
        <x:v>180</x:v>
      </x:c>
      <x:c r="H313" s="11" t="n">
        <x:v>0</x:v>
      </x:c>
      <x:c r="I313" s="11" t="n">
        <x:v>0</x:v>
      </x:c>
      <x:c r="J313" s="11"/>
      <x:c r="K313" s="1" t="str">
        <x:v>GFGC7400OC</x:v>
      </x:c>
      <x:c r="L313" s="1" t="str">
        <x:v>=+D309</x:v>
      </x:c>
    </x:row>
    <x:row r="314" ht="21" customHeight="1">
      <x:c r="A314" s="5" t="n">
        <x:v>46280</x:v>
      </x:c>
      <x:c r="B314" s="11" t="n">
        <x:v>148.96</x:v>
      </x:c>
      <x:c r="C314" s="11" t="n">
        <x:v>138135056</x:v>
      </x:c>
      <x:c r="D314" s="11" t="n">
        <x:v>180</x:v>
      </x:c>
      <x:c r="E314" s="11" t="n">
        <x:v>111</x:v>
      </x:c>
      <x:c r="F314" s="11" t="n">
        <x:v>180</x:v>
      </x:c>
      <x:c r="G314" s="11" t="n">
        <x:v>134.4</x:v>
      </x:c>
      <x:c r="H314" s="11" t="n">
        <x:v>0</x:v>
      </x:c>
      <x:c r="I314" s="11" t="n">
        <x:v>0</x:v>
      </x:c>
      <x:c r="J314" s="11"/>
      <x:c r="K314" s="1" t="str">
        <x:v>GFGC7400OC</x:v>
      </x:c>
      <x:c r="L314" s="1" t="str">
        <x:v>=+D310</x:v>
      </x:c>
    </x:row>
    <x:row r="315" ht="21" customHeight="1">
      <x:c r="A315" s="5" t="n">
        <x:v>46281</x:v>
      </x:c>
      <x:c r="B315" s="11" t="n">
        <x:v>157.14</x:v>
      </x:c>
      <x:c r="C315" s="11" t="n">
        <x:v>192882096</x:v>
      </x:c>
      <x:c r="D315" s="11" t="n">
        <x:v>111</x:v>
      </x:c>
      <x:c r="E315" s="11" t="n">
        <x:v>230</x:v>
      </x:c>
      <x:c r="F315" s="11" t="n">
        <x:v>177.99</x:v>
      </x:c>
      <x:c r="G315" s="11" t="n">
        <x:v>111</x:v>
      </x:c>
      <x:c r="H315" s="11" t="n">
        <x:v>0</x:v>
      </x:c>
      <x:c r="I315" s="11" t="n">
        <x:v>0</x:v>
      </x:c>
      <x:c r="J315" s="11"/>
      <x:c r="K315" s="1" t="str">
        <x:v>GFGC7400OC</x:v>
      </x:c>
      <x:c r="L315" s="1" t="str">
        <x:v>=+D311</x:v>
      </x:c>
    </x:row>
    <x:row r="316" ht="21" customHeight="1">
      <x:c r="A316" s="5" t="n">
        <x:v>46255</x:v>
      </x:c>
      <x:c r="B316" s="11" t="n">
        <x:v>215.5</x:v>
      </x:c>
      <x:c r="C316" s="11" t="n">
        <x:v>132477656</x:v>
      </x:c>
      <x:c r="D316" s="11" t="n">
        <x:v>230</x:v>
      </x:c>
      <x:c r="E316" s="11" t="n">
        <x:v>195</x:v>
      </x:c>
      <x:c r="F316" s="11" t="n">
        <x:v>266</x:v>
      </x:c>
      <x:c r="G316" s="11" t="n">
        <x:v>205.01</x:v>
      </x:c>
      <x:c r="H316" s="11" t="n">
        <x:v>0</x:v>
      </x:c>
      <x:c r="I316" s="11" t="n">
        <x:v>0</x:v>
      </x:c>
      <x:c r="J316" s="11"/>
      <x:c r="K316" s="1" t="str">
        <x:v>GFGC7600OC</x:v>
      </x:c>
      <x:c r="L316" s="1" t="str">
        <x:v>=+D312</x:v>
      </x:c>
    </x:row>
    <x:row r="317" ht="21" customHeight="1">
      <x:c r="A317" s="5" t="n">
        <x:v>46258</x:v>
      </x:c>
      <x:c r="B317" s="11" t="n">
        <x:v>327.63</x:v>
      </x:c>
      <x:c r="C317" s="11" t="n">
        <x:v>451646272</x:v>
      </x:c>
      <x:c r="D317" s="11" t="n">
        <x:v>195</x:v>
      </x:c>
      <x:c r="E317" s="11" t="n">
        <x:v>330</x:v>
      </x:c>
      <x:c r="F317" s="11" t="n">
        <x:v>345</x:v>
      </x:c>
      <x:c r="G317" s="11" t="n">
        <x:v>195</x:v>
      </x:c>
      <x:c r="H317" s="11" t="n">
        <x:v>0</x:v>
      </x:c>
      <x:c r="I317" s="11" t="n">
        <x:v>0</x:v>
      </x:c>
      <x:c r="J317" s="11"/>
      <x:c r="K317" s="1" t="str">
        <x:v>GFGC7600OC</x:v>
      </x:c>
      <x:c r="L317" s="1" t="str">
        <x:v>=+D313</x:v>
      </x:c>
    </x:row>
    <x:row r="318" ht="21" customHeight="1">
      <x:c r="A318" s="5" t="n">
        <x:v>46259</x:v>
      </x:c>
      <x:c r="B318" s="11" t="n">
        <x:v>334.73</x:v>
      </x:c>
      <x:c r="C318" s="11" t="n">
        <x:v>250671824</x:v>
      </x:c>
      <x:c r="D318" s="11" t="n">
        <x:v>330</x:v>
      </x:c>
      <x:c r="E318" s="11" t="n">
        <x:v>392.1</x:v>
      </x:c>
      <x:c r="F318" s="11" t="n">
        <x:v>344</x:v>
      </x:c>
      <x:c r="G318" s="11" t="n">
        <x:v>285</x:v>
      </x:c>
      <x:c r="H318" s="11" t="n">
        <x:v>0</x:v>
      </x:c>
      <x:c r="I318" s="11" t="n">
        <x:v>0</x:v>
      </x:c>
      <x:c r="J318" s="11"/>
      <x:c r="K318" s="1" t="str">
        <x:v>GFGC7600OC</x:v>
      </x:c>
      <x:c r="L318" s="1" t="str">
        <x:v>=+D314</x:v>
      </x:c>
    </x:row>
    <x:row r="319" ht="21" customHeight="1">
      <x:c r="A319" s="5" t="n">
        <x:v>46260</x:v>
      </x:c>
      <x:c r="B319" s="11" t="n">
        <x:v>316.15</x:v>
      </x:c>
      <x:c r="C319" s="11" t="n">
        <x:v>341615136</x:v>
      </x:c>
      <x:c r="D319" s="11" t="n">
        <x:v>392.1</x:v>
      </x:c>
      <x:c r="E319" s="11" t="n">
        <x:v>379</x:v>
      </x:c>
      <x:c r="F319" s="11" t="n">
        <x:v>392.1</x:v>
      </x:c>
      <x:c r="G319" s="11" t="n">
        <x:v>300</x:v>
      </x:c>
      <x:c r="H319" s="11" t="n">
        <x:v>0</x:v>
      </x:c>
      <x:c r="I319" s="11" t="n">
        <x:v>0</x:v>
      </x:c>
      <x:c r="J319" s="11"/>
      <x:c r="K319" s="1" t="str">
        <x:v>GFGC7600OC</x:v>
      </x:c>
      <x:c r="L319" s="1" t="str">
        <x:v>=+D315</x:v>
      </x:c>
    </x:row>
    <x:row r="320" ht="21" customHeight="1">
      <x:c r="A320" s="5" t="n">
        <x:v>46261</x:v>
      </x:c>
      <x:c r="B320" s="11" t="n">
        <x:v>247.62</x:v>
      </x:c>
      <x:c r="C320" s="11" t="n">
        <x:v>235826448</x:v>
      </x:c>
      <x:c r="D320" s="11" t="n">
        <x:v>379</x:v>
      </x:c>
      <x:c r="E320" s="11" t="n">
        <x:v>245.89</x:v>
      </x:c>
      <x:c r="F320" s="11" t="n">
        <x:v>379</x:v>
      </x:c>
      <x:c r="G320" s="11" t="n">
        <x:v>247.02</x:v>
      </x:c>
      <x:c r="H320" s="11" t="n">
        <x:v>0</x:v>
      </x:c>
      <x:c r="I320" s="11" t="n">
        <x:v>0</x:v>
      </x:c>
      <x:c r="J320" s="11"/>
      <x:c r="K320" s="1" t="str">
        <x:v>GFGC7600OC</x:v>
      </x:c>
      <x:c r="L320" s="1" t="str">
        <x:v>=+D316</x:v>
      </x:c>
    </x:row>
    <x:row r="321" ht="21" customHeight="1">
      <x:c r="A321" s="5" t="n">
        <x:v>46262</x:v>
      </x:c>
      <x:c r="B321" s="11" t="n">
        <x:v>220.2</x:v>
      </x:c>
      <x:c r="C321" s="11" t="n">
        <x:v>148961920</x:v>
      </x:c>
      <x:c r="D321" s="11" t="n">
        <x:v>245.89</x:v>
      </x:c>
      <x:c r="E321" s="11" t="n">
        <x:v>229</x:v>
      </x:c>
      <x:c r="F321" s="11" t="n">
        <x:v>245.9</x:v>
      </x:c>
      <x:c r="G321" s="11" t="n">
        <x:v>180.9</x:v>
      </x:c>
      <x:c r="H321" s="11" t="n">
        <x:v>0</x:v>
      </x:c>
      <x:c r="I321" s="11" t="n">
        <x:v>0</x:v>
      </x:c>
      <x:c r="J321" s="11"/>
      <x:c r="K321" s="1" t="str">
        <x:v>GFGC7600OC</x:v>
      </x:c>
      <x:c r="L321" s="1" t="str">
        <x:v>=+D317</x:v>
      </x:c>
    </x:row>
    <x:row r="322" ht="21" customHeight="1">
      <x:c r="A322" s="5" t="n">
        <x:v>46265</x:v>
      </x:c>
      <x:c r="B322" s="11" t="n">
        <x:v>290.9</x:v>
      </x:c>
      <x:c r="C322" s="11" t="n">
        <x:v>436639936</x:v>
      </x:c>
      <x:c r="D322" s="11" t="n">
        <x:v>229</x:v>
      </x:c>
      <x:c r="E322" s="11" t="n">
        <x:v>260</x:v>
      </x:c>
      <x:c r="F322" s="11" t="n">
        <x:v>329</x:v>
      </x:c>
      <x:c r="G322" s="11" t="n">
        <x:v>215.03</x:v>
      </x:c>
      <x:c r="H322" s="11" t="n">
        <x:v>0</x:v>
      </x:c>
      <x:c r="I322" s="11" t="n">
        <x:v>0</x:v>
      </x:c>
      <x:c r="J322" s="11"/>
      <x:c r="K322" s="1" t="str">
        <x:v>GFGC7600OC</x:v>
      </x:c>
      <x:c r="L322" s="1" t="str">
        <x:v>=+D318</x:v>
      </x:c>
    </x:row>
    <x:row r="323" ht="21" customHeight="1">
      <x:c r="A323" s="5" t="n">
        <x:v>46266</x:v>
      </x:c>
      <x:c r="B323" s="11" t="n">
        <x:v>295.41</x:v>
      </x:c>
      <x:c r="C323" s="11" t="n">
        <x:v>604005568</x:v>
      </x:c>
      <x:c r="D323" s="11" t="n">
        <x:v>260</x:v>
      </x:c>
      <x:c r="E323" s="11" t="n">
        <x:v>315</x:v>
      </x:c>
      <x:c r="F323" s="11" t="n">
        <x:v>350</x:v>
      </x:c>
      <x:c r="G323" s="11" t="n">
        <x:v>250</x:v>
      </x:c>
      <x:c r="H323" s="11" t="n">
        <x:v>0</x:v>
      </x:c>
      <x:c r="I323" s="11" t="n">
        <x:v>0</x:v>
      </x:c>
      <x:c r="J323" s="11"/>
      <x:c r="K323" s="1" t="str">
        <x:v>GFGC7600OC</x:v>
      </x:c>
      <x:c r="L323" s="1" t="str">
        <x:v>=+D319</x:v>
      </x:c>
    </x:row>
    <x:row r="324" ht="21" customHeight="1">
      <x:c r="A324" s="5" t="n">
        <x:v>46267</x:v>
      </x:c>
      <x:c r="B324" s="11" t="n">
        <x:v>324.11</x:v>
      </x:c>
      <x:c r="C324" s="11" t="n">
        <x:v>425418784</x:v>
      </x:c>
      <x:c r="D324" s="11" t="n">
        <x:v>315</x:v>
      </x:c>
      <x:c r="E324" s="11" t="n">
        <x:v>331</x:v>
      </x:c>
      <x:c r="F324" s="11" t="n">
        <x:v>329</x:v>
      </x:c>
      <x:c r="G324" s="11" t="n">
        <x:v>271.5</x:v>
      </x:c>
      <x:c r="H324" s="11" t="n">
        <x:v>0</x:v>
      </x:c>
      <x:c r="I324" s="11" t="n">
        <x:v>0</x:v>
      </x:c>
      <x:c r="J324" s="11"/>
      <x:c r="K324" s="1" t="str">
        <x:v>GFGC7600OC</x:v>
      </x:c>
      <x:c r="L324" s="1" t="str">
        <x:v>=+D320</x:v>
      </x:c>
    </x:row>
    <x:row r="325" ht="21" customHeight="1">
      <x:c r="A325" s="5" t="n">
        <x:v>46268</x:v>
      </x:c>
      <x:c r="B325" s="11" t="n">
        <x:v>280.92</x:v>
      </x:c>
      <x:c r="C325" s="11" t="n">
        <x:v>732142336</x:v>
      </x:c>
      <x:c r="D325" s="11" t="n">
        <x:v>331</x:v>
      </x:c>
      <x:c r="E325" s="11" t="n">
        <x:v>280</x:v>
      </x:c>
      <x:c r="F325" s="11" t="n">
        <x:v>383</x:v>
      </x:c>
      <x:c r="G325" s="11" t="n">
        <x:v>273</x:v>
      </x:c>
      <x:c r="H325" s="11" t="n">
        <x:v>0</x:v>
      </x:c>
      <x:c r="I325" s="11" t="n">
        <x:v>0</x:v>
      </x:c>
      <x:c r="J325" s="11"/>
      <x:c r="K325" s="1" t="str">
        <x:v>GFGC7600OC</x:v>
      </x:c>
      <x:c r="L325" s="1" t="str">
        <x:v>=+D321</x:v>
      </x:c>
    </x:row>
    <x:row r="326" ht="21" customHeight="1">
      <x:c r="A326" s="5" t="n">
        <x:v>46269</x:v>
      </x:c>
      <x:c r="B326" s="11" t="n">
        <x:v>246.84</x:v>
      </x:c>
      <x:c r="C326" s="11" t="n">
        <x:v>310533568</x:v>
      </x:c>
      <x:c r="D326" s="11" t="n">
        <x:v>280</x:v>
      </x:c>
      <x:c r="E326" s="11" t="n">
        <x:v>231</x:v>
      </x:c>
      <x:c r="F326" s="11" t="n">
        <x:v>282</x:v>
      </x:c>
      <x:c r="G326" s="11" t="n">
        <x:v>216</x:v>
      </x:c>
      <x:c r="H326" s="11" t="n">
        <x:v>0</x:v>
      </x:c>
      <x:c r="I326" s="11" t="n">
        <x:v>0</x:v>
      </x:c>
      <x:c r="J326" s="11"/>
      <x:c r="K326" s="1" t="str">
        <x:v>GFGC7600OC</x:v>
      </x:c>
      <x:c r="L326" s="1" t="str">
        <x:v>=+D322</x:v>
      </x:c>
    </x:row>
    <x:row r="327" ht="21" customHeight="1">
      <x:c r="A327" s="5" t="n">
        <x:v>46272</x:v>
      </x:c>
      <x:c r="B327" s="11" t="n">
        <x:v>221.81</x:v>
      </x:c>
      <x:c r="C327" s="11" t="n">
        <x:v>49931008</x:v>
      </x:c>
      <x:c r="D327" s="11" t="n">
        <x:v>231</x:v>
      </x:c>
      <x:c r="E327" s="11" t="n">
        <x:v>240</x:v>
      </x:c>
      <x:c r="F327" s="11" t="n">
        <x:v>246</x:v>
      </x:c>
      <x:c r="G327" s="11" t="n">
        <x:v>220</x:v>
      </x:c>
      <x:c r="H327" s="11" t="n">
        <x:v>0</x:v>
      </x:c>
      <x:c r="I327" s="11" t="n">
        <x:v>0</x:v>
      </x:c>
      <x:c r="J327" s="11"/>
      <x:c r="K327" s="1" t="str">
        <x:v>GFGC7600OC</x:v>
      </x:c>
      <x:c r="L327" s="1" t="str">
        <x:v>=+D323</x:v>
      </x:c>
    </x:row>
    <x:row r="328" ht="21" customHeight="1">
      <x:c r="A328" s="5" t="n">
        <x:v>46273</x:v>
      </x:c>
      <x:c r="B328" s="11" t="n">
        <x:v>227.39</x:v>
      </x:c>
      <x:c r="C328" s="11" t="n">
        <x:v>340755424</x:v>
      </x:c>
      <x:c r="D328" s="11" t="n">
        <x:v>240</x:v>
      </x:c>
      <x:c r="E328" s="11" t="n">
        <x:v>210</x:v>
      </x:c>
      <x:c r="F328" s="11" t="n">
        <x:v>247.9</x:v>
      </x:c>
      <x:c r="G328" s="11" t="n">
        <x:v>189.34</x:v>
      </x:c>
      <x:c r="H328" s="11" t="n">
        <x:v>0</x:v>
      </x:c>
      <x:c r="I328" s="11" t="n">
        <x:v>0</x:v>
      </x:c>
      <x:c r="J328" s="11"/>
      <x:c r="K328" s="1" t="str">
        <x:v>GFGC7600OC</x:v>
      </x:c>
      <x:c r="L328" s="1" t="str">
        <x:v>=+D324</x:v>
      </x:c>
    </x:row>
    <x:row r="329" ht="21" customHeight="1">
      <x:c r="A329" s="5" t="n">
        <x:v>46274</x:v>
      </x:c>
      <x:c r="B329" s="11" t="n">
        <x:v>247.27</x:v>
      </x:c>
      <x:c r="C329" s="11" t="n">
        <x:v>318630720</x:v>
      </x:c>
      <x:c r="D329" s="11" t="n">
        <x:v>210</x:v>
      </x:c>
      <x:c r="E329" s="11" t="n">
        <x:v>210</x:v>
      </x:c>
      <x:c r="F329" s="11" t="n">
        <x:v>275</x:v>
      </x:c>
      <x:c r="G329" s="11" t="n">
        <x:v>187</x:v>
      </x:c>
      <x:c r="H329" s="11" t="n">
        <x:v>0</x:v>
      </x:c>
      <x:c r="I329" s="11" t="n">
        <x:v>0</x:v>
      </x:c>
      <x:c r="J329" s="11"/>
      <x:c r="K329" s="1" t="str">
        <x:v>GFGC7600OC</x:v>
      </x:c>
      <x:c r="L329" s="1" t="str">
        <x:v>=+D325</x:v>
      </x:c>
    </x:row>
    <x:row r="330" ht="21" customHeight="1">
      <x:c r="A330" s="5" t="n">
        <x:v>46275</x:v>
      </x:c>
      <x:c r="B330" s="11" t="n">
        <x:v>254.8</x:v>
      </x:c>
      <x:c r="C330" s="11" t="n">
        <x:v>737521280</x:v>
      </x:c>
      <x:c r="D330" s="11" t="n">
        <x:v>210</x:v>
      </x:c>
      <x:c r="E330" s="11" t="n">
        <x:v>295</x:v>
      </x:c>
      <x:c r="F330" s="11" t="n">
        <x:v>325</x:v>
      </x:c>
      <x:c r="G330" s="11" t="n">
        <x:v>210</x:v>
      </x:c>
      <x:c r="H330" s="11" t="n">
        <x:v>0</x:v>
      </x:c>
      <x:c r="I330" s="11" t="n">
        <x:v>0</x:v>
      </x:c>
      <x:c r="J330" s="11"/>
      <x:c r="K330" s="1" t="str">
        <x:v>GFGC7600OC</x:v>
      </x:c>
      <x:c r="L330" s="1" t="str">
        <x:v>=+D326</x:v>
      </x:c>
    </x:row>
    <x:row r="331" ht="21" customHeight="1">
      <x:c r="A331" s="5" t="n">
        <x:v>46276</x:v>
      </x:c>
      <x:c r="B331" s="11" t="n">
        <x:v>198.58</x:v>
      </x:c>
      <x:c r="C331" s="11" t="n">
        <x:v>419532128</x:v>
      </x:c>
      <x:c r="D331" s="11" t="n">
        <x:v>295</x:v>
      </x:c>
      <x:c r="E331" s="11" t="n">
        <x:v>170</x:v>
      </x:c>
      <x:c r="F331" s="11" t="n">
        <x:v>295</x:v>
      </x:c>
      <x:c r="G331" s="11" t="n">
        <x:v>180.11</x:v>
      </x:c>
      <x:c r="H331" s="11" t="n">
        <x:v>0</x:v>
      </x:c>
      <x:c r="I331" s="11" t="n">
        <x:v>0</x:v>
      </x:c>
      <x:c r="J331" s="11"/>
      <x:c r="K331" s="1" t="str">
        <x:v>GFGC7600OC</x:v>
      </x:c>
      <x:c r="L331" s="1" t="str">
        <x:v>=+D327</x:v>
      </x:c>
    </x:row>
    <x:row r="332" ht="21" customHeight="1">
      <x:c r="A332" s="5" t="n">
        <x:v>46279</x:v>
      </x:c>
      <x:c r="B332" s="11" t="n">
        <x:v>145.5</x:v>
      </x:c>
      <x:c r="C332" s="11" t="n">
        <x:v>340783872</x:v>
      </x:c>
      <x:c r="D332" s="11" t="n">
        <x:v>170</x:v>
      </x:c>
      <x:c r="E332" s="11" t="n">
        <x:v>125</x:v>
      </x:c>
      <x:c r="F332" s="11" t="n">
        <x:v>183</x:v>
      </x:c>
      <x:c r="G332" s="11" t="n">
        <x:v>140</x:v>
      </x:c>
      <x:c r="H332" s="11" t="n">
        <x:v>0</x:v>
      </x:c>
      <x:c r="I332" s="11" t="n">
        <x:v>0</x:v>
      </x:c>
      <x:c r="J332" s="11"/>
      <x:c r="K332" s="1" t="str">
        <x:v>GFGC7600OC</x:v>
      </x:c>
      <x:c r="L332" s="1" t="str">
        <x:v>=+D328</x:v>
      </x:c>
    </x:row>
    <x:row r="333" ht="21" customHeight="1">
      <x:c r="A333" s="5" t="n">
        <x:v>46280</x:v>
      </x:c>
      <x:c r="B333" s="11" t="n">
        <x:v>106.1</x:v>
      </x:c>
      <x:c r="C333" s="11" t="n">
        <x:v>340337472</x:v>
      </x:c>
      <x:c r="D333" s="11" t="n">
        <x:v>125</x:v>
      </x:c>
      <x:c r="E333" s="11" t="n">
        <x:v>97</x:v>
      </x:c>
      <x:c r="F333" s="11" t="n">
        <x:v>130</x:v>
      </x:c>
      <x:c r="G333" s="11" t="n">
        <x:v>95.1</x:v>
      </x:c>
      <x:c r="H333" s="11" t="n">
        <x:v>0</x:v>
      </x:c>
      <x:c r="I333" s="11" t="n">
        <x:v>0</x:v>
      </x:c>
      <x:c r="J333" s="11"/>
      <x:c r="K333" s="1" t="str">
        <x:v>GFGC7600OC</x:v>
      </x:c>
      <x:c r="L333" s="1" t="str">
        <x:v>=+D329</x:v>
      </x:c>
    </x:row>
    <x:row r="334" ht="21" customHeight="1">
      <x:c r="A334" s="5" t="n">
        <x:v>46281</x:v>
      </x:c>
      <x:c r="B334" s="11" t="n">
        <x:v>107.66</x:v>
      </x:c>
      <x:c r="C334" s="11" t="n">
        <x:v>235477376</x:v>
      </x:c>
      <x:c r="D334" s="11" t="n">
        <x:v>97</x:v>
      </x:c>
      <x:c r="E334" s="11" t="n">
        <x:v>200</x:v>
      </x:c>
      <x:c r="F334" s="11" t="n">
        <x:v>127</x:v>
      </x:c>
      <x:c r="G334" s="11" t="n">
        <x:v>95</x:v>
      </x:c>
      <x:c r="H334" s="11" t="n">
        <x:v>0</x:v>
      </x:c>
      <x:c r="I334" s="11" t="n">
        <x:v>0</x:v>
      </x:c>
      <x:c r="J334" s="11"/>
      <x:c r="K334" s="1" t="str">
        <x:v>GFGC7600OC</x:v>
      </x:c>
      <x:c r="L334" s="1" t="str">
        <x:v>=+D330</x:v>
      </x:c>
    </x:row>
    <x:row r="335" ht="21" customHeight="1">
      <x:c r="A335" s="5" t="n">
        <x:v>46255</x:v>
      </x:c>
      <x:c r="B335" s="11" t="n">
        <x:v>175.19</x:v>
      </x:c>
      <x:c r="C335" s="11" t="n">
        <x:v>75230696</x:v>
      </x:c>
      <x:c r="D335" s="11" t="n">
        <x:v>200</x:v>
      </x:c>
      <x:c r="E335" s="11" t="n">
        <x:v>180</x:v>
      </x:c>
      <x:c r="F335" s="11" t="n">
        <x:v>215</x:v>
      </x:c>
      <x:c r="G335" s="11" t="n">
        <x:v>172.01</x:v>
      </x:c>
      <x:c r="H335" s="11" t="n">
        <x:v>0</x:v>
      </x:c>
      <x:c r="I335" s="11" t="n">
        <x:v>0</x:v>
      </x:c>
      <x:c r="J335" s="11"/>
      <x:c r="K335" s="1" t="str">
        <x:v>GFGC7800OC</x:v>
      </x:c>
      <x:c r="L335" s="1" t="str">
        <x:v>=+D331</x:v>
      </x:c>
    </x:row>
    <x:row r="336" ht="21" customHeight="1">
      <x:c r="A336" s="5" t="n">
        <x:v>46258</x:v>
      </x:c>
      <x:c r="B336" s="11" t="n">
        <x:v>260.44</x:v>
      </x:c>
      <x:c r="C336" s="11" t="n">
        <x:v>237724912</x:v>
      </x:c>
      <x:c r="D336" s="11" t="n">
        <x:v>180</x:v>
      </x:c>
      <x:c r="E336" s="11" t="n">
        <x:v>258</x:v>
      </x:c>
      <x:c r="F336" s="11" t="n">
        <x:v>280.9</x:v>
      </x:c>
      <x:c r="G336" s="11" t="n">
        <x:v>160</x:v>
      </x:c>
      <x:c r="H336" s="11" t="n">
        <x:v>0</x:v>
      </x:c>
      <x:c r="I336" s="11" t="n">
        <x:v>0</x:v>
      </x:c>
      <x:c r="J336" s="11"/>
      <x:c r="K336" s="1" t="str">
        <x:v>GFGC7800OC</x:v>
      </x:c>
      <x:c r="L336" s="1" t="str">
        <x:v>=+D332</x:v>
      </x:c>
    </x:row>
    <x:row r="337" ht="21" customHeight="1">
      <x:c r="A337" s="5" t="n">
        <x:v>46259</x:v>
      </x:c>
      <x:c r="B337" s="11" t="n">
        <x:v>267.97</x:v>
      </x:c>
      <x:c r="C337" s="11" t="n">
        <x:v>166736800</x:v>
      </x:c>
      <x:c r="D337" s="11" t="n">
        <x:v>258</x:v>
      </x:c>
      <x:c r="E337" s="11" t="n">
        <x:v>290</x:v>
      </x:c>
      <x:c r="F337" s="11" t="n">
        <x:v>280</x:v>
      </x:c>
      <x:c r="G337" s="11" t="n">
        <x:v>180</x:v>
      </x:c>
      <x:c r="H337" s="11" t="n">
        <x:v>0</x:v>
      </x:c>
      <x:c r="I337" s="11" t="n">
        <x:v>0</x:v>
      </x:c>
      <x:c r="J337" s="11"/>
      <x:c r="K337" s="1" t="str">
        <x:v>GFGC7800OC</x:v>
      </x:c>
      <x:c r="L337" s="1" t="str">
        <x:v>=+D333</x:v>
      </x:c>
    </x:row>
    <x:row r="338" ht="21" customHeight="1">
      <x:c r="A338" s="5" t="n">
        <x:v>46260</x:v>
      </x:c>
      <x:c r="B338" s="11" t="n">
        <x:v>250.53</x:v>
      </x:c>
      <x:c r="C338" s="11" t="n">
        <x:v>203807680</x:v>
      </x:c>
      <x:c r="D338" s="11" t="n">
        <x:v>290</x:v>
      </x:c>
      <x:c r="E338" s="11" t="n">
        <x:v>211</x:v>
      </x:c>
      <x:c r="F338" s="11" t="n">
        <x:v>315</x:v>
      </x:c>
      <x:c r="G338" s="11" t="n">
        <x:v>239</x:v>
      </x:c>
      <x:c r="H338" s="11" t="n">
        <x:v>0</x:v>
      </x:c>
      <x:c r="I338" s="11" t="n">
        <x:v>0</x:v>
      </x:c>
      <x:c r="J338" s="11"/>
      <x:c r="K338" s="1" t="str">
        <x:v>GFGC7800OC</x:v>
      </x:c>
      <x:c r="L338" s="1" t="str">
        <x:v>=+D334</x:v>
      </x:c>
    </x:row>
    <x:row r="339" ht="21" customHeight="1">
      <x:c r="A339" s="5" t="n">
        <x:v>46261</x:v>
      </x:c>
      <x:c r="B339" s="11" t="n">
        <x:v>190.51</x:v>
      </x:c>
      <x:c r="C339" s="11" t="n">
        <x:v>184256096</x:v>
      </x:c>
      <x:c r="D339" s="11" t="n">
        <x:v>211</x:v>
      </x:c>
      <x:c r="E339" s="11" t="n">
        <x:v>196</x:v>
      </x:c>
      <x:c r="F339" s="11" t="n">
        <x:v>275</x:v>
      </x:c>
      <x:c r="G339" s="11" t="n">
        <x:v>188</x:v>
      </x:c>
      <x:c r="H339" s="11" t="n">
        <x:v>0</x:v>
      </x:c>
      <x:c r="I339" s="11" t="n">
        <x:v>0</x:v>
      </x:c>
      <x:c r="J339" s="11"/>
      <x:c r="K339" s="1" t="str">
        <x:v>GFGC7800OC</x:v>
      </x:c>
      <x:c r="L339" s="1" t="str">
        <x:v>=+D335</x:v>
      </x:c>
    </x:row>
    <x:row r="340" ht="21" customHeight="1">
      <x:c r="A340" s="5" t="n">
        <x:v>46262</x:v>
      </x:c>
      <x:c r="B340" s="11" t="n">
        <x:v>169.15</x:v>
      </x:c>
      <x:c r="C340" s="11" t="n">
        <x:v>85362800</x:v>
      </x:c>
      <x:c r="D340" s="11" t="n">
        <x:v>196</x:v>
      </x:c>
      <x:c r="E340" s="11" t="n">
        <x:v>176.79</x:v>
      </x:c>
      <x:c r="F340" s="11" t="n">
        <x:v>196</x:v>
      </x:c>
      <x:c r="G340" s="11" t="n">
        <x:v>143</x:v>
      </x:c>
      <x:c r="H340" s="11" t="n">
        <x:v>0</x:v>
      </x:c>
      <x:c r="I340" s="11" t="n">
        <x:v>0</x:v>
      </x:c>
      <x:c r="J340" s="11"/>
      <x:c r="K340" s="1" t="str">
        <x:v>GFGC7800OC</x:v>
      </x:c>
      <x:c r="L340" s="1" t="str">
        <x:v>=+D336</x:v>
      </x:c>
    </x:row>
    <x:row r="341" ht="21" customHeight="1">
      <x:c r="A341" s="5" t="n">
        <x:v>46265</x:v>
      </x:c>
      <x:c r="B341" s="11" t="n">
        <x:v>228.38</x:v>
      </x:c>
      <x:c r="C341" s="11" t="n">
        <x:v>221219120</x:v>
      </x:c>
      <x:c r="D341" s="11" t="n">
        <x:v>176.79</x:v>
      </x:c>
      <x:c r="E341" s="11" t="n">
        <x:v>200</x:v>
      </x:c>
      <x:c r="F341" s="11" t="n">
        <x:v>260</x:v>
      </x:c>
      <x:c r="G341" s="11" t="n">
        <x:v>166.34</x:v>
      </x:c>
      <x:c r="H341" s="11" t="n">
        <x:v>0</x:v>
      </x:c>
      <x:c r="I341" s="11" t="n">
        <x:v>0</x:v>
      </x:c>
      <x:c r="J341" s="11"/>
      <x:c r="K341" s="1" t="str">
        <x:v>GFGC7800OC</x:v>
      </x:c>
      <x:c r="L341" s="1" t="str">
        <x:v>=+D337</x:v>
      </x:c>
    </x:row>
    <x:row r="342" ht="21" customHeight="1">
      <x:c r="A342" s="5" t="n">
        <x:v>46266</x:v>
      </x:c>
      <x:c r="B342" s="11" t="n">
        <x:v>232.85</x:v>
      </x:c>
      <x:c r="C342" s="11" t="n">
        <x:v>234654592</x:v>
      </x:c>
      <x:c r="D342" s="11" t="n">
        <x:v>200</x:v>
      </x:c>
      <x:c r="E342" s="11" t="n">
        <x:v>220.01</x:v>
      </x:c>
      <x:c r="F342" s="11" t="n">
        <x:v>280</x:v>
      </x:c>
      <x:c r="G342" s="11" t="n">
        <x:v>190</x:v>
      </x:c>
      <x:c r="H342" s="11" t="n">
        <x:v>0</x:v>
      </x:c>
      <x:c r="I342" s="11" t="n">
        <x:v>0</x:v>
      </x:c>
      <x:c r="J342" s="11"/>
      <x:c r="K342" s="1" t="str">
        <x:v>GFGC7800OC</x:v>
      </x:c>
      <x:c r="L342" s="1" t="str">
        <x:v>=+D338</x:v>
      </x:c>
    </x:row>
    <x:row r="343" ht="21" customHeight="1">
      <x:c r="A343" s="5" t="n">
        <x:v>46267</x:v>
      </x:c>
      <x:c r="B343" s="11" t="n">
        <x:v>253.96</x:v>
      </x:c>
      <x:c r="C343" s="11" t="n">
        <x:v>211616976</x:v>
      </x:c>
      <x:c r="D343" s="11" t="n">
        <x:v>220.01</x:v>
      </x:c>
      <x:c r="E343" s="11" t="n">
        <x:v>246.71</x:v>
      </x:c>
      <x:c r="F343" s="11" t="n">
        <x:v>258</x:v>
      </x:c>
      <x:c r="G343" s="11" t="n">
        <x:v>210</x:v>
      </x:c>
      <x:c r="H343" s="11" t="n">
        <x:v>0</x:v>
      </x:c>
      <x:c r="I343" s="11" t="n">
        <x:v>0</x:v>
      </x:c>
      <x:c r="J343" s="11"/>
      <x:c r="K343" s="1" t="str">
        <x:v>GFGC7800OC</x:v>
      </x:c>
      <x:c r="L343" s="1" t="str">
        <x:v>=+D339</x:v>
      </x:c>
    </x:row>
    <x:row r="344" ht="21" customHeight="1">
      <x:c r="A344" s="5" t="n">
        <x:v>46268</x:v>
      </x:c>
      <x:c r="B344" s="11" t="n">
        <x:v>216.52</x:v>
      </x:c>
      <x:c r="C344" s="11" t="n">
        <x:v>219590544</x:v>
      </x:c>
      <x:c r="D344" s="11" t="n">
        <x:v>246.71</x:v>
      </x:c>
      <x:c r="E344" s="11" t="n">
        <x:v>217</x:v>
      </x:c>
      <x:c r="F344" s="11" t="n">
        <x:v>309</x:v>
      </x:c>
      <x:c r="G344" s="11" t="n">
        <x:v>208.01</x:v>
      </x:c>
      <x:c r="H344" s="11" t="n">
        <x:v>0</x:v>
      </x:c>
      <x:c r="I344" s="11" t="n">
        <x:v>0</x:v>
      </x:c>
      <x:c r="J344" s="11"/>
      <x:c r="K344" s="1" t="str">
        <x:v>GFGC7800OC</x:v>
      </x:c>
      <x:c r="L344" s="1" t="str">
        <x:v>=+D340</x:v>
      </x:c>
    </x:row>
    <x:row r="345" ht="21" customHeight="1">
      <x:c r="A345" s="5" t="n">
        <x:v>46269</x:v>
      </x:c>
      <x:c r="B345" s="11" t="n">
        <x:v>186.47</x:v>
      </x:c>
      <x:c r="C345" s="11" t="n">
        <x:v>154200416</x:v>
      </x:c>
      <x:c r="D345" s="11" t="n">
        <x:v>217</x:v>
      </x:c>
      <x:c r="E345" s="11" t="n">
        <x:v>188.98</x:v>
      </x:c>
      <x:c r="F345" s="11" t="n">
        <x:v>217</x:v>
      </x:c>
      <x:c r="G345" s="11" t="n">
        <x:v>180</x:v>
      </x:c>
      <x:c r="H345" s="11" t="n">
        <x:v>0</x:v>
      </x:c>
      <x:c r="I345" s="11" t="n">
        <x:v>0</x:v>
      </x:c>
      <x:c r="J345" s="11"/>
      <x:c r="K345" s="1" t="str">
        <x:v>GFGC7800OC</x:v>
      </x:c>
      <x:c r="L345" s="1" t="str">
        <x:v>=+D341</x:v>
      </x:c>
    </x:row>
    <x:row r="346" ht="21" customHeight="1">
      <x:c r="A346" s="5" t="n">
        <x:v>46272</x:v>
      </x:c>
      <x:c r="B346" s="11" t="n">
        <x:v>170.27</x:v>
      </x:c>
      <x:c r="C346" s="11" t="n">
        <x:v>12452155</x:v>
      </x:c>
      <x:c r="D346" s="11" t="n">
        <x:v>188.98</x:v>
      </x:c>
      <x:c r="E346" s="11" t="n">
        <x:v>171</x:v>
      </x:c>
      <x:c r="F346" s="11" t="n">
        <x:v>188.98</x:v>
      </x:c>
      <x:c r="G346" s="11" t="n">
        <x:v>154</x:v>
      </x:c>
      <x:c r="H346" s="11" t="n">
        <x:v>0</x:v>
      </x:c>
      <x:c r="I346" s="11" t="n">
        <x:v>0</x:v>
      </x:c>
      <x:c r="J346" s="11"/>
      <x:c r="K346" s="1" t="str">
        <x:v>GFGC7800OC</x:v>
      </x:c>
      <x:c r="L346" s="1" t="str">
        <x:v>=+D342</x:v>
      </x:c>
    </x:row>
    <x:row r="347" ht="21" customHeight="1">
      <x:c r="A347" s="5" t="n">
        <x:v>46273</x:v>
      </x:c>
      <x:c r="B347" s="11" t="n">
        <x:v>174.8</x:v>
      </x:c>
      <x:c r="C347" s="11" t="n">
        <x:v>101308856</x:v>
      </x:c>
      <x:c r="D347" s="11" t="n">
        <x:v>171</x:v>
      </x:c>
      <x:c r="E347" s="11" t="n">
        <x:v>155.01</x:v>
      </x:c>
      <x:c r="F347" s="11" t="n">
        <x:v>187.5</x:v>
      </x:c>
      <x:c r="G347" s="11" t="n">
        <x:v>140</x:v>
      </x:c>
      <x:c r="H347" s="11" t="n">
        <x:v>0</x:v>
      </x:c>
      <x:c r="I347" s="11" t="n">
        <x:v>0</x:v>
      </x:c>
      <x:c r="J347" s="11"/>
      <x:c r="K347" s="1" t="str">
        <x:v>GFGC7800OC</x:v>
      </x:c>
      <x:c r="L347" s="1" t="str">
        <x:v>=+D343</x:v>
      </x:c>
    </x:row>
    <x:row r="348" ht="21" customHeight="1">
      <x:c r="A348" s="5" t="n">
        <x:v>46274</x:v>
      </x:c>
      <x:c r="B348" s="11" t="n">
        <x:v>187.56</x:v>
      </x:c>
      <x:c r="C348" s="11" t="n">
        <x:v>143086560</x:v>
      </x:c>
      <x:c r="D348" s="11" t="n">
        <x:v>155.01</x:v>
      </x:c>
      <x:c r="E348" s="11" t="n">
        <x:v>165.99</x:v>
      </x:c>
      <x:c r="F348" s="11" t="n">
        <x:v>215</x:v>
      </x:c>
      <x:c r="G348" s="11" t="n">
        <x:v>130</x:v>
      </x:c>
      <x:c r="H348" s="11" t="n">
        <x:v>0</x:v>
      </x:c>
      <x:c r="I348" s="11" t="n">
        <x:v>0</x:v>
      </x:c>
      <x:c r="J348" s="11"/>
      <x:c r="K348" s="1" t="str">
        <x:v>GFGC7800OC</x:v>
      </x:c>
      <x:c r="L348" s="1" t="str">
        <x:v>=+D344</x:v>
      </x:c>
    </x:row>
    <x:row r="349" ht="21" customHeight="1">
      <x:c r="A349" s="5" t="n">
        <x:v>46275</x:v>
      </x:c>
      <x:c r="B349" s="11" t="n">
        <x:v>197.85</x:v>
      </x:c>
      <x:c r="C349" s="11" t="n">
        <x:v>189548272</x:v>
      </x:c>
      <x:c r="D349" s="11" t="n">
        <x:v>165.99</x:v>
      </x:c>
      <x:c r="E349" s="11" t="n">
        <x:v>240</x:v>
      </x:c>
      <x:c r="F349" s="11" t="n">
        <x:v>249.89</x:v>
      </x:c>
      <x:c r="G349" s="11" t="n">
        <x:v>164.99</x:v>
      </x:c>
      <x:c r="H349" s="11" t="n">
        <x:v>0</x:v>
      </x:c>
      <x:c r="I349" s="11" t="n">
        <x:v>0</x:v>
      </x:c>
      <x:c r="J349" s="11"/>
      <x:c r="K349" s="1" t="str">
        <x:v>GFGC7800OC</x:v>
      </x:c>
      <x:c r="L349" s="1" t="str">
        <x:v>=+D345</x:v>
      </x:c>
    </x:row>
    <x:row r="350" ht="21" customHeight="1">
      <x:c r="A350" s="5" t="n">
        <x:v>46276</x:v>
      </x:c>
      <x:c r="B350" s="11" t="n">
        <x:v>147.07</x:v>
      </x:c>
      <x:c r="C350" s="11" t="n">
        <x:v>114438280</x:v>
      </x:c>
      <x:c r="D350" s="11" t="n">
        <x:v>240</x:v>
      </x:c>
      <x:c r="E350" s="11" t="n">
        <x:v>143.77</x:v>
      </x:c>
      <x:c r="F350" s="11" t="n">
        <x:v>240</x:v>
      </x:c>
      <x:c r="G350" s="11" t="n">
        <x:v>137.5</x:v>
      </x:c>
      <x:c r="H350" s="11" t="n">
        <x:v>0</x:v>
      </x:c>
      <x:c r="I350" s="11" t="n">
        <x:v>0</x:v>
      </x:c>
      <x:c r="J350" s="11"/>
      <x:c r="K350" s="1" t="str">
        <x:v>GFGC7800OC</x:v>
      </x:c>
      <x:c r="L350" s="1" t="str">
        <x:v>=+D346</x:v>
      </x:c>
    </x:row>
    <x:row r="351" ht="21" customHeight="1">
      <x:c r="A351" s="5" t="n">
        <x:v>46279</x:v>
      </x:c>
      <x:c r="B351" s="11" t="n">
        <x:v>104.78</x:v>
      </x:c>
      <x:c r="C351" s="11" t="n">
        <x:v>100332312</x:v>
      </x:c>
      <x:c r="D351" s="11" t="n">
        <x:v>143.77</x:v>
      </x:c>
      <x:c r="E351" s="11" t="n">
        <x:v>95</x:v>
      </x:c>
      <x:c r="F351" s="11" t="n">
        <x:v>143.77</x:v>
      </x:c>
      <x:c r="G351" s="11" t="n">
        <x:v>102</x:v>
      </x:c>
      <x:c r="H351" s="11" t="n">
        <x:v>0</x:v>
      </x:c>
      <x:c r="I351" s="11" t="n">
        <x:v>0</x:v>
      </x:c>
      <x:c r="J351" s="11"/>
      <x:c r="K351" s="1" t="str">
        <x:v>GFGC7800OC</x:v>
      </x:c>
      <x:c r="L351" s="1" t="str">
        <x:v>=+D347</x:v>
      </x:c>
    </x:row>
    <x:row r="352" ht="21" customHeight="1">
      <x:c r="A352" s="5" t="n">
        <x:v>46280</x:v>
      </x:c>
      <x:c r="B352" s="11" t="n">
        <x:v>74.96</x:v>
      </x:c>
      <x:c r="C352" s="11" t="n">
        <x:v>103323992</x:v>
      </x:c>
      <x:c r="D352" s="11" t="n">
        <x:v>95</x:v>
      </x:c>
      <x:c r="E352" s="11" t="n">
        <x:v>75</x:v>
      </x:c>
      <x:c r="F352" s="11" t="n">
        <x:v>95</x:v>
      </x:c>
      <x:c r="G352" s="11" t="n">
        <x:v>67.03</x:v>
      </x:c>
      <x:c r="H352" s="11" t="n">
        <x:v>0</x:v>
      </x:c>
      <x:c r="I352" s="11" t="n">
        <x:v>0</x:v>
      </x:c>
      <x:c r="J352" s="11"/>
      <x:c r="K352" s="1" t="str">
        <x:v>GFGC7800OC</x:v>
      </x:c>
      <x:c r="L352" s="1" t="str">
        <x:v>=+D348</x:v>
      </x:c>
    </x:row>
    <x:row r="353" ht="21" customHeight="1">
      <x:c r="A353" s="5" t="n">
        <x:v>46281</x:v>
      </x:c>
      <x:c r="B353" s="11" t="n">
        <x:v>75.86</x:v>
      </x:c>
      <x:c r="C353" s="11" t="n">
        <x:v>97534584</x:v>
      </x:c>
      <x:c r="D353" s="11" t="n">
        <x:v>75</x:v>
      </x:c>
      <x:c r="E353" s="11" t="n">
        <x:v>190</x:v>
      </x:c>
      <x:c r="F353" s="11" t="n">
        <x:v>89.99</x:v>
      </x:c>
      <x:c r="G353" s="11" t="n">
        <x:v>67.01</x:v>
      </x:c>
      <x:c r="H353" s="11" t="n">
        <x:v>0</x:v>
      </x:c>
      <x:c r="I353" s="11" t="n">
        <x:v>0</x:v>
      </x:c>
      <x:c r="J353" s="11"/>
      <x:c r="K353" s="1" t="str">
        <x:v>GFGC7800OC</x:v>
      </x:c>
      <x:c r="L353" s="1" t="str">
        <x:v>=+D349</x:v>
      </x:c>
    </x:row>
    <x:row r="354" ht="21" customHeight="1">
      <x:c r="A354" s="5" t="n">
        <x:v>46255</x:v>
      </x:c>
      <x:c r="B354" s="11" t="n">
        <x:v>145.19</x:v>
      </x:c>
      <x:c r="C354" s="11" t="n">
        <x:v>68540312</x:v>
      </x:c>
      <x:c r="D354" s="11" t="n">
        <x:v>190</x:v>
      </x:c>
      <x:c r="E354" s="11" t="n">
        <x:v>140</x:v>
      </x:c>
      <x:c r="F354" s="11" t="n">
        <x:v>190</x:v>
      </x:c>
      <x:c r="G354" s="11" t="n">
        <x:v>134.6</x:v>
      </x:c>
      <x:c r="H354" s="11" t="n">
        <x:v>0</x:v>
      </x:c>
      <x:c r="I354" s="11" t="n">
        <x:v>0</x:v>
      </x:c>
      <x:c r="J354" s="11"/>
      <x:c r="K354" s="1" t="str">
        <x:v>GFGC8000OC</x:v>
      </x:c>
      <x:c r="L354" s="1" t="str">
        <x:v>=+D350</x:v>
      </x:c>
    </x:row>
    <x:row r="355" ht="21" customHeight="1">
      <x:c r="A355" s="5" t="n">
        <x:v>46258</x:v>
      </x:c>
      <x:c r="B355" s="11" t="n">
        <x:v>204.83</x:v>
      </x:c>
      <x:c r="C355" s="11" t="n">
        <x:v>348469600</x:v>
      </x:c>
      <x:c r="D355" s="11" t="n">
        <x:v>140</x:v>
      </x:c>
      <x:c r="E355" s="11" t="n">
        <x:v>210</x:v>
      </x:c>
      <x:c r="F355" s="11" t="n">
        <x:v>218</x:v>
      </x:c>
      <x:c r="G355" s="11" t="n">
        <x:v>127</x:v>
      </x:c>
      <x:c r="H355" s="11" t="n">
        <x:v>0</x:v>
      </x:c>
      <x:c r="I355" s="11" t="n">
        <x:v>0</x:v>
      </x:c>
      <x:c r="J355" s="11"/>
      <x:c r="K355" s="1" t="str">
        <x:v>GFGC8000OC</x:v>
      </x:c>
      <x:c r="L355" s="1" t="str">
        <x:v>=+D351</x:v>
      </x:c>
    </x:row>
    <x:row r="356" ht="21" customHeight="1">
      <x:c r="A356" s="5" t="n">
        <x:v>46259</x:v>
      </x:c>
      <x:c r="B356" s="11" t="n">
        <x:v>217.29</x:v>
      </x:c>
      <x:c r="C356" s="11" t="n">
        <x:v>492926656</x:v>
      </x:c>
      <x:c r="D356" s="11" t="n">
        <x:v>210</x:v>
      </x:c>
      <x:c r="E356" s="11" t="n">
        <x:v>220</x:v>
      </x:c>
      <x:c r="F356" s="11" t="n">
        <x:v>223</x:v>
      </x:c>
      <x:c r="G356" s="11" t="n">
        <x:v>170.5</x:v>
      </x:c>
      <x:c r="H356" s="11" t="n">
        <x:v>0</x:v>
      </x:c>
      <x:c r="I356" s="11" t="n">
        <x:v>0</x:v>
      </x:c>
      <x:c r="J356" s="11"/>
      <x:c r="K356" s="1" t="str">
        <x:v>GFGC8000OC</x:v>
      </x:c>
      <x:c r="L356" s="1" t="str">
        <x:v>=+D352</x:v>
      </x:c>
    </x:row>
    <x:row r="357" ht="21" customHeight="1">
      <x:c r="A357" s="5" t="n">
        <x:v>46260</x:v>
      </x:c>
      <x:c r="B357" s="11" t="n">
        <x:v>199.33</x:v>
      </x:c>
      <x:c r="C357" s="11" t="n">
        <x:v>375042784</x:v>
      </x:c>
      <x:c r="D357" s="11" t="n">
        <x:v>220</x:v>
      </x:c>
      <x:c r="E357" s="11" t="n">
        <x:v>210</x:v>
      </x:c>
      <x:c r="F357" s="11" t="n">
        <x:v>260</x:v>
      </x:c>
      <x:c r="G357" s="11" t="n">
        <x:v>186</x:v>
      </x:c>
      <x:c r="H357" s="11" t="n">
        <x:v>0</x:v>
      </x:c>
      <x:c r="I357" s="11" t="n">
        <x:v>0</x:v>
      </x:c>
      <x:c r="J357" s="11"/>
      <x:c r="K357" s="1" t="str">
        <x:v>GFGC8000OC</x:v>
      </x:c>
      <x:c r="L357" s="1" t="str">
        <x:v>=+D353</x:v>
      </x:c>
    </x:row>
    <x:row r="358" ht="21" customHeight="1">
      <x:c r="A358" s="5" t="n">
        <x:v>46261</x:v>
      </x:c>
      <x:c r="B358" s="11" t="n">
        <x:v>151.28</x:v>
      </x:c>
      <x:c r="C358" s="11" t="n">
        <x:v>402520192</x:v>
      </x:c>
      <x:c r="D358" s="11" t="n">
        <x:v>210</x:v>
      </x:c>
      <x:c r="E358" s="11" t="n">
        <x:v>150</x:v>
      </x:c>
      <x:c r="F358" s="11" t="n">
        <x:v>220</x:v>
      </x:c>
      <x:c r="G358" s="11" t="n">
        <x:v>147.02</x:v>
      </x:c>
      <x:c r="H358" s="11" t="n">
        <x:v>0</x:v>
      </x:c>
      <x:c r="I358" s="11" t="n">
        <x:v>0</x:v>
      </x:c>
      <x:c r="J358" s="11"/>
      <x:c r="K358" s="1" t="str">
        <x:v>GFGC8000OC</x:v>
      </x:c>
      <x:c r="L358" s="1" t="str">
        <x:v>=+D354</x:v>
      </x:c>
    </x:row>
    <x:row r="359" ht="21" customHeight="1">
      <x:c r="A359" s="5" t="n">
        <x:v>46262</x:v>
      </x:c>
      <x:c r="B359" s="11" t="n">
        <x:v>129.19</x:v>
      </x:c>
      <x:c r="C359" s="11" t="n">
        <x:v>306326336</x:v>
      </x:c>
      <x:c r="D359" s="11" t="n">
        <x:v>150</x:v>
      </x:c>
      <x:c r="E359" s="11" t="n">
        <x:v>130</x:v>
      </x:c>
      <x:c r="F359" s="11" t="n">
        <x:v>156</x:v>
      </x:c>
      <x:c r="G359" s="11" t="n">
        <x:v>110</x:v>
      </x:c>
      <x:c r="H359" s="11" t="n">
        <x:v>0</x:v>
      </x:c>
      <x:c r="I359" s="11" t="n">
        <x:v>0</x:v>
      </x:c>
      <x:c r="J359" s="11"/>
      <x:c r="K359" s="1" t="str">
        <x:v>GFGC8000OC</x:v>
      </x:c>
      <x:c r="L359" s="1" t="str">
        <x:v>=+D355</x:v>
      </x:c>
    </x:row>
    <x:row r="360" ht="21" customHeight="1">
      <x:c r="A360" s="5" t="n">
        <x:v>46265</x:v>
      </x:c>
      <x:c r="B360" s="11" t="n">
        <x:v>178.25</x:v>
      </x:c>
      <x:c r="C360" s="11" t="n">
        <x:v>547044864</x:v>
      </x:c>
      <x:c r="D360" s="11" t="n">
        <x:v>130</x:v>
      </x:c>
      <x:c r="E360" s="11" t="n">
        <x:v>150</x:v>
      </x:c>
      <x:c r="F360" s="11" t="n">
        <x:v>200</x:v>
      </x:c>
      <x:c r="G360" s="11" t="n">
        <x:v>121</x:v>
      </x:c>
      <x:c r="H360" s="11" t="n">
        <x:v>0</x:v>
      </x:c>
      <x:c r="I360" s="11" t="n">
        <x:v>0</x:v>
      </x:c>
      <x:c r="J360" s="11"/>
      <x:c r="K360" s="1" t="str">
        <x:v>GFGC8000OC</x:v>
      </x:c>
      <x:c r="L360" s="1" t="str">
        <x:v>=+D356</x:v>
      </x:c>
    </x:row>
    <x:row r="361" ht="21" customHeight="1">
      <x:c r="A361" s="5" t="n">
        <x:v>46266</x:v>
      </x:c>
      <x:c r="B361" s="11" t="n">
        <x:v>181.31</x:v>
      </x:c>
      <x:c r="C361" s="11" t="n">
        <x:v>510256160</x:v>
      </x:c>
      <x:c r="D361" s="11" t="n">
        <x:v>150</x:v>
      </x:c>
      <x:c r="E361" s="11" t="n">
        <x:v>198</x:v>
      </x:c>
      <x:c r="F361" s="11" t="n">
        <x:v>218</x:v>
      </x:c>
      <x:c r="G361" s="11" t="n">
        <x:v>150</x:v>
      </x:c>
      <x:c r="H361" s="11" t="n">
        <x:v>0</x:v>
      </x:c>
      <x:c r="I361" s="11" t="n">
        <x:v>0</x:v>
      </x:c>
      <x:c r="J361" s="11"/>
      <x:c r="K361" s="1" t="str">
        <x:v>GFGC8000OC</x:v>
      </x:c>
      <x:c r="L361" s="1" t="str">
        <x:v>=+D357</x:v>
      </x:c>
    </x:row>
    <x:row r="362" ht="21" customHeight="1">
      <x:c r="A362" s="5" t="n">
        <x:v>46267</x:v>
      </x:c>
      <x:c r="B362" s="11" t="n">
        <x:v>195.8</x:v>
      </x:c>
      <x:c r="C362" s="11" t="n">
        <x:v>424807360</x:v>
      </x:c>
      <x:c r="D362" s="11" t="n">
        <x:v>198</x:v>
      </x:c>
      <x:c r="E362" s="11" t="n">
        <x:v>220</x:v>
      </x:c>
      <x:c r="F362" s="11" t="n">
        <x:v>199</x:v>
      </x:c>
      <x:c r="G362" s="11" t="n">
        <x:v>165</x:v>
      </x:c>
      <x:c r="H362" s="11" t="n">
        <x:v>0</x:v>
      </x:c>
      <x:c r="I362" s="11" t="n">
        <x:v>0</x:v>
      </x:c>
      <x:c r="J362" s="11"/>
      <x:c r="K362" s="1" t="str">
        <x:v>GFGC8000OC</x:v>
      </x:c>
      <x:c r="L362" s="1" t="str">
        <x:v>=+D358</x:v>
      </x:c>
    </x:row>
    <x:row r="363" ht="21" customHeight="1">
      <x:c r="A363" s="5" t="n">
        <x:v>46268</x:v>
      </x:c>
      <x:c r="B363" s="11" t="n">
        <x:v>167.84</x:v>
      </x:c>
      <x:c r="C363" s="11" t="n">
        <x:v>622913472</x:v>
      </x:c>
      <x:c r="D363" s="11" t="n">
        <x:v>220</x:v>
      </x:c>
      <x:c r="E363" s="11" t="n">
        <x:v>175</x:v>
      </x:c>
      <x:c r="F363" s="11" t="n">
        <x:v>238</x:v>
      </x:c>
      <x:c r="G363" s="11" t="n">
        <x:v>160</x:v>
      </x:c>
      <x:c r="H363" s="11" t="n">
        <x:v>0</x:v>
      </x:c>
      <x:c r="I363" s="11" t="n">
        <x:v>0</x:v>
      </x:c>
      <x:c r="J363" s="11"/>
      <x:c r="K363" s="1" t="str">
        <x:v>GFGC8000OC</x:v>
      </x:c>
      <x:c r="L363" s="1" t="str">
        <x:v>=+D359</x:v>
      </x:c>
    </x:row>
    <x:row r="364" ht="21" customHeight="1">
      <x:c r="A364" s="5" t="n">
        <x:v>46269</x:v>
      </x:c>
      <x:c r="B364" s="11" t="n">
        <x:v>143.25</x:v>
      </x:c>
      <x:c r="C364" s="11" t="n">
        <x:v>382642880</x:v>
      </x:c>
      <x:c r="D364" s="11" t="n">
        <x:v>175</x:v>
      </x:c>
      <x:c r="E364" s="11" t="n">
        <x:v>137</x:v>
      </x:c>
      <x:c r="F364" s="11" t="n">
        <x:v>195</x:v>
      </x:c>
      <x:c r="G364" s="11" t="n">
        <x:v>136</x:v>
      </x:c>
      <x:c r="H364" s="11" t="n">
        <x:v>0</x:v>
      </x:c>
      <x:c r="I364" s="11" t="n">
        <x:v>0</x:v>
      </x:c>
      <x:c r="J364" s="11"/>
      <x:c r="K364" s="1" t="str">
        <x:v>GFGC8000OC</x:v>
      </x:c>
      <x:c r="L364" s="1" t="str">
        <x:v>=+D360</x:v>
      </x:c>
    </x:row>
    <x:row r="365" ht="21" customHeight="1">
      <x:c r="A365" s="5" t="n">
        <x:v>46272</x:v>
      </x:c>
      <x:c r="B365" s="11" t="n">
        <x:v>129.99</x:v>
      </x:c>
      <x:c r="C365" s="11" t="n">
        <x:v>39736336</x:v>
      </x:c>
      <x:c r="D365" s="11" t="n">
        <x:v>137</x:v>
      </x:c>
      <x:c r="E365" s="11" t="n">
        <x:v>140</x:v>
      </x:c>
      <x:c r="F365" s="11" t="n">
        <x:v>145</x:v>
      </x:c>
      <x:c r="G365" s="11" t="n">
        <x:v>126</x:v>
      </x:c>
      <x:c r="H365" s="11" t="n">
        <x:v>0</x:v>
      </x:c>
      <x:c r="I365" s="11" t="n">
        <x:v>0</x:v>
      </x:c>
      <x:c r="J365" s="11"/>
      <x:c r="K365" s="1" t="str">
        <x:v>GFGC8000OC</x:v>
      </x:c>
      <x:c r="L365" s="1" t="str">
        <x:v>=+D361</x:v>
      </x:c>
    </x:row>
    <x:row r="366" ht="21" customHeight="1">
      <x:c r="A366" s="5" t="n">
        <x:v>46273</x:v>
      </x:c>
      <x:c r="B366" s="11" t="n">
        <x:v>128.68</x:v>
      </x:c>
      <x:c r="C366" s="11" t="n">
        <x:v>364902048</x:v>
      </x:c>
      <x:c r="D366" s="11" t="n">
        <x:v>140</x:v>
      </x:c>
      <x:c r="E366" s="11" t="n">
        <x:v>110</x:v>
      </x:c>
      <x:c r="F366" s="11" t="n">
        <x:v>145</x:v>
      </x:c>
      <x:c r="G366" s="11" t="n">
        <x:v>108</x:v>
      </x:c>
      <x:c r="H366" s="11" t="n">
        <x:v>0</x:v>
      </x:c>
      <x:c r="I366" s="11" t="n">
        <x:v>0</x:v>
      </x:c>
      <x:c r="J366" s="11"/>
      <x:c r="K366" s="1" t="str">
        <x:v>GFGC8000OC</x:v>
      </x:c>
      <x:c r="L366" s="1" t="str">
        <x:v>=+D362</x:v>
      </x:c>
    </x:row>
    <x:row r="367" ht="21" customHeight="1">
      <x:c r="A367" s="5" t="n">
        <x:v>46274</x:v>
      </x:c>
      <x:c r="B367" s="11" t="n">
        <x:v>141.05</x:v>
      </x:c>
      <x:c r="C367" s="11" t="n">
        <x:v>270710112</x:v>
      </x:c>
      <x:c r="D367" s="11" t="n">
        <x:v>110</x:v>
      </x:c>
      <x:c r="E367" s="11" t="n">
        <x:v>125</x:v>
      </x:c>
      <x:c r="F367" s="11" t="n">
        <x:v>156</x:v>
      </x:c>
      <x:c r="G367" s="11" t="n">
        <x:v>100.1</x:v>
      </x:c>
      <x:c r="H367" s="11" t="n">
        <x:v>0</x:v>
      </x:c>
      <x:c r="I367" s="11" t="n">
        <x:v>0</x:v>
      </x:c>
      <x:c r="J367" s="11"/>
      <x:c r="K367" s="1" t="str">
        <x:v>GFGC8000OC</x:v>
      </x:c>
      <x:c r="L367" s="1" t="str">
        <x:v>=+D363</x:v>
      </x:c>
    </x:row>
    <x:row r="368" ht="21" customHeight="1">
      <x:c r="A368" s="5" t="n">
        <x:v>46275</x:v>
      </x:c>
      <x:c r="B368" s="11" t="n">
        <x:v>146.4</x:v>
      </x:c>
      <x:c r="C368" s="11" t="n">
        <x:v>427703968</x:v>
      </x:c>
      <x:c r="D368" s="11" t="n">
        <x:v>125</x:v>
      </x:c>
      <x:c r="E368" s="11" t="n">
        <x:v>160.99</x:v>
      </x:c>
      <x:c r="F368" s="11" t="n">
        <x:v>185</x:v>
      </x:c>
      <x:c r="G368" s="11" t="n">
        <x:v>120</x:v>
      </x:c>
      <x:c r="H368" s="11" t="n">
        <x:v>0</x:v>
      </x:c>
      <x:c r="I368" s="11" t="n">
        <x:v>0</x:v>
      </x:c>
      <x:c r="J368" s="11"/>
      <x:c r="K368" s="1" t="str">
        <x:v>GFGC8000OC</x:v>
      </x:c>
      <x:c r="L368" s="1" t="str">
        <x:v>=+D364</x:v>
      </x:c>
    </x:row>
    <x:row r="369" ht="21" customHeight="1">
      <x:c r="A369" s="5" t="n">
        <x:v>46276</x:v>
      </x:c>
      <x:c r="B369" s="11" t="n">
        <x:v>109.14</x:v>
      </x:c>
      <x:c r="C369" s="11" t="n">
        <x:v>350712736</x:v>
      </x:c>
      <x:c r="D369" s="11" t="n">
        <x:v>160.99</x:v>
      </x:c>
      <x:c r="E369" s="11" t="n">
        <x:v>98.5</x:v>
      </x:c>
      <x:c r="F369" s="11" t="n">
        <x:v>160.99</x:v>
      </x:c>
      <x:c r="G369" s="11" t="n">
        <x:v>98</x:v>
      </x:c>
      <x:c r="H369" s="11" t="n">
        <x:v>0</x:v>
      </x:c>
      <x:c r="I369" s="11" t="n">
        <x:v>0</x:v>
      </x:c>
      <x:c r="J369" s="11"/>
      <x:c r="K369" s="1" t="str">
        <x:v>GFGC8000OC</x:v>
      </x:c>
      <x:c r="L369" s="1" t="str">
        <x:v>=+D365</x:v>
      </x:c>
    </x:row>
    <x:row r="370" ht="21" customHeight="1">
      <x:c r="A370" s="5" t="n">
        <x:v>46279</x:v>
      </x:c>
      <x:c r="B370" s="11" t="n">
        <x:v>76.83</x:v>
      </x:c>
      <x:c r="C370" s="11" t="n">
        <x:v>164742464</x:v>
      </x:c>
      <x:c r="D370" s="11" t="n">
        <x:v>98.5</x:v>
      </x:c>
      <x:c r="E370" s="11" t="n">
        <x:v>72.01</x:v>
      </x:c>
      <x:c r="F370" s="11" t="n">
        <x:v>103</x:v>
      </x:c>
      <x:c r="G370" s="11" t="n">
        <x:v>75</x:v>
      </x:c>
      <x:c r="H370" s="11" t="n">
        <x:v>0</x:v>
      </x:c>
      <x:c r="I370" s="11" t="n">
        <x:v>0</x:v>
      </x:c>
      <x:c r="J370" s="11"/>
      <x:c r="K370" s="1" t="str">
        <x:v>GFGC8000OC</x:v>
      </x:c>
      <x:c r="L370" s="1" t="str">
        <x:v>=+D366</x:v>
      </x:c>
    </x:row>
    <x:row r="371" ht="21" customHeight="1">
      <x:c r="A371" s="5" t="n">
        <x:v>46280</x:v>
      </x:c>
      <x:c r="B371" s="11" t="n">
        <x:v>53.36</x:v>
      </x:c>
      <x:c r="C371" s="11" t="n">
        <x:v>111552832</x:v>
      </x:c>
      <x:c r="D371" s="11" t="n">
        <x:v>72.01</x:v>
      </x:c>
      <x:c r="E371" s="11" t="n">
        <x:v>51</x:v>
      </x:c>
      <x:c r="F371" s="11" t="n">
        <x:v>72.1</x:v>
      </x:c>
      <x:c r="G371" s="11" t="n">
        <x:v>48.9</x:v>
      </x:c>
      <x:c r="H371" s="11" t="n">
        <x:v>0</x:v>
      </x:c>
      <x:c r="I371" s="11" t="n">
        <x:v>0</x:v>
      </x:c>
      <x:c r="J371" s="11"/>
      <x:c r="K371" s="1" t="str">
        <x:v>GFGC8000OC</x:v>
      </x:c>
      <x:c r="L371" s="1" t="str">
        <x:v>=+D367</x:v>
      </x:c>
    </x:row>
    <x:row r="372" ht="21" customHeight="1">
      <x:c r="A372" s="5" t="n">
        <x:v>46281</x:v>
      </x:c>
      <x:c r="B372" s="11" t="n">
        <x:v>54.71</x:v>
      </x:c>
      <x:c r="C372" s="11" t="n">
        <x:v>66091964</x:v>
      </x:c>
      <x:c r="D372" s="11" t="n">
        <x:v>51</x:v>
      </x:c>
      <x:c r="E372" s="11" t="n">
        <x:v>114</x:v>
      </x:c>
      <x:c r="F372" s="11" t="n">
        <x:v>62.99</x:v>
      </x:c>
      <x:c r="G372" s="11" t="n">
        <x:v>46.6</x:v>
      </x:c>
      <x:c r="H372" s="11" t="n">
        <x:v>0</x:v>
      </x:c>
      <x:c r="I372" s="11" t="n">
        <x:v>0</x:v>
      </x:c>
      <x:c r="J372" s="11"/>
      <x:c r="K372" s="1" t="str">
        <x:v>GFGC8000OC</x:v>
      </x:c>
      <x:c r="L372" s="1" t="str">
        <x:v>=+D368</x:v>
      </x:c>
    </x:row>
    <x:row r="373" ht="21" customHeight="1">
      <x:c r="A373" s="5" t="n">
        <x:v>46255</x:v>
      </x:c>
      <x:c r="B373" s="11" t="n">
        <x:v>100.86</x:v>
      </x:c>
      <x:c r="C373" s="11" t="n">
        <x:v>30151970</x:v>
      </x:c>
      <x:c r="D373" s="11" t="n">
        <x:v>114</x:v>
      </x:c>
      <x:c r="E373" s="11" t="n">
        <x:v>90</x:v>
      </x:c>
      <x:c r="F373" s="11" t="n">
        <x:v>117.3</x:v>
      </x:c>
      <x:c r="G373" s="11" t="n">
        <x:v>70</x:v>
      </x:c>
      <x:c r="H373" s="11" t="n">
        <x:v>0</x:v>
      </x:c>
      <x:c r="I373" s="11" t="n">
        <x:v>0</x:v>
      </x:c>
      <x:c r="J373" s="11"/>
      <x:c r="K373" s="1" t="str">
        <x:v>GFGC8300OC</x:v>
      </x:c>
      <x:c r="L373" s="1" t="str">
        <x:v>=+D369</x:v>
      </x:c>
    </x:row>
    <x:row r="374" ht="21" customHeight="1">
      <x:c r="A374" s="5" t="n">
        <x:v>46258</x:v>
      </x:c>
      <x:c r="B374" s="11" t="n">
        <x:v>139.29</x:v>
      </x:c>
      <x:c r="C374" s="11" t="n">
        <x:v>93147472</x:v>
      </x:c>
      <x:c r="D374" s="11" t="n">
        <x:v>90</x:v>
      </x:c>
      <x:c r="E374" s="11" t="n">
        <x:v>145</x:v>
      </x:c>
      <x:c r="F374" s="11" t="n">
        <x:v>149</x:v>
      </x:c>
      <x:c r="G374" s="11" t="n">
        <x:v>88</x:v>
      </x:c>
      <x:c r="H374" s="11" t="n">
        <x:v>0</x:v>
      </x:c>
      <x:c r="I374" s="11" t="n">
        <x:v>0</x:v>
      </x:c>
      <x:c r="J374" s="11"/>
      <x:c r="K374" s="1" t="str">
        <x:v>GFGC8300OC</x:v>
      </x:c>
      <x:c r="L374" s="1" t="str">
        <x:v>=+D370</x:v>
      </x:c>
    </x:row>
    <x:row r="375" ht="21" customHeight="1">
      <x:c r="A375" s="5" t="n">
        <x:v>46259</x:v>
      </x:c>
      <x:c r="B375" s="11" t="n">
        <x:v>152.23</x:v>
      </x:c>
      <x:c r="C375" s="11" t="n">
        <x:v>95345512</x:v>
      </x:c>
      <x:c r="D375" s="11" t="n">
        <x:v>145</x:v>
      </x:c>
      <x:c r="E375" s="11" t="n">
        <x:v>173</x:v>
      </x:c>
      <x:c r="F375" s="11" t="n">
        <x:v>157</x:v>
      </x:c>
      <x:c r="G375" s="11" t="n">
        <x:v>120</x:v>
      </x:c>
      <x:c r="H375" s="11" t="n">
        <x:v>0</x:v>
      </x:c>
      <x:c r="I375" s="11" t="n">
        <x:v>0</x:v>
      </x:c>
      <x:c r="J375" s="11"/>
      <x:c r="K375" s="1" t="str">
        <x:v>GFGC8300OC</x:v>
      </x:c>
      <x:c r="L375" s="1" t="str">
        <x:v>=+D371</x:v>
      </x:c>
    </x:row>
    <x:row r="376" ht="21" customHeight="1">
      <x:c r="A376" s="5" t="n">
        <x:v>46260</x:v>
      </x:c>
      <x:c r="B376" s="11" t="n">
        <x:v>139.65</x:v>
      </x:c>
      <x:c r="C376" s="11" t="n">
        <x:v>79788936</x:v>
      </x:c>
      <x:c r="D376" s="11" t="n">
        <x:v>173</x:v>
      </x:c>
      <x:c r="E376" s="11" t="n">
        <x:v>128</x:v>
      </x:c>
      <x:c r="F376" s="11" t="n">
        <x:v>180</x:v>
      </x:c>
      <x:c r="G376" s="11" t="n">
        <x:v>130</x:v>
      </x:c>
      <x:c r="H376" s="11" t="n">
        <x:v>0</x:v>
      </x:c>
      <x:c r="I376" s="11" t="n">
        <x:v>0</x:v>
      </x:c>
      <x:c r="J376" s="11"/>
      <x:c r="K376" s="1" t="str">
        <x:v>GFGC8300OC</x:v>
      </x:c>
      <x:c r="L376" s="1" t="str">
        <x:v>=+D372</x:v>
      </x:c>
    </x:row>
    <x:row r="377" ht="21" customHeight="1">
      <x:c r="A377" s="5" t="n">
        <x:v>46261</x:v>
      </x:c>
      <x:c r="B377" s="11" t="n">
        <x:v>101.58</x:v>
      </x:c>
      <x:c r="C377" s="11" t="n">
        <x:v>69572024</x:v>
      </x:c>
      <x:c r="D377" s="11" t="n">
        <x:v>128</x:v>
      </x:c>
      <x:c r="E377" s="11" t="n">
        <x:v>102.01</x:v>
      </x:c>
      <x:c r="F377" s="11" t="n">
        <x:v>152</x:v>
      </x:c>
      <x:c r="G377" s="11" t="n">
        <x:v>101</x:v>
      </x:c>
      <x:c r="H377" s="11" t="n">
        <x:v>0</x:v>
      </x:c>
      <x:c r="I377" s="11" t="n">
        <x:v>0</x:v>
      </x:c>
      <x:c r="J377" s="11"/>
      <x:c r="K377" s="1" t="str">
        <x:v>GFGC8300OC</x:v>
      </x:c>
      <x:c r="L377" s="1" t="str">
        <x:v>=+D373</x:v>
      </x:c>
    </x:row>
    <x:row r="378" ht="21" customHeight="1">
      <x:c r="A378" s="5" t="n">
        <x:v>46262</x:v>
      </x:c>
      <x:c r="B378" s="11" t="n">
        <x:v>86.22</x:v>
      </x:c>
      <x:c r="C378" s="11" t="n">
        <x:v>40344624</x:v>
      </x:c>
      <x:c r="D378" s="11" t="n">
        <x:v>102.01</x:v>
      </x:c>
      <x:c r="E378" s="11" t="n">
        <x:v>86</x:v>
      </x:c>
      <x:c r="F378" s="11" t="n">
        <x:v>102.01</x:v>
      </x:c>
      <x:c r="G378" s="11" t="n">
        <x:v>75</x:v>
      </x:c>
      <x:c r="H378" s="11" t="n">
        <x:v>0</x:v>
      </x:c>
      <x:c r="I378" s="11" t="n">
        <x:v>0</x:v>
      </x:c>
      <x:c r="J378" s="11"/>
      <x:c r="K378" s="1" t="str">
        <x:v>GFGC8300OC</x:v>
      </x:c>
      <x:c r="L378" s="1" t="str">
        <x:v>=+D374</x:v>
      </x:c>
    </x:row>
    <x:row r="379" ht="21" customHeight="1">
      <x:c r="A379" s="5" t="n">
        <x:v>46265</x:v>
      </x:c>
      <x:c r="B379" s="11" t="n">
        <x:v>114.25</x:v>
      </x:c>
      <x:c r="C379" s="11" t="n">
        <x:v>86548000</x:v>
      </x:c>
      <x:c r="D379" s="11" t="n">
        <x:v>86</x:v>
      </x:c>
      <x:c r="E379" s="11" t="n">
        <x:v>101.01</x:v>
      </x:c>
      <x:c r="F379" s="11" t="n">
        <x:v>138.85</x:v>
      </x:c>
      <x:c r="G379" s="11" t="n">
        <x:v>83</x:v>
      </x:c>
      <x:c r="H379" s="11" t="n">
        <x:v>0</x:v>
      </x:c>
      <x:c r="I379" s="11" t="n">
        <x:v>0</x:v>
      </x:c>
      <x:c r="J379" s="11"/>
      <x:c r="K379" s="1" t="str">
        <x:v>GFGC8300OC</x:v>
      </x:c>
      <x:c r="L379" s="1" t="str">
        <x:v>=+D375</x:v>
      </x:c>
    </x:row>
    <x:row r="380" ht="21" customHeight="1">
      <x:c r="A380" s="5" t="n">
        <x:v>46266</x:v>
      </x:c>
      <x:c r="B380" s="11" t="n">
        <x:v>117.76</x:v>
      </x:c>
      <x:c r="C380" s="11" t="n">
        <x:v>88963832</x:v>
      </x:c>
      <x:c r="D380" s="11" t="n">
        <x:v>101.01</x:v>
      </x:c>
      <x:c r="E380" s="11" t="n">
        <x:v>126</x:v>
      </x:c>
      <x:c r="F380" s="11" t="n">
        <x:v>147.41</x:v>
      </x:c>
      <x:c r="G380" s="11" t="n">
        <x:v>94</x:v>
      </x:c>
      <x:c r="H380" s="11" t="n">
        <x:v>0</x:v>
      </x:c>
      <x:c r="I380" s="11" t="n">
        <x:v>0</x:v>
      </x:c>
      <x:c r="J380" s="11"/>
      <x:c r="K380" s="1" t="str">
        <x:v>GFGC8300OC</x:v>
      </x:c>
      <x:c r="L380" s="1" t="str">
        <x:v>=+D376</x:v>
      </x:c>
    </x:row>
    <x:row r="381" ht="21" customHeight="1">
      <x:c r="A381" s="5" t="n">
        <x:v>46267</x:v>
      </x:c>
      <x:c r="B381" s="11" t="n">
        <x:v>131.48</x:v>
      </x:c>
      <x:c r="C381" s="11" t="n">
        <x:v>131989768</x:v>
      </x:c>
      <x:c r="D381" s="11" t="n">
        <x:v>126</x:v>
      </x:c>
      <x:c r="E381" s="11" t="n">
        <x:v>140</x:v>
      </x:c>
      <x:c r="F381" s="11" t="n">
        <x:v>135</x:v>
      </x:c>
      <x:c r="G381" s="11" t="n">
        <x:v>108.1</x:v>
      </x:c>
      <x:c r="H381" s="11" t="n">
        <x:v>0</x:v>
      </x:c>
      <x:c r="I381" s="11" t="n">
        <x:v>0</x:v>
      </x:c>
      <x:c r="J381" s="11"/>
      <x:c r="K381" s="1" t="str">
        <x:v>GFGC8300OC</x:v>
      </x:c>
      <x:c r="L381" s="1" t="str">
        <x:v>=+D377</x:v>
      </x:c>
    </x:row>
    <x:row r="382" ht="21" customHeight="1">
      <x:c r="A382" s="5" t="n">
        <x:v>46268</x:v>
      </x:c>
      <x:c r="B382" s="11" t="n">
        <x:v>112.69</x:v>
      </x:c>
      <x:c r="C382" s="11" t="n">
        <x:v>159556480</x:v>
      </x:c>
      <x:c r="D382" s="11" t="n">
        <x:v>140</x:v>
      </x:c>
      <x:c r="E382" s="11" t="n">
        <x:v>106</x:v>
      </x:c>
      <x:c r="F382" s="11" t="n">
        <x:v>168</x:v>
      </x:c>
      <x:c r="G382" s="11" t="n">
        <x:v>107</x:v>
      </x:c>
      <x:c r="H382" s="11" t="n">
        <x:v>0</x:v>
      </x:c>
      <x:c r="I382" s="11" t="n">
        <x:v>0</x:v>
      </x:c>
      <x:c r="J382" s="11"/>
      <x:c r="K382" s="1" t="str">
        <x:v>GFGC8300OC</x:v>
      </x:c>
      <x:c r="L382" s="1" t="str">
        <x:v>=+D378</x:v>
      </x:c>
    </x:row>
    <x:row r="383" ht="21" customHeight="1">
      <x:c r="A383" s="5" t="n">
        <x:v>46269</x:v>
      </x:c>
      <x:c r="B383" s="11" t="n">
        <x:v>91.92</x:v>
      </x:c>
      <x:c r="C383" s="11" t="n">
        <x:v>122190664</x:v>
      </x:c>
      <x:c r="D383" s="11" t="n">
        <x:v>106</x:v>
      </x:c>
      <x:c r="E383" s="11" t="n">
        <x:v>94</x:v>
      </x:c>
      <x:c r="F383" s="11" t="n">
        <x:v>109.99</x:v>
      </x:c>
      <x:c r="G383" s="11" t="n">
        <x:v>87</x:v>
      </x:c>
      <x:c r="H383" s="11" t="n">
        <x:v>0</x:v>
      </x:c>
      <x:c r="I383" s="11" t="n">
        <x:v>0</x:v>
      </x:c>
      <x:c r="J383" s="11"/>
      <x:c r="K383" s="1" t="str">
        <x:v>GFGC8300OC</x:v>
      </x:c>
      <x:c r="L383" s="1" t="str">
        <x:v>=+D379</x:v>
      </x:c>
    </x:row>
    <x:row r="384" ht="21" customHeight="1">
      <x:c r="A384" s="5" t="n">
        <x:v>46272</x:v>
      </x:c>
      <x:c r="B384" s="11" t="n">
        <x:v>83.25</x:v>
      </x:c>
      <x:c r="C384" s="11" t="n">
        <x:v>11874212</x:v>
      </x:c>
      <x:c r="D384" s="11" t="n">
        <x:v>94</x:v>
      </x:c>
      <x:c r="E384" s="11" t="n">
        <x:v>92</x:v>
      </x:c>
      <x:c r="F384" s="11" t="n">
        <x:v>94</x:v>
      </x:c>
      <x:c r="G384" s="11" t="n">
        <x:v>65</x:v>
      </x:c>
      <x:c r="H384" s="11" t="n">
        <x:v>0</x:v>
      </x:c>
      <x:c r="I384" s="11" t="n">
        <x:v>0</x:v>
      </x:c>
      <x:c r="J384" s="11"/>
      <x:c r="K384" s="1" t="str">
        <x:v>GFGC8300OC</x:v>
      </x:c>
      <x:c r="L384" s="1" t="str">
        <x:v>=+D380</x:v>
      </x:c>
    </x:row>
    <x:row r="385" ht="21" customHeight="1">
      <x:c r="A385" s="5" t="n">
        <x:v>46273</x:v>
      </x:c>
      <x:c r="B385" s="11" t="n">
        <x:v>81.94</x:v>
      </x:c>
      <x:c r="C385" s="11" t="n">
        <x:v>47876372</x:v>
      </x:c>
      <x:c r="D385" s="11" t="n">
        <x:v>92</x:v>
      </x:c>
      <x:c r="E385" s="11" t="n">
        <x:v>70</x:v>
      </x:c>
      <x:c r="F385" s="11" t="n">
        <x:v>92</x:v>
      </x:c>
      <x:c r="G385" s="11" t="n">
        <x:v>67</x:v>
      </x:c>
      <x:c r="H385" s="11" t="n">
        <x:v>0</x:v>
      </x:c>
      <x:c r="I385" s="11" t="n">
        <x:v>0</x:v>
      </x:c>
      <x:c r="J385" s="11"/>
      <x:c r="K385" s="1" t="str">
        <x:v>GFGC8300OC</x:v>
      </x:c>
      <x:c r="L385" s="1" t="str">
        <x:v>=+D381</x:v>
      </x:c>
    </x:row>
    <x:row r="386" ht="21" customHeight="1">
      <x:c r="A386" s="5" t="n">
        <x:v>46274</x:v>
      </x:c>
      <x:c r="B386" s="11" t="n">
        <x:v>88.96</x:v>
      </x:c>
      <x:c r="C386" s="11" t="n">
        <x:v>76354488</x:v>
      </x:c>
      <x:c r="D386" s="11" t="n">
        <x:v>70</x:v>
      </x:c>
      <x:c r="E386" s="11" t="n">
        <x:v>76</x:v>
      </x:c>
      <x:c r="F386" s="11" t="n">
        <x:v>93</x:v>
      </x:c>
      <x:c r="G386" s="11" t="n">
        <x:v>62.4</x:v>
      </x:c>
      <x:c r="H386" s="11" t="n">
        <x:v>0</x:v>
      </x:c>
      <x:c r="I386" s="11" t="n">
        <x:v>0</x:v>
      </x:c>
      <x:c r="J386" s="11"/>
      <x:c r="K386" s="1" t="str">
        <x:v>GFGC8300OC</x:v>
      </x:c>
      <x:c r="L386" s="1" t="str">
        <x:v>=+D382</x:v>
      </x:c>
    </x:row>
    <x:row r="387" ht="21" customHeight="1">
      <x:c r="A387" s="5" t="n">
        <x:v>46275</x:v>
      </x:c>
      <x:c r="B387" s="11" t="n">
        <x:v>92.56</x:v>
      </x:c>
      <x:c r="C387" s="11" t="n">
        <x:v>119365384</x:v>
      </x:c>
      <x:c r="D387" s="11" t="n">
        <x:v>76</x:v>
      </x:c>
      <x:c r="E387" s="11" t="n">
        <x:v>104.99</x:v>
      </x:c>
      <x:c r="F387" s="11" t="n">
        <x:v>120</x:v>
      </x:c>
      <x:c r="G387" s="11" t="n">
        <x:v>76</x:v>
      </x:c>
      <x:c r="H387" s="11" t="n">
        <x:v>0</x:v>
      </x:c>
      <x:c r="I387" s="11" t="n">
        <x:v>0</x:v>
      </x:c>
      <x:c r="J387" s="11"/>
      <x:c r="K387" s="1" t="str">
        <x:v>GFGC8300OC</x:v>
      </x:c>
      <x:c r="L387" s="1" t="str">
        <x:v>=+D383</x:v>
      </x:c>
    </x:row>
    <x:row r="388" ht="21" customHeight="1">
      <x:c r="A388" s="5" t="n">
        <x:v>46276</x:v>
      </x:c>
      <x:c r="B388" s="11" t="n">
        <x:v>66.81</x:v>
      </x:c>
      <x:c r="C388" s="11" t="n">
        <x:v>51353796</x:v>
      </x:c>
      <x:c r="D388" s="11" t="n">
        <x:v>104.99</x:v>
      </x:c>
      <x:c r="E388" s="11" t="n">
        <x:v>60</x:v>
      </x:c>
      <x:c r="F388" s="11" t="n">
        <x:v>104.99</x:v>
      </x:c>
      <x:c r="G388" s="11" t="n">
        <x:v>61</x:v>
      </x:c>
      <x:c r="H388" s="11" t="n">
        <x:v>0</x:v>
      </x:c>
      <x:c r="I388" s="11" t="n">
        <x:v>0</x:v>
      </x:c>
      <x:c r="J388" s="11"/>
      <x:c r="K388" s="1" t="str">
        <x:v>GFGC8300OC</x:v>
      </x:c>
      <x:c r="L388" s="1" t="str">
        <x:v>=+D384</x:v>
      </x:c>
    </x:row>
    <x:row r="389" ht="21" customHeight="1">
      <x:c r="A389" s="5" t="n">
        <x:v>46279</x:v>
      </x:c>
      <x:c r="B389" s="11" t="n">
        <x:v>45.46</x:v>
      </x:c>
      <x:c r="C389" s="11" t="n">
        <x:v>33432668</x:v>
      </x:c>
      <x:c r="D389" s="11" t="n">
        <x:v>60</x:v>
      </x:c>
      <x:c r="E389" s="11" t="n">
        <x:v>47</x:v>
      </x:c>
      <x:c r="F389" s="11" t="n">
        <x:v>62</x:v>
      </x:c>
      <x:c r="G389" s="11" t="n">
        <x:v>45</x:v>
      </x:c>
      <x:c r="H389" s="11" t="n">
        <x:v>0</x:v>
      </x:c>
      <x:c r="I389" s="11" t="n">
        <x:v>0</x:v>
      </x:c>
      <x:c r="J389" s="11"/>
      <x:c r="K389" s="1" t="str">
        <x:v>GFGC8300OC</x:v>
      </x:c>
      <x:c r="L389" s="1" t="str">
        <x:v>=+D385</x:v>
      </x:c>
    </x:row>
    <x:row r="390" ht="21" customHeight="1">
      <x:c r="A390" s="5" t="n">
        <x:v>46280</x:v>
      </x:c>
      <x:c r="B390" s="11" t="n">
        <x:v>31.45</x:v>
      </x:c>
      <x:c r="C390" s="11" t="n">
        <x:v>22569552</x:v>
      </x:c>
      <x:c r="D390" s="11" t="n">
        <x:v>47</x:v>
      </x:c>
      <x:c r="E390" s="11" t="n">
        <x:v>30</x:v>
      </x:c>
      <x:c r="F390" s="11" t="n">
        <x:v>47</x:v>
      </x:c>
      <x:c r="G390" s="11" t="n">
        <x:v>27.21</x:v>
      </x:c>
      <x:c r="H390" s="11" t="n">
        <x:v>0</x:v>
      </x:c>
      <x:c r="I390" s="11" t="n">
        <x:v>0</x:v>
      </x:c>
      <x:c r="J390" s="11"/>
      <x:c r="K390" s="1" t="str">
        <x:v>GFGC8300OC</x:v>
      </x:c>
      <x:c r="L390" s="1" t="str">
        <x:v>=+D386</x:v>
      </x:c>
    </x:row>
    <x:row r="391" ht="21" customHeight="1">
      <x:c r="A391" s="5" t="n">
        <x:v>46281</x:v>
      </x:c>
      <x:c r="B391" s="11" t="n">
        <x:v>32.2</x:v>
      </x:c>
      <x:c r="C391" s="11" t="n">
        <x:v>26771796</x:v>
      </x:c>
      <x:c r="D391" s="11" t="n">
        <x:v>30</x:v>
      </x:c>
      <x:c r="E391" s="11" t="n">
        <x:v>76</x:v>
      </x:c>
      <x:c r="F391" s="11" t="n">
        <x:v>38</x:v>
      </x:c>
      <x:c r="G391" s="11" t="n">
        <x:v>27</x:v>
      </x:c>
      <x:c r="H391" s="11" t="n">
        <x:v>0</x:v>
      </x:c>
      <x:c r="I391" s="11" t="n">
        <x:v>0</x:v>
      </x:c>
      <x:c r="J391" s="11"/>
      <x:c r="K391" s="1" t="str">
        <x:v>GFGC8300OC</x:v>
      </x:c>
      <x:c r="L391" s="1" t="str">
        <x:v>=+D387</x:v>
      </x:c>
    </x:row>
    <x:row r="392" ht="21" customHeight="1">
      <x:c r="A392" s="5" t="n">
        <x:v>46255</x:v>
      </x:c>
      <x:c r="B392" s="11" t="n">
        <x:v>72.05</x:v>
      </x:c>
      <x:c r="C392" s="11" t="n">
        <x:v>38997476</x:v>
      </x:c>
      <x:c r="D392" s="11" t="n">
        <x:v>76</x:v>
      </x:c>
      <x:c r="E392" s="11" t="n">
        <x:v>75</x:v>
      </x:c>
      <x:c r="F392" s="11" t="n">
        <x:v>87</x:v>
      </x:c>
      <x:c r="G392" s="11" t="n">
        <x:v>69</x:v>
      </x:c>
      <x:c r="H392" s="11" t="n">
        <x:v>0</x:v>
      </x:c>
      <x:c r="I392" s="11" t="n">
        <x:v>0</x:v>
      </x:c>
      <x:c r="J392" s="11"/>
      <x:c r="K392" s="1" t="str">
        <x:v>GFGC8600OC</x:v>
      </x:c>
      <x:c r="L392" s="1" t="str">
        <x:v>=+D388</x:v>
      </x:c>
    </x:row>
    <x:row r="393" ht="21" customHeight="1">
      <x:c r="A393" s="5" t="n">
        <x:v>46258</x:v>
      </x:c>
      <x:c r="B393" s="11" t="n">
        <x:v>95.25</x:v>
      </x:c>
      <x:c r="C393" s="11" t="n">
        <x:v>143720016</x:v>
      </x:c>
      <x:c r="D393" s="11" t="n">
        <x:v>75</x:v>
      </x:c>
      <x:c r="E393" s="11" t="n">
        <x:v>95</x:v>
      </x:c>
      <x:c r="F393" s="11" t="n">
        <x:v>101</x:v>
      </x:c>
      <x:c r="G393" s="11" t="n">
        <x:v>65.5</x:v>
      </x:c>
      <x:c r="H393" s="11" t="n">
        <x:v>0</x:v>
      </x:c>
      <x:c r="I393" s="11" t="n">
        <x:v>0</x:v>
      </x:c>
      <x:c r="J393" s="11"/>
      <x:c r="K393" s="1" t="str">
        <x:v>GFGC8600OC</x:v>
      </x:c>
      <x:c r="L393" s="1" t="str">
        <x:v>=+D389</x:v>
      </x:c>
    </x:row>
    <x:row r="394" ht="21" customHeight="1">
      <x:c r="A394" s="5" t="n">
        <x:v>46259</x:v>
      </x:c>
      <x:c r="B394" s="11" t="n">
        <x:v>104.86</x:v>
      </x:c>
      <x:c r="C394" s="11" t="n">
        <x:v>136113936</x:v>
      </x:c>
      <x:c r="D394" s="11" t="n">
        <x:v>95</x:v>
      </x:c>
      <x:c r="E394" s="11" t="n">
        <x:v>110</x:v>
      </x:c>
      <x:c r="F394" s="11" t="n">
        <x:v>108</x:v>
      </x:c>
      <x:c r="G394" s="11" t="n">
        <x:v>83</x:v>
      </x:c>
      <x:c r="H394" s="11" t="n">
        <x:v>0</x:v>
      </x:c>
      <x:c r="I394" s="11" t="n">
        <x:v>0</x:v>
      </x:c>
      <x:c r="J394" s="11"/>
      <x:c r="K394" s="1" t="str">
        <x:v>GFGC8600OC</x:v>
      </x:c>
      <x:c r="L394" s="1" t="str">
        <x:v>=+D390</x:v>
      </x:c>
    </x:row>
    <x:row r="395" ht="21" customHeight="1">
      <x:c r="A395" s="5" t="n">
        <x:v>46260</x:v>
      </x:c>
      <x:c r="B395" s="11" t="n">
        <x:v>92.25</x:v>
      </x:c>
      <x:c r="C395" s="11" t="n">
        <x:v>116072392</x:v>
      </x:c>
      <x:c r="D395" s="11" t="n">
        <x:v>110</x:v>
      </x:c>
      <x:c r="E395" s="11" t="n">
        <x:v>72</x:v>
      </x:c>
      <x:c r="F395" s="11" t="n">
        <x:v>129</x:v>
      </x:c>
      <x:c r="G395" s="11" t="n">
        <x:v>87</x:v>
      </x:c>
      <x:c r="H395" s="11" t="n">
        <x:v>0</x:v>
      </x:c>
      <x:c r="I395" s="11" t="n">
        <x:v>0</x:v>
      </x:c>
      <x:c r="J395" s="11"/>
      <x:c r="K395" s="1" t="str">
        <x:v>GFGC8600OC</x:v>
      </x:c>
      <x:c r="L395" s="1" t="str">
        <x:v>=+D391</x:v>
      </x:c>
    </x:row>
    <x:row r="396" ht="21" customHeight="1">
      <x:c r="A396" s="5" t="n">
        <x:v>46261</x:v>
      </x:c>
      <x:c r="B396" s="11" t="n">
        <x:v>68.22</x:v>
      </x:c>
      <x:c r="C396" s="11" t="n">
        <x:v>113202264</x:v>
      </x:c>
      <x:c r="D396" s="11" t="n">
        <x:v>72</x:v>
      </x:c>
      <x:c r="E396" s="11" t="n">
        <x:v>66</x:v>
      </x:c>
      <x:c r="F396" s="11" t="n">
        <x:v>110</x:v>
      </x:c>
      <x:c r="G396" s="11" t="n">
        <x:v>66.1</x:v>
      </x:c>
      <x:c r="H396" s="11" t="n">
        <x:v>0</x:v>
      </x:c>
      <x:c r="I396" s="11" t="n">
        <x:v>0</x:v>
      </x:c>
      <x:c r="J396" s="11"/>
      <x:c r="K396" s="1" t="str">
        <x:v>GFGC8600OC</x:v>
      </x:c>
      <x:c r="L396" s="1" t="str">
        <x:v>=+D392</x:v>
      </x:c>
    </x:row>
    <x:row r="397" ht="21" customHeight="1">
      <x:c r="A397" s="5" t="n">
        <x:v>46262</x:v>
      </x:c>
      <x:c r="B397" s="11" t="n">
        <x:v>55.3</x:v>
      </x:c>
      <x:c r="C397" s="11" t="n">
        <x:v>48912104</x:v>
      </x:c>
      <x:c r="D397" s="11" t="n">
        <x:v>66</x:v>
      </x:c>
      <x:c r="E397" s="11" t="n">
        <x:v>56</x:v>
      </x:c>
      <x:c r="F397" s="11" t="n">
        <x:v>66</x:v>
      </x:c>
      <x:c r="G397" s="11" t="n">
        <x:v>50</x:v>
      </x:c>
      <x:c r="H397" s="11" t="n">
        <x:v>0</x:v>
      </x:c>
      <x:c r="I397" s="11" t="n">
        <x:v>0</x:v>
      </x:c>
      <x:c r="J397" s="11"/>
      <x:c r="K397" s="1" t="str">
        <x:v>GFGC8600OC</x:v>
      </x:c>
      <x:c r="L397" s="1" t="str">
        <x:v>=+D393</x:v>
      </x:c>
    </x:row>
    <x:row r="398" ht="21" customHeight="1">
      <x:c r="A398" s="5" t="n">
        <x:v>46265</x:v>
      </x:c>
      <x:c r="B398" s="11" t="n">
        <x:v>73.69</x:v>
      </x:c>
      <x:c r="C398" s="11" t="n">
        <x:v>147705424</x:v>
      </x:c>
      <x:c r="D398" s="11" t="n">
        <x:v>56</x:v>
      </x:c>
      <x:c r="E398" s="11" t="n">
        <x:v>60</x:v>
      </x:c>
      <x:c r="F398" s="11" t="n">
        <x:v>90</x:v>
      </x:c>
      <x:c r="G398" s="11" t="n">
        <x:v>52</x:v>
      </x:c>
      <x:c r="H398" s="11" t="n">
        <x:v>0</x:v>
      </x:c>
      <x:c r="I398" s="11" t="n">
        <x:v>0</x:v>
      </x:c>
      <x:c r="J398" s="11"/>
      <x:c r="K398" s="1" t="str">
        <x:v>GFGC8600OC</x:v>
      </x:c>
      <x:c r="L398" s="1" t="str">
        <x:v>=+D394</x:v>
      </x:c>
    </x:row>
    <x:row r="399" ht="21" customHeight="1">
      <x:c r="A399" s="5" t="n">
        <x:v>46266</x:v>
      </x:c>
      <x:c r="B399" s="11" t="n">
        <x:v>73.38</x:v>
      </x:c>
      <x:c r="C399" s="11" t="n">
        <x:v>73585792</x:v>
      </x:c>
      <x:c r="D399" s="11" t="n">
        <x:v>60</x:v>
      </x:c>
      <x:c r="E399" s="11" t="n">
        <x:v>77</x:v>
      </x:c>
      <x:c r="F399" s="11" t="n">
        <x:v>96</x:v>
      </x:c>
      <x:c r="G399" s="11" t="n">
        <x:v>60</x:v>
      </x:c>
      <x:c r="H399" s="11" t="n">
        <x:v>0</x:v>
      </x:c>
      <x:c r="I399" s="11" t="n">
        <x:v>0</x:v>
      </x:c>
      <x:c r="J399" s="11"/>
      <x:c r="K399" s="1" t="str">
        <x:v>GFGC8600OC</x:v>
      </x:c>
      <x:c r="L399" s="1" t="str">
        <x:v>=+D395</x:v>
      </x:c>
    </x:row>
    <x:row r="400" ht="21" customHeight="1">
      <x:c r="A400" s="5" t="n">
        <x:v>46267</x:v>
      </x:c>
      <x:c r="B400" s="11" t="n">
        <x:v>84.77</x:v>
      </x:c>
      <x:c r="C400" s="11" t="n">
        <x:v>171411632</x:v>
      </x:c>
      <x:c r="D400" s="11" t="n">
        <x:v>77</x:v>
      </x:c>
      <x:c r="E400" s="11" t="n">
        <x:v>93</x:v>
      </x:c>
      <x:c r="F400" s="11" t="n">
        <x:v>87</x:v>
      </x:c>
      <x:c r="G400" s="11" t="n">
        <x:v>67</x:v>
      </x:c>
      <x:c r="H400" s="11" t="n">
        <x:v>0</x:v>
      </x:c>
      <x:c r="I400" s="11" t="n">
        <x:v>0</x:v>
      </x:c>
      <x:c r="J400" s="11"/>
      <x:c r="K400" s="1" t="str">
        <x:v>GFGC8600OC</x:v>
      </x:c>
      <x:c r="L400" s="1" t="str">
        <x:v>=+D396</x:v>
      </x:c>
    </x:row>
    <x:row r="401" ht="21" customHeight="1">
      <x:c r="A401" s="5" t="n">
        <x:v>46268</x:v>
      </x:c>
      <x:c r="B401" s="11" t="n">
        <x:v>70.6</x:v>
      </x:c>
      <x:c r="C401" s="11" t="n">
        <x:v>141235936</x:v>
      </x:c>
      <x:c r="D401" s="11" t="n">
        <x:v>93</x:v>
      </x:c>
      <x:c r="E401" s="11" t="n">
        <x:v>69.49</x:v>
      </x:c>
      <x:c r="F401" s="11" t="n">
        <x:v>115</x:v>
      </x:c>
      <x:c r="G401" s="11" t="n">
        <x:v>66</x:v>
      </x:c>
      <x:c r="H401" s="11" t="n">
        <x:v>0</x:v>
      </x:c>
      <x:c r="I401" s="11" t="n">
        <x:v>0</x:v>
      </x:c>
      <x:c r="J401" s="11"/>
      <x:c r="K401" s="1" t="str">
        <x:v>GFGC8600OC</x:v>
      </x:c>
      <x:c r="L401" s="1" t="str">
        <x:v>=+D397</x:v>
      </x:c>
    </x:row>
    <x:row r="402" ht="21" customHeight="1">
      <x:c r="A402" s="5" t="n">
        <x:v>46269</x:v>
      </x:c>
      <x:c r="B402" s="11" t="n">
        <x:v>56.19</x:v>
      </x:c>
      <x:c r="C402" s="11" t="n">
        <x:v>63448188</x:v>
      </x:c>
      <x:c r="D402" s="11" t="n">
        <x:v>69.49</x:v>
      </x:c>
      <x:c r="E402" s="11" t="n">
        <x:v>51</x:v>
      </x:c>
      <x:c r="F402" s="11" t="n">
        <x:v>69.49</x:v>
      </x:c>
      <x:c r="G402" s="11" t="n">
        <x:v>51</x:v>
      </x:c>
      <x:c r="H402" s="11" t="n">
        <x:v>0</x:v>
      </x:c>
      <x:c r="I402" s="11" t="n">
        <x:v>0</x:v>
      </x:c>
      <x:c r="J402" s="11"/>
      <x:c r="K402" s="1" t="str">
        <x:v>GFGC8600OC</x:v>
      </x:c>
      <x:c r="L402" s="1" t="str">
        <x:v>=+D398</x:v>
      </x:c>
    </x:row>
    <x:row r="403" ht="21" customHeight="1">
      <x:c r="A403" s="5" t="n">
        <x:v>46272</x:v>
      </x:c>
      <x:c r="B403" s="11" t="n">
        <x:v>48.42</x:v>
      </x:c>
      <x:c r="C403" s="11" t="n">
        <x:v>13341109</x:v>
      </x:c>
      <x:c r="D403" s="11" t="n">
        <x:v>51</x:v>
      </x:c>
      <x:c r="E403" s="11" t="n">
        <x:v>50.99</x:v>
      </x:c>
      <x:c r="F403" s="11" t="n">
        <x:v>52</x:v>
      </x:c>
      <x:c r="G403" s="11" t="n">
        <x:v>47.01</x:v>
      </x:c>
      <x:c r="H403" s="11" t="n">
        <x:v>0</x:v>
      </x:c>
      <x:c r="I403" s="11" t="n">
        <x:v>0</x:v>
      </x:c>
      <x:c r="J403" s="11"/>
      <x:c r="K403" s="1" t="str">
        <x:v>GFGC8600OC</x:v>
      </x:c>
      <x:c r="L403" s="1" t="str">
        <x:v>=+D399</x:v>
      </x:c>
    </x:row>
    <x:row r="404" ht="21" customHeight="1">
      <x:c r="A404" s="5" t="n">
        <x:v>46273</x:v>
      </x:c>
      <x:c r="B404" s="11" t="n">
        <x:v>51.36</x:v>
      </x:c>
      <x:c r="C404" s="11" t="n">
        <x:v>44179408</x:v>
      </x:c>
      <x:c r="D404" s="11" t="n">
        <x:v>50.99</x:v>
      </x:c>
      <x:c r="E404" s="11" t="n">
        <x:v>45.5</x:v>
      </x:c>
      <x:c r="F404" s="11" t="n">
        <x:v>55</x:v>
      </x:c>
      <x:c r="G404" s="11" t="n">
        <x:v>38.1</x:v>
      </x:c>
      <x:c r="H404" s="11" t="n">
        <x:v>0</x:v>
      </x:c>
      <x:c r="I404" s="11" t="n">
        <x:v>0</x:v>
      </x:c>
      <x:c r="J404" s="11"/>
      <x:c r="K404" s="1" t="str">
        <x:v>GFGC8600OC</x:v>
      </x:c>
      <x:c r="L404" s="1" t="str">
        <x:v>=+D400</x:v>
      </x:c>
    </x:row>
    <x:row r="405" ht="21" customHeight="1">
      <x:c r="A405" s="5" t="n">
        <x:v>46274</x:v>
      </x:c>
      <x:c r="B405" s="11" t="n">
        <x:v>53.35</x:v>
      </x:c>
      <x:c r="C405" s="11" t="n">
        <x:v>56535192</x:v>
      </x:c>
      <x:c r="D405" s="11" t="n">
        <x:v>45.5</x:v>
      </x:c>
      <x:c r="E405" s="11" t="n">
        <x:v>45</x:v>
      </x:c>
      <x:c r="F405" s="11" t="n">
        <x:v>58</x:v>
      </x:c>
      <x:c r="G405" s="11" t="n">
        <x:v>38</x:v>
      </x:c>
      <x:c r="H405" s="11" t="n">
        <x:v>0</x:v>
      </x:c>
      <x:c r="I405" s="11" t="n">
        <x:v>0</x:v>
      </x:c>
      <x:c r="J405" s="11"/>
      <x:c r="K405" s="1" t="str">
        <x:v>GFGC8600OC</x:v>
      </x:c>
      <x:c r="L405" s="1" t="str">
        <x:v>=+D401</x:v>
      </x:c>
    </x:row>
    <x:row r="406" ht="21" customHeight="1">
      <x:c r="A406" s="5" t="n">
        <x:v>46275</x:v>
      </x:c>
      <x:c r="B406" s="11" t="n">
        <x:v>53.67</x:v>
      </x:c>
      <x:c r="C406" s="11" t="n">
        <x:v>113294240</x:v>
      </x:c>
      <x:c r="D406" s="11" t="n">
        <x:v>45</x:v>
      </x:c>
      <x:c r="E406" s="11" t="n">
        <x:v>57.75</x:v>
      </x:c>
      <x:c r="F406" s="11" t="n">
        <x:v>72</x:v>
      </x:c>
      <x:c r="G406" s="11" t="n">
        <x:v>45</x:v>
      </x:c>
      <x:c r="H406" s="11" t="n">
        <x:v>0</x:v>
      </x:c>
      <x:c r="I406" s="11" t="n">
        <x:v>0</x:v>
      </x:c>
      <x:c r="J406" s="11"/>
      <x:c r="K406" s="1" t="str">
        <x:v>GFGC8600OC</x:v>
      </x:c>
      <x:c r="L406" s="1" t="str">
        <x:v>=+D402</x:v>
      </x:c>
    </x:row>
    <x:row r="407" ht="21" customHeight="1">
      <x:c r="A407" s="5" t="n">
        <x:v>46276</x:v>
      </x:c>
      <x:c r="B407" s="11" t="n">
        <x:v>38.76</x:v>
      </x:c>
      <x:c r="C407" s="11" t="n">
        <x:v>81070872</x:v>
      </x:c>
      <x:c r="D407" s="11" t="n">
        <x:v>57.75</x:v>
      </x:c>
      <x:c r="E407" s="11" t="n">
        <x:v>35</x:v>
      </x:c>
      <x:c r="F407" s="11" t="n">
        <x:v>61</x:v>
      </x:c>
      <x:c r="G407" s="11" t="n">
        <x:v>32</x:v>
      </x:c>
      <x:c r="H407" s="11" t="n">
        <x:v>0</x:v>
      </x:c>
      <x:c r="I407" s="11" t="n">
        <x:v>0</x:v>
      </x:c>
      <x:c r="J407" s="11"/>
      <x:c r="K407" s="1" t="str">
        <x:v>GFGC8600OC</x:v>
      </x:c>
      <x:c r="L407" s="1" t="str">
        <x:v>=+D403</x:v>
      </x:c>
    </x:row>
    <x:row r="408" ht="21" customHeight="1">
      <x:c r="A408" s="5" t="n">
        <x:v>46279</x:v>
      </x:c>
      <x:c r="B408" s="11" t="n">
        <x:v>27.59</x:v>
      </x:c>
      <x:c r="C408" s="11" t="n">
        <x:v>41967176</x:v>
      </x:c>
      <x:c r="D408" s="11" t="n">
        <x:v>35</x:v>
      </x:c>
      <x:c r="E408" s="11" t="n">
        <x:v>23</x:v>
      </x:c>
      <x:c r="F408" s="11" t="n">
        <x:v>35.5</x:v>
      </x:c>
      <x:c r="G408" s="11" t="n">
        <x:v>26.6</x:v>
      </x:c>
      <x:c r="H408" s="11" t="n">
        <x:v>0</x:v>
      </x:c>
      <x:c r="I408" s="11" t="n">
        <x:v>0</x:v>
      </x:c>
      <x:c r="J408" s="11"/>
      <x:c r="K408" s="1" t="str">
        <x:v>GFGC8600OC</x:v>
      </x:c>
      <x:c r="L408" s="1" t="str">
        <x:v>=+D404</x:v>
      </x:c>
    </x:row>
    <x:row r="409" ht="21" customHeight="1">
      <x:c r="A409" s="5" t="n">
        <x:v>46280</x:v>
      </x:c>
      <x:c r="B409" s="11" t="n">
        <x:v>19.15</x:v>
      </x:c>
      <x:c r="C409" s="11" t="n">
        <x:v>16742308</x:v>
      </x:c>
      <x:c r="D409" s="11" t="n">
        <x:v>23</x:v>
      </x:c>
      <x:c r="E409" s="11" t="n">
        <x:v>20</x:v>
      </x:c>
      <x:c r="F409" s="11" t="n">
        <x:v>25</x:v>
      </x:c>
      <x:c r="G409" s="11" t="n">
        <x:v>17</x:v>
      </x:c>
      <x:c r="H409" s="11" t="n">
        <x:v>0</x:v>
      </x:c>
      <x:c r="I409" s="11" t="n">
        <x:v>0</x:v>
      </x:c>
      <x:c r="J409" s="11"/>
      <x:c r="K409" s="1" t="str">
        <x:v>GFGC8600OC</x:v>
      </x:c>
      <x:c r="L409" s="1" t="str">
        <x:v>=+D405</x:v>
      </x:c>
    </x:row>
    <x:row r="410" ht="21" customHeight="1">
      <x:c r="A410" s="5" t="n">
        <x:v>46281</x:v>
      </x:c>
      <x:c r="B410" s="11" t="n">
        <x:v>17.94</x:v>
      </x:c>
      <x:c r="C410" s="11" t="n">
        <x:v>7674966</x:v>
      </x:c>
      <x:c r="D410" s="11" t="n">
        <x:v>20</x:v>
      </x:c>
      <x:c r="E410" s="11" t="n">
        <x:v>49</x:v>
      </x:c>
      <x:c r="F410" s="11" t="n">
        <x:v>24</x:v>
      </x:c>
      <x:c r="G410" s="11" t="n">
        <x:v>16</x:v>
      </x:c>
      <x:c r="H410" s="11" t="n">
        <x:v>0</x:v>
      </x:c>
      <x:c r="I410" s="11" t="n">
        <x:v>0</x:v>
      </x:c>
      <x:c r="J410" s="11"/>
      <x:c r="K410" s="1" t="str">
        <x:v>GFGC8600OC</x:v>
      </x:c>
      <x:c r="L410" s="1" t="str">
        <x:v>=+D406</x:v>
      </x:c>
    </x:row>
    <x:row r="411" ht="21" customHeight="1">
      <x:c r="A411" s="5" t="n">
        <x:v>46255</x:v>
      </x:c>
      <x:c r="B411" s="11" t="n">
        <x:v>49.98</x:v>
      </x:c>
      <x:c r="C411" s="11" t="n">
        <x:v>5966664</x:v>
      </x:c>
      <x:c r="D411" s="11" t="n">
        <x:v>49</x:v>
      </x:c>
      <x:c r="E411" s="11" t="n">
        <x:v>48.5</x:v>
      </x:c>
      <x:c r="F411" s="11" t="n">
        <x:v>54</x:v>
      </x:c>
      <x:c r="G411" s="11" t="n">
        <x:v>46</x:v>
      </x:c>
      <x:c r="H411" s="11" t="n">
        <x:v>0</x:v>
      </x:c>
      <x:c r="I411" s="11" t="n">
        <x:v>0</x:v>
      </x:c>
      <x:c r="J411" s="11"/>
      <x:c r="K411" s="1" t="str">
        <x:v>GFGC8900OC</x:v>
      </x:c>
      <x:c r="L411" s="1" t="str">
        <x:v>=+D407</x:v>
      </x:c>
    </x:row>
    <x:row r="412" ht="21" customHeight="1">
      <x:c r="A412" s="5" t="n">
        <x:v>46258</x:v>
      </x:c>
      <x:c r="B412" s="11" t="n">
        <x:v>63.96</x:v>
      </x:c>
      <x:c r="C412" s="11" t="n">
        <x:v>16858530</x:v>
      </x:c>
      <x:c r="D412" s="11" t="n">
        <x:v>48.5</x:v>
      </x:c>
      <x:c r="E412" s="11" t="n">
        <x:v>65</x:v>
      </x:c>
      <x:c r="F412" s="11" t="n">
        <x:v>70</x:v>
      </x:c>
      <x:c r="G412" s="11" t="n">
        <x:v>48.5</x:v>
      </x:c>
      <x:c r="H412" s="11" t="n">
        <x:v>0</x:v>
      </x:c>
      <x:c r="I412" s="11" t="n">
        <x:v>0</x:v>
      </x:c>
      <x:c r="J412" s="11"/>
      <x:c r="K412" s="1" t="str">
        <x:v>GFGC8900OC</x:v>
      </x:c>
      <x:c r="L412" s="1" t="str">
        <x:v>=+D408</x:v>
      </x:c>
    </x:row>
    <x:row r="413" ht="21" customHeight="1">
      <x:c r="A413" s="5" t="n">
        <x:v>46259</x:v>
      </x:c>
      <x:c r="B413" s="11" t="n">
        <x:v>65.33</x:v>
      </x:c>
      <x:c r="C413" s="11" t="n">
        <x:v>19130654</x:v>
      </x:c>
      <x:c r="D413" s="11" t="n">
        <x:v>65</x:v>
      </x:c>
      <x:c r="E413" s="11" t="n">
        <x:v>70.99</x:v>
      </x:c>
      <x:c r="F413" s="11" t="n">
        <x:v>71</x:v>
      </x:c>
      <x:c r="G413" s="11" t="n">
        <x:v>51</x:v>
      </x:c>
      <x:c r="H413" s="11" t="n">
        <x:v>0</x:v>
      </x:c>
      <x:c r="I413" s="11" t="n">
        <x:v>0</x:v>
      </x:c>
      <x:c r="J413" s="11"/>
      <x:c r="K413" s="1" t="str">
        <x:v>GFGC8900OC</x:v>
      </x:c>
      <x:c r="L413" s="1" t="str">
        <x:v>=+D409</x:v>
      </x:c>
    </x:row>
    <x:row r="414" ht="21" customHeight="1">
      <x:c r="A414" s="5" t="n">
        <x:v>46260</x:v>
      </x:c>
      <x:c r="B414" s="11" t="n">
        <x:v>66.03</x:v>
      </x:c>
      <x:c r="C414" s="11" t="n">
        <x:v>36417060</x:v>
      </x:c>
      <x:c r="D414" s="11" t="n">
        <x:v>70.99</x:v>
      </x:c>
      <x:c r="E414" s="11" t="n">
        <x:v>58</x:v>
      </x:c>
      <x:c r="F414" s="11" t="n">
        <x:v>86.49</x:v>
      </x:c>
      <x:c r="G414" s="11" t="n">
        <x:v>57.2</x:v>
      </x:c>
      <x:c r="H414" s="11" t="n">
        <x:v>0</x:v>
      </x:c>
      <x:c r="I414" s="11" t="n">
        <x:v>0</x:v>
      </x:c>
      <x:c r="J414" s="11"/>
      <x:c r="K414" s="1" t="str">
        <x:v>GFGC8900OC</x:v>
      </x:c>
      <x:c r="L414" s="1" t="str">
        <x:v>=+D410</x:v>
      </x:c>
    </x:row>
    <x:row r="415" ht="21" customHeight="1">
      <x:c r="A415" s="5" t="n">
        <x:v>46261</x:v>
      </x:c>
      <x:c r="B415" s="11" t="n">
        <x:v>45.5</x:v>
      </x:c>
      <x:c r="C415" s="11" t="n">
        <x:v>19775222</x:v>
      </x:c>
      <x:c r="D415" s="11" t="n">
        <x:v>58</x:v>
      </x:c>
      <x:c r="E415" s="11" t="n">
        <x:v>38.9</x:v>
      </x:c>
      <x:c r="F415" s="11" t="n">
        <x:v>69</x:v>
      </x:c>
      <x:c r="G415" s="11" t="n">
        <x:v>44</x:v>
      </x:c>
      <x:c r="H415" s="11" t="n">
        <x:v>0</x:v>
      </x:c>
      <x:c r="I415" s="11" t="n">
        <x:v>0</x:v>
      </x:c>
      <x:c r="J415" s="11"/>
      <x:c r="K415" s="1" t="str">
        <x:v>GFGC8900OC</x:v>
      </x:c>
      <x:c r="L415" s="1" t="str">
        <x:v>=+D411</x:v>
      </x:c>
    </x:row>
    <x:row r="416" ht="21" customHeight="1">
      <x:c r="A416" s="5" t="n">
        <x:v>46262</x:v>
      </x:c>
      <x:c r="B416" s="11" t="n">
        <x:v>36.23</x:v>
      </x:c>
      <x:c r="C416" s="11" t="n">
        <x:v>13255130</x:v>
      </x:c>
      <x:c r="D416" s="11" t="n">
        <x:v>38.9</x:v>
      </x:c>
      <x:c r="E416" s="11" t="n">
        <x:v>39.49</x:v>
      </x:c>
      <x:c r="F416" s="11" t="n">
        <x:v>41.06</x:v>
      </x:c>
      <x:c r="G416" s="11" t="n">
        <x:v>32.5</x:v>
      </x:c>
      <x:c r="H416" s="11" t="n">
        <x:v>0</x:v>
      </x:c>
      <x:c r="I416" s="11" t="n">
        <x:v>0</x:v>
      </x:c>
      <x:c r="J416" s="11"/>
      <x:c r="K416" s="1" t="str">
        <x:v>GFGC8900OC</x:v>
      </x:c>
      <x:c r="L416" s="1" t="str">
        <x:v>=+D412</x:v>
      </x:c>
    </x:row>
    <x:row r="417" ht="21" customHeight="1">
      <x:c r="A417" s="5" t="n">
        <x:v>46265</x:v>
      </x:c>
      <x:c r="B417" s="11" t="n">
        <x:v>46.66</x:v>
      </x:c>
      <x:c r="C417" s="11" t="n">
        <x:v>18052144</x:v>
      </x:c>
      <x:c r="D417" s="11" t="n">
        <x:v>39.49</x:v>
      </x:c>
      <x:c r="E417" s="11" t="n">
        <x:v>47</x:v>
      </x:c>
      <x:c r="F417" s="11" t="n">
        <x:v>60</x:v>
      </x:c>
      <x:c r="G417" s="11" t="n">
        <x:v>37</x:v>
      </x:c>
      <x:c r="H417" s="11" t="n">
        <x:v>0</x:v>
      </x:c>
      <x:c r="I417" s="11" t="n">
        <x:v>0</x:v>
      </x:c>
      <x:c r="J417" s="11"/>
      <x:c r="K417" s="1" t="str">
        <x:v>GFGC8900OC</x:v>
      </x:c>
      <x:c r="L417" s="1" t="str">
        <x:v>=+D413</x:v>
      </x:c>
    </x:row>
    <x:row r="418" ht="21" customHeight="1">
      <x:c r="A418" s="5" t="n">
        <x:v>46266</x:v>
      </x:c>
      <x:c r="B418" s="11" t="n">
        <x:v>45.91</x:v>
      </x:c>
      <x:c r="C418" s="11" t="n">
        <x:v>23777724</x:v>
      </x:c>
      <x:c r="D418" s="11" t="n">
        <x:v>47</x:v>
      </x:c>
      <x:c r="E418" s="11" t="n">
        <x:v>50.6</x:v>
      </x:c>
      <x:c r="F418" s="11" t="n">
        <x:v>62</x:v>
      </x:c>
      <x:c r="G418" s="11" t="n">
        <x:v>41.71</x:v>
      </x:c>
      <x:c r="H418" s="11" t="n">
        <x:v>0</x:v>
      </x:c>
      <x:c r="I418" s="11" t="n">
        <x:v>0</x:v>
      </x:c>
      <x:c r="J418" s="11"/>
      <x:c r="K418" s="1" t="str">
        <x:v>GFGC8900OC</x:v>
      </x:c>
      <x:c r="L418" s="1" t="str">
        <x:v>=+D414</x:v>
      </x:c>
    </x:row>
    <x:row r="419" ht="21" customHeight="1">
      <x:c r="A419" s="5" t="n">
        <x:v>46267</x:v>
      </x:c>
      <x:c r="B419" s="11" t="n">
        <x:v>53.17</x:v>
      </x:c>
      <x:c r="C419" s="11" t="n">
        <x:v>22213796</x:v>
      </x:c>
      <x:c r="D419" s="11" t="n">
        <x:v>50.6</x:v>
      </x:c>
      <x:c r="E419" s="11" t="n">
        <x:v>58.3</x:v>
      </x:c>
      <x:c r="F419" s="11" t="n">
        <x:v>55.2</x:v>
      </x:c>
      <x:c r="G419" s="11" t="n">
        <x:v>42</x:v>
      </x:c>
      <x:c r="H419" s="11" t="n">
        <x:v>0</x:v>
      </x:c>
      <x:c r="I419" s="11" t="n">
        <x:v>0</x:v>
      </x:c>
      <x:c r="J419" s="11"/>
      <x:c r="K419" s="1" t="str">
        <x:v>GFGC8900OC</x:v>
      </x:c>
      <x:c r="L419" s="1" t="str">
        <x:v>=+D415</x:v>
      </x:c>
    </x:row>
    <x:row r="420" ht="21" customHeight="1">
      <x:c r="A420" s="5" t="n">
        <x:v>46268</x:v>
      </x:c>
      <x:c r="B420" s="11" t="n">
        <x:v>41.9</x:v>
      </x:c>
      <x:c r="C420" s="11" t="n">
        <x:v>35978904</x:v>
      </x:c>
      <x:c r="D420" s="11" t="n">
        <x:v>58.3</x:v>
      </x:c>
      <x:c r="E420" s="11" t="n">
        <x:v>37.2</x:v>
      </x:c>
      <x:c r="F420" s="11" t="n">
        <x:v>74</x:v>
      </x:c>
      <x:c r="G420" s="11" t="n">
        <x:v>41</x:v>
      </x:c>
      <x:c r="H420" s="11" t="n">
        <x:v>0</x:v>
      </x:c>
      <x:c r="I420" s="11" t="n">
        <x:v>0</x:v>
      </x:c>
      <x:c r="J420" s="11"/>
      <x:c r="K420" s="1" t="str">
        <x:v>GFGC8900OC</x:v>
      </x:c>
      <x:c r="L420" s="1" t="str">
        <x:v>=+D416</x:v>
      </x:c>
    </x:row>
    <x:row r="421" ht="21" customHeight="1">
      <x:c r="A421" s="5" t="n">
        <x:v>46269</x:v>
      </x:c>
      <x:c r="B421" s="11" t="n">
        <x:v>34.74</x:v>
      </x:c>
      <x:c r="C421" s="11" t="n">
        <x:v>10991296</x:v>
      </x:c>
      <x:c r="D421" s="11" t="n">
        <x:v>37.2</x:v>
      </x:c>
      <x:c r="E421" s="11" t="n">
        <x:v>31.34</x:v>
      </x:c>
      <x:c r="F421" s="11" t="n">
        <x:v>43</x:v>
      </x:c>
      <x:c r="G421" s="11" t="n">
        <x:v>30.1</x:v>
      </x:c>
      <x:c r="H421" s="11" t="n">
        <x:v>0</x:v>
      </x:c>
      <x:c r="I421" s="11" t="n">
        <x:v>0</x:v>
      </x:c>
      <x:c r="J421" s="11"/>
      <x:c r="K421" s="1" t="str">
        <x:v>GFGC8900OC</x:v>
      </x:c>
      <x:c r="L421" s="1" t="str">
        <x:v>=+D417</x:v>
      </x:c>
    </x:row>
    <x:row r="422" ht="21" customHeight="1">
      <x:c r="A422" s="5" t="n">
        <x:v>46272</x:v>
      </x:c>
      <x:c r="B422" s="11" t="n">
        <x:v>28.82</x:v>
      </x:c>
      <x:c r="C422" s="11" t="n">
        <x:v>3681356</x:v>
      </x:c>
      <x:c r="D422" s="11" t="n">
        <x:v>31.34</x:v>
      </x:c>
      <x:c r="E422" s="11" t="n">
        <x:v>30.53</x:v>
      </x:c>
      <x:c r="F422" s="11" t="n">
        <x:v>31.35</x:v>
      </x:c>
      <x:c r="G422" s="11" t="n">
        <x:v>28.22</x:v>
      </x:c>
      <x:c r="H422" s="11" t="n">
        <x:v>0</x:v>
      </x:c>
      <x:c r="I422" s="11" t="n">
        <x:v>0</x:v>
      </x:c>
      <x:c r="J422" s="11"/>
      <x:c r="K422" s="1" t="str">
        <x:v>GFGC8900OC</x:v>
      </x:c>
      <x:c r="L422" s="1" t="str">
        <x:v>=+D418</x:v>
      </x:c>
    </x:row>
    <x:row r="423" ht="21" customHeight="1">
      <x:c r="A423" s="5" t="n">
        <x:v>46273</x:v>
      </x:c>
      <x:c r="B423" s="11" t="n">
        <x:v>29.55</x:v>
      </x:c>
      <x:c r="C423" s="11" t="n">
        <x:v>16737050</x:v>
      </x:c>
      <x:c r="D423" s="11" t="n">
        <x:v>30.53</x:v>
      </x:c>
      <x:c r="E423" s="11" t="n">
        <x:v>26</x:v>
      </x:c>
      <x:c r="F423" s="11" t="n">
        <x:v>37.98</x:v>
      </x:c>
      <x:c r="G423" s="11" t="n">
        <x:v>24.1</x:v>
      </x:c>
      <x:c r="H423" s="11" t="n">
        <x:v>0</x:v>
      </x:c>
      <x:c r="I423" s="11" t="n">
        <x:v>0</x:v>
      </x:c>
      <x:c r="J423" s="11"/>
      <x:c r="K423" s="1" t="str">
        <x:v>GFGC8900OC</x:v>
      </x:c>
      <x:c r="L423" s="1" t="str">
        <x:v>=+D419</x:v>
      </x:c>
    </x:row>
    <x:row r="424" ht="21" customHeight="1">
      <x:c r="A424" s="5" t="n">
        <x:v>46274</x:v>
      </x:c>
      <x:c r="B424" s="11" t="n">
        <x:v>30.7</x:v>
      </x:c>
      <x:c r="C424" s="11" t="n">
        <x:v>11324418</x:v>
      </x:c>
      <x:c r="D424" s="11" t="n">
        <x:v>26</x:v>
      </x:c>
      <x:c r="E424" s="11" t="n">
        <x:v>25.09</x:v>
      </x:c>
      <x:c r="F424" s="11" t="n">
        <x:v>33</x:v>
      </x:c>
      <x:c r="G424" s="11" t="n">
        <x:v>22.53</x:v>
      </x:c>
      <x:c r="H424" s="11" t="n">
        <x:v>0</x:v>
      </x:c>
      <x:c r="I424" s="11" t="n">
        <x:v>0</x:v>
      </x:c>
      <x:c r="J424" s="11"/>
      <x:c r="K424" s="1" t="str">
        <x:v>GFGC8900OC</x:v>
      </x:c>
      <x:c r="L424" s="1" t="str">
        <x:v>=+D420</x:v>
      </x:c>
    </x:row>
    <x:row r="425" ht="21" customHeight="1">
      <x:c r="A425" s="5" t="n">
        <x:v>46275</x:v>
      </x:c>
      <x:c r="B425" s="11" t="n">
        <x:v>31.79</x:v>
      </x:c>
      <x:c r="C425" s="11" t="n">
        <x:v>48369652</x:v>
      </x:c>
      <x:c r="D425" s="11" t="n">
        <x:v>25.09</x:v>
      </x:c>
      <x:c r="E425" s="11" t="n">
        <x:v>33</x:v>
      </x:c>
      <x:c r="F425" s="11" t="n">
        <x:v>90.01</x:v>
      </x:c>
      <x:c r="G425" s="11" t="n">
        <x:v>25.09</x:v>
      </x:c>
      <x:c r="H425" s="11" t="n">
        <x:v>0</x:v>
      </x:c>
      <x:c r="I425" s="11" t="n">
        <x:v>0</x:v>
      </x:c>
      <x:c r="J425" s="11"/>
      <x:c r="K425" s="1" t="str">
        <x:v>GFGC8900OC</x:v>
      </x:c>
      <x:c r="L425" s="1" t="str">
        <x:v>=+D421</x:v>
      </x:c>
    </x:row>
    <x:row r="426" ht="21" customHeight="1">
      <x:c r="A426" s="5" t="n">
        <x:v>46276</x:v>
      </x:c>
      <x:c r="B426" s="11" t="n">
        <x:v>22.19</x:v>
      </x:c>
      <x:c r="C426" s="11" t="n">
        <x:v>13448505</x:v>
      </x:c>
      <x:c r="D426" s="11" t="n">
        <x:v>33</x:v>
      </x:c>
      <x:c r="E426" s="11" t="n">
        <x:v>21.5</x:v>
      </x:c>
      <x:c r="F426" s="11" t="n">
        <x:v>33</x:v>
      </x:c>
      <x:c r="G426" s="11" t="n">
        <x:v>18.7</x:v>
      </x:c>
      <x:c r="H426" s="11" t="n">
        <x:v>0</x:v>
      </x:c>
      <x:c r="I426" s="11" t="n">
        <x:v>0</x:v>
      </x:c>
      <x:c r="J426" s="11"/>
      <x:c r="K426" s="1" t="str">
        <x:v>GFGC8900OC</x:v>
      </x:c>
      <x:c r="L426" s="1" t="str">
        <x:v>=+D422</x:v>
      </x:c>
    </x:row>
    <x:row r="427" ht="21" customHeight="1">
      <x:c r="A427" s="5" t="n">
        <x:v>46279</x:v>
      </x:c>
      <x:c r="B427" s="11" t="n">
        <x:v>14.97</x:v>
      </x:c>
      <x:c r="C427" s="11" t="n">
        <x:v>6218210</x:v>
      </x:c>
      <x:c r="D427" s="11" t="n">
        <x:v>21.5</x:v>
      </x:c>
      <x:c r="E427" s="11" t="n">
        <x:v>11.5</x:v>
      </x:c>
      <x:c r="F427" s="11" t="n">
        <x:v>21.9</x:v>
      </x:c>
      <x:c r="G427" s="11" t="n">
        <x:v>14.2</x:v>
      </x:c>
      <x:c r="H427" s="11" t="n">
        <x:v>0</x:v>
      </x:c>
      <x:c r="I427" s="11" t="n">
        <x:v>0</x:v>
      </x:c>
      <x:c r="J427" s="11"/>
      <x:c r="K427" s="1" t="str">
        <x:v>GFGC8900OC</x:v>
      </x:c>
      <x:c r="L427" s="1" t="str">
        <x:v>=+D423</x:v>
      </x:c>
    </x:row>
    <x:row r="428" ht="21" customHeight="1">
      <x:c r="A428" s="5" t="n">
        <x:v>46280</x:v>
      </x:c>
      <x:c r="B428" s="11" t="n">
        <x:v>9.81</x:v>
      </x:c>
      <x:c r="C428" s="11" t="n">
        <x:v>3391931.75</x:v>
      </x:c>
      <x:c r="D428" s="11" t="n">
        <x:v>11.5</x:v>
      </x:c>
      <x:c r="E428" s="11" t="n">
        <x:v>10.4</x:v>
      </x:c>
      <x:c r="F428" s="11" t="n">
        <x:v>13</x:v>
      </x:c>
      <x:c r="G428" s="11" t="n">
        <x:v>9</x:v>
      </x:c>
      <x:c r="H428" s="11" t="n">
        <x:v>0</x:v>
      </x:c>
      <x:c r="I428" s="11" t="n">
        <x:v>0</x:v>
      </x:c>
      <x:c r="J428" s="11"/>
      <x:c r="K428" s="1" t="str">
        <x:v>GFGC8900OC</x:v>
      </x:c>
      <x:c r="L428" s="1" t="str">
        <x:v>=+D424</x:v>
      </x:c>
    </x:row>
    <x:row r="429" ht="21" customHeight="1">
      <x:c r="A429" s="5" t="n">
        <x:v>46281</x:v>
      </x:c>
      <x:c r="B429" s="11" t="n">
        <x:v>9.99</x:v>
      </x:c>
      <x:c r="C429" s="11" t="n">
        <x:v>1861800.12</x:v>
      </x:c>
      <x:c r="D429" s="11" t="n">
        <x:v>10.4</x:v>
      </x:c>
      <x:c r="E429" s="11" t="n">
        <x:v>40</x:v>
      </x:c>
      <x:c r="F429" s="11" t="n">
        <x:v>11</x:v>
      </x:c>
      <x:c r="G429" s="11" t="n">
        <x:v>8.01</x:v>
      </x:c>
      <x:c r="H429" s="11" t="n">
        <x:v>0</x:v>
      </x:c>
      <x:c r="I429" s="11" t="n">
        <x:v>0</x:v>
      </x:c>
      <x:c r="J429" s="11"/>
      <x:c r="K429" s="1" t="str">
        <x:v>GFGC8900OC</x:v>
      </x:c>
      <x:c r="L429" s="1" t="str">
        <x:v>=+D425</x:v>
      </x:c>
    </x:row>
    <x:row r="430" ht="21" customHeight="1">
      <x:c r="A430" s="5" t="n">
        <x:v>46255</x:v>
      </x:c>
      <x:c r="B430" s="11" t="n">
        <x:v>33.56</x:v>
      </x:c>
      <x:c r="C430" s="11" t="n">
        <x:v>7705131</x:v>
      </x:c>
      <x:c r="D430" s="11" t="n">
        <x:v>40</x:v>
      </x:c>
      <x:c r="E430" s="11" t="n">
        <x:v>36</x:v>
      </x:c>
      <x:c r="F430" s="11" t="n">
        <x:v>47</x:v>
      </x:c>
      <x:c r="G430" s="11" t="n">
        <x:v>32.01</x:v>
      </x:c>
      <x:c r="H430" s="11" t="n">
        <x:v>0</x:v>
      </x:c>
      <x:c r="I430" s="11" t="n">
        <x:v>0</x:v>
      </x:c>
      <x:c r="J430" s="11"/>
      <x:c r="K430" s="1" t="str">
        <x:v>GFGC9200OC</x:v>
      </x:c>
      <x:c r="L430" s="1" t="str">
        <x:v>=+D426</x:v>
      </x:c>
    </x:row>
    <x:row r="431" ht="21" customHeight="1">
      <x:c r="A431" s="5" t="n">
        <x:v>46258</x:v>
      </x:c>
      <x:c r="B431" s="11" t="n">
        <x:v>43.1</x:v>
      </x:c>
      <x:c r="C431" s="11" t="n">
        <x:v>19611924</x:v>
      </x:c>
      <x:c r="D431" s="11" t="n">
        <x:v>36</x:v>
      </x:c>
      <x:c r="E431" s="11" t="n">
        <x:v>38</x:v>
      </x:c>
      <x:c r="F431" s="11" t="n">
        <x:v>48</x:v>
      </x:c>
      <x:c r="G431" s="11" t="n">
        <x:v>32.01</x:v>
      </x:c>
      <x:c r="H431" s="11" t="n">
        <x:v>0</x:v>
      </x:c>
      <x:c r="I431" s="11" t="n">
        <x:v>0</x:v>
      </x:c>
      <x:c r="J431" s="11"/>
      <x:c r="K431" s="1" t="str">
        <x:v>GFGC9200OC</x:v>
      </x:c>
      <x:c r="L431" s="1" t="str">
        <x:v>=+D427</x:v>
      </x:c>
    </x:row>
    <x:row r="432" ht="21" customHeight="1">
      <x:c r="A432" s="5" t="n">
        <x:v>46259</x:v>
      </x:c>
      <x:c r="B432" s="11" t="n">
        <x:v>45.53</x:v>
      </x:c>
      <x:c r="C432" s="11" t="n">
        <x:v>18251286</x:v>
      </x:c>
      <x:c r="D432" s="11" t="n">
        <x:v>38</x:v>
      </x:c>
      <x:c r="E432" s="11" t="n">
        <x:v>57.5</x:v>
      </x:c>
      <x:c r="F432" s="11" t="n">
        <x:v>48</x:v>
      </x:c>
      <x:c r="G432" s="11" t="n">
        <x:v>36</x:v>
      </x:c>
      <x:c r="H432" s="11" t="n">
        <x:v>0</x:v>
      </x:c>
      <x:c r="I432" s="11" t="n">
        <x:v>0</x:v>
      </x:c>
      <x:c r="J432" s="11"/>
      <x:c r="K432" s="1" t="str">
        <x:v>GFGC9200OC</x:v>
      </x:c>
      <x:c r="L432" s="1" t="str">
        <x:v>=+D428</x:v>
      </x:c>
    </x:row>
    <x:row r="433" ht="21" customHeight="1">
      <x:c r="A433" s="5" t="n">
        <x:v>46260</x:v>
      </x:c>
      <x:c r="B433" s="11" t="n">
        <x:v>41.09</x:v>
      </x:c>
      <x:c r="C433" s="11" t="n">
        <x:v>9481437</x:v>
      </x:c>
      <x:c r="D433" s="11" t="n">
        <x:v>57.5</x:v>
      </x:c>
      <x:c r="E433" s="11" t="n">
        <x:v>49.5</x:v>
      </x:c>
      <x:c r="F433" s="11" t="n">
        <x:v>57.5</x:v>
      </x:c>
      <x:c r="G433" s="11" t="n">
        <x:v>38.5</x:v>
      </x:c>
      <x:c r="H433" s="11" t="n">
        <x:v>0</x:v>
      </x:c>
      <x:c r="I433" s="11" t="n">
        <x:v>0</x:v>
      </x:c>
      <x:c r="J433" s="11"/>
      <x:c r="K433" s="1" t="str">
        <x:v>GFGC9200OC</x:v>
      </x:c>
      <x:c r="L433" s="1" t="str">
        <x:v>=+D429</x:v>
      </x:c>
    </x:row>
    <x:row r="434" ht="21" customHeight="1">
      <x:c r="A434" s="5" t="n">
        <x:v>46261</x:v>
      </x:c>
      <x:c r="B434" s="11" t="n">
        <x:v>30.1</x:v>
      </x:c>
      <x:c r="C434" s="11" t="n">
        <x:v>12357319</x:v>
      </x:c>
      <x:c r="D434" s="11" t="n">
        <x:v>49.5</x:v>
      </x:c>
      <x:c r="E434" s="11" t="n">
        <x:v>27</x:v>
      </x:c>
      <x:c r="F434" s="11" t="n">
        <x:v>49.5</x:v>
      </x:c>
      <x:c r="G434" s="11" t="n">
        <x:v>29.85</x:v>
      </x:c>
      <x:c r="H434" s="11" t="n">
        <x:v>0</x:v>
      </x:c>
      <x:c r="I434" s="11" t="n">
        <x:v>0</x:v>
      </x:c>
      <x:c r="J434" s="11"/>
      <x:c r="K434" s="1" t="str">
        <x:v>GFGC9200OC</x:v>
      </x:c>
      <x:c r="L434" s="1" t="str">
        <x:v>=+D430</x:v>
      </x:c>
    </x:row>
    <x:row r="435" ht="21" customHeight="1">
      <x:c r="A435" s="5" t="n">
        <x:v>46262</x:v>
      </x:c>
      <x:c r="B435" s="11" t="n">
        <x:v>23.01</x:v>
      </x:c>
      <x:c r="C435" s="11" t="n">
        <x:v>6507588.5</x:v>
      </x:c>
      <x:c r="D435" s="11" t="n">
        <x:v>27</x:v>
      </x:c>
      <x:c r="E435" s="11" t="n">
        <x:v>24.99</x:v>
      </x:c>
      <x:c r="F435" s="11" t="n">
        <x:v>30.33</x:v>
      </x:c>
      <x:c r="G435" s="11" t="n">
        <x:v>21.16</x:v>
      </x:c>
      <x:c r="H435" s="11" t="n">
        <x:v>0</x:v>
      </x:c>
      <x:c r="I435" s="11" t="n">
        <x:v>0</x:v>
      </x:c>
      <x:c r="J435" s="11"/>
      <x:c r="K435" s="1" t="str">
        <x:v>GFGC9200OC</x:v>
      </x:c>
      <x:c r="L435" s="1" t="str">
        <x:v>=+D431</x:v>
      </x:c>
    </x:row>
    <x:row r="436" ht="21" customHeight="1">
      <x:c r="A436" s="5" t="n">
        <x:v>46265</x:v>
      </x:c>
      <x:c r="B436" s="11" t="n">
        <x:v>29.82</x:v>
      </x:c>
      <x:c r="C436" s="11" t="n">
        <x:v>17902278</x:v>
      </x:c>
      <x:c r="D436" s="11" t="n">
        <x:v>24.99</x:v>
      </x:c>
      <x:c r="E436" s="11" t="n">
        <x:v>25.11</x:v>
      </x:c>
      <x:c r="F436" s="11" t="n">
        <x:v>35.44</x:v>
      </x:c>
      <x:c r="G436" s="11" t="n">
        <x:v>20.15</x:v>
      </x:c>
      <x:c r="H436" s="11" t="n">
        <x:v>0</x:v>
      </x:c>
      <x:c r="I436" s="11" t="n">
        <x:v>0</x:v>
      </x:c>
      <x:c r="J436" s="11"/>
      <x:c r="K436" s="1" t="str">
        <x:v>GFGC9200OC</x:v>
      </x:c>
      <x:c r="L436" s="1" t="str">
        <x:v>=+D432</x:v>
      </x:c>
    </x:row>
    <x:row r="437" ht="21" customHeight="1">
      <x:c r="A437" s="5" t="n">
        <x:v>46266</x:v>
      </x:c>
      <x:c r="B437" s="11" t="n">
        <x:v>29.8</x:v>
      </x:c>
      <x:c r="C437" s="11" t="n">
        <x:v>10516781</x:v>
      </x:c>
      <x:c r="D437" s="11" t="n">
        <x:v>25.11</x:v>
      </x:c>
      <x:c r="E437" s="11" t="n">
        <x:v>30</x:v>
      </x:c>
      <x:c r="F437" s="11" t="n">
        <x:v>38</x:v>
      </x:c>
      <x:c r="G437" s="11" t="n">
        <x:v>25.11</x:v>
      </x:c>
      <x:c r="H437" s="11" t="n">
        <x:v>0</x:v>
      </x:c>
      <x:c r="I437" s="11" t="n">
        <x:v>0</x:v>
      </x:c>
      <x:c r="J437" s="11"/>
      <x:c r="K437" s="1" t="str">
        <x:v>GFGC9200OC</x:v>
      </x:c>
      <x:c r="L437" s="1" t="str">
        <x:v>=+D433</x:v>
      </x:c>
    </x:row>
    <x:row r="438" ht="21" customHeight="1">
      <x:c r="A438" s="5" t="n">
        <x:v>46267</x:v>
      </x:c>
      <x:c r="B438" s="11" t="n">
        <x:v>32.75</x:v>
      </x:c>
      <x:c r="C438" s="11" t="n">
        <x:v>9520588</x:v>
      </x:c>
      <x:c r="D438" s="11" t="n">
        <x:v>30</x:v>
      </x:c>
      <x:c r="E438" s="11" t="n">
        <x:v>35</x:v>
      </x:c>
      <x:c r="F438" s="11" t="n">
        <x:v>33</x:v>
      </x:c>
      <x:c r="G438" s="11" t="n">
        <x:v>26.78</x:v>
      </x:c>
      <x:c r="H438" s="11" t="n">
        <x:v>0</x:v>
      </x:c>
      <x:c r="I438" s="11" t="n">
        <x:v>0</x:v>
      </x:c>
      <x:c r="J438" s="11"/>
      <x:c r="K438" s="1" t="str">
        <x:v>GFGC9200OC</x:v>
      </x:c>
      <x:c r="L438" s="1" t="str">
        <x:v>=+D434</x:v>
      </x:c>
    </x:row>
    <x:row r="439" ht="21" customHeight="1">
      <x:c r="A439" s="5" t="n">
        <x:v>46268</x:v>
      </x:c>
      <x:c r="B439" s="11" t="n">
        <x:v>26.71</x:v>
      </x:c>
      <x:c r="C439" s="11" t="n">
        <x:v>14819366</x:v>
      </x:c>
      <x:c r="D439" s="11" t="n">
        <x:v>35</x:v>
      </x:c>
      <x:c r="E439" s="11" t="n">
        <x:v>25</x:v>
      </x:c>
      <x:c r="F439" s="11" t="n">
        <x:v>42.99</x:v>
      </x:c>
      <x:c r="G439" s="11" t="n">
        <x:v>26</x:v>
      </x:c>
      <x:c r="H439" s="11" t="n">
        <x:v>0</x:v>
      </x:c>
      <x:c r="I439" s="11" t="n">
        <x:v>0</x:v>
      </x:c>
      <x:c r="J439" s="11"/>
      <x:c r="K439" s="1" t="str">
        <x:v>GFGC9200OC</x:v>
      </x:c>
      <x:c r="L439" s="1" t="str">
        <x:v>=+D435</x:v>
      </x:c>
    </x:row>
    <x:row r="440" ht="21" customHeight="1">
      <x:c r="A440" s="5" t="n">
        <x:v>46269</x:v>
      </x:c>
      <x:c r="B440" s="11" t="n">
        <x:v>21.04</x:v>
      </x:c>
      <x:c r="C440" s="11" t="n">
        <x:v>7668621</x:v>
      </x:c>
      <x:c r="D440" s="11" t="n">
        <x:v>25</x:v>
      </x:c>
      <x:c r="E440" s="11" t="n">
        <x:v>18.2</x:v>
      </x:c>
      <x:c r="F440" s="11" t="n">
        <x:v>27.99</x:v>
      </x:c>
      <x:c r="G440" s="11" t="n">
        <x:v>20.1</x:v>
      </x:c>
      <x:c r="H440" s="11" t="n">
        <x:v>0</x:v>
      </x:c>
      <x:c r="I440" s="11" t="n">
        <x:v>0</x:v>
      </x:c>
      <x:c r="J440" s="11"/>
      <x:c r="K440" s="1" t="str">
        <x:v>GFGC9200OC</x:v>
      </x:c>
      <x:c r="L440" s="1" t="str">
        <x:v>=+D436</x:v>
      </x:c>
    </x:row>
    <x:row r="441" ht="21" customHeight="1">
      <x:c r="A441" s="5" t="n">
        <x:v>46272</x:v>
      </x:c>
      <x:c r="B441" s="11" t="n">
        <x:v>17.79</x:v>
      </x:c>
      <x:c r="C441" s="11" t="n">
        <x:v>1386355.25</x:v>
      </x:c>
      <x:c r="D441" s="11" t="n">
        <x:v>18.2</x:v>
      </x:c>
      <x:c r="E441" s="11" t="n">
        <x:v>19.9</x:v>
      </x:c>
      <x:c r="F441" s="11" t="n">
        <x:v>19</x:v>
      </x:c>
      <x:c r="G441" s="11" t="n">
        <x:v>16</x:v>
      </x:c>
      <x:c r="H441" s="11" t="n">
        <x:v>0</x:v>
      </x:c>
      <x:c r="I441" s="11" t="n">
        <x:v>0</x:v>
      </x:c>
      <x:c r="J441" s="11"/>
      <x:c r="K441" s="1" t="str">
        <x:v>GFGC9200OC</x:v>
      </x:c>
      <x:c r="L441" s="1" t="str">
        <x:v>=+D437</x:v>
      </x:c>
    </x:row>
    <x:row r="442" ht="21" customHeight="1">
      <x:c r="A442" s="5" t="n">
        <x:v>46273</x:v>
      </x:c>
      <x:c r="B442" s="11" t="n">
        <x:v>17.97</x:v>
      </x:c>
      <x:c r="C442" s="11" t="n">
        <x:v>3717689.5</x:v>
      </x:c>
      <x:c r="D442" s="11" t="n">
        <x:v>19.9</x:v>
      </x:c>
      <x:c r="E442" s="11" t="n">
        <x:v>18</x:v>
      </x:c>
      <x:c r="F442" s="11" t="n">
        <x:v>20.99</x:v>
      </x:c>
      <x:c r="G442" s="11" t="n">
        <x:v>14.75</x:v>
      </x:c>
      <x:c r="H442" s="11" t="n">
        <x:v>0</x:v>
      </x:c>
      <x:c r="I442" s="11" t="n">
        <x:v>0</x:v>
      </x:c>
      <x:c r="J442" s="11"/>
      <x:c r="K442" s="1" t="str">
        <x:v>GFGC9200OC</x:v>
      </x:c>
      <x:c r="L442" s="1" t="str">
        <x:v>=+D438</x:v>
      </x:c>
    </x:row>
    <x:row r="443" ht="21" customHeight="1">
      <x:c r="A443" s="5" t="n">
        <x:v>46274</x:v>
      </x:c>
      <x:c r="B443" s="11" t="n">
        <x:v>17.58</x:v>
      </x:c>
      <x:c r="C443" s="11" t="n">
        <x:v>2789457.25</x:v>
      </x:c>
      <x:c r="D443" s="11" t="n">
        <x:v>18</x:v>
      </x:c>
      <x:c r="E443" s="11" t="n">
        <x:v>18</x:v>
      </x:c>
      <x:c r="F443" s="11" t="n">
        <x:v>20</x:v>
      </x:c>
      <x:c r="G443" s="11" t="n">
        <x:v>13.5</x:v>
      </x:c>
      <x:c r="H443" s="11" t="n">
        <x:v>0</x:v>
      </x:c>
      <x:c r="I443" s="11" t="n">
        <x:v>0</x:v>
      </x:c>
      <x:c r="J443" s="11"/>
      <x:c r="K443" s="1" t="str">
        <x:v>GFGC9200OC</x:v>
      </x:c>
      <x:c r="L443" s="1" t="str">
        <x:v>=+D439</x:v>
      </x:c>
    </x:row>
    <x:row r="444" ht="21" customHeight="1">
      <x:c r="A444" s="5" t="n">
        <x:v>46275</x:v>
      </x:c>
      <x:c r="B444" s="11" t="n">
        <x:v>18.48</x:v>
      </x:c>
      <x:c r="C444" s="11" t="n">
        <x:v>6900684.5</x:v>
      </x:c>
      <x:c r="D444" s="11" t="n">
        <x:v>18</x:v>
      </x:c>
      <x:c r="E444" s="11" t="n">
        <x:v>16.1</x:v>
      </x:c>
      <x:c r="F444" s="11" t="n">
        <x:v>28.79</x:v>
      </x:c>
      <x:c r="G444" s="11" t="n">
        <x:v>14.71</x:v>
      </x:c>
      <x:c r="H444" s="11" t="n">
        <x:v>0</x:v>
      </x:c>
      <x:c r="I444" s="11" t="n">
        <x:v>0</x:v>
      </x:c>
      <x:c r="J444" s="11"/>
      <x:c r="K444" s="1" t="str">
        <x:v>GFGC9200OC</x:v>
      </x:c>
      <x:c r="L444" s="1" t="str">
        <x:v>=+D440</x:v>
      </x:c>
    </x:row>
    <x:row r="445" ht="21" customHeight="1">
      <x:c r="A445" s="5" t="n">
        <x:v>46276</x:v>
      </x:c>
      <x:c r="B445" s="11" t="n">
        <x:v>13.01</x:v>
      </x:c>
      <x:c r="C445" s="11" t="n">
        <x:v>3273355</x:v>
      </x:c>
      <x:c r="D445" s="11" t="n">
        <x:v>16.1</x:v>
      </x:c>
      <x:c r="E445" s="11" t="n">
        <x:v>12.5</x:v>
      </x:c>
      <x:c r="F445" s="11" t="n">
        <x:v>17</x:v>
      </x:c>
      <x:c r="G445" s="11" t="n">
        <x:v>11.67</x:v>
      </x:c>
      <x:c r="H445" s="11" t="n">
        <x:v>0</x:v>
      </x:c>
      <x:c r="I445" s="11" t="n">
        <x:v>0</x:v>
      </x:c>
      <x:c r="J445" s="11"/>
      <x:c r="K445" s="1" t="str">
        <x:v>GFGC9200OC</x:v>
      </x:c>
      <x:c r="L445" s="1" t="str">
        <x:v>=+D441</x:v>
      </x:c>
    </x:row>
    <x:row r="446" ht="21" customHeight="1">
      <x:c r="A446" s="5" t="n">
        <x:v>46279</x:v>
      </x:c>
      <x:c r="B446" s="11" t="n">
        <x:v>9.07</x:v>
      </x:c>
      <x:c r="C446" s="11" t="n">
        <x:v>1123139</x:v>
      </x:c>
      <x:c r="D446" s="11" t="n">
        <x:v>12.5</x:v>
      </x:c>
      <x:c r="E446" s="11" t="n">
        <x:v>6.01</x:v>
      </x:c>
      <x:c r="F446" s="11" t="n">
        <x:v>13.8</x:v>
      </x:c>
      <x:c r="G446" s="11" t="n">
        <x:v>8.9</x:v>
      </x:c>
      <x:c r="H446" s="11" t="n">
        <x:v>0</x:v>
      </x:c>
      <x:c r="I446" s="11" t="n">
        <x:v>0</x:v>
      </x:c>
      <x:c r="J446" s="11"/>
      <x:c r="K446" s="1" t="str">
        <x:v>GFGC9200OC</x:v>
      </x:c>
      <x:c r="L446" s="1" t="str">
        <x:v>=+D442</x:v>
      </x:c>
    </x:row>
    <x:row r="447" ht="21" customHeight="1">
      <x:c r="A447" s="5" t="n">
        <x:v>46280</x:v>
      </x:c>
      <x:c r="B447" s="11" t="n">
        <x:v>5.93</x:v>
      </x:c>
      <x:c r="C447" s="11" t="n">
        <x:v>1086758.38</x:v>
      </x:c>
      <x:c r="D447" s="11" t="n">
        <x:v>6.01</x:v>
      </x:c>
      <x:c r="E447" s="11" t="n">
        <x:v>6.8</x:v>
      </x:c>
      <x:c r="F447" s="11" t="n">
        <x:v>7.9</x:v>
      </x:c>
      <x:c r="G447" s="11" t="n">
        <x:v>5.8</x:v>
      </x:c>
      <x:c r="H447" s="11" t="n">
        <x:v>0</x:v>
      </x:c>
      <x:c r="I447" s="11" t="n">
        <x:v>0</x:v>
      </x:c>
      <x:c r="J447" s="11"/>
      <x:c r="K447" s="1" t="str">
        <x:v>GFGC9200OC</x:v>
      </x:c>
      <x:c r="L447" s="1" t="str">
        <x:v>=+D443</x:v>
      </x:c>
    </x:row>
    <x:row r="448" ht="21" customHeight="1">
      <x:c r="A448" s="5" t="n">
        <x:v>46281</x:v>
      </x:c>
      <x:c r="B448" s="11" t="n">
        <x:v>3.53</x:v>
      </x:c>
      <x:c r="C448" s="11" t="n">
        <x:v>825675.38</x:v>
      </x:c>
      <x:c r="D448" s="11" t="n">
        <x:v>6.8</x:v>
      </x:c>
      <x:c r="E448" s="11" t="n">
        <x:v>26</x:v>
      </x:c>
      <x:c r="F448" s="11" t="n">
        <x:v>6.99</x:v>
      </x:c>
      <x:c r="G448" s="11" t="n">
        <x:v>3</x:v>
      </x:c>
      <x:c r="H448" s="11" t="n">
        <x:v>0</x:v>
      </x:c>
      <x:c r="I448" s="11" t="n">
        <x:v>0</x:v>
      </x:c>
      <x:c r="J448" s="11"/>
      <x:c r="K448" s="1" t="str">
        <x:v>GFGC9200OC</x:v>
      </x:c>
      <x:c r="L448" s="1" t="str">
        <x:v>=+D444</x:v>
      </x:c>
    </x:row>
    <x:row r="449" ht="21" customHeight="1">
      <x:c r="A449" s="5" t="n">
        <x:v>46255</x:v>
      </x:c>
      <x:c r="B449" s="11" t="n">
        <x:v>25.5</x:v>
      </x:c>
      <x:c r="C449" s="11" t="n">
        <x:v>2013076.5</x:v>
      </x:c>
      <x:c r="D449" s="11" t="n">
        <x:v>26</x:v>
      </x:c>
      <x:c r="E449" s="11" t="n">
        <x:v>32</x:v>
      </x:c>
      <x:c r="F449" s="11" t="n">
        <x:v>29.5</x:v>
      </x:c>
      <x:c r="G449" s="11" t="n">
        <x:v>15</x:v>
      </x:c>
      <x:c r="H449" s="11" t="n">
        <x:v>0</x:v>
      </x:c>
      <x:c r="I449" s="11" t="n">
        <x:v>0</x:v>
      </x:c>
      <x:c r="J449" s="11"/>
      <x:c r="K449" s="1" t="str">
        <x:v>GFGC9500OC</x:v>
      </x:c>
      <x:c r="L449" s="1" t="str">
        <x:v>=+D445</x:v>
      </x:c>
    </x:row>
    <x:row r="450" ht="21" customHeight="1">
      <x:c r="A450" s="5" t="n">
        <x:v>46258</x:v>
      </x:c>
      <x:c r="B450" s="11" t="n">
        <x:v>28.72</x:v>
      </x:c>
      <x:c r="C450" s="11" t="n">
        <x:v>7221771</x:v>
      </x:c>
      <x:c r="D450" s="11" t="n">
        <x:v>32</x:v>
      </x:c>
      <x:c r="E450" s="11" t="n">
        <x:v>24</x:v>
      </x:c>
      <x:c r="F450" s="11" t="n">
        <x:v>32</x:v>
      </x:c>
      <x:c r="G450" s="11" t="n">
        <x:v>24</x:v>
      </x:c>
      <x:c r="H450" s="11" t="n">
        <x:v>0</x:v>
      </x:c>
      <x:c r="I450" s="11" t="n">
        <x:v>0</x:v>
      </x:c>
      <x:c r="J450" s="11"/>
      <x:c r="K450" s="1" t="str">
        <x:v>GFGC9500OC</x:v>
      </x:c>
      <x:c r="L450" s="1" t="str">
        <x:v>=+D446</x:v>
      </x:c>
    </x:row>
    <x:row r="451" ht="21" customHeight="1">
      <x:c r="A451" s="5" t="n">
        <x:v>46259</x:v>
      </x:c>
      <x:c r="B451" s="11" t="n">
        <x:v>28.95</x:v>
      </x:c>
      <x:c r="C451" s="11" t="n">
        <x:v>5792175</x:v>
      </x:c>
      <x:c r="D451" s="11" t="n">
        <x:v>24</x:v>
      </x:c>
      <x:c r="E451" s="11" t="n">
        <x:v>35</x:v>
      </x:c>
      <x:c r="F451" s="11" t="n">
        <x:v>31.67</x:v>
      </x:c>
      <x:c r="G451" s="11" t="n">
        <x:v>24</x:v>
      </x:c>
      <x:c r="H451" s="11" t="n">
        <x:v>0</x:v>
      </x:c>
      <x:c r="I451" s="11" t="n">
        <x:v>0</x:v>
      </x:c>
      <x:c r="J451" s="11"/>
      <x:c r="K451" s="1" t="str">
        <x:v>GFGC9500OC</x:v>
      </x:c>
      <x:c r="L451" s="1" t="str">
        <x:v>=+D447</x:v>
      </x:c>
    </x:row>
    <x:row r="452" ht="21" customHeight="1">
      <x:c r="A452" s="5" t="n">
        <x:v>46260</x:v>
      </x:c>
      <x:c r="B452" s="11" t="n">
        <x:v>27.58</x:v>
      </x:c>
      <x:c r="C452" s="11" t="n">
        <x:v>5708698.5</x:v>
      </x:c>
      <x:c r="D452" s="11" t="n">
        <x:v>35</x:v>
      </x:c>
      <x:c r="E452" s="11" t="n">
        <x:v>29</x:v>
      </x:c>
      <x:c r="F452" s="11" t="n">
        <x:v>35</x:v>
      </x:c>
      <x:c r="G452" s="11" t="n">
        <x:v>25.66</x:v>
      </x:c>
      <x:c r="H452" s="11" t="n">
        <x:v>0</x:v>
      </x:c>
      <x:c r="I452" s="11" t="n">
        <x:v>0</x:v>
      </x:c>
      <x:c r="J452" s="11"/>
      <x:c r="K452" s="1" t="str">
        <x:v>GFGC9500OC</x:v>
      </x:c>
      <x:c r="L452" s="1" t="str">
        <x:v>=+D448</x:v>
      </x:c>
    </x:row>
    <x:row r="453" ht="21" customHeight="1">
      <x:c r="A453" s="5" t="n">
        <x:v>46261</x:v>
      </x:c>
      <x:c r="B453" s="11" t="n">
        <x:v>19.97</x:v>
      </x:c>
      <x:c r="C453" s="11" t="n">
        <x:v>6997222.5</x:v>
      </x:c>
      <x:c r="D453" s="11" t="n">
        <x:v>29</x:v>
      </x:c>
      <x:c r="E453" s="11" t="n">
        <x:v>18</x:v>
      </x:c>
      <x:c r="F453" s="11" t="n">
        <x:v>30</x:v>
      </x:c>
      <x:c r="G453" s="11" t="n">
        <x:v>19.04</x:v>
      </x:c>
      <x:c r="H453" s="11" t="n">
        <x:v>0</x:v>
      </x:c>
      <x:c r="I453" s="11" t="n">
        <x:v>0</x:v>
      </x:c>
      <x:c r="J453" s="11"/>
      <x:c r="K453" s="1" t="str">
        <x:v>GFGC9500OC</x:v>
      </x:c>
      <x:c r="L453" s="1" t="str">
        <x:v>=+D449</x:v>
      </x:c>
    </x:row>
    <x:row r="454" ht="21" customHeight="1">
      <x:c r="A454" s="5" t="n">
        <x:v>46262</x:v>
      </x:c>
      <x:c r="B454" s="11" t="n">
        <x:v>15.03</x:v>
      </x:c>
      <x:c r="C454" s="11" t="n">
        <x:v>2013131.25</x:v>
      </x:c>
      <x:c r="D454" s="11" t="n">
        <x:v>18</x:v>
      </x:c>
      <x:c r="E454" s="11" t="n">
        <x:v>16.5</x:v>
      </x:c>
      <x:c r="F454" s="11" t="n">
        <x:v>18.25</x:v>
      </x:c>
      <x:c r="G454" s="11" t="n">
        <x:v>13</x:v>
      </x:c>
      <x:c r="H454" s="11" t="n">
        <x:v>0</x:v>
      </x:c>
      <x:c r="I454" s="11" t="n">
        <x:v>0</x:v>
      </x:c>
      <x:c r="J454" s="11"/>
      <x:c r="K454" s="1" t="str">
        <x:v>GFGC9500OC</x:v>
      </x:c>
      <x:c r="L454" s="1" t="str">
        <x:v>=+D450</x:v>
      </x:c>
    </x:row>
    <x:row r="455" ht="21" customHeight="1">
      <x:c r="A455" s="5" t="n">
        <x:v>46265</x:v>
      </x:c>
      <x:c r="B455" s="11" t="n">
        <x:v>18.1</x:v>
      </x:c>
      <x:c r="C455" s="11" t="n">
        <x:v>7441443</x:v>
      </x:c>
      <x:c r="D455" s="11" t="n">
        <x:v>16.5</x:v>
      </x:c>
      <x:c r="E455" s="11" t="n">
        <x:v>18</x:v>
      </x:c>
      <x:c r="F455" s="11" t="n">
        <x:v>23</x:v>
      </x:c>
      <x:c r="G455" s="11" t="n">
        <x:v>16</x:v>
      </x:c>
      <x:c r="H455" s="11" t="n">
        <x:v>0</x:v>
      </x:c>
      <x:c r="I455" s="11" t="n">
        <x:v>0</x:v>
      </x:c>
      <x:c r="J455" s="11"/>
      <x:c r="K455" s="1" t="str">
        <x:v>GFGC9500OC</x:v>
      </x:c>
      <x:c r="L455" s="1" t="str">
        <x:v>=+D451</x:v>
      </x:c>
    </x:row>
    <x:row r="456" ht="21" customHeight="1">
      <x:c r="A456" s="5" t="n">
        <x:v>46266</x:v>
      </x:c>
      <x:c r="B456" s="11" t="n">
        <x:v>19.03</x:v>
      </x:c>
      <x:c r="C456" s="11" t="n">
        <x:v>5774791</x:v>
      </x:c>
      <x:c r="D456" s="11" t="n">
        <x:v>18</x:v>
      </x:c>
      <x:c r="E456" s="11" t="n">
        <x:v>18</x:v>
      </x:c>
      <x:c r="F456" s="11" t="n">
        <x:v>25.45</x:v>
      </x:c>
      <x:c r="G456" s="11" t="n">
        <x:v>17.5</x:v>
      </x:c>
      <x:c r="H456" s="11" t="n">
        <x:v>0</x:v>
      </x:c>
      <x:c r="I456" s="11" t="n">
        <x:v>0</x:v>
      </x:c>
      <x:c r="J456" s="11"/>
      <x:c r="K456" s="1" t="str">
        <x:v>GFGC9500OC</x:v>
      </x:c>
      <x:c r="L456" s="1" t="str">
        <x:v>=+D452</x:v>
      </x:c>
    </x:row>
    <x:row r="457" ht="21" customHeight="1">
      <x:c r="A457" s="5" t="n">
        <x:v>46267</x:v>
      </x:c>
      <x:c r="B457" s="11" t="n">
        <x:v>20.75</x:v>
      </x:c>
      <x:c r="C457" s="11" t="n">
        <x:v>7407056.5</x:v>
      </x:c>
      <x:c r="D457" s="11" t="n">
        <x:v>18</x:v>
      </x:c>
      <x:c r="E457" s="11" t="n">
        <x:v>27</x:v>
      </x:c>
      <x:c r="F457" s="11" t="n">
        <x:v>21</x:v>
      </x:c>
      <x:c r="G457" s="11" t="n">
        <x:v>17.5</x:v>
      </x:c>
      <x:c r="H457" s="11" t="n">
        <x:v>0</x:v>
      </x:c>
      <x:c r="I457" s="11" t="n">
        <x:v>0</x:v>
      </x:c>
      <x:c r="J457" s="11"/>
      <x:c r="K457" s="1" t="str">
        <x:v>GFGC9500OC</x:v>
      </x:c>
      <x:c r="L457" s="1" t="str">
        <x:v>=+D453</x:v>
      </x:c>
    </x:row>
    <x:row r="458" ht="21" customHeight="1">
      <x:c r="A458" s="5" t="n">
        <x:v>46268</x:v>
      </x:c>
      <x:c r="B458" s="11" t="n">
        <x:v>16.43</x:v>
      </x:c>
      <x:c r="C458" s="11" t="n">
        <x:v>8589591</x:v>
      </x:c>
      <x:c r="D458" s="11" t="n">
        <x:v>27</x:v>
      </x:c>
      <x:c r="E458" s="11" t="n">
        <x:v>16.27</x:v>
      </x:c>
      <x:c r="F458" s="11" t="n">
        <x:v>28</x:v>
      </x:c>
      <x:c r="G458" s="11" t="n">
        <x:v>16.2</x:v>
      </x:c>
      <x:c r="H458" s="11" t="n">
        <x:v>0</x:v>
      </x:c>
      <x:c r="I458" s="11" t="n">
        <x:v>0</x:v>
      </x:c>
      <x:c r="J458" s="11"/>
      <x:c r="K458" s="1" t="str">
        <x:v>GFGC9500OC</x:v>
      </x:c>
      <x:c r="L458" s="1" t="str">
        <x:v>=+D454</x:v>
      </x:c>
    </x:row>
    <x:row r="459" ht="21" customHeight="1">
      <x:c r="A459" s="5" t="n">
        <x:v>46269</x:v>
      </x:c>
      <x:c r="B459" s="11" t="n">
        <x:v>14.06</x:v>
      </x:c>
      <x:c r="C459" s="11" t="n">
        <x:v>4752001.5</x:v>
      </x:c>
      <x:c r="D459" s="11" t="n">
        <x:v>16.27</x:v>
      </x:c>
      <x:c r="E459" s="11" t="n">
        <x:v>12</x:v>
      </x:c>
      <x:c r="F459" s="11" t="n">
        <x:v>17.99</x:v>
      </x:c>
      <x:c r="G459" s="11" t="n">
        <x:v>13</x:v>
      </x:c>
      <x:c r="H459" s="11" t="n">
        <x:v>0</x:v>
      </x:c>
      <x:c r="I459" s="11" t="n">
        <x:v>0</x:v>
      </x:c>
      <x:c r="J459" s="11"/>
      <x:c r="K459" s="1" t="str">
        <x:v>GFGC9500OC</x:v>
      </x:c>
      <x:c r="L459" s="1" t="str">
        <x:v>=+D455</x:v>
      </x:c>
    </x:row>
    <x:row r="460" ht="21" customHeight="1">
      <x:c r="A460" s="5" t="n">
        <x:v>46272</x:v>
      </x:c>
      <x:c r="B460" s="11" t="n">
        <x:v>11.6</x:v>
      </x:c>
      <x:c r="C460" s="11" t="n">
        <x:v>1831529.25</x:v>
      </x:c>
      <x:c r="D460" s="11" t="n">
        <x:v>12</x:v>
      </x:c>
      <x:c r="E460" s="11" t="n">
        <x:v>12.33</x:v>
      </x:c>
      <x:c r="F460" s="11" t="n">
        <x:v>12.99</x:v>
      </x:c>
      <x:c r="G460" s="11" t="n">
        <x:v>11</x:v>
      </x:c>
      <x:c r="H460" s="11" t="n">
        <x:v>0</x:v>
      </x:c>
      <x:c r="I460" s="11" t="n">
        <x:v>0</x:v>
      </x:c>
      <x:c r="J460" s="11"/>
      <x:c r="K460" s="1" t="str">
        <x:v>GFGC9500OC</x:v>
      </x:c>
      <x:c r="L460" s="1" t="str">
        <x:v>=+D456</x:v>
      </x:c>
    </x:row>
    <x:row r="461" ht="21" customHeight="1">
      <x:c r="A461" s="5" t="n">
        <x:v>46273</x:v>
      </x:c>
      <x:c r="B461" s="11" t="n">
        <x:v>11.36</x:v>
      </x:c>
      <x:c r="C461" s="11" t="n">
        <x:v>2922035</x:v>
      </x:c>
      <x:c r="D461" s="11" t="n">
        <x:v>12.33</x:v>
      </x:c>
      <x:c r="E461" s="11" t="n">
        <x:v>11.5</x:v>
      </x:c>
      <x:c r="F461" s="11" t="n">
        <x:v>12.5</x:v>
      </x:c>
      <x:c r="G461" s="11" t="n">
        <x:v>9.5</x:v>
      </x:c>
      <x:c r="H461" s="11" t="n">
        <x:v>0</x:v>
      </x:c>
      <x:c r="I461" s="11" t="n">
        <x:v>0</x:v>
      </x:c>
      <x:c r="J461" s="11"/>
      <x:c r="K461" s="1" t="str">
        <x:v>GFGC9500OC</x:v>
      </x:c>
      <x:c r="L461" s="1" t="str">
        <x:v>=+D457</x:v>
      </x:c>
    </x:row>
    <x:row r="462" ht="21" customHeight="1">
      <x:c r="A462" s="5" t="n">
        <x:v>46274</x:v>
      </x:c>
      <x:c r="B462" s="11" t="n">
        <x:v>10.59</x:v>
      </x:c>
      <x:c r="C462" s="11" t="n">
        <x:v>3283683.25</x:v>
      </x:c>
      <x:c r="D462" s="11" t="n">
        <x:v>11.5</x:v>
      </x:c>
      <x:c r="E462" s="11" t="n">
        <x:v>10.02</x:v>
      </x:c>
      <x:c r="F462" s="11" t="n">
        <x:v>11.9</x:v>
      </x:c>
      <x:c r="G462" s="11" t="n">
        <x:v>6.5</x:v>
      </x:c>
      <x:c r="H462" s="11" t="n">
        <x:v>0</x:v>
      </x:c>
      <x:c r="I462" s="11" t="n">
        <x:v>0</x:v>
      </x:c>
      <x:c r="J462" s="11"/>
      <x:c r="K462" s="1" t="str">
        <x:v>GFGC9500OC</x:v>
      </x:c>
      <x:c r="L462" s="1" t="str">
        <x:v>=+D458</x:v>
      </x:c>
    </x:row>
    <x:row r="463" ht="21" customHeight="1">
      <x:c r="A463" s="5" t="n">
        <x:v>46275</x:v>
      </x:c>
      <x:c r="B463" s="11" t="n">
        <x:v>10.5</x:v>
      </x:c>
      <x:c r="C463" s="11" t="n">
        <x:v>4837963.5</x:v>
      </x:c>
      <x:c r="D463" s="11" t="n">
        <x:v>10.02</x:v>
      </x:c>
      <x:c r="E463" s="11" t="n">
        <x:v>10.18</x:v>
      </x:c>
      <x:c r="F463" s="11" t="n">
        <x:v>14.78</x:v>
      </x:c>
      <x:c r="G463" s="11" t="n">
        <x:v>9.1</x:v>
      </x:c>
      <x:c r="H463" s="11" t="n">
        <x:v>0</x:v>
      </x:c>
      <x:c r="I463" s="11" t="n">
        <x:v>0</x:v>
      </x:c>
      <x:c r="J463" s="11"/>
      <x:c r="K463" s="1" t="str">
        <x:v>GFGC9500OC</x:v>
      </x:c>
      <x:c r="L463" s="1" t="str">
        <x:v>=+D459</x:v>
      </x:c>
    </x:row>
    <x:row r="464" ht="21" customHeight="1">
      <x:c r="A464" s="5" t="n">
        <x:v>46276</x:v>
      </x:c>
      <x:c r="B464" s="11" t="n">
        <x:v>7.92</x:v>
      </x:c>
      <x:c r="C464" s="11" t="n">
        <x:v>2699418.75</x:v>
      </x:c>
      <x:c r="D464" s="11" t="n">
        <x:v>10.18</x:v>
      </x:c>
      <x:c r="E464" s="11" t="n">
        <x:v>7.5</x:v>
      </x:c>
      <x:c r="F464" s="11" t="n">
        <x:v>10.55</x:v>
      </x:c>
      <x:c r="G464" s="11" t="n">
        <x:v>6.5</x:v>
      </x:c>
      <x:c r="H464" s="11" t="n">
        <x:v>0</x:v>
      </x:c>
      <x:c r="I464" s="11" t="n">
        <x:v>0</x:v>
      </x:c>
      <x:c r="J464" s="11"/>
      <x:c r="K464" s="1" t="str">
        <x:v>GFGC9500OC</x:v>
      </x:c>
      <x:c r="L464" s="1" t="str">
        <x:v>=+D460</x:v>
      </x:c>
    </x:row>
    <x:row r="465" ht="21" customHeight="1">
      <x:c r="A465" s="5" t="n">
        <x:v>46279</x:v>
      </x:c>
      <x:c r="B465" s="11" t="n">
        <x:v>5.26</x:v>
      </x:c>
      <x:c r="C465" s="11" t="n">
        <x:v>878742.62</x:v>
      </x:c>
      <x:c r="D465" s="11" t="n">
        <x:v>7.5</x:v>
      </x:c>
      <x:c r="E465" s="11" t="n">
        <x:v>5</x:v>
      </x:c>
      <x:c r="F465" s="11" t="n">
        <x:v>7.5</x:v>
      </x:c>
      <x:c r="G465" s="11" t="n">
        <x:v>5.18</x:v>
      </x:c>
      <x:c r="H465" s="11" t="n">
        <x:v>0</x:v>
      </x:c>
      <x:c r="I465" s="11" t="n">
        <x:v>0</x:v>
      </x:c>
      <x:c r="J465" s="11"/>
      <x:c r="K465" s="1" t="str">
        <x:v>GFGC9500OC</x:v>
      </x:c>
      <x:c r="L465" s="1" t="str">
        <x:v>=+D461</x:v>
      </x:c>
    </x:row>
    <x:row r="466" ht="21" customHeight="1">
      <x:c r="A466" s="5" t="n">
        <x:v>46280</x:v>
      </x:c>
      <x:c r="B466" s="11" t="n">
        <x:v>3.7</x:v>
      </x:c>
      <x:c r="C466" s="11" t="n">
        <x:v>174398.3</x:v>
      </x:c>
      <x:c r="D466" s="11" t="n">
        <x:v>5</x:v>
      </x:c>
      <x:c r="E466" s="11" t="n">
        <x:v>4.95</x:v>
      </x:c>
      <x:c r="F466" s="11" t="n">
        <x:v>5</x:v>
      </x:c>
      <x:c r="G466" s="11" t="n">
        <x:v>3.65</x:v>
      </x:c>
      <x:c r="H466" s="11" t="n">
        <x:v>0</x:v>
      </x:c>
      <x:c r="I466" s="11" t="n">
        <x:v>0</x:v>
      </x:c>
      <x:c r="J466" s="11"/>
      <x:c r="K466" s="1" t="str">
        <x:v>GFGC9500OC</x:v>
      </x:c>
      <x:c r="L466" s="1" t="str">
        <x:v>=+D462</x:v>
      </x:c>
    </x:row>
    <x:row r="467" ht="21" customHeight="1">
      <x:c r="A467" s="5" t="n">
        <x:v>46281</x:v>
      </x:c>
      <x:c r="B467" s="11" t="n">
        <x:v>3.44</x:v>
      </x:c>
      <x:c r="C467" s="11" t="n">
        <x:v>1701123.5</x:v>
      </x:c>
      <x:c r="D467" s="11" t="n">
        <x:v>4.95</x:v>
      </x:c>
      <x:c r="E467" s="11" t="n">
        <x:v>14.1</x:v>
      </x:c>
      <x:c r="F467" s="11" t="n">
        <x:v>4.95</x:v>
      </x:c>
      <x:c r="G467" s="11" t="n">
        <x:v>3.05</x:v>
      </x:c>
      <x:c r="H467" s="11" t="n">
        <x:v>0</x:v>
      </x:c>
      <x:c r="I467" s="11" t="n">
        <x:v>0</x:v>
      </x:c>
      <x:c r="J467" s="11"/>
      <x:c r="K467" s="1" t="str">
        <x:v>GFGC9500OC</x:v>
      </x:c>
      <x:c r="L467" s="1" t="str">
        <x:v>=+D463</x:v>
      </x:c>
    </x:row>
    <x:row r="468" ht="21" customHeight="1">
      <x:c r="A468" s="5" t="n">
        <x:v>46255</x:v>
      </x:c>
      <x:c r="B468" s="11" t="n">
        <x:v>16</x:v>
      </x:c>
      <x:c r="C468" s="11" t="n">
        <x:v>1167424.62</x:v>
      </x:c>
      <x:c r="D468" s="11" t="n">
        <x:v>14.1</x:v>
      </x:c>
      <x:c r="E468" s="11" t="n">
        <x:v>21.5</x:v>
      </x:c>
      <x:c r="F468" s="11" t="n">
        <x:v>19.9</x:v>
      </x:c>
      <x:c r="G468" s="11" t="n">
        <x:v>14.1</x:v>
      </x:c>
      <x:c r="H468" s="11" t="n">
        <x:v>0</x:v>
      </x:c>
      <x:c r="I468" s="11" t="n">
        <x:v>0</x:v>
      </x:c>
      <x:c r="J468" s="11"/>
      <x:c r="K468" s="1" t="str">
        <x:v>GFGC9900OC</x:v>
      </x:c>
      <x:c r="L468" s="1" t="str">
        <x:v>=+D464</x:v>
      </x:c>
    </x:row>
    <x:row r="469" ht="21" customHeight="1">
      <x:c r="A469" s="5" t="n">
        <x:v>46258</x:v>
      </x:c>
      <x:c r="B469" s="11" t="n">
        <x:v>17.04</x:v>
      </x:c>
      <x:c r="C469" s="11" t="n">
        <x:v>1945112.5</x:v>
      </x:c>
      <x:c r="D469" s="11" t="n">
        <x:v>21.5</x:v>
      </x:c>
      <x:c r="E469" s="11" t="n">
        <x:v>19</x:v>
      </x:c>
      <x:c r="F469" s="11" t="n">
        <x:v>22</x:v>
      </x:c>
      <x:c r="G469" s="11" t="n">
        <x:v>15.1</x:v>
      </x:c>
      <x:c r="H469" s="11" t="n">
        <x:v>0</x:v>
      </x:c>
      <x:c r="I469" s="11" t="n">
        <x:v>0</x:v>
      </x:c>
      <x:c r="J469" s="11"/>
      <x:c r="K469" s="1" t="str">
        <x:v>GFGC9900OC</x:v>
      </x:c>
      <x:c r="L469" s="1" t="str">
        <x:v>=+D465</x:v>
      </x:c>
    </x:row>
    <x:row r="470" ht="21" customHeight="1">
      <x:c r="A470" s="5" t="n">
        <x:v>46259</x:v>
      </x:c>
      <x:c r="B470" s="11" t="n">
        <x:v>17.28</x:v>
      </x:c>
      <x:c r="C470" s="11" t="n">
        <x:v>1264340.38</x:v>
      </x:c>
      <x:c r="D470" s="11" t="n">
        <x:v>19</x:v>
      </x:c>
      <x:c r="E470" s="11" t="n">
        <x:v>22</x:v>
      </x:c>
      <x:c r="F470" s="11" t="n">
        <x:v>19</x:v>
      </x:c>
      <x:c r="G470" s="11" t="n">
        <x:v>12.99</x:v>
      </x:c>
      <x:c r="H470" s="11" t="n">
        <x:v>0</x:v>
      </x:c>
      <x:c r="I470" s="11" t="n">
        <x:v>0</x:v>
      </x:c>
      <x:c r="J470" s="11"/>
      <x:c r="K470" s="1" t="str">
        <x:v>GFGC9900OC</x:v>
      </x:c>
      <x:c r="L470" s="1" t="str">
        <x:v>=+D466</x:v>
      </x:c>
    </x:row>
    <x:row r="471" ht="21" customHeight="1">
      <x:c r="A471" s="5" t="n">
        <x:v>46260</x:v>
      </x:c>
      <x:c r="B471" s="11" t="n">
        <x:v>16.5</x:v>
      </x:c>
      <x:c r="C471" s="11" t="n">
        <x:v>1567710.62</x:v>
      </x:c>
      <x:c r="D471" s="11" t="n">
        <x:v>22</x:v>
      </x:c>
      <x:c r="E471" s="11" t="n">
        <x:v>15</x:v>
      </x:c>
      <x:c r="F471" s="11" t="n">
        <x:v>22</x:v>
      </x:c>
      <x:c r="G471" s="11" t="n">
        <x:v>15</x:v>
      </x:c>
      <x:c r="H471" s="11" t="n">
        <x:v>0</x:v>
      </x:c>
      <x:c r="I471" s="11" t="n">
        <x:v>0</x:v>
      </x:c>
      <x:c r="J471" s="11"/>
      <x:c r="K471" s="1" t="str">
        <x:v>GFGC9900OC</x:v>
      </x:c>
      <x:c r="L471" s="1" t="str">
        <x:v>=+D467</x:v>
      </x:c>
    </x:row>
    <x:row r="472" ht="21" customHeight="1">
      <x:c r="A472" s="5" t="n">
        <x:v>46261</x:v>
      </x:c>
      <x:c r="B472" s="11" t="n">
        <x:v>12.25</x:v>
      </x:c>
      <x:c r="C472" s="11" t="n">
        <x:v>1504077.38</x:v>
      </x:c>
      <x:c r="D472" s="11" t="n">
        <x:v>15</x:v>
      </x:c>
      <x:c r="E472" s="11" t="n">
        <x:v>12</x:v>
      </x:c>
      <x:c r="F472" s="11" t="n">
        <x:v>18.67</x:v>
      </x:c>
      <x:c r="G472" s="11" t="n">
        <x:v>11.56</x:v>
      </x:c>
      <x:c r="H472" s="11" t="n">
        <x:v>0</x:v>
      </x:c>
      <x:c r="I472" s="11" t="n">
        <x:v>0</x:v>
      </x:c>
      <x:c r="J472" s="11"/>
      <x:c r="K472" s="1" t="str">
        <x:v>GFGC9900OC</x:v>
      </x:c>
      <x:c r="L472" s="1" t="str">
        <x:v>=+D468</x:v>
      </x:c>
    </x:row>
    <x:row r="473" ht="21" customHeight="1">
      <x:c r="A473" s="5" t="n">
        <x:v>46262</x:v>
      </x:c>
      <x:c r="B473" s="11" t="n">
        <x:v>10</x:v>
      </x:c>
      <x:c r="C473" s="11" t="n">
        <x:v>2799061.75</x:v>
      </x:c>
      <x:c r="D473" s="11" t="n">
        <x:v>12</x:v>
      </x:c>
      <x:c r="E473" s="11" t="n">
        <x:v>6.07</x:v>
      </x:c>
      <x:c r="F473" s="11" t="n">
        <x:v>13</x:v>
      </x:c>
      <x:c r="G473" s="11" t="n">
        <x:v>8.31</x:v>
      </x:c>
      <x:c r="H473" s="11" t="n">
        <x:v>0</x:v>
      </x:c>
      <x:c r="I473" s="11" t="n">
        <x:v>0</x:v>
      </x:c>
      <x:c r="J473" s="11"/>
      <x:c r="K473" s="1" t="str">
        <x:v>GFGC9900OC</x:v>
      </x:c>
      <x:c r="L473" s="1" t="str">
        <x:v>=+D469</x:v>
      </x:c>
    </x:row>
    <x:row r="474" ht="21" customHeight="1">
      <x:c r="A474" s="5" t="n">
        <x:v>46265</x:v>
      </x:c>
      <x:c r="B474" s="11" t="n">
        <x:v>12.79</x:v>
      </x:c>
      <x:c r="C474" s="11" t="n">
        <x:v>5916067</x:v>
      </x:c>
      <x:c r="D474" s="11" t="n">
        <x:v>6.07</x:v>
      </x:c>
      <x:c r="E474" s="11" t="n">
        <x:v>13</x:v>
      </x:c>
      <x:c r="F474" s="11" t="n">
        <x:v>13.8</x:v>
      </x:c>
      <x:c r="G474" s="11" t="n">
        <x:v>6.07</x:v>
      </x:c>
      <x:c r="H474" s="11" t="n">
        <x:v>0</x:v>
      </x:c>
      <x:c r="I474" s="11" t="n">
        <x:v>0</x:v>
      </x:c>
      <x:c r="J474" s="11"/>
      <x:c r="K474" s="1" t="str">
        <x:v>GFGC9900OC</x:v>
      </x:c>
      <x:c r="L474" s="1" t="str">
        <x:v>=+D470</x:v>
      </x:c>
    </x:row>
    <x:row r="475" ht="21" customHeight="1">
      <x:c r="A475" s="5" t="n">
        <x:v>46266</x:v>
      </x:c>
      <x:c r="B475" s="11" t="n">
        <x:v>11.44</x:v>
      </x:c>
      <x:c r="C475" s="11" t="n">
        <x:v>2408503.25</x:v>
      </x:c>
      <x:c r="D475" s="11" t="n">
        <x:v>13</x:v>
      </x:c>
      <x:c r="E475" s="11" t="n">
        <x:v>11.02</x:v>
      </x:c>
      <x:c r="F475" s="11" t="n">
        <x:v>15.2</x:v>
      </x:c>
      <x:c r="G475" s="11" t="n">
        <x:v>10.84</x:v>
      </x:c>
      <x:c r="H475" s="11" t="n">
        <x:v>0</x:v>
      </x:c>
      <x:c r="I475" s="11" t="n">
        <x:v>0</x:v>
      </x:c>
      <x:c r="J475" s="11"/>
      <x:c r="K475" s="1" t="str">
        <x:v>GFGC9900OC</x:v>
      </x:c>
      <x:c r="L475" s="1" t="str">
        <x:v>=+D471</x:v>
      </x:c>
    </x:row>
    <x:row r="476" ht="21" customHeight="1">
      <x:c r="A476" s="5" t="n">
        <x:v>46267</x:v>
      </x:c>
      <x:c r="B476" s="11" t="n">
        <x:v>12.28</x:v>
      </x:c>
      <x:c r="C476" s="11" t="n">
        <x:v>2429018.75</x:v>
      </x:c>
      <x:c r="D476" s="11" t="n">
        <x:v>11.02</x:v>
      </x:c>
      <x:c r="E476" s="11" t="n">
        <x:v>14</x:v>
      </x:c>
      <x:c r="F476" s="11" t="n">
        <x:v>13</x:v>
      </x:c>
      <x:c r="G476" s="11" t="n">
        <x:v>10.5</x:v>
      </x:c>
      <x:c r="H476" s="11" t="n">
        <x:v>0</x:v>
      </x:c>
      <x:c r="I476" s="11" t="n">
        <x:v>0</x:v>
      </x:c>
      <x:c r="J476" s="11"/>
      <x:c r="K476" s="1" t="str">
        <x:v>GFGC9900OC</x:v>
      </x:c>
      <x:c r="L476" s="1" t="str">
        <x:v>=+D472</x:v>
      </x:c>
    </x:row>
    <x:row r="477" ht="21" customHeight="1">
      <x:c r="A477" s="5" t="n">
        <x:v>46268</x:v>
      </x:c>
      <x:c r="B477" s="11" t="n">
        <x:v>10.11</x:v>
      </x:c>
      <x:c r="C477" s="11" t="n">
        <x:v>5951273.5</x:v>
      </x:c>
      <x:c r="D477" s="11" t="n">
        <x:v>14</x:v>
      </x:c>
      <x:c r="E477" s="11" t="n">
        <x:v>8.01</x:v>
      </x:c>
      <x:c r="F477" s="11" t="n">
        <x:v>15.2</x:v>
      </x:c>
      <x:c r="G477" s="11" t="n">
        <x:v>9</x:v>
      </x:c>
      <x:c r="H477" s="11" t="n">
        <x:v>0</x:v>
      </x:c>
      <x:c r="I477" s="11" t="n">
        <x:v>0</x:v>
      </x:c>
      <x:c r="J477" s="11"/>
      <x:c r="K477" s="1" t="str">
        <x:v>GFGC9900OC</x:v>
      </x:c>
      <x:c r="L477" s="1" t="str">
        <x:v>=+D473</x:v>
      </x:c>
    </x:row>
    <x:row r="478" ht="21" customHeight="1">
      <x:c r="A478" s="5" t="n">
        <x:v>46269</x:v>
      </x:c>
      <x:c r="B478" s="11" t="n">
        <x:v>8.02</x:v>
      </x:c>
      <x:c r="C478" s="11" t="n">
        <x:v>2696464.5</x:v>
      </x:c>
      <x:c r="D478" s="11" t="n">
        <x:v>8.01</x:v>
      </x:c>
      <x:c r="E478" s="11" t="n">
        <x:v>6.5</x:v>
      </x:c>
      <x:c r="F478" s="11" t="n">
        <x:v>10</x:v>
      </x:c>
      <x:c r="G478" s="11" t="n">
        <x:v>7.7</x:v>
      </x:c>
      <x:c r="H478" s="11" t="n">
        <x:v>0</x:v>
      </x:c>
      <x:c r="I478" s="11" t="n">
        <x:v>0</x:v>
      </x:c>
      <x:c r="J478" s="11"/>
      <x:c r="K478" s="1" t="str">
        <x:v>GFGC9900OC</x:v>
      </x:c>
      <x:c r="L478" s="1" t="str">
        <x:v>=+D474</x:v>
      </x:c>
    </x:row>
    <x:row r="479" ht="21" customHeight="1">
      <x:c r="A479" s="5" t="n">
        <x:v>46272</x:v>
      </x:c>
      <x:c r="B479" s="11" t="n">
        <x:v>7</x:v>
      </x:c>
      <x:c r="C479" s="11" t="n">
        <x:v>1578948.25</x:v>
      </x:c>
      <x:c r="D479" s="11" t="n">
        <x:v>6.5</x:v>
      </x:c>
      <x:c r="E479" s="11" t="n">
        <x:v>7.5</x:v>
      </x:c>
      <x:c r="F479" s="11" t="n">
        <x:v>7.99</x:v>
      </x:c>
      <x:c r="G479" s="11" t="n">
        <x:v>6.48</x:v>
      </x:c>
      <x:c r="H479" s="11" t="n">
        <x:v>0</x:v>
      </x:c>
      <x:c r="I479" s="11" t="n">
        <x:v>0</x:v>
      </x:c>
      <x:c r="J479" s="11"/>
      <x:c r="K479" s="1" t="str">
        <x:v>GFGC9900OC</x:v>
      </x:c>
      <x:c r="L479" s="1" t="str">
        <x:v>=+D475</x:v>
      </x:c>
    </x:row>
    <x:row r="480" ht="21" customHeight="1">
      <x:c r="A480" s="5" t="n">
        <x:v>46273</x:v>
      </x:c>
      <x:c r="B480" s="11" t="n">
        <x:v>6.97</x:v>
      </x:c>
      <x:c r="C480" s="11" t="n">
        <x:v>896252.19</x:v>
      </x:c>
      <x:c r="D480" s="11" t="n">
        <x:v>7.5</x:v>
      </x:c>
      <x:c r="E480" s="11" t="n">
        <x:v>6.16</x:v>
      </x:c>
      <x:c r="F480" s="11" t="n">
        <x:v>8.2</x:v>
      </x:c>
      <x:c r="G480" s="11" t="n">
        <x:v>5.6</x:v>
      </x:c>
      <x:c r="H480" s="11" t="n">
        <x:v>0</x:v>
      </x:c>
      <x:c r="I480" s="11" t="n">
        <x:v>0</x:v>
      </x:c>
      <x:c r="J480" s="11"/>
      <x:c r="K480" s="1" t="str">
        <x:v>GFGC9900OC</x:v>
      </x:c>
      <x:c r="L480" s="1" t="str">
        <x:v>=+D476</x:v>
      </x:c>
    </x:row>
    <x:row r="481" ht="21" customHeight="1">
      <x:c r="A481" s="5" t="n">
        <x:v>46274</x:v>
      </x:c>
      <x:c r="B481" s="11" t="n">
        <x:v>6.34</x:v>
      </x:c>
      <x:c r="C481" s="11" t="n">
        <x:v>1272586.5</x:v>
      </x:c>
      <x:c r="D481" s="11" t="n">
        <x:v>6.16</x:v>
      </x:c>
      <x:c r="E481" s="11" t="n">
        <x:v>5.5</x:v>
      </x:c>
      <x:c r="F481" s="11" t="n">
        <x:v>7.5</x:v>
      </x:c>
      <x:c r="G481" s="11" t="n">
        <x:v>5.3</x:v>
      </x:c>
      <x:c r="H481" s="11" t="n">
        <x:v>0</x:v>
      </x:c>
      <x:c r="I481" s="11" t="n">
        <x:v>0</x:v>
      </x:c>
      <x:c r="J481" s="11"/>
      <x:c r="K481" s="1" t="str">
        <x:v>GFGC9900OC</x:v>
      </x:c>
      <x:c r="L481" s="1" t="str">
        <x:v>=+D477</x:v>
      </x:c>
    </x:row>
    <x:row r="482" ht="21" customHeight="1">
      <x:c r="A482" s="5" t="n">
        <x:v>46275</x:v>
      </x:c>
      <x:c r="B482" s="11" t="n">
        <x:v>6.25</x:v>
      </x:c>
      <x:c r="C482" s="11" t="n">
        <x:v>2608293</x:v>
      </x:c>
      <x:c r="D482" s="11" t="n">
        <x:v>5.5</x:v>
      </x:c>
      <x:c r="E482" s="11" t="n">
        <x:v>5.68</x:v>
      </x:c>
      <x:c r="F482" s="11" t="n">
        <x:v>8.99</x:v>
      </x:c>
      <x:c r="G482" s="11" t="n">
        <x:v>5.01</x:v>
      </x:c>
      <x:c r="H482" s="11" t="n">
        <x:v>0</x:v>
      </x:c>
      <x:c r="I482" s="11" t="n">
        <x:v>0</x:v>
      </x:c>
      <x:c r="J482" s="11"/>
      <x:c r="K482" s="1" t="str">
        <x:v>GFGC9900OC</x:v>
      </x:c>
      <x:c r="L482" s="1" t="str">
        <x:v>=+D478</x:v>
      </x:c>
    </x:row>
    <x:row r="483" ht="21" customHeight="1">
      <x:c r="A483" s="5" t="n">
        <x:v>46276</x:v>
      </x:c>
      <x:c r="B483" s="11" t="n">
        <x:v>4.41</x:v>
      </x:c>
      <x:c r="C483" s="11" t="n">
        <x:v>2015890.88</x:v>
      </x:c>
      <x:c r="D483" s="11" t="n">
        <x:v>5.68</x:v>
      </x:c>
      <x:c r="E483" s="11" t="n">
        <x:v>5</x:v>
      </x:c>
      <x:c r="F483" s="11" t="n">
        <x:v>6</x:v>
      </x:c>
      <x:c r="G483" s="11" t="n">
        <x:v>3.37</x:v>
      </x:c>
      <x:c r="H483" s="11" t="n">
        <x:v>0</x:v>
      </x:c>
      <x:c r="I483" s="11" t="n">
        <x:v>0</x:v>
      </x:c>
      <x:c r="J483" s="11"/>
      <x:c r="K483" s="1" t="str">
        <x:v>GFGC9900OC</x:v>
      </x:c>
      <x:c r="L483" s="1" t="str">
        <x:v>=+D479</x:v>
      </x:c>
    </x:row>
    <x:row r="484" ht="21" customHeight="1">
      <x:c r="A484" s="5" t="n">
        <x:v>46279</x:v>
      </x:c>
      <x:c r="B484" s="11" t="n">
        <x:v>3.27</x:v>
      </x:c>
      <x:c r="C484" s="11" t="n">
        <x:v>944135.88</x:v>
      </x:c>
      <x:c r="D484" s="11" t="n">
        <x:v>5</x:v>
      </x:c>
      <x:c r="E484" s="11" t="n">
        <x:v>3</x:v>
      </x:c>
      <x:c r="F484" s="11" t="n">
        <x:v>5</x:v>
      </x:c>
      <x:c r="G484" s="11" t="n">
        <x:v>3.2</x:v>
      </x:c>
      <x:c r="H484" s="11" t="n">
        <x:v>0</x:v>
      </x:c>
      <x:c r="I484" s="11" t="n">
        <x:v>0</x:v>
      </x:c>
      <x:c r="J484" s="11"/>
      <x:c r="K484" s="1" t="str">
        <x:v>GFGC9900OC</x:v>
      </x:c>
      <x:c r="L484" s="1" t="str">
        <x:v>=+D480</x:v>
      </x:c>
    </x:row>
    <x:row r="485" ht="21" customHeight="1">
      <x:c r="A485" s="5" t="n">
        <x:v>46280</x:v>
      </x:c>
      <x:c r="B485" s="11" t="n">
        <x:v>2.44</x:v>
      </x:c>
      <x:c r="C485" s="11" t="n">
        <x:v>504513.91</x:v>
      </x:c>
      <x:c r="D485" s="11" t="n">
        <x:v>3</x:v>
      </x:c>
      <x:c r="E485" s="11" t="n">
        <x:v>2.2</x:v>
      </x:c>
      <x:c r="F485" s="11" t="n">
        <x:v>3.5</x:v>
      </x:c>
      <x:c r="G485" s="11" t="n">
        <x:v>2.2</x:v>
      </x:c>
      <x:c r="H485" s="11" t="n">
        <x:v>0</x:v>
      </x:c>
      <x:c r="I485" s="11" t="n">
        <x:v>0</x:v>
      </x:c>
      <x:c r="J485" s="11"/>
      <x:c r="K485" s="1" t="str">
        <x:v>GFGC9900OC</x:v>
      </x:c>
      <x:c r="L485" s="1" t="str">
        <x:v>=+D481</x:v>
      </x:c>
    </x:row>
    <x:row r="486" ht="21" customHeight="1">
      <x:c r="A486" s="5" t="n">
        <x:v>46281</x:v>
      </x:c>
      <x:c r="B486" s="11" t="n">
        <x:v>2.06</x:v>
      </x:c>
      <x:c r="C486" s="11" t="n">
        <x:v>1364921.25</x:v>
      </x:c>
      <x:c r="D486" s="11" t="n">
        <x:v>2.2</x:v>
      </x:c>
      <x:c r="E486" s="11" t="n">
        <x:v>5</x:v>
      </x:c>
      <x:c r="F486" s="11" t="n">
        <x:v>2.7</x:v>
      </x:c>
      <x:c r="G486" s="11" t="n">
        <x:v>1.82</x:v>
      </x:c>
      <x:c r="H486" s="11" t="n">
        <x:v>0</x:v>
      </x:c>
      <x:c r="I486" s="11" t="n">
        <x:v>0</x:v>
      </x:c>
      <x:c r="J486" s="11"/>
      <x:c r="K486" s="1" t="str">
        <x:v>GFGC9900OC</x:v>
      </x:c>
      <x:c r="L486" s="1" t="str">
        <x:v>=+D482</x:v>
      </x:c>
    </x:row>
    <x:row r="487" ht="21" customHeight="1">
      <x:c r="A487" s="5" t="n">
        <x:v>46255</x:v>
      </x:c>
      <x:c r="B487" s="11" t="n">
        <x:v>10</x:v>
      </x:c>
      <x:c r="C487" s="11" t="n">
        <x:v>1300</x:v>
      </x:c>
      <x:c r="D487" s="11" t="n">
        <x:v>5</x:v>
      </x:c>
      <x:c r="E487" s="11" t="n">
        <x:v>7</x:v>
      </x:c>
      <x:c r="F487" s="11" t="n">
        <x:v>8</x:v>
      </x:c>
      <x:c r="G487" s="11" t="n">
        <x:v>5</x:v>
      </x:c>
      <x:c r="H487" s="11" t="n">
        <x:v>0</x:v>
      </x:c>
      <x:c r="I487" s="11" t="n">
        <x:v>0</x:v>
      </x:c>
      <x:c r="J487" s="11"/>
      <x:c r="K487" s="1" t="str">
        <x:v>GFGV4200OC</x:v>
      </x:c>
      <x:c r="L487" s="1" t="str">
        <x:v>=+D483</x:v>
      </x:c>
    </x:row>
    <x:row r="488" ht="21" customHeight="1">
      <x:c r="A488" s="5" t="n">
        <x:v>46258</x:v>
      </x:c>
      <x:c r="B488" s="11" t="n">
        <x:v>2.44</x:v>
      </x:c>
      <x:c r="C488" s="11" t="n">
        <x:v>257370.8</x:v>
      </x:c>
      <x:c r="D488" s="11" t="n">
        <x:v>7</x:v>
      </x:c>
      <x:c r="E488" s="11" t="n">
        <x:v>2.44</x:v>
      </x:c>
      <x:c r="F488" s="11" t="n">
        <x:v>7</x:v>
      </x:c>
      <x:c r="G488" s="11" t="n">
        <x:v>1</x:v>
      </x:c>
      <x:c r="H488" s="11" t="n">
        <x:v>0</x:v>
      </x:c>
      <x:c r="I488" s="11" t="n">
        <x:v>0</x:v>
      </x:c>
      <x:c r="J488" s="11"/>
      <x:c r="K488" s="1" t="str">
        <x:v>GFGV4200OC</x:v>
      </x:c>
      <x:c r="L488" s="1" t="str">
        <x:v>=+D484</x:v>
      </x:c>
    </x:row>
    <x:row r="489" ht="21" customHeight="1">
      <x:c r="A489" s="5" t="n">
        <x:v>46259</x:v>
      </x:c>
      <x:c r="B489" s="11" t="n">
        <x:v>2.46</x:v>
      </x:c>
      <x:c r="C489" s="11" t="n">
        <x:v>349267.91</x:v>
      </x:c>
      <x:c r="D489" s="11" t="n">
        <x:v>2.44</x:v>
      </x:c>
      <x:c r="E489" s="11" t="n">
        <x:v>2</x:v>
      </x:c>
      <x:c r="F489" s="11" t="n">
        <x:v>3.8</x:v>
      </x:c>
      <x:c r="G489" s="11" t="n">
        <x:v>2</x:v>
      </x:c>
      <x:c r="H489" s="11" t="n">
        <x:v>0</x:v>
      </x:c>
      <x:c r="I489" s="11" t="n">
        <x:v>0</x:v>
      </x:c>
      <x:c r="J489" s="11"/>
      <x:c r="K489" s="1" t="str">
        <x:v>GFGV4200OC</x:v>
      </x:c>
      <x:c r="L489" s="1" t="str">
        <x:v>=+D485</x:v>
      </x:c>
    </x:row>
    <x:row r="490" ht="21" customHeight="1">
      <x:c r="A490" s="5" t="n">
        <x:v>46260</x:v>
      </x:c>
      <x:c r="B490" s="11" t="n">
        <x:v>2.59</x:v>
      </x:c>
      <x:c r="C490" s="11" t="n">
        <x:v>339267.31</x:v>
      </x:c>
      <x:c r="D490" s="11" t="n">
        <x:v>2</x:v>
      </x:c>
      <x:c r="E490" s="11" t="n">
        <x:v>1.7</x:v>
      </x:c>
      <x:c r="F490" s="11" t="n">
        <x:v>3.33</x:v>
      </x:c>
      <x:c r="G490" s="11" t="n">
        <x:v>1.71</x:v>
      </x:c>
      <x:c r="H490" s="11" t="n">
        <x:v>0</x:v>
      </x:c>
      <x:c r="I490" s="11" t="n">
        <x:v>0</x:v>
      </x:c>
      <x:c r="J490" s="11"/>
      <x:c r="K490" s="1" t="str">
        <x:v>GFGV4200OC</x:v>
      </x:c>
      <x:c r="L490" s="1" t="str">
        <x:v>=+D486</x:v>
      </x:c>
    </x:row>
    <x:row r="491" ht="21" customHeight="1">
      <x:c r="A491" s="5" t="n">
        <x:v>46261</x:v>
      </x:c>
      <x:c r="B491" s="11" t="n">
        <x:v>2.86</x:v>
      </x:c>
      <x:c r="C491" s="11" t="n">
        <x:v>364776.19</x:v>
      </x:c>
      <x:c r="D491" s="11" t="n">
        <x:v>1.7</x:v>
      </x:c>
      <x:c r="E491" s="11" t="n">
        <x:v>4</x:v>
      </x:c>
      <x:c r="F491" s="11" t="n">
        <x:v>3.2</x:v>
      </x:c>
      <x:c r="G491" s="11" t="n">
        <x:v>1.7</x:v>
      </x:c>
      <x:c r="H491" s="11" t="n">
        <x:v>0</x:v>
      </x:c>
      <x:c r="I491" s="11" t="n">
        <x:v>0</x:v>
      </x:c>
      <x:c r="J491" s="11"/>
      <x:c r="K491" s="1" t="str">
        <x:v>GFGV4200OC</x:v>
      </x:c>
      <x:c r="L491" s="1" t="str">
        <x:v>=+D487</x:v>
      </x:c>
    </x:row>
    <x:row r="492" ht="21" customHeight="1">
      <x:c r="A492" s="5" t="n">
        <x:v>46262</x:v>
      </x:c>
      <x:c r="B492" s="11" t="n">
        <x:v>1.74</x:v>
      </x:c>
      <x:c r="C492" s="11" t="n">
        <x:v>931454</x:v>
      </x:c>
      <x:c r="D492" s="11" t="n">
        <x:v>4</x:v>
      </x:c>
      <x:c r="E492" s="11" t="n">
        <x:v>2.5</x:v>
      </x:c>
      <x:c r="F492" s="11" t="n">
        <x:v>4</x:v>
      </x:c>
      <x:c r="G492" s="11" t="n">
        <x:v>1.3</x:v>
      </x:c>
      <x:c r="H492" s="11" t="n">
        <x:v>0</x:v>
      </x:c>
      <x:c r="I492" s="11" t="n">
        <x:v>0</x:v>
      </x:c>
      <x:c r="J492" s="11"/>
      <x:c r="K492" s="1" t="str">
        <x:v>GFGV4200OC</x:v>
      </x:c>
      <x:c r="L492" s="1" t="str">
        <x:v>=+D488</x:v>
      </x:c>
    </x:row>
    <x:row r="493" ht="21" customHeight="1">
      <x:c r="A493" s="5" t="n">
        <x:v>46265</x:v>
      </x:c>
      <x:c r="B493" s="11" t="n">
        <x:v>0.9</x:v>
      </x:c>
      <x:c r="C493" s="11" t="n">
        <x:v>158150.41</x:v>
      </x:c>
      <x:c r="D493" s="11" t="n">
        <x:v>2.5</x:v>
      </x:c>
      <x:c r="E493" s="11" t="n">
        <x:v>0.91</x:v>
      </x:c>
      <x:c r="F493" s="11" t="n">
        <x:v>2.5</x:v>
      </x:c>
      <x:c r="G493" s="11" t="n">
        <x:v>0.7</x:v>
      </x:c>
      <x:c r="H493" s="11" t="n">
        <x:v>0</x:v>
      </x:c>
      <x:c r="I493" s="11" t="n">
        <x:v>0</x:v>
      </x:c>
      <x:c r="J493" s="11"/>
      <x:c r="K493" s="1" t="str">
        <x:v>GFGV4200OC</x:v>
      </x:c>
      <x:c r="L493" s="1" t="str">
        <x:v>=+D489</x:v>
      </x:c>
    </x:row>
    <x:row r="494" ht="21" customHeight="1">
      <x:c r="A494" s="5" t="n">
        <x:v>46266</x:v>
      </x:c>
      <x:c r="B494" s="11" t="n">
        <x:v>0.97</x:v>
      </x:c>
      <x:c r="C494" s="11" t="n">
        <x:v>129405</x:v>
      </x:c>
      <x:c r="D494" s="11" t="n">
        <x:v>0.91</x:v>
      </x:c>
      <x:c r="E494" s="11" t="n">
        <x:v>1.3</x:v>
      </x:c>
      <x:c r="F494" s="11" t="n">
        <x:v>1.5</x:v>
      </x:c>
      <x:c r="G494" s="11" t="n">
        <x:v>0.81</x:v>
      </x:c>
      <x:c r="H494" s="11" t="n">
        <x:v>0</x:v>
      </x:c>
      <x:c r="I494" s="11" t="n">
        <x:v>0</x:v>
      </x:c>
      <x:c r="J494" s="11"/>
      <x:c r="K494" s="1" t="str">
        <x:v>GFGV4200OC</x:v>
      </x:c>
      <x:c r="L494" s="1" t="str">
        <x:v>=+D490</x:v>
      </x:c>
    </x:row>
    <x:row r="495" ht="21" customHeight="1">
      <x:c r="A495" s="5" t="n">
        <x:v>46267</x:v>
      </x:c>
      <x:c r="B495" s="11" t="n">
        <x:v>0.9</x:v>
      </x:c>
      <x:c r="C495" s="11" t="n">
        <x:v>84805.8</x:v>
      </x:c>
      <x:c r="D495" s="11" t="n">
        <x:v>1.3</x:v>
      </x:c>
      <x:c r="E495" s="11" t="n">
        <x:v>1.11</x:v>
      </x:c>
      <x:c r="F495" s="11" t="n">
        <x:v>1.3</x:v>
      </x:c>
      <x:c r="G495" s="11" t="n">
        <x:v>0.88</x:v>
      </x:c>
      <x:c r="H495" s="11" t="n">
        <x:v>0</x:v>
      </x:c>
      <x:c r="I495" s="11" t="n">
        <x:v>0</x:v>
      </x:c>
      <x:c r="J495" s="11"/>
      <x:c r="K495" s="1" t="str">
        <x:v>GFGV4200OC</x:v>
      </x:c>
      <x:c r="L495" s="1" t="str">
        <x:v>=+D491</x:v>
      </x:c>
    </x:row>
    <x:row r="496" ht="21" customHeight="1">
      <x:c r="A496" s="5" t="n">
        <x:v>46268</x:v>
      </x:c>
      <x:c r="B496" s="11" t="n">
        <x:v>1.05</x:v>
      </x:c>
      <x:c r="C496" s="11" t="n">
        <x:v>161437.2</x:v>
      </x:c>
      <x:c r="D496" s="11" t="n">
        <x:v>1.11</x:v>
      </x:c>
      <x:c r="E496" s="11" t="n">
        <x:v>1.05</x:v>
      </x:c>
      <x:c r="F496" s="11" t="n">
        <x:v>1.4</x:v>
      </x:c>
      <x:c r="G496" s="11" t="n">
        <x:v>0.78</x:v>
      </x:c>
      <x:c r="H496" s="11" t="n">
        <x:v>0</x:v>
      </x:c>
      <x:c r="I496" s="11" t="n">
        <x:v>0</x:v>
      </x:c>
      <x:c r="J496" s="11"/>
      <x:c r="K496" s="1" t="str">
        <x:v>GFGV4200OC</x:v>
      </x:c>
      <x:c r="L496" s="1" t="str">
        <x:v>=+D492</x:v>
      </x:c>
    </x:row>
    <x:row r="497" ht="21" customHeight="1">
      <x:c r="A497" s="5" t="n">
        <x:v>46269</x:v>
      </x:c>
      <x:c r="B497" s="11" t="n">
        <x:v>1.09</x:v>
      </x:c>
      <x:c r="C497" s="11" t="n">
        <x:v>184877.2</x:v>
      </x:c>
      <x:c r="D497" s="11" t="n">
        <x:v>1.05</x:v>
      </x:c>
      <x:c r="E497" s="11" t="n">
        <x:v>1.09</x:v>
      </x:c>
      <x:c r="F497" s="11" t="n">
        <x:v>1.5</x:v>
      </x:c>
      <x:c r="G497" s="11" t="n">
        <x:v>0.8</x:v>
      </x:c>
      <x:c r="H497" s="11" t="n">
        <x:v>0</x:v>
      </x:c>
      <x:c r="I497" s="11" t="n">
        <x:v>0</x:v>
      </x:c>
      <x:c r="J497" s="11"/>
      <x:c r="K497" s="1" t="str">
        <x:v>GFGV4200OC</x:v>
      </x:c>
      <x:c r="L497" s="1" t="str">
        <x:v>=+D493</x:v>
      </x:c>
    </x:row>
    <x:row r="498" ht="21" customHeight="1">
      <x:c r="A498" s="5" t="n">
        <x:v>46272</x:v>
      </x:c>
      <x:c r="B498" s="11" t="n">
        <x:v>0.82</x:v>
      </x:c>
      <x:c r="C498" s="11" t="n">
        <x:v>71405</x:v>
      </x:c>
      <x:c r="D498" s="11" t="n">
        <x:v>1.09</x:v>
      </x:c>
      <x:c r="E498" s="11" t="n">
        <x:v>1.3</x:v>
      </x:c>
      <x:c r="F498" s="11" t="n">
        <x:v>1.09</x:v>
      </x:c>
      <x:c r="G498" s="11" t="n">
        <x:v>0.8</x:v>
      </x:c>
      <x:c r="H498" s="11" t="n">
        <x:v>0</x:v>
      </x:c>
      <x:c r="I498" s="11" t="n">
        <x:v>0</x:v>
      </x:c>
      <x:c r="J498" s="11"/>
      <x:c r="K498" s="1" t="str">
        <x:v>GFGV4200OC</x:v>
      </x:c>
      <x:c r="L498" s="1" t="str">
        <x:v>=+D494</x:v>
      </x:c>
    </x:row>
    <x:row r="499" ht="21" customHeight="1">
      <x:c r="A499" s="5" t="n">
        <x:v>46273</x:v>
      </x:c>
      <x:c r="B499" s="11" t="n">
        <x:v>0.98</x:v>
      </x:c>
      <x:c r="C499" s="11" t="n">
        <x:v>90312.7</x:v>
      </x:c>
      <x:c r="D499" s="11" t="n">
        <x:v>1.3</x:v>
      </x:c>
      <x:c r="E499" s="11" t="n">
        <x:v>1.02</x:v>
      </x:c>
      <x:c r="F499" s="11" t="n">
        <x:v>1.45</x:v>
      </x:c>
      <x:c r="G499" s="11" t="n">
        <x:v>0.82</x:v>
      </x:c>
      <x:c r="H499" s="11" t="n">
        <x:v>0</x:v>
      </x:c>
      <x:c r="I499" s="11" t="n">
        <x:v>0</x:v>
      </x:c>
      <x:c r="J499" s="11"/>
      <x:c r="K499" s="1" t="str">
        <x:v>GFGV4200OC</x:v>
      </x:c>
      <x:c r="L499" s="1" t="str">
        <x:v>=+D495</x:v>
      </x:c>
    </x:row>
    <x:row r="500" ht="21" customHeight="1">
      <x:c r="A500" s="5" t="n">
        <x:v>46274</x:v>
      </x:c>
      <x:c r="B500" s="11" t="n">
        <x:v>0.81</x:v>
      </x:c>
      <x:c r="C500" s="11" t="n">
        <x:v>37293.2</x:v>
      </x:c>
      <x:c r="D500" s="11" t="n">
        <x:v>1.02</x:v>
      </x:c>
      <x:c r="E500" s="11" t="n">
        <x:v>1.15</x:v>
      </x:c>
      <x:c r="F500" s="11" t="n">
        <x:v>1.25</x:v>
      </x:c>
      <x:c r="G500" s="11" t="n">
        <x:v>0.78</x:v>
      </x:c>
      <x:c r="H500" s="11" t="n">
        <x:v>0</x:v>
      </x:c>
      <x:c r="I500" s="11" t="n">
        <x:v>0</x:v>
      </x:c>
      <x:c r="J500" s="11"/>
      <x:c r="K500" s="1" t="str">
        <x:v>GFGV4200OC</x:v>
      </x:c>
      <x:c r="L500" s="1" t="str">
        <x:v>=+D496</x:v>
      </x:c>
    </x:row>
    <x:row r="501" ht="21" customHeight="1">
      <x:c r="A501" s="5" t="n">
        <x:v>46275</x:v>
      </x:c>
      <x:c r="B501" s="11" t="n">
        <x:v>0.76</x:v>
      </x:c>
      <x:c r="C501" s="11" t="n">
        <x:v>34430.7</x:v>
      </x:c>
      <x:c r="D501" s="11" t="n">
        <x:v>1.15</x:v>
      </x:c>
      <x:c r="E501" s="11" t="n">
        <x:v>0.95</x:v>
      </x:c>
      <x:c r="F501" s="11" t="n">
        <x:v>1.15</x:v>
      </x:c>
      <x:c r="G501" s="11" t="n">
        <x:v>0.5</x:v>
      </x:c>
      <x:c r="H501" s="11" t="n">
        <x:v>0</x:v>
      </x:c>
      <x:c r="I501" s="11" t="n">
        <x:v>0</x:v>
      </x:c>
      <x:c r="J501" s="11"/>
      <x:c r="K501" s="1" t="str">
        <x:v>GFGV4200OC</x:v>
      </x:c>
      <x:c r="L501" s="1" t="str">
        <x:v>=+D497</x:v>
      </x:c>
    </x:row>
    <x:row r="502" ht="21" customHeight="1">
      <x:c r="A502" s="5" t="n">
        <x:v>46276</x:v>
      </x:c>
      <x:c r="B502" s="11" t="n">
        <x:v>0.59</x:v>
      </x:c>
      <x:c r="C502" s="11" t="n">
        <x:v>200943.59</x:v>
      </x:c>
      <x:c r="D502" s="11" t="n">
        <x:v>0.95</x:v>
      </x:c>
      <x:c r="E502" s="11" t="n">
        <x:v>0.75</x:v>
      </x:c>
      <x:c r="F502" s="11" t="n">
        <x:v>0.95</x:v>
      </x:c>
      <x:c r="G502" s="11" t="n">
        <x:v>0.4</x:v>
      </x:c>
      <x:c r="H502" s="11" t="n">
        <x:v>0</x:v>
      </x:c>
      <x:c r="I502" s="11" t="n">
        <x:v>0</x:v>
      </x:c>
      <x:c r="J502" s="11"/>
      <x:c r="K502" s="1" t="str">
        <x:v>GFGV4200OC</x:v>
      </x:c>
      <x:c r="L502" s="1" t="str">
        <x:v>=+D498</x:v>
      </x:c>
    </x:row>
    <x:row r="503" ht="21" customHeight="1">
      <x:c r="A503" s="5" t="n">
        <x:v>46279</x:v>
      </x:c>
      <x:c r="B503" s="11" t="n">
        <x:v>0.76</x:v>
      </x:c>
      <x:c r="C503" s="11" t="n">
        <x:v>88567.6</x:v>
      </x:c>
      <x:c r="D503" s="11" t="n">
        <x:v>0.75</x:v>
      </x:c>
      <x:c r="E503" s="11" t="n">
        <x:v>0.75</x:v>
      </x:c>
      <x:c r="F503" s="11" t="n">
        <x:v>1</x:v>
      </x:c>
      <x:c r="G503" s="11" t="n">
        <x:v>0.5</x:v>
      </x:c>
      <x:c r="H503" s="11" t="n">
        <x:v>0</x:v>
      </x:c>
      <x:c r="I503" s="11" t="n">
        <x:v>0</x:v>
      </x:c>
      <x:c r="J503" s="11"/>
      <x:c r="K503" s="1" t="str">
        <x:v>GFGV4200OC</x:v>
      </x:c>
      <x:c r="L503" s="1" t="str">
        <x:v>=+D499</x:v>
      </x:c>
    </x:row>
    <x:row r="504" ht="21" customHeight="1">
      <x:c r="A504" s="5" t="n">
        <x:v>46280</x:v>
      </x:c>
      <x:c r="B504" s="11" t="n">
        <x:v>1.19</x:v>
      </x:c>
      <x:c r="C504" s="11" t="n">
        <x:v>209747.8</x:v>
      </x:c>
      <x:c r="D504" s="11" t="n">
        <x:v>0.75</x:v>
      </x:c>
      <x:c r="E504" s="11" t="n">
        <x:v>1.59</x:v>
      </x:c>
      <x:c r="F504" s="11" t="n">
        <x:v>1.61</x:v>
      </x:c>
      <x:c r="G504" s="11" t="n">
        <x:v>0.65</x:v>
      </x:c>
      <x:c r="H504" s="11" t="n">
        <x:v>0</x:v>
      </x:c>
      <x:c r="I504" s="11" t="n">
        <x:v>0</x:v>
      </x:c>
      <x:c r="J504" s="11"/>
      <x:c r="K504" s="1" t="str">
        <x:v>GFGV4200OC</x:v>
      </x:c>
      <x:c r="L504" s="1" t="str">
        <x:v>=+D500</x:v>
      </x:c>
    </x:row>
    <x:row r="505" ht="21" customHeight="1">
      <x:c r="A505" s="5" t="n">
        <x:v>46281</x:v>
      </x:c>
      <x:c r="B505" s="11" t="n">
        <x:v>1.21</x:v>
      </x:c>
      <x:c r="C505" s="11" t="n">
        <x:v>32093.2</x:v>
      </x:c>
      <x:c r="D505" s="11" t="n">
        <x:v>1.59</x:v>
      </x:c>
      <x:c r="E505" s="11" t="n">
        <x:v>10</x:v>
      </x:c>
      <x:c r="F505" s="11" t="n">
        <x:v>1.59</x:v>
      </x:c>
      <x:c r="G505" s="11" t="n">
        <x:v>0.67</x:v>
      </x:c>
      <x:c r="H505" s="11" t="n">
        <x:v>0</x:v>
      </x:c>
      <x:c r="I505" s="11" t="n">
        <x:v>0</x:v>
      </x:c>
      <x:c r="J505" s="11"/>
      <x:c r="K505" s="1" t="str">
        <x:v>GFGV4200OC</x:v>
      </x:c>
      <x:c r="L505" s="1" t="str">
        <x:v>=+D501</x:v>
      </x:c>
    </x:row>
    <x:row r="506" ht="21" customHeight="1">
      <x:c r="A506" s="5" t="n">
        <x:v>46255</x:v>
      </x:c>
      <x:c r="B506" s="11" t="n">
        <x:v>10</x:v>
      </x:c>
      <x:c r="C506" s="11" t="n">
        <x:v>1000</x:v>
      </x:c>
      <x:c r="D506" s="11" t="n">
        <x:v>10</x:v>
      </x:c>
      <x:c r="E506" s="11" t="n">
        <x:v>4</x:v>
      </x:c>
      <x:c r="F506" s="11" t="n">
        <x:v>10</x:v>
      </x:c>
      <x:c r="G506" s="11" t="n">
        <x:v>10</x:v>
      </x:c>
      <x:c r="H506" s="11" t="n">
        <x:v>0</x:v>
      </x:c>
      <x:c r="I506" s="11" t="n">
        <x:v>0</x:v>
      </x:c>
      <x:c r="J506" s="11"/>
      <x:c r="K506" s="1" t="str">
        <x:v>GFGV4400OC</x:v>
      </x:c>
      <x:c r="L506" s="1" t="str">
        <x:v>=+D502</x:v>
      </x:c>
    </x:row>
    <x:row r="507" ht="21" customHeight="1">
      <x:c r="A507" s="5" t="n">
        <x:v>46258</x:v>
      </x:c>
      <x:c r="B507" s="11" t="n">
        <x:v>3.67</x:v>
      </x:c>
      <x:c r="C507" s="11" t="n">
        <x:v>688801.88</x:v>
      </x:c>
      <x:c r="D507" s="11" t="n">
        <x:v>4</x:v>
      </x:c>
      <x:c r="E507" s="11" t="n">
        <x:v>3.5</x:v>
      </x:c>
      <x:c r="F507" s="11" t="n">
        <x:v>4.8</x:v>
      </x:c>
      <x:c r="G507" s="11" t="n">
        <x:v>2</x:v>
      </x:c>
      <x:c r="H507" s="11" t="n">
        <x:v>0</x:v>
      </x:c>
      <x:c r="I507" s="11" t="n">
        <x:v>0</x:v>
      </x:c>
      <x:c r="J507" s="11"/>
      <x:c r="K507" s="1" t="str">
        <x:v>GFGV4400OC</x:v>
      </x:c>
      <x:c r="L507" s="1" t="str">
        <x:v>=+D503</x:v>
      </x:c>
    </x:row>
    <x:row r="508" ht="21" customHeight="1">
      <x:c r="A508" s="5" t="n">
        <x:v>46259</x:v>
      </x:c>
      <x:c r="B508" s="11" t="n">
        <x:v>3.02</x:v>
      </x:c>
      <x:c r="C508" s="11" t="n">
        <x:v>351163.59</x:v>
      </x:c>
      <x:c r="D508" s="11" t="n">
        <x:v>3.5</x:v>
      </x:c>
      <x:c r="E508" s="11" t="n">
        <x:v>2.2</x:v>
      </x:c>
      <x:c r="F508" s="11" t="n">
        <x:v>4.6</x:v>
      </x:c>
      <x:c r="G508" s="11" t="n">
        <x:v>2.71</x:v>
      </x:c>
      <x:c r="H508" s="11" t="n">
        <x:v>0</x:v>
      </x:c>
      <x:c r="I508" s="11" t="n">
        <x:v>0</x:v>
      </x:c>
      <x:c r="J508" s="11"/>
      <x:c r="K508" s="1" t="str">
        <x:v>GFGV4400OC</x:v>
      </x:c>
      <x:c r="L508" s="1" t="str">
        <x:v>=+D504</x:v>
      </x:c>
    </x:row>
    <x:row r="509" ht="21" customHeight="1">
      <x:c r="A509" s="5" t="n">
        <x:v>46260</x:v>
      </x:c>
      <x:c r="B509" s="11" t="n">
        <x:v>2.68</x:v>
      </x:c>
      <x:c r="C509" s="11" t="n">
        <x:v>357127.69</x:v>
      </x:c>
      <x:c r="D509" s="11" t="n">
        <x:v>2.2</x:v>
      </x:c>
      <x:c r="E509" s="11" t="n">
        <x:v>3.15</x:v>
      </x:c>
      <x:c r="F509" s="11" t="n">
        <x:v>3.9</x:v>
      </x:c>
      <x:c r="G509" s="11" t="n">
        <x:v>2.2</x:v>
      </x:c>
      <x:c r="H509" s="11" t="n">
        <x:v>0</x:v>
      </x:c>
      <x:c r="I509" s="11" t="n">
        <x:v>0</x:v>
      </x:c>
      <x:c r="J509" s="11"/>
      <x:c r="K509" s="1" t="str">
        <x:v>GFGV4400OC</x:v>
      </x:c>
      <x:c r="L509" s="1" t="str">
        <x:v>=+D505</x:v>
      </x:c>
    </x:row>
    <x:row r="510" ht="21" customHeight="1">
      <x:c r="A510" s="5" t="n">
        <x:v>46261</x:v>
      </x:c>
      <x:c r="B510" s="11" t="n">
        <x:v>3.03</x:v>
      </x:c>
      <x:c r="C510" s="11" t="n">
        <x:v>736744.38</x:v>
      </x:c>
      <x:c r="D510" s="11" t="n">
        <x:v>3.15</x:v>
      </x:c>
      <x:c r="E510" s="11" t="n">
        <x:v>2.09</x:v>
      </x:c>
      <x:c r="F510" s="11" t="n">
        <x:v>3.8</x:v>
      </x:c>
      <x:c r="G510" s="11" t="n">
        <x:v>1.1</x:v>
      </x:c>
      <x:c r="H510" s="11" t="n">
        <x:v>0</x:v>
      </x:c>
      <x:c r="I510" s="11" t="n">
        <x:v>0</x:v>
      </x:c>
      <x:c r="J510" s="11"/>
      <x:c r="K510" s="1" t="str">
        <x:v>GFGV4400OC</x:v>
      </x:c>
      <x:c r="L510" s="1" t="str">
        <x:v>=+D506</x:v>
      </x:c>
    </x:row>
    <x:row r="511" ht="21" customHeight="1">
      <x:c r="A511" s="5" t="n">
        <x:v>46262</x:v>
      </x:c>
      <x:c r="B511" s="11" t="n">
        <x:v>1.96</x:v>
      </x:c>
      <x:c r="C511" s="11" t="n">
        <x:v>561700.81</x:v>
      </x:c>
      <x:c r="D511" s="11" t="n">
        <x:v>2.09</x:v>
      </x:c>
      <x:c r="E511" s="11" t="n">
        <x:v>2.6</x:v>
      </x:c>
      <x:c r="F511" s="11" t="n">
        <x:v>5.2</x:v>
      </x:c>
      <x:c r="G511" s="11" t="n">
        <x:v>1.5</x:v>
      </x:c>
      <x:c r="H511" s="11" t="n">
        <x:v>0</x:v>
      </x:c>
      <x:c r="I511" s="11" t="n">
        <x:v>0</x:v>
      </x:c>
      <x:c r="J511" s="11"/>
      <x:c r="K511" s="1" t="str">
        <x:v>GFGV4400OC</x:v>
      </x:c>
      <x:c r="L511" s="1" t="str">
        <x:v>=+D507</x:v>
      </x:c>
    </x:row>
    <x:row r="512" ht="21" customHeight="1">
      <x:c r="A512" s="5" t="n">
        <x:v>46265</x:v>
      </x:c>
      <x:c r="B512" s="11" t="n">
        <x:v>1.18</x:v>
      </x:c>
      <x:c r="C512" s="11" t="n">
        <x:v>142381.2</x:v>
      </x:c>
      <x:c r="D512" s="11" t="n">
        <x:v>2.6</x:v>
      </x:c>
      <x:c r="E512" s="11" t="n">
        <x:v>1.11</x:v>
      </x:c>
      <x:c r="F512" s="11" t="n">
        <x:v>2.6</x:v>
      </x:c>
      <x:c r="G512" s="11" t="n">
        <x:v>1</x:v>
      </x:c>
      <x:c r="H512" s="11" t="n">
        <x:v>0</x:v>
      </x:c>
      <x:c r="I512" s="11" t="n">
        <x:v>0</x:v>
      </x:c>
      <x:c r="J512" s="11"/>
      <x:c r="K512" s="1" t="str">
        <x:v>GFGV4400OC</x:v>
      </x:c>
      <x:c r="L512" s="1" t="str">
        <x:v>=+D508</x:v>
      </x:c>
    </x:row>
    <x:row r="513" ht="21" customHeight="1">
      <x:c r="A513" s="5" t="n">
        <x:v>46266</x:v>
      </x:c>
      <x:c r="B513" s="11" t="n">
        <x:v>1.22</x:v>
      </x:c>
      <x:c r="C513" s="11" t="n">
        <x:v>289874.59</x:v>
      </x:c>
      <x:c r="D513" s="11" t="n">
        <x:v>1.11</x:v>
      </x:c>
      <x:c r="E513" s="11" t="n">
        <x:v>1.44</x:v>
      </x:c>
      <x:c r="F513" s="11" t="n">
        <x:v>1.7</x:v>
      </x:c>
      <x:c r="G513" s="11" t="n">
        <x:v>1.1</x:v>
      </x:c>
      <x:c r="H513" s="11" t="n">
        <x:v>0</x:v>
      </x:c>
      <x:c r="I513" s="11" t="n">
        <x:v>0</x:v>
      </x:c>
      <x:c r="J513" s="11"/>
      <x:c r="K513" s="1" t="str">
        <x:v>GFGV4400OC</x:v>
      </x:c>
      <x:c r="L513" s="1" t="str">
        <x:v>=+D509</x:v>
      </x:c>
    </x:row>
    <x:row r="514" ht="21" customHeight="1">
      <x:c r="A514" s="5" t="n">
        <x:v>46267</x:v>
      </x:c>
      <x:c r="B514" s="11" t="n">
        <x:v>1.28</x:v>
      </x:c>
      <x:c r="C514" s="11" t="n">
        <x:v>108466.7</x:v>
      </x:c>
      <x:c r="D514" s="11" t="n">
        <x:v>1.44</x:v>
      </x:c>
      <x:c r="E514" s="11" t="n">
        <x:v>1</x:v>
      </x:c>
      <x:c r="F514" s="11" t="n">
        <x:v>1.8</x:v>
      </x:c>
      <x:c r="G514" s="11" t="n">
        <x:v>1</x:v>
      </x:c>
      <x:c r="H514" s="11" t="n">
        <x:v>0</x:v>
      </x:c>
      <x:c r="I514" s="11" t="n">
        <x:v>0</x:v>
      </x:c>
      <x:c r="J514" s="11"/>
      <x:c r="K514" s="1" t="str">
        <x:v>GFGV4400OC</x:v>
      </x:c>
      <x:c r="L514" s="1" t="str">
        <x:v>=+D510</x:v>
      </x:c>
    </x:row>
    <x:row r="515" ht="21" customHeight="1">
      <x:c r="A515" s="5" t="n">
        <x:v>46268</x:v>
      </x:c>
      <x:c r="B515" s="11" t="n">
        <x:v>1.55</x:v>
      </x:c>
      <x:c r="C515" s="11" t="n">
        <x:v>107132.6</x:v>
      </x:c>
      <x:c r="D515" s="11" t="n">
        <x:v>1</x:v>
      </x:c>
      <x:c r="E515" s="11" t="n">
        <x:v>2.2</x:v>
      </x:c>
      <x:c r="F515" s="11" t="n">
        <x:v>1.6</x:v>
      </x:c>
      <x:c r="G515" s="11" t="n">
        <x:v>0.97</x:v>
      </x:c>
      <x:c r="H515" s="11" t="n">
        <x:v>0</x:v>
      </x:c>
      <x:c r="I515" s="11" t="n">
        <x:v>0</x:v>
      </x:c>
      <x:c r="J515" s="11"/>
      <x:c r="K515" s="1" t="str">
        <x:v>GFGV4400OC</x:v>
      </x:c>
      <x:c r="L515" s="1" t="str">
        <x:v>=+D511</x:v>
      </x:c>
    </x:row>
    <x:row r="516" ht="21" customHeight="1">
      <x:c r="A516" s="5" t="n">
        <x:v>46269</x:v>
      </x:c>
      <x:c r="B516" s="11" t="n">
        <x:v>1.17</x:v>
      </x:c>
      <x:c r="C516" s="11" t="n">
        <x:v>108080.4</x:v>
      </x:c>
      <x:c r="D516" s="11" t="n">
        <x:v>2.2</x:v>
      </x:c>
      <x:c r="E516" s="11" t="n">
        <x:v>0.9</x:v>
      </x:c>
      <x:c r="F516" s="11" t="n">
        <x:v>2.2</x:v>
      </x:c>
      <x:c r="G516" s="11" t="n">
        <x:v>0.89</x:v>
      </x:c>
      <x:c r="H516" s="11" t="n">
        <x:v>0</x:v>
      </x:c>
      <x:c r="I516" s="11" t="n">
        <x:v>0</x:v>
      </x:c>
      <x:c r="J516" s="11"/>
      <x:c r="K516" s="1" t="str">
        <x:v>GFGV4400OC</x:v>
      </x:c>
      <x:c r="L516" s="1" t="str">
        <x:v>=+D512</x:v>
      </x:c>
    </x:row>
    <x:row r="517" ht="21" customHeight="1">
      <x:c r="A517" s="5" t="n">
        <x:v>46272</x:v>
      </x:c>
      <x:c r="B517" s="11" t="n">
        <x:v>1.25</x:v>
      </x:c>
      <x:c r="C517" s="11" t="n">
        <x:v>14519.3</x:v>
      </x:c>
      <x:c r="D517" s="11" t="n">
        <x:v>0.9</x:v>
      </x:c>
      <x:c r="E517" s="11" t="n">
        <x:v>1.2</x:v>
      </x:c>
      <x:c r="F517" s="11" t="n">
        <x:v>1.6</x:v>
      </x:c>
      <x:c r="G517" s="11" t="n">
        <x:v>0.89</x:v>
      </x:c>
      <x:c r="H517" s="11" t="n">
        <x:v>0</x:v>
      </x:c>
      <x:c r="I517" s="11" t="n">
        <x:v>0</x:v>
      </x:c>
      <x:c r="J517" s="11"/>
      <x:c r="K517" s="1" t="str">
        <x:v>GFGV4400OC</x:v>
      </x:c>
      <x:c r="L517" s="1" t="str">
        <x:v>=+D513</x:v>
      </x:c>
    </x:row>
    <x:row r="518" ht="21" customHeight="1">
      <x:c r="A518" s="5" t="n">
        <x:v>46273</x:v>
      </x:c>
      <x:c r="B518" s="11" t="n">
        <x:v>1.09</x:v>
      </x:c>
      <x:c r="C518" s="11" t="n">
        <x:v>62530.7</x:v>
      </x:c>
      <x:c r="D518" s="11" t="n">
        <x:v>1.2</x:v>
      </x:c>
      <x:c r="E518" s="11" t="n">
        <x:v>1.5</x:v>
      </x:c>
      <x:c r="F518" s="11" t="n">
        <x:v>1.98</x:v>
      </x:c>
      <x:c r="G518" s="11" t="n">
        <x:v>0.8</x:v>
      </x:c>
      <x:c r="H518" s="11" t="n">
        <x:v>0</x:v>
      </x:c>
      <x:c r="I518" s="11" t="n">
        <x:v>0</x:v>
      </x:c>
      <x:c r="J518" s="11"/>
      <x:c r="K518" s="1" t="str">
        <x:v>GFGV4400OC</x:v>
      </x:c>
      <x:c r="L518" s="1" t="str">
        <x:v>=+D514</x:v>
      </x:c>
    </x:row>
    <x:row r="519" ht="21" customHeight="1">
      <x:c r="A519" s="5" t="n">
        <x:v>46274</x:v>
      </x:c>
      <x:c r="B519" s="11" t="n">
        <x:v>1</x:v>
      </x:c>
      <x:c r="C519" s="11" t="n">
        <x:v>14229</x:v>
      </x:c>
      <x:c r="D519" s="11" t="n">
        <x:v>1.5</x:v>
      </x:c>
      <x:c r="E519" s="11" t="n">
        <x:v>0.8</x:v>
      </x:c>
      <x:c r="F519" s="11" t="n">
        <x:v>1.5</x:v>
      </x:c>
      <x:c r="G519" s="11" t="n">
        <x:v>1</x:v>
      </x:c>
      <x:c r="H519" s="11" t="n">
        <x:v>0</x:v>
      </x:c>
      <x:c r="I519" s="11" t="n">
        <x:v>0</x:v>
      </x:c>
      <x:c r="J519" s="11"/>
      <x:c r="K519" s="1" t="str">
        <x:v>GFGV4400OC</x:v>
      </x:c>
      <x:c r="L519" s="1" t="str">
        <x:v>=+D515</x:v>
      </x:c>
    </x:row>
    <x:row r="520" ht="21" customHeight="1">
      <x:c r="A520" s="5" t="n">
        <x:v>46275</x:v>
      </x:c>
      <x:c r="B520" s="11" t="n">
        <x:v>1</x:v>
      </x:c>
      <x:c r="C520" s="11" t="n">
        <x:v>109712.9</x:v>
      </x:c>
      <x:c r="D520" s="11" t="n">
        <x:v>0.8</x:v>
      </x:c>
      <x:c r="E520" s="11" t="n">
        <x:v>0.63</x:v>
      </x:c>
      <x:c r="F520" s="11" t="n">
        <x:v>1.43</x:v>
      </x:c>
      <x:c r="G520" s="11" t="n">
        <x:v>0.5</x:v>
      </x:c>
      <x:c r="H520" s="11" t="n">
        <x:v>0</x:v>
      </x:c>
      <x:c r="I520" s="11" t="n">
        <x:v>0</x:v>
      </x:c>
      <x:c r="J520" s="11"/>
      <x:c r="K520" s="1" t="str">
        <x:v>GFGV4400OC</x:v>
      </x:c>
      <x:c r="L520" s="1" t="str">
        <x:v>=+D516</x:v>
      </x:c>
    </x:row>
    <x:row r="521" ht="21" customHeight="1">
      <x:c r="A521" s="5" t="n">
        <x:v>46276</x:v>
      </x:c>
      <x:c r="B521" s="11" t="n">
        <x:v>0.89</x:v>
      </x:c>
      <x:c r="C521" s="11" t="n">
        <x:v>64655.6</x:v>
      </x:c>
      <x:c r="D521" s="11" t="n">
        <x:v>0.63</x:v>
      </x:c>
      <x:c r="E521" s="11" t="n">
        <x:v>1.2</x:v>
      </x:c>
      <x:c r="F521" s="11" t="n">
        <x:v>1.4</x:v>
      </x:c>
      <x:c r="G521" s="11" t="n">
        <x:v>0.63</x:v>
      </x:c>
      <x:c r="H521" s="11" t="n">
        <x:v>0</x:v>
      </x:c>
      <x:c r="I521" s="11" t="n">
        <x:v>0</x:v>
      </x:c>
      <x:c r="J521" s="11"/>
      <x:c r="K521" s="1" t="str">
        <x:v>GFGV4400OC</x:v>
      </x:c>
      <x:c r="L521" s="1" t="str">
        <x:v>=+D517</x:v>
      </x:c>
    </x:row>
    <x:row r="522" ht="21" customHeight="1">
      <x:c r="A522" s="5" t="n">
        <x:v>46279</x:v>
      </x:c>
      <x:c r="B522" s="11" t="n">
        <x:v>1.17</x:v>
      </x:c>
      <x:c r="C522" s="11" t="n">
        <x:v>47118.7</x:v>
      </x:c>
      <x:c r="D522" s="11" t="n">
        <x:v>1.2</x:v>
      </x:c>
      <x:c r="E522" s="11" t="n">
        <x:v>1.7</x:v>
      </x:c>
      <x:c r="F522" s="11" t="n">
        <x:v>1.3</x:v>
      </x:c>
      <x:c r="G522" s="11" t="n">
        <x:v>0.7</x:v>
      </x:c>
      <x:c r="H522" s="11" t="n">
        <x:v>0</x:v>
      </x:c>
      <x:c r="I522" s="11" t="n">
        <x:v>0</x:v>
      </x:c>
      <x:c r="J522" s="11"/>
      <x:c r="K522" s="1" t="str">
        <x:v>GFGV4400OC</x:v>
      </x:c>
      <x:c r="L522" s="1" t="str">
        <x:v>=+D518</x:v>
      </x:c>
    </x:row>
    <x:row r="523" ht="21" customHeight="1">
      <x:c r="A523" s="5" t="n">
        <x:v>46280</x:v>
      </x:c>
      <x:c r="B523" s="11" t="n">
        <x:v>1.71</x:v>
      </x:c>
      <x:c r="C523" s="11" t="n">
        <x:v>288556.09</x:v>
      </x:c>
      <x:c r="D523" s="11" t="n">
        <x:v>1.7</x:v>
      </x:c>
      <x:c r="E523" s="11" t="n">
        <x:v>1.2</x:v>
      </x:c>
      <x:c r="F523" s="11" t="n">
        <x:v>1.7</x:v>
      </x:c>
      <x:c r="G523" s="11" t="n">
        <x:v>0.71</x:v>
      </x:c>
      <x:c r="H523" s="11" t="n">
        <x:v>0</x:v>
      </x:c>
      <x:c r="I523" s="11" t="n">
        <x:v>0</x:v>
      </x:c>
      <x:c r="J523" s="11"/>
      <x:c r="K523" s="1" t="str">
        <x:v>GFGV4400OC</x:v>
      </x:c>
      <x:c r="L523" s="1" t="str">
        <x:v>=+D519</x:v>
      </x:c>
    </x:row>
    <x:row r="524" ht="21" customHeight="1">
      <x:c r="A524" s="5" t="n">
        <x:v>46281</x:v>
      </x:c>
      <x:c r="B524" s="11" t="n">
        <x:v>0.91</x:v>
      </x:c>
      <x:c r="C524" s="11" t="n">
        <x:v>174142.09</x:v>
      </x:c>
      <x:c r="D524" s="11" t="n">
        <x:v>1.2</x:v>
      </x:c>
      <x:c r="E524" s="11" t="n">
        <x:v>10</x:v>
      </x:c>
      <x:c r="F524" s="11" t="n">
        <x:v>2</x:v>
      </x:c>
      <x:c r="G524" s="11" t="n">
        <x:v>0.9</x:v>
      </x:c>
      <x:c r="H524" s="11" t="n">
        <x:v>0</x:v>
      </x:c>
      <x:c r="I524" s="11" t="n">
        <x:v>0</x:v>
      </x:c>
      <x:c r="J524" s="11"/>
      <x:c r="K524" s="1" t="str">
        <x:v>GFGV4400OC</x:v>
      </x:c>
      <x:c r="L524" s="1" t="str">
        <x:v>=+D520</x:v>
      </x:c>
    </x:row>
    <x:row r="525" ht="21" customHeight="1">
      <x:c r="A525" s="5" t="n">
        <x:v>46255</x:v>
      </x:c>
      <x:c r="B525" s="11" t="n">
        <x:v>0</x:v>
      </x:c>
      <x:c r="C525" s="11" t="n">
        <x:v>5777.5</x:v>
      </x:c>
      <x:c r="D525" s="11" t="n">
        <x:v>10</x:v>
      </x:c>
      <x:c r="E525" s="11" t="n">
        <x:v>2</x:v>
      </x:c>
      <x:c r="F525" s="11" t="n">
        <x:v>16</x:v>
      </x:c>
      <x:c r="G525" s="11" t="n">
        <x:v>0</x:v>
      </x:c>
      <x:c r="H525" s="11" t="n">
        <x:v>0</x:v>
      </x:c>
      <x:c r="I525" s="11" t="n">
        <x:v>0</x:v>
      </x:c>
      <x:c r="J525" s="11"/>
      <x:c r="K525" s="1" t="str">
        <x:v>GFGV4600OC</x:v>
      </x:c>
      <x:c r="L525" s="1" t="str">
        <x:v>=+D521</x:v>
      </x:c>
    </x:row>
    <x:row r="526" ht="21" customHeight="1">
      <x:c r="A526" s="5" t="n">
        <x:v>46258</x:v>
      </x:c>
      <x:c r="B526" s="11" t="n">
        <x:v>4.68</x:v>
      </x:c>
      <x:c r="C526" s="11" t="n">
        <x:v>136094.09</x:v>
      </x:c>
      <x:c r="D526" s="11" t="n">
        <x:v>2</x:v>
      </x:c>
      <x:c r="E526" s="11" t="n">
        <x:v>5.5</x:v>
      </x:c>
      <x:c r="F526" s="11" t="n">
        <x:v>5.5</x:v>
      </x:c>
      <x:c r="G526" s="11" t="n">
        <x:v>2</x:v>
      </x:c>
      <x:c r="H526" s="11" t="n">
        <x:v>0</x:v>
      </x:c>
      <x:c r="I526" s="11" t="n">
        <x:v>0</x:v>
      </x:c>
      <x:c r="J526" s="11"/>
      <x:c r="K526" s="1" t="str">
        <x:v>GFGV4600OC</x:v>
      </x:c>
      <x:c r="L526" s="1" t="str">
        <x:v>=+D522</x:v>
      </x:c>
    </x:row>
    <x:row r="527" ht="21" customHeight="1">
      <x:c r="A527" s="5" t="n">
        <x:v>46259</x:v>
      </x:c>
      <x:c r="B527" s="11" t="n">
        <x:v>3.47</x:v>
      </x:c>
      <x:c r="C527" s="11" t="n">
        <x:v>132079.41</x:v>
      </x:c>
      <x:c r="D527" s="11" t="n">
        <x:v>5.5</x:v>
      </x:c>
      <x:c r="E527" s="11" t="n">
        <x:v>2.56</x:v>
      </x:c>
      <x:c r="F527" s="11" t="n">
        <x:v>6</x:v>
      </x:c>
      <x:c r="G527" s="11" t="n">
        <x:v>2.59</x:v>
      </x:c>
      <x:c r="H527" s="11" t="n">
        <x:v>0</x:v>
      </x:c>
      <x:c r="I527" s="11" t="n">
        <x:v>0</x:v>
      </x:c>
      <x:c r="J527" s="11"/>
      <x:c r="K527" s="1" t="str">
        <x:v>GFGV4600OC</x:v>
      </x:c>
      <x:c r="L527" s="1" t="str">
        <x:v>=+D523</x:v>
      </x:c>
    </x:row>
    <x:row r="528" ht="21" customHeight="1">
      <x:c r="A528" s="5" t="n">
        <x:v>46260</x:v>
      </x:c>
      <x:c r="B528" s="11" t="n">
        <x:v>3.41</x:v>
      </x:c>
      <x:c r="C528" s="11" t="n">
        <x:v>175435</x:v>
      </x:c>
      <x:c r="D528" s="11" t="n">
        <x:v>2.56</x:v>
      </x:c>
      <x:c r="E528" s="11" t="n">
        <x:v>3.9</x:v>
      </x:c>
      <x:c r="F528" s="11" t="n">
        <x:v>4</x:v>
      </x:c>
      <x:c r="G528" s="11" t="n">
        <x:v>2.56</x:v>
      </x:c>
      <x:c r="H528" s="11" t="n">
        <x:v>0</x:v>
      </x:c>
      <x:c r="I528" s="11" t="n">
        <x:v>0</x:v>
      </x:c>
      <x:c r="J528" s="11"/>
      <x:c r="K528" s="1" t="str">
        <x:v>GFGV4600OC</x:v>
      </x:c>
      <x:c r="L528" s="1" t="str">
        <x:v>=+D524</x:v>
      </x:c>
    </x:row>
    <x:row r="529" ht="21" customHeight="1">
      <x:c r="A529" s="5" t="n">
        <x:v>46261</x:v>
      </x:c>
      <x:c r="B529" s="11" t="n">
        <x:v>4.04</x:v>
      </x:c>
      <x:c r="C529" s="11" t="n">
        <x:v>791611.81</x:v>
      </x:c>
      <x:c r="D529" s="11" t="n">
        <x:v>3.9</x:v>
      </x:c>
      <x:c r="E529" s="11" t="n">
        <x:v>4.8</x:v>
      </x:c>
      <x:c r="F529" s="11" t="n">
        <x:v>4.9</x:v>
      </x:c>
      <x:c r="G529" s="11" t="n">
        <x:v>2</x:v>
      </x:c>
      <x:c r="H529" s="11" t="n">
        <x:v>0</x:v>
      </x:c>
      <x:c r="I529" s="11" t="n">
        <x:v>0</x:v>
      </x:c>
      <x:c r="J529" s="11"/>
      <x:c r="K529" s="1" t="str">
        <x:v>GFGV4600OC</x:v>
      </x:c>
      <x:c r="L529" s="1" t="str">
        <x:v>=+D525</x:v>
      </x:c>
    </x:row>
    <x:row r="530" ht="21" customHeight="1">
      <x:c r="A530" s="5" t="n">
        <x:v>46262</x:v>
      </x:c>
      <x:c r="B530" s="11" t="n">
        <x:v>3.3</x:v>
      </x:c>
      <x:c r="C530" s="11" t="n">
        <x:v>800047</x:v>
      </x:c>
      <x:c r="D530" s="11" t="n">
        <x:v>4.8</x:v>
      </x:c>
      <x:c r="E530" s="11" t="n">
        <x:v>1.6</x:v>
      </x:c>
      <x:c r="F530" s="11" t="n">
        <x:v>6.35</x:v>
      </x:c>
      <x:c r="G530" s="11" t="n">
        <x:v>2.51</x:v>
      </x:c>
      <x:c r="H530" s="11" t="n">
        <x:v>0</x:v>
      </x:c>
      <x:c r="I530" s="11" t="n">
        <x:v>0</x:v>
      </x:c>
      <x:c r="J530" s="11"/>
      <x:c r="K530" s="1" t="str">
        <x:v>GFGV4600OC</x:v>
      </x:c>
      <x:c r="L530" s="1" t="str">
        <x:v>=+D526</x:v>
      </x:c>
    </x:row>
    <x:row r="531" ht="21" customHeight="1">
      <x:c r="A531" s="5" t="n">
        <x:v>46265</x:v>
      </x:c>
      <x:c r="B531" s="11" t="n">
        <x:v>1.8</x:v>
      </x:c>
      <x:c r="C531" s="11" t="n">
        <x:v>410284.41</x:v>
      </x:c>
      <x:c r="D531" s="11" t="n">
        <x:v>1.6</x:v>
      </x:c>
      <x:c r="E531" s="11" t="n">
        <x:v>2.45</x:v>
      </x:c>
      <x:c r="F531" s="11" t="n">
        <x:v>2.7</x:v>
      </x:c>
      <x:c r="G531" s="11" t="n">
        <x:v>1</x:v>
      </x:c>
      <x:c r="H531" s="11" t="n">
        <x:v>0</x:v>
      </x:c>
      <x:c r="I531" s="11" t="n">
        <x:v>0</x:v>
      </x:c>
      <x:c r="J531" s="11"/>
      <x:c r="K531" s="1" t="str">
        <x:v>GFGV4600OC</x:v>
      </x:c>
      <x:c r="L531" s="1" t="str">
        <x:v>=+D527</x:v>
      </x:c>
    </x:row>
    <x:row r="532" ht="21" customHeight="1">
      <x:c r="A532" s="5" t="n">
        <x:v>46266</x:v>
      </x:c>
      <x:c r="B532" s="11" t="n">
        <x:v>1.53</x:v>
      </x:c>
      <x:c r="C532" s="11" t="n">
        <x:v>206873.5</x:v>
      </x:c>
      <x:c r="D532" s="11" t="n">
        <x:v>2.45</x:v>
      </x:c>
      <x:c r="E532" s="11" t="n">
        <x:v>1.9</x:v>
      </x:c>
      <x:c r="F532" s="11" t="n">
        <x:v>2.45</x:v>
      </x:c>
      <x:c r="G532" s="11" t="n">
        <x:v>1.33</x:v>
      </x:c>
      <x:c r="H532" s="11" t="n">
        <x:v>0</x:v>
      </x:c>
      <x:c r="I532" s="11" t="n">
        <x:v>0</x:v>
      </x:c>
      <x:c r="J532" s="11"/>
      <x:c r="K532" s="1" t="str">
        <x:v>GFGV4600OC</x:v>
      </x:c>
      <x:c r="L532" s="1" t="str">
        <x:v>=+D528</x:v>
      </x:c>
    </x:row>
    <x:row r="533" ht="21" customHeight="1">
      <x:c r="A533" s="5" t="n">
        <x:v>46267</x:v>
      </x:c>
      <x:c r="B533" s="11" t="n">
        <x:v>1.38</x:v>
      </x:c>
      <x:c r="C533" s="11" t="n">
        <x:v>364480.59</x:v>
      </x:c>
      <x:c r="D533" s="11" t="n">
        <x:v>1.9</x:v>
      </x:c>
      <x:c r="E533" s="11" t="n">
        <x:v>1.75</x:v>
      </x:c>
      <x:c r="F533" s="11" t="n">
        <x:v>1.9</x:v>
      </x:c>
      <x:c r="G533" s="11" t="n">
        <x:v>1.3</x:v>
      </x:c>
      <x:c r="H533" s="11" t="n">
        <x:v>0</x:v>
      </x:c>
      <x:c r="I533" s="11" t="n">
        <x:v>0</x:v>
      </x:c>
      <x:c r="J533" s="11"/>
      <x:c r="K533" s="1" t="str">
        <x:v>GFGV4600OC</x:v>
      </x:c>
      <x:c r="L533" s="1" t="str">
        <x:v>=+D529</x:v>
      </x:c>
    </x:row>
    <x:row r="534" ht="21" customHeight="1">
      <x:c r="A534" s="5" t="n">
        <x:v>46268</x:v>
      </x:c>
      <x:c r="B534" s="11" t="n">
        <x:v>1.48</x:v>
      </x:c>
      <x:c r="C534" s="11" t="n">
        <x:v>174172.8</x:v>
      </x:c>
      <x:c r="D534" s="11" t="n">
        <x:v>1.75</x:v>
      </x:c>
      <x:c r="E534" s="11" t="n">
        <x:v>0.81</x:v>
      </x:c>
      <x:c r="F534" s="11" t="n">
        <x:v>1.75</x:v>
      </x:c>
      <x:c r="G534" s="11" t="n">
        <x:v>1</x:v>
      </x:c>
      <x:c r="H534" s="11" t="n">
        <x:v>0</x:v>
      </x:c>
      <x:c r="I534" s="11" t="n">
        <x:v>0</x:v>
      </x:c>
      <x:c r="J534" s="11"/>
      <x:c r="K534" s="1" t="str">
        <x:v>GFGV4600OC</x:v>
      </x:c>
      <x:c r="L534" s="1" t="str">
        <x:v>=+D530</x:v>
      </x:c>
    </x:row>
    <x:row r="535" ht="21" customHeight="1">
      <x:c r="A535" s="5" t="n">
        <x:v>46269</x:v>
      </x:c>
      <x:c r="B535" s="11" t="n">
        <x:v>1.4</x:v>
      </x:c>
      <x:c r="C535" s="11" t="n">
        <x:v>83664.7</x:v>
      </x:c>
      <x:c r="D535" s="11" t="n">
        <x:v>0.81</x:v>
      </x:c>
      <x:c r="E535" s="11" t="n">
        <x:v>1.8</x:v>
      </x:c>
      <x:c r="F535" s="11" t="n">
        <x:v>2</x:v>
      </x:c>
      <x:c r="G535" s="11" t="n">
        <x:v>0.81</x:v>
      </x:c>
      <x:c r="H535" s="11" t="n">
        <x:v>0</x:v>
      </x:c>
      <x:c r="I535" s="11" t="n">
        <x:v>0</x:v>
      </x:c>
      <x:c r="J535" s="11"/>
      <x:c r="K535" s="1" t="str">
        <x:v>GFGV4600OC</x:v>
      </x:c>
      <x:c r="L535" s="1" t="str">
        <x:v>=+D531</x:v>
      </x:c>
    </x:row>
    <x:row r="536" ht="21" customHeight="1">
      <x:c r="A536" s="5" t="n">
        <x:v>46272</x:v>
      </x:c>
      <x:c r="B536" s="11" t="n">
        <x:v>1.47</x:v>
      </x:c>
      <x:c r="C536" s="11" t="n">
        <x:v>27889.1</x:v>
      </x:c>
      <x:c r="D536" s="11" t="n">
        <x:v>1.8</x:v>
      </x:c>
      <x:c r="E536" s="11" t="n">
        <x:v>1.6</x:v>
      </x:c>
      <x:c r="F536" s="11" t="n">
        <x:v>1.8</x:v>
      </x:c>
      <x:c r="G536" s="11" t="n">
        <x:v>0.8</x:v>
      </x:c>
      <x:c r="H536" s="11" t="n">
        <x:v>0</x:v>
      </x:c>
      <x:c r="I536" s="11" t="n">
        <x:v>0</x:v>
      </x:c>
      <x:c r="J536" s="11"/>
      <x:c r="K536" s="1" t="str">
        <x:v>GFGV4600OC</x:v>
      </x:c>
      <x:c r="L536" s="1" t="str">
        <x:v>=+D532</x:v>
      </x:c>
    </x:row>
    <x:row r="537" ht="21" customHeight="1">
      <x:c r="A537" s="5" t="n">
        <x:v>46273</x:v>
      </x:c>
      <x:c r="B537" s="11" t="n">
        <x:v>1.45</x:v>
      </x:c>
      <x:c r="C537" s="11" t="n">
        <x:v>200094.91</x:v>
      </x:c>
      <x:c r="D537" s="11" t="n">
        <x:v>1.6</x:v>
      </x:c>
      <x:c r="E537" s="11" t="n">
        <x:v>1.11</x:v>
      </x:c>
      <x:c r="F537" s="11" t="n">
        <x:v>1.79</x:v>
      </x:c>
      <x:c r="G537" s="11" t="n">
        <x:v>1</x:v>
      </x:c>
      <x:c r="H537" s="11" t="n">
        <x:v>0</x:v>
      </x:c>
      <x:c r="I537" s="11" t="n">
        <x:v>0</x:v>
      </x:c>
      <x:c r="J537" s="11"/>
      <x:c r="K537" s="1" t="str">
        <x:v>GFGV4600OC</x:v>
      </x:c>
      <x:c r="L537" s="1" t="str">
        <x:v>=+D533</x:v>
      </x:c>
    </x:row>
    <x:row r="538" ht="21" customHeight="1">
      <x:c r="A538" s="5" t="n">
        <x:v>46274</x:v>
      </x:c>
      <x:c r="B538" s="11" t="n">
        <x:v>1.22</x:v>
      </x:c>
      <x:c r="C538" s="11" t="n">
        <x:v>117621.1</x:v>
      </x:c>
      <x:c r="D538" s="11" t="n">
        <x:v>1.11</x:v>
      </x:c>
      <x:c r="E538" s="11" t="n">
        <x:v>1</x:v>
      </x:c>
      <x:c r="F538" s="11" t="n">
        <x:v>1.8</x:v>
      </x:c>
      <x:c r="G538" s="11" t="n">
        <x:v>1</x:v>
      </x:c>
      <x:c r="H538" s="11" t="n">
        <x:v>0</x:v>
      </x:c>
      <x:c r="I538" s="11" t="n">
        <x:v>0</x:v>
      </x:c>
      <x:c r="J538" s="11"/>
      <x:c r="K538" s="1" t="str">
        <x:v>GFGV4600OC</x:v>
      </x:c>
      <x:c r="L538" s="1" t="str">
        <x:v>=+D534</x:v>
      </x:c>
    </x:row>
    <x:row r="539" ht="21" customHeight="1">
      <x:c r="A539" s="5" t="n">
        <x:v>46275</x:v>
      </x:c>
      <x:c r="B539" s="11" t="n">
        <x:v>1.09</x:v>
      </x:c>
      <x:c r="C539" s="11" t="n">
        <x:v>97706.8</x:v>
      </x:c>
      <x:c r="D539" s="11" t="n">
        <x:v>1</x:v>
      </x:c>
      <x:c r="E539" s="11" t="n">
        <x:v>1.1</x:v>
      </x:c>
      <x:c r="F539" s="11" t="n">
        <x:v>1.3</x:v>
      </x:c>
      <x:c r="G539" s="11" t="n">
        <x:v>0.75</x:v>
      </x:c>
      <x:c r="H539" s="11" t="n">
        <x:v>0</x:v>
      </x:c>
      <x:c r="I539" s="11" t="n">
        <x:v>0</x:v>
      </x:c>
      <x:c r="J539" s="11"/>
      <x:c r="K539" s="1" t="str">
        <x:v>GFGV4600OC</x:v>
      </x:c>
      <x:c r="L539" s="1" t="str">
        <x:v>=+D535</x:v>
      </x:c>
    </x:row>
    <x:row r="540" ht="21" customHeight="1">
      <x:c r="A540" s="5" t="n">
        <x:v>46276</x:v>
      </x:c>
      <x:c r="B540" s="11" t="n">
        <x:v>1.13</x:v>
      </x:c>
      <x:c r="C540" s="11" t="n">
        <x:v>78715.2</x:v>
      </x:c>
      <x:c r="D540" s="11" t="n">
        <x:v>1.1</x:v>
      </x:c>
      <x:c r="E540" s="11" t="n">
        <x:v>1.5</x:v>
      </x:c>
      <x:c r="F540" s="11" t="n">
        <x:v>1.3</x:v>
      </x:c>
      <x:c r="G540" s="11" t="n">
        <x:v>0.68</x:v>
      </x:c>
      <x:c r="H540" s="11" t="n">
        <x:v>0</x:v>
      </x:c>
      <x:c r="I540" s="11" t="n">
        <x:v>0</x:v>
      </x:c>
      <x:c r="J540" s="11"/>
      <x:c r="K540" s="1" t="str">
        <x:v>GFGV4600OC</x:v>
      </x:c>
      <x:c r="L540" s="1" t="str">
        <x:v>=+D536</x:v>
      </x:c>
    </x:row>
    <x:row r="541" ht="21" customHeight="1">
      <x:c r="A541" s="5" t="n">
        <x:v>46279</x:v>
      </x:c>
      <x:c r="B541" s="11" t="n">
        <x:v>1.3</x:v>
      </x:c>
      <x:c r="C541" s="11" t="n">
        <x:v>74022.3</x:v>
      </x:c>
      <x:c r="D541" s="11" t="n">
        <x:v>1.5</x:v>
      </x:c>
      <x:c r="E541" s="11" t="n">
        <x:v>1</x:v>
      </x:c>
      <x:c r="F541" s="11" t="n">
        <x:v>1.58</x:v>
      </x:c>
      <x:c r="G541" s="11" t="n">
        <x:v>0.69</x:v>
      </x:c>
      <x:c r="H541" s="11" t="n">
        <x:v>0</x:v>
      </x:c>
      <x:c r="I541" s="11" t="n">
        <x:v>0</x:v>
      </x:c>
      <x:c r="J541" s="11"/>
      <x:c r="K541" s="1" t="str">
        <x:v>GFGV4600OC</x:v>
      </x:c>
      <x:c r="L541" s="1" t="str">
        <x:v>=+D537</x:v>
      </x:c>
    </x:row>
    <x:row r="542" ht="21" customHeight="1">
      <x:c r="A542" s="5" t="n">
        <x:v>46280</x:v>
      </x:c>
      <x:c r="B542" s="11" t="n">
        <x:v>1.8</x:v>
      </x:c>
      <x:c r="C542" s="11" t="n">
        <x:v>192004.59</x:v>
      </x:c>
      <x:c r="D542" s="11" t="n">
        <x:v>1</x:v>
      </x:c>
      <x:c r="E542" s="11" t="n">
        <x:v>2.6</x:v>
      </x:c>
      <x:c r="F542" s="11" t="n">
        <x:v>2</x:v>
      </x:c>
      <x:c r="G542" s="11" t="n">
        <x:v>1</x:v>
      </x:c>
      <x:c r="H542" s="11" t="n">
        <x:v>0</x:v>
      </x:c>
      <x:c r="I542" s="11" t="n">
        <x:v>0</x:v>
      </x:c>
      <x:c r="J542" s="11"/>
      <x:c r="K542" s="1" t="str">
        <x:v>GFGV4600OC</x:v>
      </x:c>
      <x:c r="L542" s="1" t="str">
        <x:v>=+D538</x:v>
      </x:c>
    </x:row>
    <x:row r="543" ht="21" customHeight="1">
      <x:c r="A543" s="5" t="n">
        <x:v>46281</x:v>
      </x:c>
      <x:c r="B543" s="11" t="n">
        <x:v>1.62</x:v>
      </x:c>
      <x:c r="C543" s="11" t="n">
        <x:v>59280.8</x:v>
      </x:c>
      <x:c r="D543" s="11" t="n">
        <x:v>2.6</x:v>
      </x:c>
      <x:c r="E543" s="11" t="n">
        <x:v>11.5</x:v>
      </x:c>
      <x:c r="F543" s="11" t="n">
        <x:v>2.6</x:v>
      </x:c>
      <x:c r="G543" s="11" t="n">
        <x:v>1.11</x:v>
      </x:c>
      <x:c r="H543" s="11" t="n">
        <x:v>0</x:v>
      </x:c>
      <x:c r="I543" s="11" t="n">
        <x:v>0</x:v>
      </x:c>
      <x:c r="J543" s="11"/>
      <x:c r="K543" s="1" t="str">
        <x:v>GFGV4600OC</x:v>
      </x:c>
      <x:c r="L543" s="1" t="str">
        <x:v>=+D539</x:v>
      </x:c>
    </x:row>
    <x:row r="544" ht="21" customHeight="1">
      <x:c r="A544" s="5" t="n">
        <x:v>46255</x:v>
      </x:c>
      <x:c r="B544" s="11" t="n">
        <x:v>7.23</x:v>
      </x:c>
      <x:c r="C544" s="11" t="n">
        <x:v>375929.09</x:v>
      </x:c>
      <x:c r="D544" s="11" t="n">
        <x:v>11.5</x:v>
      </x:c>
      <x:c r="E544" s="11" t="n">
        <x:v>5</x:v>
      </x:c>
      <x:c r="F544" s="11" t="n">
        <x:v>15</x:v>
      </x:c>
      <x:c r="G544" s="11" t="n">
        <x:v>6.3</x:v>
      </x:c>
      <x:c r="H544" s="11" t="n">
        <x:v>0</x:v>
      </x:c>
      <x:c r="I544" s="11" t="n">
        <x:v>0</x:v>
      </x:c>
      <x:c r="J544" s="11"/>
      <x:c r="K544" s="1" t="str">
        <x:v>GFGV4800OC</x:v>
      </x:c>
      <x:c r="L544" s="1" t="str">
        <x:v>=+D540</x:v>
      </x:c>
    </x:row>
    <x:row r="545" ht="21" customHeight="1">
      <x:c r="A545" s="5" t="n">
        <x:v>46258</x:v>
      </x:c>
      <x:c r="B545" s="11" t="n">
        <x:v>6</x:v>
      </x:c>
      <x:c r="C545" s="11" t="n">
        <x:v>373208.19</x:v>
      </x:c>
      <x:c r="D545" s="11" t="n">
        <x:v>5</x:v>
      </x:c>
      <x:c r="E545" s="11" t="n">
        <x:v>8</x:v>
      </x:c>
      <x:c r="F545" s="11" t="n">
        <x:v>7</x:v>
      </x:c>
      <x:c r="G545" s="11" t="n">
        <x:v>5</x:v>
      </x:c>
      <x:c r="H545" s="11" t="n">
        <x:v>0</x:v>
      </x:c>
      <x:c r="I545" s="11" t="n">
        <x:v>0</x:v>
      </x:c>
      <x:c r="J545" s="11"/>
      <x:c r="K545" s="1" t="str">
        <x:v>GFGV4800OC</x:v>
      </x:c>
      <x:c r="L545" s="1" t="str">
        <x:v>=+D541</x:v>
      </x:c>
    </x:row>
    <x:row r="546" ht="21" customHeight="1">
      <x:c r="A546" s="5" t="n">
        <x:v>46259</x:v>
      </x:c>
      <x:c r="B546" s="11" t="n">
        <x:v>4.7</x:v>
      </x:c>
      <x:c r="C546" s="11" t="n">
        <x:v>271898.59</x:v>
      </x:c>
      <x:c r="D546" s="11" t="n">
        <x:v>8</x:v>
      </x:c>
      <x:c r="E546" s="11" t="n">
        <x:v>3.82</x:v>
      </x:c>
      <x:c r="F546" s="11" t="n">
        <x:v>8</x:v>
      </x:c>
      <x:c r="G546" s="11" t="n">
        <x:v>4.5</x:v>
      </x:c>
      <x:c r="H546" s="11" t="n">
        <x:v>0</x:v>
      </x:c>
      <x:c r="I546" s="11" t="n">
        <x:v>0</x:v>
      </x:c>
      <x:c r="J546" s="11"/>
      <x:c r="K546" s="1" t="str">
        <x:v>GFGV4800OC</x:v>
      </x:c>
      <x:c r="L546" s="1" t="str">
        <x:v>=+D542</x:v>
      </x:c>
    </x:row>
    <x:row r="547" ht="21" customHeight="1">
      <x:c r="A547" s="5" t="n">
        <x:v>46260</x:v>
      </x:c>
      <x:c r="B547" s="11" t="n">
        <x:v>4.1</x:v>
      </x:c>
      <x:c r="C547" s="11" t="n">
        <x:v>116677</x:v>
      </x:c>
      <x:c r="D547" s="11" t="n">
        <x:v>3.82</x:v>
      </x:c>
      <x:c r="E547" s="11" t="n">
        <x:v>3.81</x:v>
      </x:c>
      <x:c r="F547" s="11" t="n">
        <x:v>5</x:v>
      </x:c>
      <x:c r="G547" s="11" t="n">
        <x:v>3.8</x:v>
      </x:c>
      <x:c r="H547" s="11" t="n">
        <x:v>0</x:v>
      </x:c>
      <x:c r="I547" s="11" t="n">
        <x:v>0</x:v>
      </x:c>
      <x:c r="J547" s="11"/>
      <x:c r="K547" s="1" t="str">
        <x:v>GFGV4800OC</x:v>
      </x:c>
      <x:c r="L547" s="1" t="str">
        <x:v>=+D543</x:v>
      </x:c>
    </x:row>
    <x:row r="548" ht="21" customHeight="1">
      <x:c r="A548" s="5" t="n">
        <x:v>46261</x:v>
      </x:c>
      <x:c r="B548" s="11" t="n">
        <x:v>5.67</x:v>
      </x:c>
      <x:c r="C548" s="11" t="n">
        <x:v>317883</x:v>
      </x:c>
      <x:c r="D548" s="11" t="n">
        <x:v>3.81</x:v>
      </x:c>
      <x:c r="E548" s="11" t="n">
        <x:v>5.2</x:v>
      </x:c>
      <x:c r="F548" s="11" t="n">
        <x:v>6.35</x:v>
      </x:c>
      <x:c r="G548" s="11" t="n">
        <x:v>3.81</x:v>
      </x:c>
      <x:c r="H548" s="11" t="n">
        <x:v>0</x:v>
      </x:c>
      <x:c r="I548" s="11" t="n">
        <x:v>0</x:v>
      </x:c>
      <x:c r="J548" s="11"/>
      <x:c r="K548" s="1" t="str">
        <x:v>GFGV4800OC</x:v>
      </x:c>
      <x:c r="L548" s="1" t="str">
        <x:v>=+D544</x:v>
      </x:c>
    </x:row>
    <x:row r="549" ht="21" customHeight="1">
      <x:c r="A549" s="5" t="n">
        <x:v>46262</x:v>
      </x:c>
      <x:c r="B549" s="11" t="n">
        <x:v>4.38</x:v>
      </x:c>
      <x:c r="C549" s="11" t="n">
        <x:v>1045957.69</x:v>
      </x:c>
      <x:c r="D549" s="11" t="n">
        <x:v>5.2</x:v>
      </x:c>
      <x:c r="E549" s="11" t="n">
        <x:v>5</x:v>
      </x:c>
      <x:c r="F549" s="11" t="n">
        <x:v>8.95</x:v>
      </x:c>
      <x:c r="G549" s="11" t="n">
        <x:v>3.19</x:v>
      </x:c>
      <x:c r="H549" s="11" t="n">
        <x:v>0</x:v>
      </x:c>
      <x:c r="I549" s="11" t="n">
        <x:v>0</x:v>
      </x:c>
      <x:c r="J549" s="11"/>
      <x:c r="K549" s="1" t="str">
        <x:v>GFGV4800OC</x:v>
      </x:c>
      <x:c r="L549" s="1" t="str">
        <x:v>=+D545</x:v>
      </x:c>
    </x:row>
    <x:row r="550" ht="21" customHeight="1">
      <x:c r="A550" s="5" t="n">
        <x:v>46265</x:v>
      </x:c>
      <x:c r="B550" s="11" t="n">
        <x:v>2.54</x:v>
      </x:c>
      <x:c r="C550" s="11" t="n">
        <x:v>443499.31</x:v>
      </x:c>
      <x:c r="D550" s="11" t="n">
        <x:v>5</x:v>
      </x:c>
      <x:c r="E550" s="11" t="n">
        <x:v>3.2</x:v>
      </x:c>
      <x:c r="F550" s="11" t="n">
        <x:v>5</x:v>
      </x:c>
      <x:c r="G550" s="11" t="n">
        <x:v>1</x:v>
      </x:c>
      <x:c r="H550" s="11" t="n">
        <x:v>0</x:v>
      </x:c>
      <x:c r="I550" s="11" t="n">
        <x:v>0</x:v>
      </x:c>
      <x:c r="J550" s="11"/>
      <x:c r="K550" s="1" t="str">
        <x:v>GFGV4800OC</x:v>
      </x:c>
      <x:c r="L550" s="1" t="str">
        <x:v>=+D546</x:v>
      </x:c>
    </x:row>
    <x:row r="551" ht="21" customHeight="1">
      <x:c r="A551" s="5" t="n">
        <x:v>46266</x:v>
      </x:c>
      <x:c r="B551" s="11" t="n">
        <x:v>2.89</x:v>
      </x:c>
      <x:c r="C551" s="11" t="n">
        <x:v>86461.4</x:v>
      </x:c>
      <x:c r="D551" s="11" t="n">
        <x:v>3.2</x:v>
      </x:c>
      <x:c r="E551" s="11" t="n">
        <x:v>3.2</x:v>
      </x:c>
      <x:c r="F551" s="11" t="n">
        <x:v>3.7</x:v>
      </x:c>
      <x:c r="G551" s="11" t="n">
        <x:v>1.91</x:v>
      </x:c>
      <x:c r="H551" s="11" t="n">
        <x:v>0</x:v>
      </x:c>
      <x:c r="I551" s="11" t="n">
        <x:v>0</x:v>
      </x:c>
      <x:c r="J551" s="11"/>
      <x:c r="K551" s="1" t="str">
        <x:v>GFGV4800OC</x:v>
      </x:c>
      <x:c r="L551" s="1" t="str">
        <x:v>=+D547</x:v>
      </x:c>
    </x:row>
    <x:row r="552" ht="21" customHeight="1">
      <x:c r="A552" s="5" t="n">
        <x:v>46267</x:v>
      </x:c>
      <x:c r="B552" s="11" t="n">
        <x:v>1.74</x:v>
      </x:c>
      <x:c r="C552" s="11" t="n">
        <x:v>180760.3</x:v>
      </x:c>
      <x:c r="D552" s="11" t="n">
        <x:v>3.2</x:v>
      </x:c>
      <x:c r="E552" s="11" t="n">
        <x:v>0.87</x:v>
      </x:c>
      <x:c r="F552" s="11" t="n">
        <x:v>3.2</x:v>
      </x:c>
      <x:c r="G552" s="11" t="n">
        <x:v>1.7</x:v>
      </x:c>
      <x:c r="H552" s="11" t="n">
        <x:v>0</x:v>
      </x:c>
      <x:c r="I552" s="11" t="n">
        <x:v>0</x:v>
      </x:c>
      <x:c r="J552" s="11"/>
      <x:c r="K552" s="1" t="str">
        <x:v>GFGV4800OC</x:v>
      </x:c>
      <x:c r="L552" s="1" t="str">
        <x:v>=+D548</x:v>
      </x:c>
    </x:row>
    <x:row r="553" ht="21" customHeight="1">
      <x:c r="A553" s="5" t="n">
        <x:v>46268</x:v>
      </x:c>
      <x:c r="B553" s="11" t="n">
        <x:v>2.2</x:v>
      </x:c>
      <x:c r="C553" s="11" t="n">
        <x:v>134082.5</x:v>
      </x:c>
      <x:c r="D553" s="11" t="n">
        <x:v>0.87</x:v>
      </x:c>
      <x:c r="E553" s="11" t="n">
        <x:v>2.5</x:v>
      </x:c>
      <x:c r="F553" s="11" t="n">
        <x:v>2.8</x:v>
      </x:c>
      <x:c r="G553" s="11" t="n">
        <x:v>0.44</x:v>
      </x:c>
      <x:c r="H553" s="11" t="n">
        <x:v>0</x:v>
      </x:c>
      <x:c r="I553" s="11" t="n">
        <x:v>0</x:v>
      </x:c>
      <x:c r="J553" s="11"/>
      <x:c r="K553" s="1" t="str">
        <x:v>GFGV4800OC</x:v>
      </x:c>
      <x:c r="L553" s="1" t="str">
        <x:v>=+D549</x:v>
      </x:c>
    </x:row>
    <x:row r="554" ht="21" customHeight="1">
      <x:c r="A554" s="5" t="n">
        <x:v>46269</x:v>
      </x:c>
      <x:c r="B554" s="11" t="n">
        <x:v>1.8</x:v>
      </x:c>
      <x:c r="C554" s="11" t="n">
        <x:v>87745.5</x:v>
      </x:c>
      <x:c r="D554" s="11" t="n">
        <x:v>2.5</x:v>
      </x:c>
      <x:c r="E554" s="11" t="n">
        <x:v>2.8</x:v>
      </x:c>
      <x:c r="F554" s="11" t="n">
        <x:v>2.9</x:v>
      </x:c>
      <x:c r="G554" s="11" t="n">
        <x:v>1.55</x:v>
      </x:c>
      <x:c r="H554" s="11" t="n">
        <x:v>0</x:v>
      </x:c>
      <x:c r="I554" s="11" t="n">
        <x:v>0</x:v>
      </x:c>
      <x:c r="J554" s="11"/>
      <x:c r="K554" s="1" t="str">
        <x:v>GFGV4800OC</x:v>
      </x:c>
      <x:c r="L554" s="1" t="str">
        <x:v>=+D550</x:v>
      </x:c>
    </x:row>
    <x:row r="555" ht="21" customHeight="1">
      <x:c r="A555" s="5" t="n">
        <x:v>46272</x:v>
      </x:c>
      <x:c r="B555" s="11" t="n">
        <x:v>1.85</x:v>
      </x:c>
      <x:c r="C555" s="11" t="n">
        <x:v>40848.1</x:v>
      </x:c>
      <x:c r="D555" s="11" t="n">
        <x:v>2.8</x:v>
      </x:c>
      <x:c r="E555" s="11" t="n">
        <x:v>1</x:v>
      </x:c>
      <x:c r="F555" s="11" t="n">
        <x:v>2.8</x:v>
      </x:c>
      <x:c r="G555" s="11" t="n">
        <x:v>1.51</x:v>
      </x:c>
      <x:c r="H555" s="11" t="n">
        <x:v>0</x:v>
      </x:c>
      <x:c r="I555" s="11" t="n">
        <x:v>0</x:v>
      </x:c>
      <x:c r="J555" s="11"/>
      <x:c r="K555" s="1" t="str">
        <x:v>GFGV4800OC</x:v>
      </x:c>
      <x:c r="L555" s="1" t="str">
        <x:v>=+D551</x:v>
      </x:c>
    </x:row>
    <x:row r="556" ht="21" customHeight="1">
      <x:c r="A556" s="5" t="n">
        <x:v>46273</x:v>
      </x:c>
      <x:c r="B556" s="11" t="n">
        <x:v>1.68</x:v>
      </x:c>
      <x:c r="C556" s="11" t="n">
        <x:v>117623.5</x:v>
      </x:c>
      <x:c r="D556" s="11" t="n">
        <x:v>1</x:v>
      </x:c>
      <x:c r="E556" s="11" t="n">
        <x:v>2.01</x:v>
      </x:c>
      <x:c r="F556" s="11" t="n">
        <x:v>2.5</x:v>
      </x:c>
      <x:c r="G556" s="11" t="n">
        <x:v>1</x:v>
      </x:c>
      <x:c r="H556" s="11" t="n">
        <x:v>0</x:v>
      </x:c>
      <x:c r="I556" s="11" t="n">
        <x:v>0</x:v>
      </x:c>
      <x:c r="J556" s="11"/>
      <x:c r="K556" s="1" t="str">
        <x:v>GFGV4800OC</x:v>
      </x:c>
      <x:c r="L556" s="1" t="str">
        <x:v>=+D552</x:v>
      </x:c>
    </x:row>
    <x:row r="557" ht="21" customHeight="1">
      <x:c r="A557" s="5" t="n">
        <x:v>46274</x:v>
      </x:c>
      <x:c r="B557" s="11" t="n">
        <x:v>1.39</x:v>
      </x:c>
      <x:c r="C557" s="11" t="n">
        <x:v>165984.7</x:v>
      </x:c>
      <x:c r="D557" s="11" t="n">
        <x:v>2.01</x:v>
      </x:c>
      <x:c r="E557" s="11" t="n">
        <x:v>1.7</x:v>
      </x:c>
      <x:c r="F557" s="11" t="n">
        <x:v>2.06</x:v>
      </x:c>
      <x:c r="G557" s="11" t="n">
        <x:v>1.2</x:v>
      </x:c>
      <x:c r="H557" s="11" t="n">
        <x:v>0</x:v>
      </x:c>
      <x:c r="I557" s="11" t="n">
        <x:v>0</x:v>
      </x:c>
      <x:c r="J557" s="11"/>
      <x:c r="K557" s="1" t="str">
        <x:v>GFGV4800OC</x:v>
      </x:c>
      <x:c r="L557" s="1" t="str">
        <x:v>=+D553</x:v>
      </x:c>
    </x:row>
    <x:row r="558" ht="21" customHeight="1">
      <x:c r="A558" s="5" t="n">
        <x:v>46275</x:v>
      </x:c>
      <x:c r="B558" s="11" t="n">
        <x:v>1.29</x:v>
      </x:c>
      <x:c r="C558" s="11" t="n">
        <x:v>152137.59</x:v>
      </x:c>
      <x:c r="D558" s="11" t="n">
        <x:v>1.7</x:v>
      </x:c>
      <x:c r="E558" s="11" t="n">
        <x:v>1.89</x:v>
      </x:c>
      <x:c r="F558" s="11" t="n">
        <x:v>1.7</x:v>
      </x:c>
      <x:c r="G558" s="11" t="n">
        <x:v>1</x:v>
      </x:c>
      <x:c r="H558" s="11" t="n">
        <x:v>0</x:v>
      </x:c>
      <x:c r="I558" s="11" t="n">
        <x:v>0</x:v>
      </x:c>
      <x:c r="J558" s="11"/>
      <x:c r="K558" s="1" t="str">
        <x:v>GFGV4800OC</x:v>
      </x:c>
      <x:c r="L558" s="1" t="str">
        <x:v>=+D554</x:v>
      </x:c>
    </x:row>
    <x:row r="559" ht="21" customHeight="1">
      <x:c r="A559" s="5" t="n">
        <x:v>46276</x:v>
      </x:c>
      <x:c r="B559" s="11" t="n">
        <x:v>1.24</x:v>
      </x:c>
      <x:c r="C559" s="11" t="n">
        <x:v>116816.3</x:v>
      </x:c>
      <x:c r="D559" s="11" t="n">
        <x:v>1.89</x:v>
      </x:c>
      <x:c r="E559" s="11" t="n">
        <x:v>1.69</x:v>
      </x:c>
      <x:c r="F559" s="11" t="n">
        <x:v>1.89</x:v>
      </x:c>
      <x:c r="G559" s="11" t="n">
        <x:v>1.01</x:v>
      </x:c>
      <x:c r="H559" s="11" t="n">
        <x:v>0</x:v>
      </x:c>
      <x:c r="I559" s="11" t="n">
        <x:v>0</x:v>
      </x:c>
      <x:c r="J559" s="11"/>
      <x:c r="K559" s="1" t="str">
        <x:v>GFGV4800OC</x:v>
      </x:c>
      <x:c r="L559" s="1" t="str">
        <x:v>=+D555</x:v>
      </x:c>
    </x:row>
    <x:row r="560" ht="21" customHeight="1">
      <x:c r="A560" s="5" t="n">
        <x:v>46279</x:v>
      </x:c>
      <x:c r="B560" s="11" t="n">
        <x:v>1.61</x:v>
      </x:c>
      <x:c r="C560" s="11" t="n">
        <x:v>97580.9</x:v>
      </x:c>
      <x:c r="D560" s="11" t="n">
        <x:v>1.69</x:v>
      </x:c>
      <x:c r="E560" s="11" t="n">
        <x:v>1.5</x:v>
      </x:c>
      <x:c r="F560" s="11" t="n">
        <x:v>1.8</x:v>
      </x:c>
      <x:c r="G560" s="11" t="n">
        <x:v>1.03</x:v>
      </x:c>
      <x:c r="H560" s="11" t="n">
        <x:v>0</x:v>
      </x:c>
      <x:c r="I560" s="11" t="n">
        <x:v>0</x:v>
      </x:c>
      <x:c r="J560" s="11"/>
      <x:c r="K560" s="1" t="str">
        <x:v>GFGV4800OC</x:v>
      </x:c>
      <x:c r="L560" s="1" t="str">
        <x:v>=+D556</x:v>
      </x:c>
    </x:row>
    <x:row r="561" ht="21" customHeight="1">
      <x:c r="A561" s="5" t="n">
        <x:v>46280</x:v>
      </x:c>
      <x:c r="B561" s="11" t="n">
        <x:v>2.64</x:v>
      </x:c>
      <x:c r="C561" s="11" t="n">
        <x:v>235711.3</x:v>
      </x:c>
      <x:c r="D561" s="11" t="n">
        <x:v>1.5</x:v>
      </x:c>
      <x:c r="E561" s="11" t="n">
        <x:v>2.9</x:v>
      </x:c>
      <x:c r="F561" s="11" t="n">
        <x:v>3.7</x:v>
      </x:c>
      <x:c r="G561" s="11" t="n">
        <x:v>1.5</x:v>
      </x:c>
      <x:c r="H561" s="11" t="n">
        <x:v>0</x:v>
      </x:c>
      <x:c r="I561" s="11" t="n">
        <x:v>0</x:v>
      </x:c>
      <x:c r="J561" s="11"/>
      <x:c r="K561" s="1" t="str">
        <x:v>GFGV4800OC</x:v>
      </x:c>
      <x:c r="L561" s="1" t="str">
        <x:v>=+D557</x:v>
      </x:c>
    </x:row>
    <x:row r="562" ht="21" customHeight="1">
      <x:c r="A562" s="5" t="n">
        <x:v>46281</x:v>
      </x:c>
      <x:c r="B562" s="11" t="n">
        <x:v>1.93</x:v>
      </x:c>
      <x:c r="C562" s="11" t="n">
        <x:v>271169.31</x:v>
      </x:c>
      <x:c r="D562" s="11" t="n">
        <x:v>2.9</x:v>
      </x:c>
      <x:c r="E562" s="11" t="n">
        <x:v>19</x:v>
      </x:c>
      <x:c r="F562" s="11" t="n">
        <x:v>2.9</x:v>
      </x:c>
      <x:c r="G562" s="11" t="n">
        <x:v>1.75</x:v>
      </x:c>
      <x:c r="H562" s="11" t="n">
        <x:v>0</x:v>
      </x:c>
      <x:c r="I562" s="11" t="n">
        <x:v>0</x:v>
      </x:c>
      <x:c r="J562" s="11"/>
      <x:c r="K562" s="1" t="str">
        <x:v>GFGV4800OC</x:v>
      </x:c>
      <x:c r="L562" s="1" t="str">
        <x:v>=+D558</x:v>
      </x:c>
    </x:row>
    <x:row r="563" ht="21" customHeight="1">
      <x:c r="A563" s="5" t="n">
        <x:v>46255</x:v>
      </x:c>
      <x:c r="B563" s="11" t="n">
        <x:v>17.89</x:v>
      </x:c>
      <x:c r="C563" s="11" t="n">
        <x:v>680300</x:v>
      </x:c>
      <x:c r="D563" s="11" t="n">
        <x:v>19</x:v>
      </x:c>
      <x:c r="E563" s="11" t="n">
        <x:v>10</x:v>
      </x:c>
      <x:c r="F563" s="11" t="n">
        <x:v>19</x:v>
      </x:c>
      <x:c r="G563" s="11" t="n">
        <x:v>13</x:v>
      </x:c>
      <x:c r="H563" s="11" t="n">
        <x:v>0</x:v>
      </x:c>
      <x:c r="I563" s="11" t="n">
        <x:v>0</x:v>
      </x:c>
      <x:c r="J563" s="11"/>
      <x:c r="K563" s="1" t="str">
        <x:v>GFGV5000OC</x:v>
      </x:c>
      <x:c r="L563" s="1" t="str">
        <x:v>=+D559</x:v>
      </x:c>
    </x:row>
    <x:row r="564" ht="21" customHeight="1">
      <x:c r="A564" s="5" t="n">
        <x:v>46258</x:v>
      </x:c>
      <x:c r="B564" s="11" t="n">
        <x:v>11.17</x:v>
      </x:c>
      <x:c r="C564" s="11" t="n">
        <x:v>983325.12</x:v>
      </x:c>
      <x:c r="D564" s="11" t="n">
        <x:v>10</x:v>
      </x:c>
      <x:c r="E564" s="11" t="n">
        <x:v>12.6</x:v>
      </x:c>
      <x:c r="F564" s="11" t="n">
        <x:v>12.9</x:v>
      </x:c>
      <x:c r="G564" s="11" t="n">
        <x:v>10</x:v>
      </x:c>
      <x:c r="H564" s="11" t="n">
        <x:v>0</x:v>
      </x:c>
      <x:c r="I564" s="11" t="n">
        <x:v>0</x:v>
      </x:c>
      <x:c r="J564" s="11"/>
      <x:c r="K564" s="1" t="str">
        <x:v>GFGV5000OC</x:v>
      </x:c>
      <x:c r="L564" s="1" t="str">
        <x:v>=+D560</x:v>
      </x:c>
    </x:row>
    <x:row r="565" ht="21" customHeight="1">
      <x:c r="A565" s="5" t="n">
        <x:v>46259</x:v>
      </x:c>
      <x:c r="B565" s="11" t="n">
        <x:v>7.17</x:v>
      </x:c>
      <x:c r="C565" s="11" t="n">
        <x:v>1546788.5</x:v>
      </x:c>
      <x:c r="D565" s="11" t="n">
        <x:v>12.6</x:v>
      </x:c>
      <x:c r="E565" s="11" t="n">
        <x:v>10</x:v>
      </x:c>
      <x:c r="F565" s="11" t="n">
        <x:v>12.95</x:v>
      </x:c>
      <x:c r="G565" s="11" t="n">
        <x:v>7</x:v>
      </x:c>
      <x:c r="H565" s="11" t="n">
        <x:v>0</x:v>
      </x:c>
      <x:c r="I565" s="11" t="n">
        <x:v>0</x:v>
      </x:c>
      <x:c r="J565" s="11"/>
      <x:c r="K565" s="1" t="str">
        <x:v>GFGV5000OC</x:v>
      </x:c>
      <x:c r="L565" s="1" t="str">
        <x:v>=+D561</x:v>
      </x:c>
    </x:row>
    <x:row r="566" ht="21" customHeight="1">
      <x:c r="A566" s="5" t="n">
        <x:v>46260</x:v>
      </x:c>
      <x:c r="B566" s="11" t="n">
        <x:v>6.06</x:v>
      </x:c>
      <x:c r="C566" s="11" t="n">
        <x:v>731671.81</x:v>
      </x:c>
      <x:c r="D566" s="11" t="n">
        <x:v>10</x:v>
      </x:c>
      <x:c r="E566" s="11" t="n">
        <x:v>7</x:v>
      </x:c>
      <x:c r="F566" s="11" t="n">
        <x:v>10</x:v>
      </x:c>
      <x:c r="G566" s="11" t="n">
        <x:v>5.2</x:v>
      </x:c>
      <x:c r="H566" s="11" t="n">
        <x:v>0</x:v>
      </x:c>
      <x:c r="I566" s="11" t="n">
        <x:v>0</x:v>
      </x:c>
      <x:c r="J566" s="11"/>
      <x:c r="K566" s="1" t="str">
        <x:v>GFGV5000OC</x:v>
      </x:c>
      <x:c r="L566" s="1" t="str">
        <x:v>=+D562</x:v>
      </x:c>
    </x:row>
    <x:row r="567" ht="21" customHeight="1">
      <x:c r="A567" s="5" t="n">
        <x:v>46261</x:v>
      </x:c>
      <x:c r="B567" s="11" t="n">
        <x:v>7.94</x:v>
      </x:c>
      <x:c r="C567" s="11" t="n">
        <x:v>7357288.5</x:v>
      </x:c>
      <x:c r="D567" s="11" t="n">
        <x:v>7</x:v>
      </x:c>
      <x:c r="E567" s="11" t="n">
        <x:v>9.9</x:v>
      </x:c>
      <x:c r="F567" s="11" t="n">
        <x:v>10</x:v>
      </x:c>
      <x:c r="G567" s="11" t="n">
        <x:v>5</x:v>
      </x:c>
      <x:c r="H567" s="11" t="n">
        <x:v>0</x:v>
      </x:c>
      <x:c r="I567" s="11" t="n">
        <x:v>0</x:v>
      </x:c>
      <x:c r="J567" s="11"/>
      <x:c r="K567" s="1" t="str">
        <x:v>GFGV5000OC</x:v>
      </x:c>
      <x:c r="L567" s="1" t="str">
        <x:v>=+D563</x:v>
      </x:c>
    </x:row>
    <x:row r="568" ht="21" customHeight="1">
      <x:c r="A568" s="5" t="n">
        <x:v>46262</x:v>
      </x:c>
      <x:c r="B568" s="11" t="n">
        <x:v>6.09</x:v>
      </x:c>
      <x:c r="C568" s="11" t="n">
        <x:v>9428242</x:v>
      </x:c>
      <x:c r="D568" s="11" t="n">
        <x:v>9.9</x:v>
      </x:c>
      <x:c r="E568" s="11" t="n">
        <x:v>6.98</x:v>
      </x:c>
      <x:c r="F568" s="11" t="n">
        <x:v>12.04</x:v>
      </x:c>
      <x:c r="G568" s="11" t="n">
        <x:v>5</x:v>
      </x:c>
      <x:c r="H568" s="11" t="n">
        <x:v>0</x:v>
      </x:c>
      <x:c r="I568" s="11" t="n">
        <x:v>0</x:v>
      </x:c>
      <x:c r="J568" s="11"/>
      <x:c r="K568" s="1" t="str">
        <x:v>GFGV5000OC</x:v>
      </x:c>
      <x:c r="L568" s="1" t="str">
        <x:v>=+D564</x:v>
      </x:c>
    </x:row>
    <x:row r="569" ht="21" customHeight="1">
      <x:c r="A569" s="5" t="n">
        <x:v>46265</x:v>
      </x:c>
      <x:c r="B569" s="11" t="n">
        <x:v>4.26</x:v>
      </x:c>
      <x:c r="C569" s="11" t="n">
        <x:v>932553.5</x:v>
      </x:c>
      <x:c r="D569" s="11" t="n">
        <x:v>6.98</x:v>
      </x:c>
      <x:c r="E569" s="11" t="n">
        <x:v>5</x:v>
      </x:c>
      <x:c r="F569" s="11" t="n">
        <x:v>6.99</x:v>
      </x:c>
      <x:c r="G569" s="11" t="n">
        <x:v>3.5</x:v>
      </x:c>
      <x:c r="H569" s="11" t="n">
        <x:v>0</x:v>
      </x:c>
      <x:c r="I569" s="11" t="n">
        <x:v>0</x:v>
      </x:c>
      <x:c r="J569" s="11"/>
      <x:c r="K569" s="1" t="str">
        <x:v>GFGV5000OC</x:v>
      </x:c>
      <x:c r="L569" s="1" t="str">
        <x:v>=+D565</x:v>
      </x:c>
    </x:row>
    <x:row r="570" ht="21" customHeight="1">
      <x:c r="A570" s="5" t="n">
        <x:v>46266</x:v>
      </x:c>
      <x:c r="B570" s="11" t="n">
        <x:v>3.51</x:v>
      </x:c>
      <x:c r="C570" s="11" t="n">
        <x:v>266406.91</x:v>
      </x:c>
      <x:c r="D570" s="11" t="n">
        <x:v>5</x:v>
      </x:c>
      <x:c r="E570" s="11" t="n">
        <x:v>4.5</x:v>
      </x:c>
      <x:c r="F570" s="11" t="n">
        <x:v>5</x:v>
      </x:c>
      <x:c r="G570" s="11" t="n">
        <x:v>3.01</x:v>
      </x:c>
      <x:c r="H570" s="11" t="n">
        <x:v>0</x:v>
      </x:c>
      <x:c r="I570" s="11" t="n">
        <x:v>0</x:v>
      </x:c>
      <x:c r="J570" s="11"/>
      <x:c r="K570" s="1" t="str">
        <x:v>GFGV5000OC</x:v>
      </x:c>
      <x:c r="L570" s="1" t="str">
        <x:v>=+D566</x:v>
      </x:c>
    </x:row>
    <x:row r="571" ht="21" customHeight="1">
      <x:c r="A571" s="5" t="n">
        <x:v>46267</x:v>
      </x:c>
      <x:c r="B571" s="11" t="n">
        <x:v>2.6</x:v>
      </x:c>
      <x:c r="C571" s="11" t="n">
        <x:v>522273</x:v>
      </x:c>
      <x:c r="D571" s="11" t="n">
        <x:v>4.5</x:v>
      </x:c>
      <x:c r="E571" s="11" t="n">
        <x:v>1.1</x:v>
      </x:c>
      <x:c r="F571" s="11" t="n">
        <x:v>4.5</x:v>
      </x:c>
      <x:c r="G571" s="11" t="n">
        <x:v>2.5</x:v>
      </x:c>
      <x:c r="H571" s="11" t="n">
        <x:v>0</x:v>
      </x:c>
      <x:c r="I571" s="11" t="n">
        <x:v>0</x:v>
      </x:c>
      <x:c r="J571" s="11"/>
      <x:c r="K571" s="1" t="str">
        <x:v>GFGV5000OC</x:v>
      </x:c>
      <x:c r="L571" s="1" t="str">
        <x:v>=+D567</x:v>
      </x:c>
    </x:row>
    <x:row r="572" ht="21" customHeight="1">
      <x:c r="A572" s="5" t="n">
        <x:v>46268</x:v>
      </x:c>
      <x:c r="B572" s="11" t="n">
        <x:v>2.37</x:v>
      </x:c>
      <x:c r="C572" s="11" t="n">
        <x:v>734486.12</x:v>
      </x:c>
      <x:c r="D572" s="11" t="n">
        <x:v>1.1</x:v>
      </x:c>
      <x:c r="E572" s="11" t="n">
        <x:v>1.64</x:v>
      </x:c>
      <x:c r="F572" s="11" t="n">
        <x:v>4</x:v>
      </x:c>
      <x:c r="G572" s="11" t="n">
        <x:v>1.1</x:v>
      </x:c>
      <x:c r="H572" s="11" t="n">
        <x:v>0</x:v>
      </x:c>
      <x:c r="I572" s="11" t="n">
        <x:v>0</x:v>
      </x:c>
      <x:c r="J572" s="11"/>
      <x:c r="K572" s="1" t="str">
        <x:v>GFGV5000OC</x:v>
      </x:c>
      <x:c r="L572" s="1" t="str">
        <x:v>=+D568</x:v>
      </x:c>
    </x:row>
    <x:row r="573" ht="21" customHeight="1">
      <x:c r="A573" s="5" t="n">
        <x:v>46269</x:v>
      </x:c>
      <x:c r="B573" s="11" t="n">
        <x:v>3.15</x:v>
      </x:c>
      <x:c r="C573" s="11" t="n">
        <x:v>719942</x:v>
      </x:c>
      <x:c r="D573" s="11" t="n">
        <x:v>1.64</x:v>
      </x:c>
      <x:c r="E573" s="11" t="n">
        <x:v>3.75</x:v>
      </x:c>
      <x:c r="F573" s="11" t="n">
        <x:v>3.99</x:v>
      </x:c>
      <x:c r="G573" s="11" t="n">
        <x:v>1.64</x:v>
      </x:c>
      <x:c r="H573" s="11" t="n">
        <x:v>0</x:v>
      </x:c>
      <x:c r="I573" s="11" t="n">
        <x:v>0</x:v>
      </x:c>
      <x:c r="J573" s="11"/>
      <x:c r="K573" s="1" t="str">
        <x:v>GFGV5000OC</x:v>
      </x:c>
      <x:c r="L573" s="1" t="str">
        <x:v>=+D569</x:v>
      </x:c>
    </x:row>
    <x:row r="574" ht="21" customHeight="1">
      <x:c r="A574" s="5" t="n">
        <x:v>46272</x:v>
      </x:c>
      <x:c r="B574" s="11" t="n">
        <x:v>2.79</x:v>
      </x:c>
      <x:c r="C574" s="11" t="n">
        <x:v>276486.31</x:v>
      </x:c>
      <x:c r="D574" s="11" t="n">
        <x:v>3.75</x:v>
      </x:c>
      <x:c r="E574" s="11" t="n">
        <x:v>3.5</x:v>
      </x:c>
      <x:c r="F574" s="11" t="n">
        <x:v>3.75</x:v>
      </x:c>
      <x:c r="G574" s="11" t="n">
        <x:v>1.68</x:v>
      </x:c>
      <x:c r="H574" s="11" t="n">
        <x:v>0</x:v>
      </x:c>
      <x:c r="I574" s="11" t="n">
        <x:v>0</x:v>
      </x:c>
      <x:c r="J574" s="11"/>
      <x:c r="K574" s="1" t="str">
        <x:v>GFGV5000OC</x:v>
      </x:c>
      <x:c r="L574" s="1" t="str">
        <x:v>=+D570</x:v>
      </x:c>
    </x:row>
    <x:row r="575" ht="21" customHeight="1">
      <x:c r="A575" s="5" t="n">
        <x:v>46273</x:v>
      </x:c>
      <x:c r="B575" s="11" t="n">
        <x:v>2.32</x:v>
      </x:c>
      <x:c r="C575" s="11" t="n">
        <x:v>532717.81</x:v>
      </x:c>
      <x:c r="D575" s="11" t="n">
        <x:v>3.5</x:v>
      </x:c>
      <x:c r="E575" s="11" t="n">
        <x:v>2.99</x:v>
      </x:c>
      <x:c r="F575" s="11" t="n">
        <x:v>3.5</x:v>
      </x:c>
      <x:c r="G575" s="11" t="n">
        <x:v>2.13</x:v>
      </x:c>
      <x:c r="H575" s="11" t="n">
        <x:v>0</x:v>
      </x:c>
      <x:c r="I575" s="11" t="n">
        <x:v>0</x:v>
      </x:c>
      <x:c r="J575" s="11"/>
      <x:c r="K575" s="1" t="str">
        <x:v>GFGV5000OC</x:v>
      </x:c>
      <x:c r="L575" s="1" t="str">
        <x:v>=+D571</x:v>
      </x:c>
    </x:row>
    <x:row r="576" ht="21" customHeight="1">
      <x:c r="A576" s="5" t="n">
        <x:v>46274</x:v>
      </x:c>
      <x:c r="B576" s="11" t="n">
        <x:v>1.66</x:v>
      </x:c>
      <x:c r="C576" s="11" t="n">
        <x:v>753124.12</x:v>
      </x:c>
      <x:c r="D576" s="11" t="n">
        <x:v>2.99</x:v>
      </x:c>
      <x:c r="E576" s="11" t="n">
        <x:v>1.5</x:v>
      </x:c>
      <x:c r="F576" s="11" t="n">
        <x:v>2.99</x:v>
      </x:c>
      <x:c r="G576" s="11" t="n">
        <x:v>1.55</x:v>
      </x:c>
      <x:c r="H576" s="11" t="n">
        <x:v>0</x:v>
      </x:c>
      <x:c r="I576" s="11" t="n">
        <x:v>0</x:v>
      </x:c>
      <x:c r="J576" s="11"/>
      <x:c r="K576" s="1" t="str">
        <x:v>GFGV5000OC</x:v>
      </x:c>
      <x:c r="L576" s="1" t="str">
        <x:v>=+D572</x:v>
      </x:c>
    </x:row>
    <x:row r="577" ht="21" customHeight="1">
      <x:c r="A577" s="5" t="n">
        <x:v>46275</x:v>
      </x:c>
      <x:c r="B577" s="11" t="n">
        <x:v>1.75</x:v>
      </x:c>
      <x:c r="C577" s="11" t="n">
        <x:v>768593.62</x:v>
      </x:c>
      <x:c r="D577" s="11" t="n">
        <x:v>1.5</x:v>
      </x:c>
      <x:c r="E577" s="11" t="n">
        <x:v>1.4</x:v>
      </x:c>
      <x:c r="F577" s="11" t="n">
        <x:v>2.28</x:v>
      </x:c>
      <x:c r="G577" s="11" t="n">
        <x:v>1.29</x:v>
      </x:c>
      <x:c r="H577" s="11" t="n">
        <x:v>0</x:v>
      </x:c>
      <x:c r="I577" s="11" t="n">
        <x:v>0</x:v>
      </x:c>
      <x:c r="J577" s="11"/>
      <x:c r="K577" s="1" t="str">
        <x:v>GFGV5000OC</x:v>
      </x:c>
      <x:c r="L577" s="1" t="str">
        <x:v>=+D573</x:v>
      </x:c>
    </x:row>
    <x:row r="578" ht="21" customHeight="1">
      <x:c r="A578" s="5" t="n">
        <x:v>46276</x:v>
      </x:c>
      <x:c r="B578" s="11" t="n">
        <x:v>2.15</x:v>
      </x:c>
      <x:c r="C578" s="11" t="n">
        <x:v>765919.88</x:v>
      </x:c>
      <x:c r="D578" s="11" t="n">
        <x:v>1.4</x:v>
      </x:c>
      <x:c r="E578" s="11" t="n">
        <x:v>2.5</x:v>
      </x:c>
      <x:c r="F578" s="11" t="n">
        <x:v>2.5</x:v>
      </x:c>
      <x:c r="G578" s="11" t="n">
        <x:v>1.4</x:v>
      </x:c>
      <x:c r="H578" s="11" t="n">
        <x:v>0</x:v>
      </x:c>
      <x:c r="I578" s="11" t="n">
        <x:v>0</x:v>
      </x:c>
      <x:c r="J578" s="11"/>
      <x:c r="K578" s="1" t="str">
        <x:v>GFGV5000OC</x:v>
      </x:c>
      <x:c r="L578" s="1" t="str">
        <x:v>=+D574</x:v>
      </x:c>
    </x:row>
    <x:row r="579" ht="21" customHeight="1">
      <x:c r="A579" s="5" t="n">
        <x:v>46279</x:v>
      </x:c>
      <x:c r="B579" s="11" t="n">
        <x:v>2.5</x:v>
      </x:c>
      <x:c r="C579" s="11" t="n">
        <x:v>627987.81</x:v>
      </x:c>
      <x:c r="D579" s="11" t="n">
        <x:v>2.5</x:v>
      </x:c>
      <x:c r="E579" s="11" t="n">
        <x:v>3.4</x:v>
      </x:c>
      <x:c r="F579" s="11" t="n">
        <x:v>3.75</x:v>
      </x:c>
      <x:c r="G579" s="11" t="n">
        <x:v>2</x:v>
      </x:c>
      <x:c r="H579" s="11" t="n">
        <x:v>0</x:v>
      </x:c>
      <x:c r="I579" s="11" t="n">
        <x:v>0</x:v>
      </x:c>
      <x:c r="J579" s="11"/>
      <x:c r="K579" s="1" t="str">
        <x:v>GFGV5000OC</x:v>
      </x:c>
      <x:c r="L579" s="1" t="str">
        <x:v>=+D575</x:v>
      </x:c>
    </x:row>
    <x:row r="580" ht="21" customHeight="1">
      <x:c r="A580" s="5" t="n">
        <x:v>46280</x:v>
      </x:c>
      <x:c r="B580" s="11" t="n">
        <x:v>3.46</x:v>
      </x:c>
      <x:c r="C580" s="11" t="n">
        <x:v>1247591.5</x:v>
      </x:c>
      <x:c r="D580" s="11" t="n">
        <x:v>3.4</x:v>
      </x:c>
      <x:c r="E580" s="11" t="n">
        <x:v>3.48</x:v>
      </x:c>
      <x:c r="F580" s="11" t="n">
        <x:v>4.35</x:v>
      </x:c>
      <x:c r="G580" s="11" t="n">
        <x:v>2.42</x:v>
      </x:c>
      <x:c r="H580" s="11" t="n">
        <x:v>0</x:v>
      </x:c>
      <x:c r="I580" s="11" t="n">
        <x:v>0</x:v>
      </x:c>
      <x:c r="J580" s="11"/>
      <x:c r="K580" s="1" t="str">
        <x:v>GFGV5000OC</x:v>
      </x:c>
      <x:c r="L580" s="1" t="str">
        <x:v>=+D576</x:v>
      </x:c>
    </x:row>
    <x:row r="581" ht="21" customHeight="1">
      <x:c r="A581" s="5" t="n">
        <x:v>46281</x:v>
      </x:c>
      <x:c r="B581" s="11" t="n">
        <x:v>3.18</x:v>
      </x:c>
      <x:c r="C581" s="11" t="n">
        <x:v>745490.69</x:v>
      </x:c>
      <x:c r="D581" s="11" t="n">
        <x:v>3.48</x:v>
      </x:c>
      <x:c r="E581" s="11" t="n">
        <x:v>21</x:v>
      </x:c>
      <x:c r="F581" s="11" t="n">
        <x:v>3.99</x:v>
      </x:c>
      <x:c r="G581" s="11" t="n">
        <x:v>2</x:v>
      </x:c>
      <x:c r="H581" s="11" t="n">
        <x:v>0</x:v>
      </x:c>
      <x:c r="I581" s="11" t="n">
        <x:v>0</x:v>
      </x:c>
      <x:c r="J581" s="11"/>
      <x:c r="K581" s="1" t="str">
        <x:v>GFGV5000OC</x:v>
      </x:c>
      <x:c r="L581" s="1" t="str">
        <x:v>=+D577</x:v>
      </x:c>
    </x:row>
    <x:row r="582" ht="21" customHeight="1">
      <x:c r="A582" s="5" t="n">
        <x:v>46255</x:v>
      </x:c>
      <x:c r="B582" s="11" t="n">
        <x:v>27.41</x:v>
      </x:c>
      <x:c r="C582" s="11" t="n">
        <x:v>2175175.75</x:v>
      </x:c>
      <x:c r="D582" s="11" t="n">
        <x:v>21</x:v>
      </x:c>
      <x:c r="E582" s="11" t="n">
        <x:v>25</x:v>
      </x:c>
      <x:c r="F582" s="11" t="n">
        <x:v>30</x:v>
      </x:c>
      <x:c r="G582" s="11" t="n">
        <x:v>20</x:v>
      </x:c>
      <x:c r="H582" s="11" t="n">
        <x:v>0</x:v>
      </x:c>
      <x:c r="I582" s="11" t="n">
        <x:v>0</x:v>
      </x:c>
      <x:c r="J582" s="11"/>
      <x:c r="K582" s="1" t="str">
        <x:v>GFGV5200OC</x:v>
      </x:c>
      <x:c r="L582" s="1" t="str">
        <x:v>=+D578</x:v>
      </x:c>
    </x:row>
    <x:row r="583" ht="21" customHeight="1">
      <x:c r="A583" s="5" t="n">
        <x:v>46258</x:v>
      </x:c>
      <x:c r="B583" s="11" t="n">
        <x:v>16.73</x:v>
      </x:c>
      <x:c r="C583" s="11" t="n">
        <x:v>1567938.62</x:v>
      </x:c>
      <x:c r="D583" s="11" t="n">
        <x:v>25</x:v>
      </x:c>
      <x:c r="E583" s="11" t="n">
        <x:v>15</x:v>
      </x:c>
      <x:c r="F583" s="11" t="n">
        <x:v>25</x:v>
      </x:c>
      <x:c r="G583" s="11" t="n">
        <x:v>16.5</x:v>
      </x:c>
      <x:c r="H583" s="11" t="n">
        <x:v>0</x:v>
      </x:c>
      <x:c r="I583" s="11" t="n">
        <x:v>0</x:v>
      </x:c>
      <x:c r="J583" s="11"/>
      <x:c r="K583" s="1" t="str">
        <x:v>GFGV5200OC</x:v>
      </x:c>
      <x:c r="L583" s="1" t="str">
        <x:v>=+D579</x:v>
      </x:c>
    </x:row>
    <x:row r="584" ht="21" customHeight="1">
      <x:c r="A584" s="5" t="n">
        <x:v>46259</x:v>
      </x:c>
      <x:c r="B584" s="11" t="n">
        <x:v>10.52</x:v>
      </x:c>
      <x:c r="C584" s="11" t="n">
        <x:v>1278074.25</x:v>
      </x:c>
      <x:c r="D584" s="11" t="n">
        <x:v>15</x:v>
      </x:c>
      <x:c r="E584" s="11" t="n">
        <x:v>12</x:v>
      </x:c>
      <x:c r="F584" s="11" t="n">
        <x:v>19</x:v>
      </x:c>
      <x:c r="G584" s="11" t="n">
        <x:v>10.01</x:v>
      </x:c>
      <x:c r="H584" s="11" t="n">
        <x:v>0</x:v>
      </x:c>
      <x:c r="I584" s="11" t="n">
        <x:v>0</x:v>
      </x:c>
      <x:c r="J584" s="11"/>
      <x:c r="K584" s="1" t="str">
        <x:v>GFGV5200OC</x:v>
      </x:c>
      <x:c r="L584" s="1" t="str">
        <x:v>=+D580</x:v>
      </x:c>
    </x:row>
    <x:row r="585" ht="21" customHeight="1">
      <x:c r="A585" s="5" t="n">
        <x:v>46260</x:v>
      </x:c>
      <x:c r="B585" s="11" t="n">
        <x:v>8.81</x:v>
      </x:c>
      <x:c r="C585" s="11" t="n">
        <x:v>637267.38</x:v>
      </x:c>
      <x:c r="D585" s="11" t="n">
        <x:v>12</x:v>
      </x:c>
      <x:c r="E585" s="11" t="n">
        <x:v>9</x:v>
      </x:c>
      <x:c r="F585" s="11" t="n">
        <x:v>12</x:v>
      </x:c>
      <x:c r="G585" s="11" t="n">
        <x:v>7.11</x:v>
      </x:c>
      <x:c r="H585" s="11" t="n">
        <x:v>0</x:v>
      </x:c>
      <x:c r="I585" s="11" t="n">
        <x:v>0</x:v>
      </x:c>
      <x:c r="J585" s="11"/>
      <x:c r="K585" s="1" t="str">
        <x:v>GFGV5200OC</x:v>
      </x:c>
      <x:c r="L585" s="1" t="str">
        <x:v>=+D581</x:v>
      </x:c>
    </x:row>
    <x:row r="586" ht="21" customHeight="1">
      <x:c r="A586" s="5" t="n">
        <x:v>46261</x:v>
      </x:c>
      <x:c r="B586" s="11" t="n">
        <x:v>12.17</x:v>
      </x:c>
      <x:c r="C586" s="11" t="n">
        <x:v>1178529.12</x:v>
      </x:c>
      <x:c r="D586" s="11" t="n">
        <x:v>9</x:v>
      </x:c>
      <x:c r="E586" s="11" t="n">
        <x:v>19</x:v>
      </x:c>
      <x:c r="F586" s="11" t="n">
        <x:v>13</x:v>
      </x:c>
      <x:c r="G586" s="11" t="n">
        <x:v>9</x:v>
      </x:c>
      <x:c r="H586" s="11" t="n">
        <x:v>0</x:v>
      </x:c>
      <x:c r="I586" s="11" t="n">
        <x:v>0</x:v>
      </x:c>
      <x:c r="J586" s="11"/>
      <x:c r="K586" s="1" t="str">
        <x:v>GFGV5200OC</x:v>
      </x:c>
      <x:c r="L586" s="1" t="str">
        <x:v>=+D582</x:v>
      </x:c>
    </x:row>
    <x:row r="587" ht="21" customHeight="1">
      <x:c r="A587" s="5" t="n">
        <x:v>46262</x:v>
      </x:c>
      <x:c r="B587" s="11" t="n">
        <x:v>11.53</x:v>
      </x:c>
      <x:c r="C587" s="11" t="n">
        <x:v>2601694</x:v>
      </x:c>
      <x:c r="D587" s="11" t="n">
        <x:v>19</x:v>
      </x:c>
      <x:c r="E587" s="11" t="n">
        <x:v>8.51</x:v>
      </x:c>
      <x:c r="F587" s="11" t="n">
        <x:v>19</x:v>
      </x:c>
      <x:c r="G587" s="11" t="n">
        <x:v>8</x:v>
      </x:c>
      <x:c r="H587" s="11" t="n">
        <x:v>0</x:v>
      </x:c>
      <x:c r="I587" s="11" t="n">
        <x:v>0</x:v>
      </x:c>
      <x:c r="J587" s="11"/>
      <x:c r="K587" s="1" t="str">
        <x:v>GFGV5200OC</x:v>
      </x:c>
      <x:c r="L587" s="1" t="str">
        <x:v>=+D583</x:v>
      </x:c>
    </x:row>
    <x:row r="588" ht="21" customHeight="1">
      <x:c r="A588" s="5" t="n">
        <x:v>46265</x:v>
      </x:c>
      <x:c r="B588" s="11" t="n">
        <x:v>7.67</x:v>
      </x:c>
      <x:c r="C588" s="11" t="n">
        <x:v>1655363.75</x:v>
      </x:c>
      <x:c r="D588" s="11" t="n">
        <x:v>8.51</x:v>
      </x:c>
      <x:c r="E588" s="11" t="n">
        <x:v>10.4</x:v>
      </x:c>
      <x:c r="F588" s="11" t="n">
        <x:v>9.98</x:v>
      </x:c>
      <x:c r="G588" s="11" t="n">
        <x:v>6.75</x:v>
      </x:c>
      <x:c r="H588" s="11" t="n">
        <x:v>0</x:v>
      </x:c>
      <x:c r="I588" s="11" t="n">
        <x:v>0</x:v>
      </x:c>
      <x:c r="J588" s="11"/>
      <x:c r="K588" s="1" t="str">
        <x:v>GFGV5200OC</x:v>
      </x:c>
      <x:c r="L588" s="1" t="str">
        <x:v>=+D584</x:v>
      </x:c>
    </x:row>
    <x:row r="589" ht="21" customHeight="1">
      <x:c r="A589" s="5" t="n">
        <x:v>46266</x:v>
      </x:c>
      <x:c r="B589" s="11" t="n">
        <x:v>6.67</x:v>
      </x:c>
      <x:c r="C589" s="11" t="n">
        <x:v>1065283.38</x:v>
      </x:c>
      <x:c r="D589" s="11" t="n">
        <x:v>10.4</x:v>
      </x:c>
      <x:c r="E589" s="11" t="n">
        <x:v>8.99</x:v>
      </x:c>
      <x:c r="F589" s="11" t="n">
        <x:v>10.4</x:v>
      </x:c>
      <x:c r="G589" s="11" t="n">
        <x:v>6</x:v>
      </x:c>
      <x:c r="H589" s="11" t="n">
        <x:v>0</x:v>
      </x:c>
      <x:c r="I589" s="11" t="n">
        <x:v>0</x:v>
      </x:c>
      <x:c r="J589" s="11"/>
      <x:c r="K589" s="1" t="str">
        <x:v>GFGV5200OC</x:v>
      </x:c>
      <x:c r="L589" s="1" t="str">
        <x:v>=+D585</x:v>
      </x:c>
    </x:row>
    <x:row r="590" ht="21" customHeight="1">
      <x:c r="A590" s="5" t="n">
        <x:v>46267</x:v>
      </x:c>
      <x:c r="B590" s="11" t="n">
        <x:v>4.57</x:v>
      </x:c>
      <x:c r="C590" s="11" t="n">
        <x:v>808803.62</x:v>
      </x:c>
      <x:c r="D590" s="11" t="n">
        <x:v>8.99</x:v>
      </x:c>
      <x:c r="E590" s="11" t="n">
        <x:v>6.3</x:v>
      </x:c>
      <x:c r="F590" s="11" t="n">
        <x:v>8.99</x:v>
      </x:c>
      <x:c r="G590" s="11" t="n">
        <x:v>4.46</x:v>
      </x:c>
      <x:c r="H590" s="11" t="n">
        <x:v>0</x:v>
      </x:c>
      <x:c r="I590" s="11" t="n">
        <x:v>0</x:v>
      </x:c>
      <x:c r="J590" s="11"/>
      <x:c r="K590" s="1" t="str">
        <x:v>GFGV5200OC</x:v>
      </x:c>
      <x:c r="L590" s="1" t="str">
        <x:v>=+D586</x:v>
      </x:c>
    </x:row>
    <x:row r="591" ht="21" customHeight="1">
      <x:c r="A591" s="5" t="n">
        <x:v>46268</x:v>
      </x:c>
      <x:c r="B591" s="11" t="n">
        <x:v>4.98</x:v>
      </x:c>
      <x:c r="C591" s="11" t="n">
        <x:v>1265817.75</x:v>
      </x:c>
      <x:c r="D591" s="11" t="n">
        <x:v>6.3</x:v>
      </x:c>
      <x:c r="E591" s="11" t="n">
        <x:v>5.95</x:v>
      </x:c>
      <x:c r="F591" s="11" t="n">
        <x:v>7</x:v>
      </x:c>
      <x:c r="G591" s="11" t="n">
        <x:v>4</x:v>
      </x:c>
      <x:c r="H591" s="11" t="n">
        <x:v>0</x:v>
      </x:c>
      <x:c r="I591" s="11" t="n">
        <x:v>0</x:v>
      </x:c>
      <x:c r="J591" s="11"/>
      <x:c r="K591" s="1" t="str">
        <x:v>GFGV5200OC</x:v>
      </x:c>
      <x:c r="L591" s="1" t="str">
        <x:v>=+D587</x:v>
      </x:c>
    </x:row>
    <x:row r="592" ht="21" customHeight="1">
      <x:c r="A592" s="5" t="n">
        <x:v>46269</x:v>
      </x:c>
      <x:c r="B592" s="11" t="n">
        <x:v>4.92</x:v>
      </x:c>
      <x:c r="C592" s="11" t="n">
        <x:v>1754041.5</x:v>
      </x:c>
      <x:c r="D592" s="11" t="n">
        <x:v>5.95</x:v>
      </x:c>
      <x:c r="E592" s="11" t="n">
        <x:v>5.62</x:v>
      </x:c>
      <x:c r="F592" s="11" t="n">
        <x:v>6.45</x:v>
      </x:c>
      <x:c r="G592" s="11" t="n">
        <x:v>4.43</x:v>
      </x:c>
      <x:c r="H592" s="11" t="n">
        <x:v>0</x:v>
      </x:c>
      <x:c r="I592" s="11" t="n">
        <x:v>0</x:v>
      </x:c>
      <x:c r="J592" s="11"/>
      <x:c r="K592" s="1" t="str">
        <x:v>GFGV5200OC</x:v>
      </x:c>
      <x:c r="L592" s="1" t="str">
        <x:v>=+D588</x:v>
      </x:c>
    </x:row>
    <x:row r="593" ht="21" customHeight="1">
      <x:c r="A593" s="5" t="n">
        <x:v>46272</x:v>
      </x:c>
      <x:c r="B593" s="11" t="n">
        <x:v>4.8</x:v>
      </x:c>
      <x:c r="C593" s="11" t="n">
        <x:v>305952.81</x:v>
      </x:c>
      <x:c r="D593" s="11" t="n">
        <x:v>5.62</x:v>
      </x:c>
      <x:c r="E593" s="11" t="n">
        <x:v>4.2</x:v>
      </x:c>
      <x:c r="F593" s="11" t="n">
        <x:v>5.62</x:v>
      </x:c>
      <x:c r="G593" s="11" t="n">
        <x:v>4</x:v>
      </x:c>
      <x:c r="H593" s="11" t="n">
        <x:v>0</x:v>
      </x:c>
      <x:c r="I593" s="11" t="n">
        <x:v>0</x:v>
      </x:c>
      <x:c r="J593" s="11"/>
      <x:c r="K593" s="1" t="str">
        <x:v>GFGV5200OC</x:v>
      </x:c>
      <x:c r="L593" s="1" t="str">
        <x:v>=+D589</x:v>
      </x:c>
    </x:row>
    <x:row r="594" ht="21" customHeight="1">
      <x:c r="A594" s="5" t="n">
        <x:v>46273</x:v>
      </x:c>
      <x:c r="B594" s="11" t="n">
        <x:v>4</x:v>
      </x:c>
      <x:c r="C594" s="11" t="n">
        <x:v>1499138.75</x:v>
      </x:c>
      <x:c r="D594" s="11" t="n">
        <x:v>4.2</x:v>
      </x:c>
      <x:c r="E594" s="11" t="n">
        <x:v>4.51</x:v>
      </x:c>
      <x:c r="F594" s="11" t="n">
        <x:v>5.6</x:v>
      </x:c>
      <x:c r="G594" s="11" t="n">
        <x:v>3.1</x:v>
      </x:c>
      <x:c r="H594" s="11" t="n">
        <x:v>0</x:v>
      </x:c>
      <x:c r="I594" s="11" t="n">
        <x:v>0</x:v>
      </x:c>
      <x:c r="J594" s="11"/>
      <x:c r="K594" s="1" t="str">
        <x:v>GFGV5200OC</x:v>
      </x:c>
      <x:c r="L594" s="1" t="str">
        <x:v>=+D590</x:v>
      </x:c>
    </x:row>
    <x:row r="595" ht="21" customHeight="1">
      <x:c r="A595" s="5" t="n">
        <x:v>46274</x:v>
      </x:c>
      <x:c r="B595" s="11" t="n">
        <x:v>2.85</x:v>
      </x:c>
      <x:c r="C595" s="11" t="n">
        <x:v>820221.69</x:v>
      </x:c>
      <x:c r="D595" s="11" t="n">
        <x:v>4.51</x:v>
      </x:c>
      <x:c r="E595" s="11" t="n">
        <x:v>3</x:v>
      </x:c>
      <x:c r="F595" s="11" t="n">
        <x:v>5</x:v>
      </x:c>
      <x:c r="G595" s="11" t="n">
        <x:v>2</x:v>
      </x:c>
      <x:c r="H595" s="11" t="n">
        <x:v>0</x:v>
      </x:c>
      <x:c r="I595" s="11" t="n">
        <x:v>0</x:v>
      </x:c>
      <x:c r="J595" s="11"/>
      <x:c r="K595" s="1" t="str">
        <x:v>GFGV5200OC</x:v>
      </x:c>
      <x:c r="L595" s="1" t="str">
        <x:v>=+D591</x:v>
      </x:c>
    </x:row>
    <x:row r="596" ht="21" customHeight="1">
      <x:c r="A596" s="5" t="n">
        <x:v>46275</x:v>
      </x:c>
      <x:c r="B596" s="11" t="n">
        <x:v>2.66</x:v>
      </x:c>
      <x:c r="C596" s="11" t="n">
        <x:v>521320.19</x:v>
      </x:c>
      <x:c r="D596" s="11" t="n">
        <x:v>3</x:v>
      </x:c>
      <x:c r="E596" s="11" t="n">
        <x:v>3.99</x:v>
      </x:c>
      <x:c r="F596" s="11" t="n">
        <x:v>4.32</x:v>
      </x:c>
      <x:c r="G596" s="11" t="n">
        <x:v>2.2</x:v>
      </x:c>
      <x:c r="H596" s="11" t="n">
        <x:v>0</x:v>
      </x:c>
      <x:c r="I596" s="11" t="n">
        <x:v>0</x:v>
      </x:c>
      <x:c r="J596" s="11"/>
      <x:c r="K596" s="1" t="str">
        <x:v>GFGV5200OC</x:v>
      </x:c>
      <x:c r="L596" s="1" t="str">
        <x:v>=+D592</x:v>
      </x:c>
    </x:row>
    <x:row r="597" ht="21" customHeight="1">
      <x:c r="A597" s="5" t="n">
        <x:v>46276</x:v>
      </x:c>
      <x:c r="B597" s="11" t="n">
        <x:v>3.1</x:v>
      </x:c>
      <x:c r="C597" s="11" t="n">
        <x:v>988455.12</x:v>
      </x:c>
      <x:c r="D597" s="11" t="n">
        <x:v>3.99</x:v>
      </x:c>
      <x:c r="E597" s="11" t="n">
        <x:v>3.7</x:v>
      </x:c>
      <x:c r="F597" s="11" t="n">
        <x:v>3.99</x:v>
      </x:c>
      <x:c r="G597" s="11" t="n">
        <x:v>2.03</x:v>
      </x:c>
      <x:c r="H597" s="11" t="n">
        <x:v>0</x:v>
      </x:c>
      <x:c r="I597" s="11" t="n">
        <x:v>0</x:v>
      </x:c>
      <x:c r="J597" s="11"/>
      <x:c r="K597" s="1" t="str">
        <x:v>GFGV5200OC</x:v>
      </x:c>
      <x:c r="L597" s="1" t="str">
        <x:v>=+D593</x:v>
      </x:c>
    </x:row>
    <x:row r="598" ht="21" customHeight="1">
      <x:c r="A598" s="5" t="n">
        <x:v>46279</x:v>
      </x:c>
      <x:c r="B598" s="11" t="n">
        <x:v>4.05</x:v>
      </x:c>
      <x:c r="C598" s="11" t="n">
        <x:v>1428637.25</x:v>
      </x:c>
      <x:c r="D598" s="11" t="n">
        <x:v>3.7</x:v>
      </x:c>
      <x:c r="E598" s="11" t="n">
        <x:v>4.55</x:v>
      </x:c>
      <x:c r="F598" s="11" t="n">
        <x:v>4.2</x:v>
      </x:c>
      <x:c r="G598" s="11" t="n">
        <x:v>3</x:v>
      </x:c>
      <x:c r="H598" s="11" t="n">
        <x:v>0</x:v>
      </x:c>
      <x:c r="I598" s="11" t="n">
        <x:v>0</x:v>
      </x:c>
      <x:c r="J598" s="11"/>
      <x:c r="K598" s="1" t="str">
        <x:v>GFGV5200OC</x:v>
      </x:c>
      <x:c r="L598" s="1" t="str">
        <x:v>=+D594</x:v>
      </x:c>
    </x:row>
    <x:row r="599" ht="21" customHeight="1">
      <x:c r="A599" s="5" t="n">
        <x:v>46280</x:v>
      </x:c>
      <x:c r="B599" s="11" t="n">
        <x:v>5.46</x:v>
      </x:c>
      <x:c r="C599" s="11" t="n">
        <x:v>812441.62</x:v>
      </x:c>
      <x:c r="D599" s="11" t="n">
        <x:v>4.55</x:v>
      </x:c>
      <x:c r="E599" s="11" t="n">
        <x:v>5.7</x:v>
      </x:c>
      <x:c r="F599" s="11" t="n">
        <x:v>6.64</x:v>
      </x:c>
      <x:c r="G599" s="11" t="n">
        <x:v>3.7</x:v>
      </x:c>
      <x:c r="H599" s="11" t="n">
        <x:v>0</x:v>
      </x:c>
      <x:c r="I599" s="11" t="n">
        <x:v>0</x:v>
      </x:c>
      <x:c r="J599" s="11"/>
      <x:c r="K599" s="1" t="str">
        <x:v>GFGV5200OC</x:v>
      </x:c>
      <x:c r="L599" s="1" t="str">
        <x:v>=+D595</x:v>
      </x:c>
    </x:row>
    <x:row r="600" ht="21" customHeight="1">
      <x:c r="A600" s="5" t="n">
        <x:v>46281</x:v>
      </x:c>
      <x:c r="B600" s="11" t="n">
        <x:v>6.01</x:v>
      </x:c>
      <x:c r="C600" s="11" t="n">
        <x:v>533764.69</x:v>
      </x:c>
      <x:c r="D600" s="11" t="n">
        <x:v>5.7</x:v>
      </x:c>
      <x:c r="E600" s="11" t="n">
        <x:v>30</x:v>
      </x:c>
      <x:c r="F600" s="11" t="n">
        <x:v>7.7</x:v>
      </x:c>
      <x:c r="G600" s="11" t="n">
        <x:v>3.59</x:v>
      </x:c>
      <x:c r="H600" s="11" t="n">
        <x:v>0</x:v>
      </x:c>
      <x:c r="I600" s="11" t="n">
        <x:v>0</x:v>
      </x:c>
      <x:c r="J600" s="11"/>
      <x:c r="K600" s="1" t="str">
        <x:v>GFGV5200OC</x:v>
      </x:c>
      <x:c r="L600" s="1" t="str">
        <x:v>=+D596</x:v>
      </x:c>
    </x:row>
    <x:row r="601" ht="21" customHeight="1">
      <x:c r="A601" s="5" t="n">
        <x:v>46255</x:v>
      </x:c>
      <x:c r="B601" s="11" t="n">
        <x:v>39.81</x:v>
      </x:c>
      <x:c r="C601" s="11" t="n">
        <x:v>1855666.25</x:v>
      </x:c>
      <x:c r="D601" s="11" t="n">
        <x:v>30</x:v>
      </x:c>
      <x:c r="E601" s="11" t="n">
        <x:v>37.01</x:v>
      </x:c>
      <x:c r="F601" s="11" t="n">
        <x:v>60</x:v>
      </x:c>
      <x:c r="G601" s="11" t="n">
        <x:v>28</x:v>
      </x:c>
      <x:c r="H601" s="11" t="n">
        <x:v>0</x:v>
      </x:c>
      <x:c r="I601" s="11" t="n">
        <x:v>0</x:v>
      </x:c>
      <x:c r="J601" s="11"/>
      <x:c r="K601" s="1" t="str">
        <x:v>GFGV5400OC</x:v>
      </x:c>
      <x:c r="L601" s="1" t="str">
        <x:v>=+D597</x:v>
      </x:c>
    </x:row>
    <x:row r="602" ht="21" customHeight="1">
      <x:c r="A602" s="5" t="n">
        <x:v>46258</x:v>
      </x:c>
      <x:c r="B602" s="11" t="n">
        <x:v>26.64</x:v>
      </x:c>
      <x:c r="C602" s="11" t="n">
        <x:v>4312769</x:v>
      </x:c>
      <x:c r="D602" s="11" t="n">
        <x:v>37.01</x:v>
      </x:c>
      <x:c r="E602" s="11" t="n">
        <x:v>40</x:v>
      </x:c>
      <x:c r="F602" s="11" t="n">
        <x:v>47</x:v>
      </x:c>
      <x:c r="G602" s="11" t="n">
        <x:v>22.1</x:v>
      </x:c>
      <x:c r="H602" s="11" t="n">
        <x:v>0</x:v>
      </x:c>
      <x:c r="I602" s="11" t="n">
        <x:v>0</x:v>
      </x:c>
      <x:c r="J602" s="11"/>
      <x:c r="K602" s="1" t="str">
        <x:v>GFGV5400OC</x:v>
      </x:c>
      <x:c r="L602" s="1" t="str">
        <x:v>=+D598</x:v>
      </x:c>
    </x:row>
    <x:row r="603" ht="21" customHeight="1">
      <x:c r="A603" s="5" t="n">
        <x:v>46259</x:v>
      </x:c>
      <x:c r="B603" s="11" t="n">
        <x:v>15.88</x:v>
      </x:c>
      <x:c r="C603" s="11" t="n">
        <x:v>2358763.25</x:v>
      </x:c>
      <x:c r="D603" s="11" t="n">
        <x:v>40</x:v>
      </x:c>
      <x:c r="E603" s="11" t="n">
        <x:v>16.33</x:v>
      </x:c>
      <x:c r="F603" s="11" t="n">
        <x:v>40</x:v>
      </x:c>
      <x:c r="G603" s="11" t="n">
        <x:v>15</x:v>
      </x:c>
      <x:c r="H603" s="11" t="n">
        <x:v>0</x:v>
      </x:c>
      <x:c r="I603" s="11" t="n">
        <x:v>0</x:v>
      </x:c>
      <x:c r="J603" s="11"/>
      <x:c r="K603" s="1" t="str">
        <x:v>GFGV5400OC</x:v>
      </x:c>
      <x:c r="L603" s="1" t="str">
        <x:v>=+D599</x:v>
      </x:c>
    </x:row>
    <x:row r="604" ht="21" customHeight="1">
      <x:c r="A604" s="5" t="n">
        <x:v>46260</x:v>
      </x:c>
      <x:c r="B604" s="11" t="n">
        <x:v>13.97</x:v>
      </x:c>
      <x:c r="C604" s="11" t="n">
        <x:v>1705388.38</x:v>
      </x:c>
      <x:c r="D604" s="11" t="n">
        <x:v>16.33</x:v>
      </x:c>
      <x:c r="E604" s="11" t="n">
        <x:v>13</x:v>
      </x:c>
      <x:c r="F604" s="11" t="n">
        <x:v>21</x:v>
      </x:c>
      <x:c r="G604" s="11" t="n">
        <x:v>13</x:v>
      </x:c>
      <x:c r="H604" s="11" t="n">
        <x:v>0</x:v>
      </x:c>
      <x:c r="I604" s="11" t="n">
        <x:v>0</x:v>
      </x:c>
      <x:c r="J604" s="11"/>
      <x:c r="K604" s="1" t="str">
        <x:v>GFGV5400OC</x:v>
      </x:c>
      <x:c r="L604" s="1" t="str">
        <x:v>=+D600</x:v>
      </x:c>
    </x:row>
    <x:row r="605" ht="21" customHeight="1">
      <x:c r="A605" s="5" t="n">
        <x:v>46261</x:v>
      </x:c>
      <x:c r="B605" s="11" t="n">
        <x:v>18.93</x:v>
      </x:c>
      <x:c r="C605" s="11" t="n">
        <x:v>5949093</x:v>
      </x:c>
      <x:c r="D605" s="11" t="n">
        <x:v>13</x:v>
      </x:c>
      <x:c r="E605" s="11" t="n">
        <x:v>21.94</x:v>
      </x:c>
      <x:c r="F605" s="11" t="n">
        <x:v>19.97</x:v>
      </x:c>
      <x:c r="G605" s="11" t="n">
        <x:v>13</x:v>
      </x:c>
      <x:c r="H605" s="11" t="n">
        <x:v>0</x:v>
      </x:c>
      <x:c r="I605" s="11" t="n">
        <x:v>0</x:v>
      </x:c>
      <x:c r="J605" s="11"/>
      <x:c r="K605" s="1" t="str">
        <x:v>GFGV5400OC</x:v>
      </x:c>
      <x:c r="L605" s="1" t="str">
        <x:v>=+D601</x:v>
      </x:c>
    </x:row>
    <x:row r="606" ht="21" customHeight="1">
      <x:c r="A606" s="5" t="n">
        <x:v>46262</x:v>
      </x:c>
      <x:c r="B606" s="11" t="n">
        <x:v>18.4</x:v>
      </x:c>
      <x:c r="C606" s="11" t="n">
        <x:v>9021038</x:v>
      </x:c>
      <x:c r="D606" s="11" t="n">
        <x:v>21.94</x:v>
      </x:c>
      <x:c r="E606" s="11" t="n">
        <x:v>16</x:v>
      </x:c>
      <x:c r="F606" s="11" t="n">
        <x:v>29</x:v>
      </x:c>
      <x:c r="G606" s="11" t="n">
        <x:v>16</x:v>
      </x:c>
      <x:c r="H606" s="11" t="n">
        <x:v>0</x:v>
      </x:c>
      <x:c r="I606" s="11" t="n">
        <x:v>0</x:v>
      </x:c>
      <x:c r="J606" s="11"/>
      <x:c r="K606" s="1" t="str">
        <x:v>GFGV5400OC</x:v>
      </x:c>
      <x:c r="L606" s="1" t="str">
        <x:v>=+D602</x:v>
      </x:c>
    </x:row>
    <x:row r="607" ht="21" customHeight="1">
      <x:c r="A607" s="5" t="n">
        <x:v>46265</x:v>
      </x:c>
      <x:c r="B607" s="11" t="n">
        <x:v>12.73</x:v>
      </x:c>
      <x:c r="C607" s="11" t="n">
        <x:v>2412650.5</x:v>
      </x:c>
      <x:c r="D607" s="11" t="n">
        <x:v>16</x:v>
      </x:c>
      <x:c r="E607" s="11" t="n">
        <x:v>7</x:v>
      </x:c>
      <x:c r="F607" s="11" t="n">
        <x:v>18</x:v>
      </x:c>
      <x:c r="G607" s="11" t="n">
        <x:v>10.01</x:v>
      </x:c>
      <x:c r="H607" s="11" t="n">
        <x:v>0</x:v>
      </x:c>
      <x:c r="I607" s="11" t="n">
        <x:v>0</x:v>
      </x:c>
      <x:c r="J607" s="11"/>
      <x:c r="K607" s="1" t="str">
        <x:v>GFGV5400OC</x:v>
      </x:c>
      <x:c r="L607" s="1" t="str">
        <x:v>=+D603</x:v>
      </x:c>
    </x:row>
    <x:row r="608" ht="21" customHeight="1">
      <x:c r="A608" s="5" t="n">
        <x:v>46266</x:v>
      </x:c>
      <x:c r="B608" s="11" t="n">
        <x:v>11.07</x:v>
      </x:c>
      <x:c r="C608" s="11" t="n">
        <x:v>2846356.75</x:v>
      </x:c>
      <x:c r="D608" s="11" t="n">
        <x:v>7</x:v>
      </x:c>
      <x:c r="E608" s="11" t="n">
        <x:v>5.01</x:v>
      </x:c>
      <x:c r="F608" s="11" t="n">
        <x:v>16.4</x:v>
      </x:c>
      <x:c r="G608" s="11" t="n">
        <x:v>7</x:v>
      </x:c>
      <x:c r="H608" s="11" t="n">
        <x:v>0</x:v>
      </x:c>
      <x:c r="I608" s="11" t="n">
        <x:v>0</x:v>
      </x:c>
      <x:c r="J608" s="11"/>
      <x:c r="K608" s="1" t="str">
        <x:v>GFGV5400OC</x:v>
      </x:c>
      <x:c r="L608" s="1" t="str">
        <x:v>=+D604</x:v>
      </x:c>
    </x:row>
    <x:row r="609" ht="21" customHeight="1">
      <x:c r="A609" s="5" t="n">
        <x:v>46267</x:v>
      </x:c>
      <x:c r="B609" s="11" t="n">
        <x:v>8.04</x:v>
      </x:c>
      <x:c r="C609" s="11" t="n">
        <x:v>2344033.25</x:v>
      </x:c>
      <x:c r="D609" s="11" t="n">
        <x:v>5.01</x:v>
      </x:c>
      <x:c r="E609" s="11" t="n">
        <x:v>8.9</x:v>
      </x:c>
      <x:c r="F609" s="11" t="n">
        <x:v>12</x:v>
      </x:c>
      <x:c r="G609" s="11" t="n">
        <x:v>5.01</x:v>
      </x:c>
      <x:c r="H609" s="11" t="n">
        <x:v>0</x:v>
      </x:c>
      <x:c r="I609" s="11" t="n">
        <x:v>0</x:v>
      </x:c>
      <x:c r="J609" s="11"/>
      <x:c r="K609" s="1" t="str">
        <x:v>GFGV5400OC</x:v>
      </x:c>
      <x:c r="L609" s="1" t="str">
        <x:v>=+D605</x:v>
      </x:c>
    </x:row>
    <x:row r="610" ht="21" customHeight="1">
      <x:c r="A610" s="5" t="n">
        <x:v>46268</x:v>
      </x:c>
      <x:c r="B610" s="11" t="n">
        <x:v>8.78</x:v>
      </x:c>
      <x:c r="C610" s="11" t="n">
        <x:v>642421.88</x:v>
      </x:c>
      <x:c r="D610" s="11" t="n">
        <x:v>8.9</x:v>
      </x:c>
      <x:c r="E610" s="11" t="n">
        <x:v>9.97</x:v>
      </x:c>
      <x:c r="F610" s="11" t="n">
        <x:v>9.99</x:v>
      </x:c>
      <x:c r="G610" s="11" t="n">
        <x:v>5</x:v>
      </x:c>
      <x:c r="H610" s="11" t="n">
        <x:v>0</x:v>
      </x:c>
      <x:c r="I610" s="11" t="n">
        <x:v>0</x:v>
      </x:c>
      <x:c r="J610" s="11"/>
      <x:c r="K610" s="1" t="str">
        <x:v>GFGV5400OC</x:v>
      </x:c>
      <x:c r="L610" s="1" t="str">
        <x:v>=+D606</x:v>
      </x:c>
    </x:row>
    <x:row r="611" ht="21" customHeight="1">
      <x:c r="A611" s="5" t="n">
        <x:v>46269</x:v>
      </x:c>
      <x:c r="B611" s="11" t="n">
        <x:v>8.96</x:v>
      </x:c>
      <x:c r="C611" s="11" t="n">
        <x:v>1627889.75</x:v>
      </x:c>
      <x:c r="D611" s="11" t="n">
        <x:v>9.97</x:v>
      </x:c>
      <x:c r="E611" s="11" t="n">
        <x:v>9.99</x:v>
      </x:c>
      <x:c r="F611" s="11" t="n">
        <x:v>11.5</x:v>
      </x:c>
      <x:c r="G611" s="11" t="n">
        <x:v>7.1</x:v>
      </x:c>
      <x:c r="H611" s="11" t="n">
        <x:v>0</x:v>
      </x:c>
      <x:c r="I611" s="11" t="n">
        <x:v>0</x:v>
      </x:c>
      <x:c r="J611" s="11"/>
      <x:c r="K611" s="1" t="str">
        <x:v>GFGV5400OC</x:v>
      </x:c>
      <x:c r="L611" s="1" t="str">
        <x:v>=+D607</x:v>
      </x:c>
    </x:row>
    <x:row r="612" ht="21" customHeight="1">
      <x:c r="A612" s="5" t="n">
        <x:v>46272</x:v>
      </x:c>
      <x:c r="B612" s="11" t="n">
        <x:v>8.51</x:v>
      </x:c>
      <x:c r="C612" s="11" t="n">
        <x:v>216428.3</x:v>
      </x:c>
      <x:c r="D612" s="11" t="n">
        <x:v>9.99</x:v>
      </x:c>
      <x:c r="E612" s="11" t="n">
        <x:v>9.99</x:v>
      </x:c>
      <x:c r="F612" s="11" t="n">
        <x:v>13.89</x:v>
      </x:c>
      <x:c r="G612" s="11" t="n">
        <x:v>6.89</x:v>
      </x:c>
      <x:c r="H612" s="11" t="n">
        <x:v>0</x:v>
      </x:c>
      <x:c r="I612" s="11" t="n">
        <x:v>0</x:v>
      </x:c>
      <x:c r="J612" s="11"/>
      <x:c r="K612" s="1" t="str">
        <x:v>GFGV5400OC</x:v>
      </x:c>
      <x:c r="L612" s="1" t="str">
        <x:v>=+D608</x:v>
      </x:c>
    </x:row>
    <x:row r="613" ht="21" customHeight="1">
      <x:c r="A613" s="5" t="n">
        <x:v>46273</x:v>
      </x:c>
      <x:c r="B613" s="11" t="n">
        <x:v>7.99</x:v>
      </x:c>
      <x:c r="C613" s="11" t="n">
        <x:v>565793.62</x:v>
      </x:c>
      <x:c r="D613" s="11" t="n">
        <x:v>9.99</x:v>
      </x:c>
      <x:c r="E613" s="11" t="n">
        <x:v>9.9</x:v>
      </x:c>
      <x:c r="F613" s="11" t="n">
        <x:v>9.99</x:v>
      </x:c>
      <x:c r="G613" s="11" t="n">
        <x:v>6.8</x:v>
      </x:c>
      <x:c r="H613" s="11" t="n">
        <x:v>0</x:v>
      </x:c>
      <x:c r="I613" s="11" t="n">
        <x:v>0</x:v>
      </x:c>
      <x:c r="J613" s="11"/>
      <x:c r="K613" s="1" t="str">
        <x:v>GFGV5400OC</x:v>
      </x:c>
      <x:c r="L613" s="1" t="str">
        <x:v>=+D609</x:v>
      </x:c>
    </x:row>
    <x:row r="614" ht="21" customHeight="1">
      <x:c r="A614" s="5" t="n">
        <x:v>46274</x:v>
      </x:c>
      <x:c r="B614" s="11" t="n">
        <x:v>5.7</x:v>
      </x:c>
      <x:c r="C614" s="11" t="n">
        <x:v>1120865.5</x:v>
      </x:c>
      <x:c r="D614" s="11" t="n">
        <x:v>9.9</x:v>
      </x:c>
      <x:c r="E614" s="11" t="n">
        <x:v>6.49</x:v>
      </x:c>
      <x:c r="F614" s="11" t="n">
        <x:v>9.9</x:v>
      </x:c>
      <x:c r="G614" s="11" t="n">
        <x:v>5</x:v>
      </x:c>
      <x:c r="H614" s="11" t="n">
        <x:v>0</x:v>
      </x:c>
      <x:c r="I614" s="11" t="n">
        <x:v>0</x:v>
      </x:c>
      <x:c r="J614" s="11"/>
      <x:c r="K614" s="1" t="str">
        <x:v>GFGV5400OC</x:v>
      </x:c>
      <x:c r="L614" s="1" t="str">
        <x:v>=+D610</x:v>
      </x:c>
    </x:row>
    <x:row r="615" ht="21" customHeight="1">
      <x:c r="A615" s="5" t="n">
        <x:v>46275</x:v>
      </x:c>
      <x:c r="B615" s="11" t="n">
        <x:v>4.52</x:v>
      </x:c>
      <x:c r="C615" s="11" t="n">
        <x:v>1991011</x:v>
      </x:c>
      <x:c r="D615" s="11" t="n">
        <x:v>6.49</x:v>
      </x:c>
      <x:c r="E615" s="11" t="n">
        <x:v>4</x:v>
      </x:c>
      <x:c r="F615" s="11" t="n">
        <x:v>6.49</x:v>
      </x:c>
      <x:c r="G615" s="11" t="n">
        <x:v>3.8</x:v>
      </x:c>
      <x:c r="H615" s="11" t="n">
        <x:v>0</x:v>
      </x:c>
      <x:c r="I615" s="11" t="n">
        <x:v>0</x:v>
      </x:c>
      <x:c r="J615" s="11"/>
      <x:c r="K615" s="1" t="str">
        <x:v>GFGV5400OC</x:v>
      </x:c>
      <x:c r="L615" s="1" t="str">
        <x:v>=+D611</x:v>
      </x:c>
    </x:row>
    <x:row r="616" ht="21" customHeight="1">
      <x:c r="A616" s="5" t="n">
        <x:v>46276</x:v>
      </x:c>
      <x:c r="B616" s="11" t="n">
        <x:v>5.84</x:v>
      </x:c>
      <x:c r="C616" s="11" t="n">
        <x:v>396816.81</x:v>
      </x:c>
      <x:c r="D616" s="11" t="n">
        <x:v>4</x:v>
      </x:c>
      <x:c r="E616" s="11" t="n">
        <x:v>7.85</x:v>
      </x:c>
      <x:c r="F616" s="11" t="n">
        <x:v>7.55</x:v>
      </x:c>
      <x:c r="G616" s="11" t="n">
        <x:v>4</x:v>
      </x:c>
      <x:c r="H616" s="11" t="n">
        <x:v>0</x:v>
      </x:c>
      <x:c r="I616" s="11" t="n">
        <x:v>0</x:v>
      </x:c>
      <x:c r="J616" s="11"/>
      <x:c r="K616" s="1" t="str">
        <x:v>GFGV5400OC</x:v>
      </x:c>
      <x:c r="L616" s="1" t="str">
        <x:v>=+D612</x:v>
      </x:c>
    </x:row>
    <x:row r="617" ht="21" customHeight="1">
      <x:c r="A617" s="5" t="n">
        <x:v>46279</x:v>
      </x:c>
      <x:c r="B617" s="11" t="n">
        <x:v>7.66</x:v>
      </x:c>
      <x:c r="C617" s="11" t="n">
        <x:v>2942087.25</x:v>
      </x:c>
      <x:c r="D617" s="11" t="n">
        <x:v>7.85</x:v>
      </x:c>
      <x:c r="E617" s="11" t="n">
        <x:v>8.8</x:v>
      </x:c>
      <x:c r="F617" s="11" t="n">
        <x:v>7.9</x:v>
      </x:c>
      <x:c r="G617" s="11" t="n">
        <x:v>5.1</x:v>
      </x:c>
      <x:c r="H617" s="11" t="n">
        <x:v>0</x:v>
      </x:c>
      <x:c r="I617" s="11" t="n">
        <x:v>0</x:v>
      </x:c>
      <x:c r="J617" s="11"/>
      <x:c r="K617" s="1" t="str">
        <x:v>GFGV5400OC</x:v>
      </x:c>
      <x:c r="L617" s="1" t="str">
        <x:v>=+D613</x:v>
      </x:c>
    </x:row>
    <x:row r="618" ht="21" customHeight="1">
      <x:c r="A618" s="5" t="n">
        <x:v>46280</x:v>
      </x:c>
      <x:c r="B618" s="11" t="n">
        <x:v>9.9</x:v>
      </x:c>
      <x:c r="C618" s="11" t="n">
        <x:v>1908707.12</x:v>
      </x:c>
      <x:c r="D618" s="11" t="n">
        <x:v>8.8</x:v>
      </x:c>
      <x:c r="E618" s="11" t="n">
        <x:v>11</x:v>
      </x:c>
      <x:c r="F618" s="11" t="n">
        <x:v>11.38</x:v>
      </x:c>
      <x:c r="G618" s="11" t="n">
        <x:v>8</x:v>
      </x:c>
      <x:c r="H618" s="11" t="n">
        <x:v>0</x:v>
      </x:c>
      <x:c r="I618" s="11" t="n">
        <x:v>0</x:v>
      </x:c>
      <x:c r="J618" s="11"/>
      <x:c r="K618" s="1" t="str">
        <x:v>GFGV5400OC</x:v>
      </x:c>
      <x:c r="L618" s="1" t="str">
        <x:v>=+D614</x:v>
      </x:c>
    </x:row>
    <x:row r="619" ht="21" customHeight="1">
      <x:c r="A619" s="5" t="n">
        <x:v>46281</x:v>
      </x:c>
      <x:c r="B619" s="11" t="n">
        <x:v>9.02</x:v>
      </x:c>
      <x:c r="C619" s="11" t="n">
        <x:v>1795599.12</x:v>
      </x:c>
      <x:c r="D619" s="11" t="n">
        <x:v>11</x:v>
      </x:c>
      <x:c r="E619" s="11" t="n">
        <x:v>68.5</x:v>
      </x:c>
      <x:c r="F619" s="11" t="n">
        <x:v>12.63</x:v>
      </x:c>
      <x:c r="G619" s="11" t="n">
        <x:v>7.3</x:v>
      </x:c>
      <x:c r="H619" s="11" t="n">
        <x:v>0</x:v>
      </x:c>
      <x:c r="I619" s="11" t="n">
        <x:v>0</x:v>
      </x:c>
      <x:c r="J619" s="11"/>
      <x:c r="K619" s="1" t="str">
        <x:v>GFGV5400OC</x:v>
      </x:c>
      <x:c r="L619" s="1" t="str">
        <x:v>=+D615</x:v>
      </x:c>
    </x:row>
    <x:row r="620" ht="21" customHeight="1">
      <x:c r="A620" s="5" t="n">
        <x:v>46255</x:v>
      </x:c>
      <x:c r="B620" s="11" t="n">
        <x:v>62.84</x:v>
      </x:c>
      <x:c r="C620" s="11" t="n">
        <x:v>7936556</x:v>
      </x:c>
      <x:c r="D620" s="11" t="n">
        <x:v>68.5</x:v>
      </x:c>
      <x:c r="E620" s="11" t="n">
        <x:v>35.01</x:v>
      </x:c>
      <x:c r="F620" s="11" t="n">
        <x:v>70</x:v>
      </x:c>
      <x:c r="G620" s="11" t="n">
        <x:v>48.67</x:v>
      </x:c>
      <x:c r="H620" s="11" t="n">
        <x:v>0</x:v>
      </x:c>
      <x:c r="I620" s="11" t="n">
        <x:v>0</x:v>
      </x:c>
      <x:c r="J620" s="11"/>
      <x:c r="K620" s="1" t="str">
        <x:v>GFGV5600OC</x:v>
      </x:c>
      <x:c r="L620" s="1" t="str">
        <x:v>=+D616</x:v>
      </x:c>
    </x:row>
    <x:row r="621" ht="21" customHeight="1">
      <x:c r="A621" s="5" t="n">
        <x:v>46258</x:v>
      </x:c>
      <x:c r="B621" s="11" t="n">
        <x:v>39.35</x:v>
      </x:c>
      <x:c r="C621" s="11" t="n">
        <x:v>13687142</x:v>
      </x:c>
      <x:c r="D621" s="11" t="n">
        <x:v>35.01</x:v>
      </x:c>
      <x:c r="E621" s="11" t="n">
        <x:v>40</x:v>
      </x:c>
      <x:c r="F621" s="11" t="n">
        <x:v>79</x:v>
      </x:c>
      <x:c r="G621" s="11" t="n">
        <x:v>35.01</x:v>
      </x:c>
      <x:c r="H621" s="11" t="n">
        <x:v>0</x:v>
      </x:c>
      <x:c r="I621" s="11" t="n">
        <x:v>0</x:v>
      </x:c>
      <x:c r="J621" s="11"/>
      <x:c r="K621" s="1" t="str">
        <x:v>GFGV5600OC</x:v>
      </x:c>
      <x:c r="L621" s="1" t="str">
        <x:v>=+D617</x:v>
      </x:c>
    </x:row>
    <x:row r="622" ht="21" customHeight="1">
      <x:c r="A622" s="5" t="n">
        <x:v>46259</x:v>
      </x:c>
      <x:c r="B622" s="11" t="n">
        <x:v>24.16</x:v>
      </x:c>
      <x:c r="C622" s="11" t="n">
        <x:v>5709733</x:v>
      </x:c>
      <x:c r="D622" s="11" t="n">
        <x:v>40</x:v>
      </x:c>
      <x:c r="E622" s="11" t="n">
        <x:v>20</x:v>
      </x:c>
      <x:c r="F622" s="11" t="n">
        <x:v>44.99</x:v>
      </x:c>
      <x:c r="G622" s="11" t="n">
        <x:v>24</x:v>
      </x:c>
      <x:c r="H622" s="11" t="n">
        <x:v>0</x:v>
      </x:c>
      <x:c r="I622" s="11" t="n">
        <x:v>0</x:v>
      </x:c>
      <x:c r="J622" s="11"/>
      <x:c r="K622" s="1" t="str">
        <x:v>GFGV5600OC</x:v>
      </x:c>
      <x:c r="L622" s="1" t="str">
        <x:v>=+D618</x:v>
      </x:c>
    </x:row>
    <x:row r="623" ht="21" customHeight="1">
      <x:c r="A623" s="5" t="n">
        <x:v>46260</x:v>
      </x:c>
      <x:c r="B623" s="11" t="n">
        <x:v>22.39</x:v>
      </x:c>
      <x:c r="C623" s="11" t="n">
        <x:v>3776744</x:v>
      </x:c>
      <x:c r="D623" s="11" t="n">
        <x:v>20</x:v>
      </x:c>
      <x:c r="E623" s="11" t="n">
        <x:v>29.5</x:v>
      </x:c>
      <x:c r="F623" s="11" t="n">
        <x:v>27</x:v>
      </x:c>
      <x:c r="G623" s="11" t="n">
        <x:v>20</x:v>
      </x:c>
      <x:c r="H623" s="11" t="n">
        <x:v>0</x:v>
      </x:c>
      <x:c r="I623" s="11" t="n">
        <x:v>0</x:v>
      </x:c>
      <x:c r="J623" s="11"/>
      <x:c r="K623" s="1" t="str">
        <x:v>GFGV5600OC</x:v>
      </x:c>
      <x:c r="L623" s="1" t="str">
        <x:v>=+D619</x:v>
      </x:c>
    </x:row>
    <x:row r="624" ht="21" customHeight="1">
      <x:c r="A624" s="5" t="n">
        <x:v>46261</x:v>
      </x:c>
      <x:c r="B624" s="11" t="n">
        <x:v>30.86</x:v>
      </x:c>
      <x:c r="C624" s="11" t="n">
        <x:v>8374358</x:v>
      </x:c>
      <x:c r="D624" s="11" t="n">
        <x:v>29.5</x:v>
      </x:c>
      <x:c r="E624" s="11" t="n">
        <x:v>39.99</x:v>
      </x:c>
      <x:c r="F624" s="11" t="n">
        <x:v>33</x:v>
      </x:c>
      <x:c r="G624" s="11" t="n">
        <x:v>20.5</x:v>
      </x:c>
      <x:c r="H624" s="11" t="n">
        <x:v>0</x:v>
      </x:c>
      <x:c r="I624" s="11" t="n">
        <x:v>0</x:v>
      </x:c>
      <x:c r="J624" s="11"/>
      <x:c r="K624" s="1" t="str">
        <x:v>GFGV5600OC</x:v>
      </x:c>
      <x:c r="L624" s="1" t="str">
        <x:v>=+D620</x:v>
      </x:c>
    </x:row>
    <x:row r="625" ht="21" customHeight="1">
      <x:c r="A625" s="5" t="n">
        <x:v>46262</x:v>
      </x:c>
      <x:c r="B625" s="11" t="n">
        <x:v>32.76</x:v>
      </x:c>
      <x:c r="C625" s="11" t="n">
        <x:v>14065054</x:v>
      </x:c>
      <x:c r="D625" s="11" t="n">
        <x:v>39.99</x:v>
      </x:c>
      <x:c r="E625" s="11" t="n">
        <x:v>34</x:v>
      </x:c>
      <x:c r="F625" s="11" t="n">
        <x:v>49</x:v>
      </x:c>
      <x:c r="G625" s="11" t="n">
        <x:v>30</x:v>
      </x:c>
      <x:c r="H625" s="11" t="n">
        <x:v>0</x:v>
      </x:c>
      <x:c r="I625" s="11" t="n">
        <x:v>0</x:v>
      </x:c>
      <x:c r="J625" s="11"/>
      <x:c r="K625" s="1" t="str">
        <x:v>GFGV5600OC</x:v>
      </x:c>
      <x:c r="L625" s="1" t="str">
        <x:v>=+D621</x:v>
      </x:c>
    </x:row>
    <x:row r="626" ht="21" customHeight="1">
      <x:c r="A626" s="5" t="n">
        <x:v>46265</x:v>
      </x:c>
      <x:c r="B626" s="11" t="n">
        <x:v>22.98</x:v>
      </x:c>
      <x:c r="C626" s="11" t="n">
        <x:v>7310410.5</x:v>
      </x:c>
      <x:c r="D626" s="11" t="n">
        <x:v>34</x:v>
      </x:c>
      <x:c r="E626" s="11" t="n">
        <x:v>26.99</x:v>
      </x:c>
      <x:c r="F626" s="11" t="n">
        <x:v>34</x:v>
      </x:c>
      <x:c r="G626" s="11" t="n">
        <x:v>20</x:v>
      </x:c>
      <x:c r="H626" s="11" t="n">
        <x:v>0</x:v>
      </x:c>
      <x:c r="I626" s="11" t="n">
        <x:v>0</x:v>
      </x:c>
      <x:c r="J626" s="11"/>
      <x:c r="K626" s="1" t="str">
        <x:v>GFGV5600OC</x:v>
      </x:c>
      <x:c r="L626" s="1" t="str">
        <x:v>=+D622</x:v>
      </x:c>
    </x:row>
    <x:row r="627" ht="21" customHeight="1">
      <x:c r="A627" s="5" t="n">
        <x:v>46266</x:v>
      </x:c>
      <x:c r="B627" s="11" t="n">
        <x:v>20.3</x:v>
      </x:c>
      <x:c r="C627" s="11" t="n">
        <x:v>10112513</x:v>
      </x:c>
      <x:c r="D627" s="11" t="n">
        <x:v>26.99</x:v>
      </x:c>
      <x:c r="E627" s="11" t="n">
        <x:v>10</x:v>
      </x:c>
      <x:c r="F627" s="11" t="n">
        <x:v>26.99</x:v>
      </x:c>
      <x:c r="G627" s="11" t="n">
        <x:v>12.6</x:v>
      </x:c>
      <x:c r="H627" s="11" t="n">
        <x:v>0</x:v>
      </x:c>
      <x:c r="I627" s="11" t="n">
        <x:v>0</x:v>
      </x:c>
      <x:c r="J627" s="11"/>
      <x:c r="K627" s="1" t="str">
        <x:v>GFGV5600OC</x:v>
      </x:c>
      <x:c r="L627" s="1" t="str">
        <x:v>=+D623</x:v>
      </x:c>
    </x:row>
    <x:row r="628" ht="21" customHeight="1">
      <x:c r="A628" s="5" t="n">
        <x:v>46267</x:v>
      </x:c>
      <x:c r="B628" s="11" t="n">
        <x:v>14.11</x:v>
      </x:c>
      <x:c r="C628" s="11" t="n">
        <x:v>5835576</x:v>
      </x:c>
      <x:c r="D628" s="11" t="n">
        <x:v>10</x:v>
      </x:c>
      <x:c r="E628" s="11" t="n">
        <x:v>10</x:v>
      </x:c>
      <x:c r="F628" s="11" t="n">
        <x:v>22</x:v>
      </x:c>
      <x:c r="G628" s="11" t="n">
        <x:v>10</x:v>
      </x:c>
      <x:c r="H628" s="11" t="n">
        <x:v>0</x:v>
      </x:c>
      <x:c r="I628" s="11" t="n">
        <x:v>0</x:v>
      </x:c>
      <x:c r="J628" s="11"/>
      <x:c r="K628" s="1" t="str">
        <x:v>GFGV5600OC</x:v>
      </x:c>
      <x:c r="L628" s="1" t="str">
        <x:v>=+D624</x:v>
      </x:c>
    </x:row>
    <x:row r="629" ht="21" customHeight="1">
      <x:c r="A629" s="5" t="n">
        <x:v>46268</x:v>
      </x:c>
      <x:c r="B629" s="11" t="n">
        <x:v>15.36</x:v>
      </x:c>
      <x:c r="C629" s="11" t="n">
        <x:v>3934292</x:v>
      </x:c>
      <x:c r="D629" s="11" t="n">
        <x:v>10</x:v>
      </x:c>
      <x:c r="E629" s="11" t="n">
        <x:v>15.5</x:v>
      </x:c>
      <x:c r="F629" s="11" t="n">
        <x:v>17.99</x:v>
      </x:c>
      <x:c r="G629" s="11" t="n">
        <x:v>10</x:v>
      </x:c>
      <x:c r="H629" s="11" t="n">
        <x:v>0</x:v>
      </x:c>
      <x:c r="I629" s="11" t="n">
        <x:v>0</x:v>
      </x:c>
      <x:c r="J629" s="11"/>
      <x:c r="K629" s="1" t="str">
        <x:v>GFGV5600OC</x:v>
      </x:c>
      <x:c r="L629" s="1" t="str">
        <x:v>=+D625</x:v>
      </x:c>
    </x:row>
    <x:row r="630" ht="21" customHeight="1">
      <x:c r="A630" s="5" t="n">
        <x:v>46269</x:v>
      </x:c>
      <x:c r="B630" s="11" t="n">
        <x:v>16.25</x:v>
      </x:c>
      <x:c r="C630" s="11" t="n">
        <x:v>8706402</x:v>
      </x:c>
      <x:c r="D630" s="11" t="n">
        <x:v>15.5</x:v>
      </x:c>
      <x:c r="E630" s="11" t="n">
        <x:v>16</x:v>
      </x:c>
      <x:c r="F630" s="11" t="n">
        <x:v>20</x:v>
      </x:c>
      <x:c r="G630" s="11" t="n">
        <x:v>11.01</x:v>
      </x:c>
      <x:c r="H630" s="11" t="n">
        <x:v>0</x:v>
      </x:c>
      <x:c r="I630" s="11" t="n">
        <x:v>0</x:v>
      </x:c>
      <x:c r="J630" s="11"/>
      <x:c r="K630" s="1" t="str">
        <x:v>GFGV5600OC</x:v>
      </x:c>
      <x:c r="L630" s="1" t="str">
        <x:v>=+D626</x:v>
      </x:c>
    </x:row>
    <x:row r="631" ht="21" customHeight="1">
      <x:c r="A631" s="5" t="n">
        <x:v>46272</x:v>
      </x:c>
      <x:c r="B631" s="11" t="n">
        <x:v>16</x:v>
      </x:c>
      <x:c r="C631" s="11" t="n">
        <x:v>4509522.5</x:v>
      </x:c>
      <x:c r="D631" s="11" t="n">
        <x:v>16</x:v>
      </x:c>
      <x:c r="E631" s="11" t="n">
        <x:v>17</x:v>
      </x:c>
      <x:c r="F631" s="11" t="n">
        <x:v>17.99</x:v>
      </x:c>
      <x:c r="G631" s="11" t="n">
        <x:v>11.1</x:v>
      </x:c>
      <x:c r="H631" s="11" t="n">
        <x:v>0</x:v>
      </x:c>
      <x:c r="I631" s="11" t="n">
        <x:v>0</x:v>
      </x:c>
      <x:c r="J631" s="11"/>
      <x:c r="K631" s="1" t="str">
        <x:v>GFGV5600OC</x:v>
      </x:c>
      <x:c r="L631" s="1" t="str">
        <x:v>=+D627</x:v>
      </x:c>
    </x:row>
    <x:row r="632" ht="21" customHeight="1">
      <x:c r="A632" s="5" t="n">
        <x:v>46273</x:v>
      </x:c>
      <x:c r="B632" s="11" t="n">
        <x:v>13.29</x:v>
      </x:c>
      <x:c r="C632" s="11" t="n">
        <x:v>3739372.25</x:v>
      </x:c>
      <x:c r="D632" s="11" t="n">
        <x:v>17</x:v>
      </x:c>
      <x:c r="E632" s="11" t="n">
        <x:v>15.5</x:v>
      </x:c>
      <x:c r="F632" s="11" t="n">
        <x:v>17.1</x:v>
      </x:c>
      <x:c r="G632" s="11" t="n">
        <x:v>12.1</x:v>
      </x:c>
      <x:c r="H632" s="11" t="n">
        <x:v>0</x:v>
      </x:c>
      <x:c r="I632" s="11" t="n">
        <x:v>0</x:v>
      </x:c>
      <x:c r="J632" s="11"/>
      <x:c r="K632" s="1" t="str">
        <x:v>GFGV5600OC</x:v>
      </x:c>
      <x:c r="L632" s="1" t="str">
        <x:v>=+D628</x:v>
      </x:c>
    </x:row>
    <x:row r="633" ht="21" customHeight="1">
      <x:c r="A633" s="5" t="n">
        <x:v>46274</x:v>
      </x:c>
      <x:c r="B633" s="11" t="n">
        <x:v>9.5</x:v>
      </x:c>
      <x:c r="C633" s="11" t="n">
        <x:v>4603535.5</x:v>
      </x:c>
      <x:c r="D633" s="11" t="n">
        <x:v>15.5</x:v>
      </x:c>
      <x:c r="E633" s="11" t="n">
        <x:v>10.95</x:v>
      </x:c>
      <x:c r="F633" s="11" t="n">
        <x:v>16</x:v>
      </x:c>
      <x:c r="G633" s="11" t="n">
        <x:v>7.09</x:v>
      </x:c>
      <x:c r="H633" s="11" t="n">
        <x:v>0</x:v>
      </x:c>
      <x:c r="I633" s="11" t="n">
        <x:v>0</x:v>
      </x:c>
      <x:c r="J633" s="11"/>
      <x:c r="K633" s="1" t="str">
        <x:v>GFGV5600OC</x:v>
      </x:c>
      <x:c r="L633" s="1" t="str">
        <x:v>=+D629</x:v>
      </x:c>
    </x:row>
    <x:row r="634" ht="21" customHeight="1">
      <x:c r="A634" s="5" t="n">
        <x:v>46275</x:v>
      </x:c>
      <x:c r="B634" s="11" t="n">
        <x:v>8.45</x:v>
      </x:c>
      <x:c r="C634" s="11" t="n">
        <x:v>2190676.5</x:v>
      </x:c>
      <x:c r="D634" s="11" t="n">
        <x:v>10.95</x:v>
      </x:c>
      <x:c r="E634" s="11" t="n">
        <x:v>9.9</x:v>
      </x:c>
      <x:c r="F634" s="11" t="n">
        <x:v>12</x:v>
      </x:c>
      <x:c r="G634" s="11" t="n">
        <x:v>6</x:v>
      </x:c>
      <x:c r="H634" s="11" t="n">
        <x:v>0</x:v>
      </x:c>
      <x:c r="I634" s="11" t="n">
        <x:v>0</x:v>
      </x:c>
      <x:c r="J634" s="11"/>
      <x:c r="K634" s="1" t="str">
        <x:v>GFGV5600OC</x:v>
      </x:c>
      <x:c r="L634" s="1" t="str">
        <x:v>=+D630</x:v>
      </x:c>
    </x:row>
    <x:row r="635" ht="21" customHeight="1">
      <x:c r="A635" s="5" t="n">
        <x:v>46276</x:v>
      </x:c>
      <x:c r="B635" s="11" t="n">
        <x:v>10.74</x:v>
      </x:c>
      <x:c r="C635" s="11" t="n">
        <x:v>2070999.62</x:v>
      </x:c>
      <x:c r="D635" s="11" t="n">
        <x:v>9.9</x:v>
      </x:c>
      <x:c r="E635" s="11" t="n">
        <x:v>11</x:v>
      </x:c>
      <x:c r="F635" s="11" t="n">
        <x:v>12.8</x:v>
      </x:c>
      <x:c r="G635" s="11" t="n">
        <x:v>8.3</x:v>
      </x:c>
      <x:c r="H635" s="11" t="n">
        <x:v>0</x:v>
      </x:c>
      <x:c r="I635" s="11" t="n">
        <x:v>0</x:v>
      </x:c>
      <x:c r="J635" s="11"/>
      <x:c r="K635" s="1" t="str">
        <x:v>GFGV5600OC</x:v>
      </x:c>
      <x:c r="L635" s="1" t="str">
        <x:v>=+D631</x:v>
      </x:c>
    </x:row>
    <x:row r="636" ht="21" customHeight="1">
      <x:c r="A636" s="5" t="n">
        <x:v>46279</x:v>
      </x:c>
      <x:c r="B636" s="11" t="n">
        <x:v>14.36</x:v>
      </x:c>
      <x:c r="C636" s="11" t="n">
        <x:v>4646376.5</x:v>
      </x:c>
      <x:c r="D636" s="11" t="n">
        <x:v>11</x:v>
      </x:c>
      <x:c r="E636" s="11" t="n">
        <x:v>15.98</x:v>
      </x:c>
      <x:c r="F636" s="11" t="n">
        <x:v>15</x:v>
      </x:c>
      <x:c r="G636" s="11" t="n">
        <x:v>11</x:v>
      </x:c>
      <x:c r="H636" s="11" t="n">
        <x:v>0</x:v>
      </x:c>
      <x:c r="I636" s="11" t="n">
        <x:v>0</x:v>
      </x:c>
      <x:c r="J636" s="11"/>
      <x:c r="K636" s="1" t="str">
        <x:v>GFGV5600OC</x:v>
      </x:c>
      <x:c r="L636" s="1" t="str">
        <x:v>=+D632</x:v>
      </x:c>
    </x:row>
    <x:row r="637" ht="21" customHeight="1">
      <x:c r="A637" s="5" t="n">
        <x:v>46280</x:v>
      </x:c>
      <x:c r="B637" s="11" t="n">
        <x:v>17.76</x:v>
      </x:c>
      <x:c r="C637" s="11" t="n">
        <x:v>6115640</x:v>
      </x:c>
      <x:c r="D637" s="11" t="n">
        <x:v>15.98</x:v>
      </x:c>
      <x:c r="E637" s="11" t="n">
        <x:v>18.95</x:v>
      </x:c>
      <x:c r="F637" s="11" t="n">
        <x:v>21.42</x:v>
      </x:c>
      <x:c r="G637" s="11" t="n">
        <x:v>15</x:v>
      </x:c>
      <x:c r="H637" s="11" t="n">
        <x:v>0</x:v>
      </x:c>
      <x:c r="I637" s="11" t="n">
        <x:v>0</x:v>
      </x:c>
      <x:c r="J637" s="11"/>
      <x:c r="K637" s="1" t="str">
        <x:v>GFGV5600OC</x:v>
      </x:c>
      <x:c r="L637" s="1" t="str">
        <x:v>=+D633</x:v>
      </x:c>
    </x:row>
    <x:row r="638" ht="21" customHeight="1">
      <x:c r="A638" s="5" t="n">
        <x:v>46281</x:v>
      </x:c>
      <x:c r="B638" s="11" t="n">
        <x:v>17.15</x:v>
      </x:c>
      <x:c r="C638" s="11" t="n">
        <x:v>7799133.5</x:v>
      </x:c>
      <x:c r="D638" s="11" t="n">
        <x:v>18.95</x:v>
      </x:c>
      <x:c r="E638" s="11" t="n">
        <x:v>85</x:v>
      </x:c>
      <x:c r="F638" s="11" t="n">
        <x:v>22.99</x:v>
      </x:c>
      <x:c r="G638" s="11" t="n">
        <x:v>14.36</x:v>
      </x:c>
      <x:c r="H638" s="11" t="n">
        <x:v>0</x:v>
      </x:c>
      <x:c r="I638" s="11" t="n">
        <x:v>0</x:v>
      </x:c>
      <x:c r="J638" s="11"/>
      <x:c r="K638" s="1" t="str">
        <x:v>GFGV5600OC</x:v>
      </x:c>
      <x:c r="L638" s="1" t="str">
        <x:v>=+D634</x:v>
      </x:c>
    </x:row>
    <x:row r="639" ht="21" customHeight="1">
      <x:c r="A639" s="5" t="n">
        <x:v>46255</x:v>
      </x:c>
      <x:c r="B639" s="11" t="n">
        <x:v>96.17</x:v>
      </x:c>
      <x:c r="C639" s="11" t="n">
        <x:v>14418703</x:v>
      </x:c>
      <x:c r="D639" s="11" t="n">
        <x:v>85</x:v>
      </x:c>
      <x:c r="E639" s="11" t="n">
        <x:v>90</x:v>
      </x:c>
      <x:c r="F639" s="11" t="n">
        <x:v>110</x:v>
      </x:c>
      <x:c r="G639" s="11" t="n">
        <x:v>75.01</x:v>
      </x:c>
      <x:c r="H639" s="11" t="n">
        <x:v>0</x:v>
      </x:c>
      <x:c r="I639" s="11" t="n">
        <x:v>0</x:v>
      </x:c>
      <x:c r="J639" s="11"/>
      <x:c r="K639" s="1" t="str">
        <x:v>GFGV5800OC</x:v>
      </x:c>
      <x:c r="L639" s="1" t="str">
        <x:v>=+D635</x:v>
      </x:c>
    </x:row>
    <x:row r="640" ht="21" customHeight="1">
      <x:c r="A640" s="5" t="n">
        <x:v>46258</x:v>
      </x:c>
      <x:c r="B640" s="11" t="n">
        <x:v>61.45</x:v>
      </x:c>
      <x:c r="C640" s="11" t="n">
        <x:v>16733828</x:v>
      </x:c>
      <x:c r="D640" s="11" t="n">
        <x:v>90</x:v>
      </x:c>
      <x:c r="E640" s="11" t="n">
        <x:v>65</x:v>
      </x:c>
      <x:c r="F640" s="11" t="n">
        <x:v>98</x:v>
      </x:c>
      <x:c r="G640" s="11" t="n">
        <x:v>57.01</x:v>
      </x:c>
      <x:c r="H640" s="11" t="n">
        <x:v>0</x:v>
      </x:c>
      <x:c r="I640" s="11" t="n">
        <x:v>0</x:v>
      </x:c>
      <x:c r="J640" s="11"/>
      <x:c r="K640" s="1" t="str">
        <x:v>GFGV5800OC</x:v>
      </x:c>
      <x:c r="L640" s="1" t="str">
        <x:v>=+D636</x:v>
      </x:c>
    </x:row>
    <x:row r="641" ht="21" customHeight="1">
      <x:c r="A641" s="5" t="n">
        <x:v>46259</x:v>
      </x:c>
      <x:c r="B641" s="11" t="n">
        <x:v>38.97</x:v>
      </x:c>
      <x:c r="C641" s="11" t="n">
        <x:v>13776543</x:v>
      </x:c>
      <x:c r="D641" s="11" t="n">
        <x:v>65</x:v>
      </x:c>
      <x:c r="E641" s="11" t="n">
        <x:v>30</x:v>
      </x:c>
      <x:c r="F641" s="11" t="n">
        <x:v>69</x:v>
      </x:c>
      <x:c r="G641" s="11" t="n">
        <x:v>36.01</x:v>
      </x:c>
      <x:c r="H641" s="11" t="n">
        <x:v>0</x:v>
      </x:c>
      <x:c r="I641" s="11" t="n">
        <x:v>0</x:v>
      </x:c>
      <x:c r="J641" s="11"/>
      <x:c r="K641" s="1" t="str">
        <x:v>GFGV5800OC</x:v>
      </x:c>
      <x:c r="L641" s="1" t="str">
        <x:v>=+D637</x:v>
      </x:c>
    </x:row>
    <x:row r="642" ht="21" customHeight="1">
      <x:c r="A642" s="5" t="n">
        <x:v>46260</x:v>
      </x:c>
      <x:c r="B642" s="11" t="n">
        <x:v>35.84</x:v>
      </x:c>
      <x:c r="C642" s="11" t="n">
        <x:v>11605652</x:v>
      </x:c>
      <x:c r="D642" s="11" t="n">
        <x:v>30</x:v>
      </x:c>
      <x:c r="E642" s="11" t="n">
        <x:v>37</x:v>
      </x:c>
      <x:c r="F642" s="11" t="n">
        <x:v>42</x:v>
      </x:c>
      <x:c r="G642" s="11" t="n">
        <x:v>30</x:v>
      </x:c>
      <x:c r="H642" s="11" t="n">
        <x:v>0</x:v>
      </x:c>
      <x:c r="I642" s="11" t="n">
        <x:v>0</x:v>
      </x:c>
      <x:c r="J642" s="11"/>
      <x:c r="K642" s="1" t="str">
        <x:v>GFGV5800OC</x:v>
      </x:c>
      <x:c r="L642" s="1" t="str">
        <x:v>=+D638</x:v>
      </x:c>
    </x:row>
    <x:row r="643" ht="21" customHeight="1">
      <x:c r="A643" s="5" t="n">
        <x:v>46261</x:v>
      </x:c>
      <x:c r="B643" s="11" t="n">
        <x:v>52.63</x:v>
      </x:c>
      <x:c r="C643" s="11" t="n">
        <x:v>16303877</x:v>
      </x:c>
      <x:c r="D643" s="11" t="n">
        <x:v>37</x:v>
      </x:c>
      <x:c r="E643" s="11" t="n">
        <x:v>54</x:v>
      </x:c>
      <x:c r="F643" s="11" t="n">
        <x:v>68</x:v>
      </x:c>
      <x:c r="G643" s="11" t="n">
        <x:v>35</x:v>
      </x:c>
      <x:c r="H643" s="11" t="n">
        <x:v>0</x:v>
      </x:c>
      <x:c r="I643" s="11" t="n">
        <x:v>0</x:v>
      </x:c>
      <x:c r="J643" s="11"/>
      <x:c r="K643" s="1" t="str">
        <x:v>GFGV5800OC</x:v>
      </x:c>
      <x:c r="L643" s="1" t="str">
        <x:v>=+D639</x:v>
      </x:c>
    </x:row>
    <x:row r="644" ht="21" customHeight="1">
      <x:c r="A644" s="5" t="n">
        <x:v>46262</x:v>
      </x:c>
      <x:c r="B644" s="11" t="n">
        <x:v>52.04</x:v>
      </x:c>
      <x:c r="C644" s="11" t="n">
        <x:v>29709064</x:v>
      </x:c>
      <x:c r="D644" s="11" t="n">
        <x:v>54</x:v>
      </x:c>
      <x:c r="E644" s="11" t="n">
        <x:v>65</x:v>
      </x:c>
      <x:c r="F644" s="11" t="n">
        <x:v>73</x:v>
      </x:c>
      <x:c r="G644" s="11" t="n">
        <x:v>50.01</x:v>
      </x:c>
      <x:c r="H644" s="11" t="n">
        <x:v>0</x:v>
      </x:c>
      <x:c r="I644" s="11" t="n">
        <x:v>0</x:v>
      </x:c>
      <x:c r="J644" s="11"/>
      <x:c r="K644" s="1" t="str">
        <x:v>GFGV5800OC</x:v>
      </x:c>
      <x:c r="L644" s="1" t="str">
        <x:v>=+D640</x:v>
      </x:c>
    </x:row>
    <x:row r="645" ht="21" customHeight="1">
      <x:c r="A645" s="5" t="n">
        <x:v>46265</x:v>
      </x:c>
      <x:c r="B645" s="11" t="n">
        <x:v>36.96</x:v>
      </x:c>
      <x:c r="C645" s="11" t="n">
        <x:v>9169526</x:v>
      </x:c>
      <x:c r="D645" s="11" t="n">
        <x:v>65</x:v>
      </x:c>
      <x:c r="E645" s="11" t="n">
        <x:v>49</x:v>
      </x:c>
      <x:c r="F645" s="11" t="n">
        <x:v>65</x:v>
      </x:c>
      <x:c r="G645" s="11" t="n">
        <x:v>32.5</x:v>
      </x:c>
      <x:c r="H645" s="11" t="n">
        <x:v>0</x:v>
      </x:c>
      <x:c r="I645" s="11" t="n">
        <x:v>0</x:v>
      </x:c>
      <x:c r="J645" s="11"/>
      <x:c r="K645" s="1" t="str">
        <x:v>GFGV5800OC</x:v>
      </x:c>
      <x:c r="L645" s="1" t="str">
        <x:v>=+D641</x:v>
      </x:c>
    </x:row>
    <x:row r="646" ht="21" customHeight="1">
      <x:c r="A646" s="5" t="n">
        <x:v>46266</x:v>
      </x:c>
      <x:c r="B646" s="11" t="n">
        <x:v>33.95</x:v>
      </x:c>
      <x:c r="C646" s="11" t="n">
        <x:v>7760197.5</x:v>
      </x:c>
      <x:c r="D646" s="11" t="n">
        <x:v>49</x:v>
      </x:c>
      <x:c r="E646" s="11" t="n">
        <x:v>36.98</x:v>
      </x:c>
      <x:c r="F646" s="11" t="n">
        <x:v>49</x:v>
      </x:c>
      <x:c r="G646" s="11" t="n">
        <x:v>28</x:v>
      </x:c>
      <x:c r="H646" s="11" t="n">
        <x:v>0</x:v>
      </x:c>
      <x:c r="I646" s="11" t="n">
        <x:v>0</x:v>
      </x:c>
      <x:c r="J646" s="11"/>
      <x:c r="K646" s="1" t="str">
        <x:v>GFGV5800OC</x:v>
      </x:c>
      <x:c r="L646" s="1" t="str">
        <x:v>=+D642</x:v>
      </x:c>
    </x:row>
    <x:row r="647" ht="21" customHeight="1">
      <x:c r="A647" s="5" t="n">
        <x:v>46267</x:v>
      </x:c>
      <x:c r="B647" s="11" t="n">
        <x:v>24.27</x:v>
      </x:c>
      <x:c r="C647" s="11" t="n">
        <x:v>9040533</x:v>
      </x:c>
      <x:c r="D647" s="11" t="n">
        <x:v>36.98</x:v>
      </x:c>
      <x:c r="E647" s="11" t="n">
        <x:v>20</x:v>
      </x:c>
      <x:c r="F647" s="11" t="n">
        <x:v>36.98</x:v>
      </x:c>
      <x:c r="G647" s="11" t="n">
        <x:v>23</x:v>
      </x:c>
      <x:c r="H647" s="11" t="n">
        <x:v>0</x:v>
      </x:c>
      <x:c r="I647" s="11" t="n">
        <x:v>0</x:v>
      </x:c>
      <x:c r="J647" s="11"/>
      <x:c r="K647" s="1" t="str">
        <x:v>GFGV5800OC</x:v>
      </x:c>
      <x:c r="L647" s="1" t="str">
        <x:v>=+D643</x:v>
      </x:c>
    </x:row>
    <x:row r="648" ht="21" customHeight="1">
      <x:c r="A648" s="5" t="n">
        <x:v>46268</x:v>
      </x:c>
      <x:c r="B648" s="11" t="n">
        <x:v>26.51</x:v>
      </x:c>
      <x:c r="C648" s="11" t="n">
        <x:v>10195735</x:v>
      </x:c>
      <x:c r="D648" s="11" t="n">
        <x:v>20</x:v>
      </x:c>
      <x:c r="E648" s="11" t="n">
        <x:v>27</x:v>
      </x:c>
      <x:c r="F648" s="11" t="n">
        <x:v>29.72</x:v>
      </x:c>
      <x:c r="G648" s="11" t="n">
        <x:v>16.09</x:v>
      </x:c>
      <x:c r="H648" s="11" t="n">
        <x:v>0</x:v>
      </x:c>
      <x:c r="I648" s="11" t="n">
        <x:v>0</x:v>
      </x:c>
      <x:c r="J648" s="11"/>
      <x:c r="K648" s="1" t="str">
        <x:v>GFGV5800OC</x:v>
      </x:c>
      <x:c r="L648" s="1" t="str">
        <x:v>=+D644</x:v>
      </x:c>
    </x:row>
    <x:row r="649" ht="21" customHeight="1">
      <x:c r="A649" s="5" t="n">
        <x:v>46269</x:v>
      </x:c>
      <x:c r="B649" s="11" t="n">
        <x:v>27.57</x:v>
      </x:c>
      <x:c r="C649" s="11" t="n">
        <x:v>9548812</x:v>
      </x:c>
      <x:c r="D649" s="11" t="n">
        <x:v>27</x:v>
      </x:c>
      <x:c r="E649" s="11" t="n">
        <x:v>28</x:v>
      </x:c>
      <x:c r="F649" s="11" t="n">
        <x:v>34.94</x:v>
      </x:c>
      <x:c r="G649" s="11" t="n">
        <x:v>26</x:v>
      </x:c>
      <x:c r="H649" s="11" t="n">
        <x:v>0</x:v>
      </x:c>
      <x:c r="I649" s="11" t="n">
        <x:v>0</x:v>
      </x:c>
      <x:c r="J649" s="11"/>
      <x:c r="K649" s="1" t="str">
        <x:v>GFGV5800OC</x:v>
      </x:c>
      <x:c r="L649" s="1" t="str">
        <x:v>=+D645</x:v>
      </x:c>
    </x:row>
    <x:row r="650" ht="21" customHeight="1">
      <x:c r="A650" s="5" t="n">
        <x:v>46272</x:v>
      </x:c>
      <x:c r="B650" s="11" t="n">
        <x:v>28.16</x:v>
      </x:c>
      <x:c r="C650" s="11" t="n">
        <x:v>4109854.25</x:v>
      </x:c>
      <x:c r="D650" s="11" t="n">
        <x:v>28</x:v>
      </x:c>
      <x:c r="E650" s="11" t="n">
        <x:v>27.42</x:v>
      </x:c>
      <x:c r="F650" s="11" t="n">
        <x:v>32</x:v>
      </x:c>
      <x:c r="G650" s="11" t="n">
        <x:v>26.03</x:v>
      </x:c>
      <x:c r="H650" s="11" t="n">
        <x:v>0</x:v>
      </x:c>
      <x:c r="I650" s="11" t="n">
        <x:v>0</x:v>
      </x:c>
      <x:c r="J650" s="11"/>
      <x:c r="K650" s="1" t="str">
        <x:v>GFGV5800OC</x:v>
      </x:c>
      <x:c r="L650" s="1" t="str">
        <x:v>=+D646</x:v>
      </x:c>
    </x:row>
    <x:row r="651" ht="21" customHeight="1">
      <x:c r="A651" s="5" t="n">
        <x:v>46273</x:v>
      </x:c>
      <x:c r="B651" s="11" t="n">
        <x:v>23.9</x:v>
      </x:c>
      <x:c r="C651" s="11" t="n">
        <x:v>8513327</x:v>
      </x:c>
      <x:c r="D651" s="11" t="n">
        <x:v>27.42</x:v>
      </x:c>
      <x:c r="E651" s="11" t="n">
        <x:v>25.99</x:v>
      </x:c>
      <x:c r="F651" s="11" t="n">
        <x:v>30</x:v>
      </x:c>
      <x:c r="G651" s="11" t="n">
        <x:v>22.16</x:v>
      </x:c>
      <x:c r="H651" s="11" t="n">
        <x:v>0</x:v>
      </x:c>
      <x:c r="I651" s="11" t="n">
        <x:v>0</x:v>
      </x:c>
      <x:c r="J651" s="11"/>
      <x:c r="K651" s="1" t="str">
        <x:v>GFGV5800OC</x:v>
      </x:c>
      <x:c r="L651" s="1" t="str">
        <x:v>=+D647</x:v>
      </x:c>
    </x:row>
    <x:row r="652" ht="21" customHeight="1">
      <x:c r="A652" s="5" t="n">
        <x:v>46274</x:v>
      </x:c>
      <x:c r="B652" s="11" t="n">
        <x:v>18.33</x:v>
      </x:c>
      <x:c r="C652" s="11" t="n">
        <x:v>10470408</x:v>
      </x:c>
      <x:c r="D652" s="11" t="n">
        <x:v>25.99</x:v>
      </x:c>
      <x:c r="E652" s="11" t="n">
        <x:v>21.99</x:v>
      </x:c>
      <x:c r="F652" s="11" t="n">
        <x:v>29.9</x:v>
      </x:c>
      <x:c r="G652" s="11" t="n">
        <x:v>18</x:v>
      </x:c>
      <x:c r="H652" s="11" t="n">
        <x:v>0</x:v>
      </x:c>
      <x:c r="I652" s="11" t="n">
        <x:v>0</x:v>
      </x:c>
      <x:c r="J652" s="11"/>
      <x:c r="K652" s="1" t="str">
        <x:v>GFGV5800OC</x:v>
      </x:c>
      <x:c r="L652" s="1" t="str">
        <x:v>=+D648</x:v>
      </x:c>
    </x:row>
    <x:row r="653" ht="21" customHeight="1">
      <x:c r="A653" s="5" t="n">
        <x:v>46275</x:v>
      </x:c>
      <x:c r="B653" s="11" t="n">
        <x:v>15.97</x:v>
      </x:c>
      <x:c r="C653" s="11" t="n">
        <x:v>7904150.5</x:v>
      </x:c>
      <x:c r="D653" s="11" t="n">
        <x:v>21.99</x:v>
      </x:c>
      <x:c r="E653" s="11" t="n">
        <x:v>18.25</x:v>
      </x:c>
      <x:c r="F653" s="11" t="n">
        <x:v>21.99</x:v>
      </x:c>
      <x:c r="G653" s="11" t="n">
        <x:v>13</x:v>
      </x:c>
      <x:c r="H653" s="11" t="n">
        <x:v>0</x:v>
      </x:c>
      <x:c r="I653" s="11" t="n">
        <x:v>0</x:v>
      </x:c>
      <x:c r="J653" s="11"/>
      <x:c r="K653" s="1" t="str">
        <x:v>GFGV5800OC</x:v>
      </x:c>
      <x:c r="L653" s="1" t="str">
        <x:v>=+D649</x:v>
      </x:c>
    </x:row>
    <x:row r="654" ht="21" customHeight="1">
      <x:c r="A654" s="5" t="n">
        <x:v>46276</x:v>
      </x:c>
      <x:c r="B654" s="11" t="n">
        <x:v>20.5</x:v>
      </x:c>
      <x:c r="C654" s="11" t="n">
        <x:v>7313211</x:v>
      </x:c>
      <x:c r="D654" s="11" t="n">
        <x:v>18.25</x:v>
      </x:c>
      <x:c r="E654" s="11" t="n">
        <x:v>24.5</x:v>
      </x:c>
      <x:c r="F654" s="11" t="n">
        <x:v>24</x:v>
      </x:c>
      <x:c r="G654" s="11" t="n">
        <x:v>16</x:v>
      </x:c>
      <x:c r="H654" s="11" t="n">
        <x:v>0</x:v>
      </x:c>
      <x:c r="I654" s="11" t="n">
        <x:v>0</x:v>
      </x:c>
      <x:c r="J654" s="11"/>
      <x:c r="K654" s="1" t="str">
        <x:v>GFGV5800OC</x:v>
      </x:c>
      <x:c r="L654" s="1" t="str">
        <x:v>=+D650</x:v>
      </x:c>
    </x:row>
    <x:row r="655" ht="21" customHeight="1">
      <x:c r="A655" s="5" t="n">
        <x:v>46279</x:v>
      </x:c>
      <x:c r="B655" s="11" t="n">
        <x:v>28</x:v>
      </x:c>
      <x:c r="C655" s="11" t="n">
        <x:v>10710143</x:v>
      </x:c>
      <x:c r="D655" s="11" t="n">
        <x:v>24.5</x:v>
      </x:c>
      <x:c r="E655" s="11" t="n">
        <x:v>28</x:v>
      </x:c>
      <x:c r="F655" s="11" t="n">
        <x:v>28.78</x:v>
      </x:c>
      <x:c r="G655" s="11" t="n">
        <x:v>21</x:v>
      </x:c>
      <x:c r="H655" s="11" t="n">
        <x:v>0</x:v>
      </x:c>
      <x:c r="I655" s="11" t="n">
        <x:v>0</x:v>
      </x:c>
      <x:c r="J655" s="11"/>
      <x:c r="K655" s="1" t="str">
        <x:v>GFGV5800OC</x:v>
      </x:c>
      <x:c r="L655" s="1" t="str">
        <x:v>=+D651</x:v>
      </x:c>
    </x:row>
    <x:row r="656" ht="21" customHeight="1">
      <x:c r="A656" s="5" t="n">
        <x:v>46280</x:v>
      </x:c>
      <x:c r="B656" s="11" t="n">
        <x:v>32.86</x:v>
      </x:c>
      <x:c r="C656" s="11" t="n">
        <x:v>20763368</x:v>
      </x:c>
      <x:c r="D656" s="11" t="n">
        <x:v>28</x:v>
      </x:c>
      <x:c r="E656" s="11" t="n">
        <x:v>34.5</x:v>
      </x:c>
      <x:c r="F656" s="11" t="n">
        <x:v>39.5</x:v>
      </x:c>
      <x:c r="G656" s="11" t="n">
        <x:v>28</x:v>
      </x:c>
      <x:c r="H656" s="11" t="n">
        <x:v>0</x:v>
      </x:c>
      <x:c r="I656" s="11" t="n">
        <x:v>0</x:v>
      </x:c>
      <x:c r="J656" s="11"/>
      <x:c r="K656" s="1" t="str">
        <x:v>GFGV5800OC</x:v>
      </x:c>
      <x:c r="L656" s="1" t="str">
        <x:v>=+D652</x:v>
      </x:c>
    </x:row>
    <x:row r="657" ht="21" customHeight="1">
      <x:c r="A657" s="5" t="n">
        <x:v>46281</x:v>
      </x:c>
      <x:c r="B657" s="11" t="n">
        <x:v>31.98</x:v>
      </x:c>
      <x:c r="C657" s="11" t="n">
        <x:v>14883324</x:v>
      </x:c>
      <x:c r="D657" s="11" t="n">
        <x:v>34.5</x:v>
      </x:c>
      <x:c r="E657" s="11" t="n">
        <x:v>150</x:v>
      </x:c>
      <x:c r="F657" s="11" t="n">
        <x:v>37.89</x:v>
      </x:c>
      <x:c r="G657" s="11" t="n">
        <x:v>26.55</x:v>
      </x:c>
      <x:c r="H657" s="11" t="n">
        <x:v>0</x:v>
      </x:c>
      <x:c r="I657" s="11" t="n">
        <x:v>0</x:v>
      </x:c>
      <x:c r="J657" s="11"/>
      <x:c r="K657" s="1" t="str">
        <x:v>GFGV5800OC</x:v>
      </x:c>
      <x:c r="L657" s="1" t="str">
        <x:v>=+D653</x:v>
      </x:c>
    </x:row>
    <x:row r="658" ht="21" customHeight="1">
      <x:c r="A658" s="5" t="n">
        <x:v>46255</x:v>
      </x:c>
      <x:c r="B658" s="11" t="n">
        <x:v>145.03</x:v>
      </x:c>
      <x:c r="C658" s="11" t="n">
        <x:v>54616160</x:v>
      </x:c>
      <x:c r="D658" s="11" t="n">
        <x:v>150</x:v>
      </x:c>
      <x:c r="E658" s="11" t="n">
        <x:v>148</x:v>
      </x:c>
      <x:c r="F658" s="11" t="n">
        <x:v>156</x:v>
      </x:c>
      <x:c r="G658" s="11" t="n">
        <x:v>110</x:v>
      </x:c>
      <x:c r="H658" s="11" t="n">
        <x:v>0</x:v>
      </x:c>
      <x:c r="I658" s="11" t="n">
        <x:v>0</x:v>
      </x:c>
      <x:c r="J658" s="11"/>
      <x:c r="K658" s="1" t="str">
        <x:v>GFGV6000OC</x:v>
      </x:c>
      <x:c r="L658" s="1" t="str">
        <x:v>=+D654</x:v>
      </x:c>
    </x:row>
    <x:row r="659" ht="21" customHeight="1">
      <x:c r="A659" s="5" t="n">
        <x:v>46258</x:v>
      </x:c>
      <x:c r="B659" s="11" t="n">
        <x:v>91.55</x:v>
      </x:c>
      <x:c r="C659" s="11" t="n">
        <x:v>106887776</x:v>
      </x:c>
      <x:c r="D659" s="11" t="n">
        <x:v>148</x:v>
      </x:c>
      <x:c r="E659" s="11" t="n">
        <x:v>90</x:v>
      </x:c>
      <x:c r="F659" s="11" t="n">
        <x:v>179</x:v>
      </x:c>
      <x:c r="G659" s="11" t="n">
        <x:v>83</x:v>
      </x:c>
      <x:c r="H659" s="11" t="n">
        <x:v>0</x:v>
      </x:c>
      <x:c r="I659" s="11" t="n">
        <x:v>0</x:v>
      </x:c>
      <x:c r="J659" s="11"/>
      <x:c r="K659" s="1" t="str">
        <x:v>GFGV6000OC</x:v>
      </x:c>
      <x:c r="L659" s="1" t="str">
        <x:v>=+D655</x:v>
      </x:c>
    </x:row>
    <x:row r="660" ht="21" customHeight="1">
      <x:c r="A660" s="5" t="n">
        <x:v>46259</x:v>
      </x:c>
      <x:c r="B660" s="11" t="n">
        <x:v>60.32</x:v>
      </x:c>
      <x:c r="C660" s="11" t="n">
        <x:v>59795428</x:v>
      </x:c>
      <x:c r="D660" s="11" t="n">
        <x:v>90</x:v>
      </x:c>
      <x:c r="E660" s="11" t="n">
        <x:v>51</x:v>
      </x:c>
      <x:c r="F660" s="11" t="n">
        <x:v>110</x:v>
      </x:c>
      <x:c r="G660" s="11" t="n">
        <x:v>59.51</x:v>
      </x:c>
      <x:c r="H660" s="11" t="n">
        <x:v>0</x:v>
      </x:c>
      <x:c r="I660" s="11" t="n">
        <x:v>0</x:v>
      </x:c>
      <x:c r="J660" s="11"/>
      <x:c r="K660" s="1" t="str">
        <x:v>GFGV6000OC</x:v>
      </x:c>
      <x:c r="L660" s="1" t="str">
        <x:v>=+D656</x:v>
      </x:c>
    </x:row>
    <x:row r="661" ht="21" customHeight="1">
      <x:c r="A661" s="5" t="n">
        <x:v>46260</x:v>
      </x:c>
      <x:c r="B661" s="11" t="n">
        <x:v>59.56</x:v>
      </x:c>
      <x:c r="C661" s="11" t="n">
        <x:v>54628656</x:v>
      </x:c>
      <x:c r="D661" s="11" t="n">
        <x:v>51</x:v>
      </x:c>
      <x:c r="E661" s="11" t="n">
        <x:v>58</x:v>
      </x:c>
      <x:c r="F661" s="11" t="n">
        <x:v>68</x:v>
      </x:c>
      <x:c r="G661" s="11" t="n">
        <x:v>38</x:v>
      </x:c>
      <x:c r="H661" s="11" t="n">
        <x:v>0</x:v>
      </x:c>
      <x:c r="I661" s="11" t="n">
        <x:v>0</x:v>
      </x:c>
      <x:c r="J661" s="11"/>
      <x:c r="K661" s="1" t="str">
        <x:v>GFGV6000OC</x:v>
      </x:c>
      <x:c r="L661" s="1" t="str">
        <x:v>=+D657</x:v>
      </x:c>
    </x:row>
    <x:row r="662" ht="21" customHeight="1">
      <x:c r="A662" s="5" t="n">
        <x:v>46261</x:v>
      </x:c>
      <x:c r="B662" s="11" t="n">
        <x:v>81.77</x:v>
      </x:c>
      <x:c r="C662" s="11" t="n">
        <x:v>75141672</x:v>
      </x:c>
      <x:c r="D662" s="11" t="n">
        <x:v>58</x:v>
      </x:c>
      <x:c r="E662" s="11" t="n">
        <x:v>90</x:v>
      </x:c>
      <x:c r="F662" s="11" t="n">
        <x:v>84.6</x:v>
      </x:c>
      <x:c r="G662" s="11" t="n">
        <x:v>56</x:v>
      </x:c>
      <x:c r="H662" s="11" t="n">
        <x:v>0</x:v>
      </x:c>
      <x:c r="I662" s="11" t="n">
        <x:v>0</x:v>
      </x:c>
      <x:c r="J662" s="11"/>
      <x:c r="K662" s="1" t="str">
        <x:v>GFGV6000OC</x:v>
      </x:c>
      <x:c r="L662" s="1" t="str">
        <x:v>=+D658</x:v>
      </x:c>
    </x:row>
    <x:row r="663" ht="21" customHeight="1">
      <x:c r="A663" s="5" t="n">
        <x:v>46262</x:v>
      </x:c>
      <x:c r="B663" s="11" t="n">
        <x:v>83.64</x:v>
      </x:c>
      <x:c r="C663" s="11" t="n">
        <x:v>94850992</x:v>
      </x:c>
      <x:c r="D663" s="11" t="n">
        <x:v>90</x:v>
      </x:c>
      <x:c r="E663" s="11" t="n">
        <x:v>80</x:v>
      </x:c>
      <x:c r="F663" s="11" t="n">
        <x:v>108.2</x:v>
      </x:c>
      <x:c r="G663" s="11" t="n">
        <x:v>81</x:v>
      </x:c>
      <x:c r="H663" s="11" t="n">
        <x:v>0</x:v>
      </x:c>
      <x:c r="I663" s="11" t="n">
        <x:v>0</x:v>
      </x:c>
      <x:c r="J663" s="11"/>
      <x:c r="K663" s="1" t="str">
        <x:v>GFGV6000OC</x:v>
      </x:c>
      <x:c r="L663" s="1" t="str">
        <x:v>=+D659</x:v>
      </x:c>
    </x:row>
    <x:row r="664" ht="21" customHeight="1">
      <x:c r="A664" s="5" t="n">
        <x:v>46265</x:v>
      </x:c>
      <x:c r="B664" s="11" t="n">
        <x:v>61.12</x:v>
      </x:c>
      <x:c r="C664" s="11" t="n">
        <x:v>42206504</x:v>
      </x:c>
      <x:c r="D664" s="11" t="n">
        <x:v>80</x:v>
      </x:c>
      <x:c r="E664" s="11" t="n">
        <x:v>74.99</x:v>
      </x:c>
      <x:c r="F664" s="11" t="n">
        <x:v>80</x:v>
      </x:c>
      <x:c r="G664" s="11" t="n">
        <x:v>52</x:v>
      </x:c>
      <x:c r="H664" s="11" t="n">
        <x:v>0</x:v>
      </x:c>
      <x:c r="I664" s="11" t="n">
        <x:v>0</x:v>
      </x:c>
      <x:c r="J664" s="11"/>
      <x:c r="K664" s="1" t="str">
        <x:v>GFGV6000OC</x:v>
      </x:c>
      <x:c r="L664" s="1" t="str">
        <x:v>=+D660</x:v>
      </x:c>
    </x:row>
    <x:row r="665" ht="21" customHeight="1">
      <x:c r="A665" s="5" t="n">
        <x:v>46266</x:v>
      </x:c>
      <x:c r="B665" s="11" t="n">
        <x:v>56.43</x:v>
      </x:c>
      <x:c r="C665" s="11" t="n">
        <x:v>33882444</x:v>
      </x:c>
      <x:c r="D665" s="11" t="n">
        <x:v>74.99</x:v>
      </x:c>
      <x:c r="E665" s="11" t="n">
        <x:v>55</x:v>
      </x:c>
      <x:c r="F665" s="11" t="n">
        <x:v>74.99</x:v>
      </x:c>
      <x:c r="G665" s="11" t="n">
        <x:v>45.51</x:v>
      </x:c>
      <x:c r="H665" s="11" t="n">
        <x:v>0</x:v>
      </x:c>
      <x:c r="I665" s="11" t="n">
        <x:v>0</x:v>
      </x:c>
      <x:c r="J665" s="11"/>
      <x:c r="K665" s="1" t="str">
        <x:v>GFGV6000OC</x:v>
      </x:c>
      <x:c r="L665" s="1" t="str">
        <x:v>=+D661</x:v>
      </x:c>
    </x:row>
    <x:row r="666" ht="21" customHeight="1">
      <x:c r="A666" s="5" t="n">
        <x:v>46267</x:v>
      </x:c>
      <x:c r="B666" s="11" t="n">
        <x:v>41.36</x:v>
      </x:c>
      <x:c r="C666" s="11" t="n">
        <x:v>30934984</x:v>
      </x:c>
      <x:c r="D666" s="11" t="n">
        <x:v>55</x:v>
      </x:c>
      <x:c r="E666" s="11" t="n">
        <x:v>29</x:v>
      </x:c>
      <x:c r="F666" s="11" t="n">
        <x:v>58.99</x:v>
      </x:c>
      <x:c r="G666" s="11" t="n">
        <x:v>40</x:v>
      </x:c>
      <x:c r="H666" s="11" t="n">
        <x:v>0</x:v>
      </x:c>
      <x:c r="I666" s="11" t="n">
        <x:v>0</x:v>
      </x:c>
      <x:c r="J666" s="11"/>
      <x:c r="K666" s="1" t="str">
        <x:v>GFGV6000OC</x:v>
      </x:c>
      <x:c r="L666" s="1" t="str">
        <x:v>=+D662</x:v>
      </x:c>
    </x:row>
    <x:row r="667" ht="21" customHeight="1">
      <x:c r="A667" s="5" t="n">
        <x:v>46268</x:v>
      </x:c>
      <x:c r="B667" s="11" t="n">
        <x:v>45.1</x:v>
      </x:c>
      <x:c r="C667" s="11" t="n">
        <x:v>40749460</x:v>
      </x:c>
      <x:c r="D667" s="11" t="n">
        <x:v>29</x:v>
      </x:c>
      <x:c r="E667" s="11" t="n">
        <x:v>45</x:v>
      </x:c>
      <x:c r="F667" s="11" t="n">
        <x:v>49.56</x:v>
      </x:c>
      <x:c r="G667" s="11" t="n">
        <x:v>29</x:v>
      </x:c>
      <x:c r="H667" s="11" t="n">
        <x:v>0</x:v>
      </x:c>
      <x:c r="I667" s="11" t="n">
        <x:v>0</x:v>
      </x:c>
      <x:c r="J667" s="11"/>
      <x:c r="K667" s="1" t="str">
        <x:v>GFGV6000OC</x:v>
      </x:c>
      <x:c r="L667" s="1" t="str">
        <x:v>=+D663</x:v>
      </x:c>
    </x:row>
    <x:row r="668" ht="21" customHeight="1">
      <x:c r="A668" s="5" t="n">
        <x:v>46269</x:v>
      </x:c>
      <x:c r="B668" s="11" t="n">
        <x:v>46.91</x:v>
      </x:c>
      <x:c r="C668" s="11" t="n">
        <x:v>21767742</x:v>
      </x:c>
      <x:c r="D668" s="11" t="n">
        <x:v>45</x:v>
      </x:c>
      <x:c r="E668" s="11" t="n">
        <x:v>49</x:v>
      </x:c>
      <x:c r="F668" s="11" t="n">
        <x:v>58</x:v>
      </x:c>
      <x:c r="G668" s="11" t="n">
        <x:v>45</x:v>
      </x:c>
      <x:c r="H668" s="11" t="n">
        <x:v>0</x:v>
      </x:c>
      <x:c r="I668" s="11" t="n">
        <x:v>0</x:v>
      </x:c>
      <x:c r="J668" s="11"/>
      <x:c r="K668" s="1" t="str">
        <x:v>GFGV6000OC</x:v>
      </x:c>
      <x:c r="L668" s="1" t="str">
        <x:v>=+D664</x:v>
      </x:c>
    </x:row>
    <x:row r="669" ht="21" customHeight="1">
      <x:c r="A669" s="5" t="n">
        <x:v>46272</x:v>
      </x:c>
      <x:c r="B669" s="11" t="n">
        <x:v>49.14</x:v>
      </x:c>
      <x:c r="C669" s="11" t="n">
        <x:v>12969123</x:v>
      </x:c>
      <x:c r="D669" s="11" t="n">
        <x:v>49</x:v>
      </x:c>
      <x:c r="E669" s="11" t="n">
        <x:v>46</x:v>
      </x:c>
      <x:c r="F669" s="11" t="n">
        <x:v>52</x:v>
      </x:c>
      <x:c r="G669" s="11" t="n">
        <x:v>47.44</x:v>
      </x:c>
      <x:c r="H669" s="11" t="n">
        <x:v>0</x:v>
      </x:c>
      <x:c r="I669" s="11" t="n">
        <x:v>0</x:v>
      </x:c>
      <x:c r="J669" s="11"/>
      <x:c r="K669" s="1" t="str">
        <x:v>GFGV6000OC</x:v>
      </x:c>
      <x:c r="L669" s="1" t="str">
        <x:v>=+D665</x:v>
      </x:c>
    </x:row>
    <x:row r="670" ht="21" customHeight="1">
      <x:c r="A670" s="5" t="n">
        <x:v>46273</x:v>
      </x:c>
      <x:c r="B670" s="11" t="n">
        <x:v>42.06</x:v>
      </x:c>
      <x:c r="C670" s="11" t="n">
        <x:v>20004866</x:v>
      </x:c>
      <x:c r="D670" s="11" t="n">
        <x:v>46</x:v>
      </x:c>
      <x:c r="E670" s="11" t="n">
        <x:v>48.99</x:v>
      </x:c>
      <x:c r="F670" s="11" t="n">
        <x:v>52.99</x:v>
      </x:c>
      <x:c r="G670" s="11" t="n">
        <x:v>40</x:v>
      </x:c>
      <x:c r="H670" s="11" t="n">
        <x:v>0</x:v>
      </x:c>
      <x:c r="I670" s="11" t="n">
        <x:v>0</x:v>
      </x:c>
      <x:c r="J670" s="11"/>
      <x:c r="K670" s="1" t="str">
        <x:v>GFGV6000OC</x:v>
      </x:c>
      <x:c r="L670" s="1" t="str">
        <x:v>=+D666</x:v>
      </x:c>
    </x:row>
    <x:row r="671" ht="21" customHeight="1">
      <x:c r="A671" s="5" t="n">
        <x:v>46274</x:v>
      </x:c>
      <x:c r="B671" s="11" t="n">
        <x:v>32.38</x:v>
      </x:c>
      <x:c r="C671" s="11" t="n">
        <x:v>38441048</x:v>
      </x:c>
      <x:c r="D671" s="11" t="n">
        <x:v>48.99</x:v>
      </x:c>
      <x:c r="E671" s="11" t="n">
        <x:v>38</x:v>
      </x:c>
      <x:c r="F671" s="11" t="n">
        <x:v>51</x:v>
      </x:c>
      <x:c r="G671" s="11" t="n">
        <x:v>32</x:v>
      </x:c>
      <x:c r="H671" s="11" t="n">
        <x:v>0</x:v>
      </x:c>
      <x:c r="I671" s="11" t="n">
        <x:v>0</x:v>
      </x:c>
      <x:c r="J671" s="11"/>
      <x:c r="K671" s="1" t="str">
        <x:v>GFGV6000OC</x:v>
      </x:c>
      <x:c r="L671" s="1" t="str">
        <x:v>=+D667</x:v>
      </x:c>
    </x:row>
    <x:row r="672" ht="21" customHeight="1">
      <x:c r="A672" s="5" t="n">
        <x:v>46275</x:v>
      </x:c>
      <x:c r="B672" s="11" t="n">
        <x:v>29.33</x:v>
      </x:c>
      <x:c r="C672" s="11" t="n">
        <x:v>20069304</x:v>
      </x:c>
      <x:c r="D672" s="11" t="n">
        <x:v>38</x:v>
      </x:c>
      <x:c r="E672" s="11" t="n">
        <x:v>26</x:v>
      </x:c>
      <x:c r="F672" s="11" t="n">
        <x:v>38</x:v>
      </x:c>
      <x:c r="G672" s="11" t="n">
        <x:v>23.1</x:v>
      </x:c>
      <x:c r="H672" s="11" t="n">
        <x:v>0</x:v>
      </x:c>
      <x:c r="I672" s="11" t="n">
        <x:v>0</x:v>
      </x:c>
      <x:c r="J672" s="11"/>
      <x:c r="K672" s="1" t="str">
        <x:v>GFGV6000OC</x:v>
      </x:c>
      <x:c r="L672" s="1" t="str">
        <x:v>=+D668</x:v>
      </x:c>
    </x:row>
    <x:row r="673" ht="21" customHeight="1">
      <x:c r="A673" s="5" t="n">
        <x:v>46276</x:v>
      </x:c>
      <x:c r="B673" s="11" t="n">
        <x:v>35.59</x:v>
      </x:c>
      <x:c r="C673" s="11" t="n">
        <x:v>22134246</x:v>
      </x:c>
      <x:c r="D673" s="11" t="n">
        <x:v>26</x:v>
      </x:c>
      <x:c r="E673" s="11" t="n">
        <x:v>37.15</x:v>
      </x:c>
      <x:c r="F673" s="11" t="n">
        <x:v>44</x:v>
      </x:c>
      <x:c r="G673" s="11" t="n">
        <x:v>26</x:v>
      </x:c>
      <x:c r="H673" s="11" t="n">
        <x:v>0</x:v>
      </x:c>
      <x:c r="I673" s="11" t="n">
        <x:v>0</x:v>
      </x:c>
      <x:c r="J673" s="11"/>
      <x:c r="K673" s="1" t="str">
        <x:v>GFGV6000OC</x:v>
      </x:c>
      <x:c r="L673" s="1" t="str">
        <x:v>=+D669</x:v>
      </x:c>
    </x:row>
    <x:row r="674" ht="21" customHeight="1">
      <x:c r="A674" s="5" t="n">
        <x:v>46279</x:v>
      </x:c>
      <x:c r="B674" s="11" t="n">
        <x:v>48.24</x:v>
      </x:c>
      <x:c r="C674" s="11" t="n">
        <x:v>20539852</x:v>
      </x:c>
      <x:c r="D674" s="11" t="n">
        <x:v>37.15</x:v>
      </x:c>
      <x:c r="E674" s="11" t="n">
        <x:v>55</x:v>
      </x:c>
      <x:c r="F674" s="11" t="n">
        <x:v>49.93</x:v>
      </x:c>
      <x:c r="G674" s="11" t="n">
        <x:v>37.15</x:v>
      </x:c>
      <x:c r="H674" s="11" t="n">
        <x:v>0</x:v>
      </x:c>
      <x:c r="I674" s="11" t="n">
        <x:v>0</x:v>
      </x:c>
      <x:c r="J674" s="11"/>
      <x:c r="K674" s="1" t="str">
        <x:v>GFGV6000OC</x:v>
      </x:c>
      <x:c r="L674" s="1" t="str">
        <x:v>=+D670</x:v>
      </x:c>
    </x:row>
    <x:row r="675" ht="21" customHeight="1">
      <x:c r="A675" s="5" t="n">
        <x:v>46280</x:v>
      </x:c>
      <x:c r="B675" s="11" t="n">
        <x:v>59.49</x:v>
      </x:c>
      <x:c r="C675" s="11" t="n">
        <x:v>67548216</x:v>
      </x:c>
      <x:c r="D675" s="11" t="n">
        <x:v>55</x:v>
      </x:c>
      <x:c r="E675" s="11" t="n">
        <x:v>61</x:v>
      </x:c>
      <x:c r="F675" s="11" t="n">
        <x:v>68</x:v>
      </x:c>
      <x:c r="G675" s="11" t="n">
        <x:v>47</x:v>
      </x:c>
      <x:c r="H675" s="11" t="n">
        <x:v>0</x:v>
      </x:c>
      <x:c r="I675" s="11" t="n">
        <x:v>0</x:v>
      </x:c>
      <x:c r="J675" s="11"/>
      <x:c r="K675" s="1" t="str">
        <x:v>GFGV6000OC</x:v>
      </x:c>
      <x:c r="L675" s="1" t="str">
        <x:v>=+D671</x:v>
      </x:c>
    </x:row>
    <x:row r="676" ht="21" customHeight="1">
      <x:c r="A676" s="5" t="n">
        <x:v>46281</x:v>
      </x:c>
      <x:c r="B676" s="11" t="n">
        <x:v>56.82</x:v>
      </x:c>
      <x:c r="C676" s="11" t="n">
        <x:v>31602294</x:v>
      </x:c>
      <x:c r="D676" s="11" t="n">
        <x:v>61</x:v>
      </x:c>
      <x:c r="E676" s="11" t="n">
        <x:v>211</x:v>
      </x:c>
      <x:c r="F676" s="11" t="n">
        <x:v>69.71</x:v>
      </x:c>
      <x:c r="G676" s="11" t="n">
        <x:v>48.93</x:v>
      </x:c>
      <x:c r="H676" s="11" t="n">
        <x:v>0</x:v>
      </x:c>
      <x:c r="I676" s="11" t="n">
        <x:v>0</x:v>
      </x:c>
      <x:c r="J676" s="11"/>
      <x:c r="K676" s="1" t="str">
        <x:v>GFGV6000OC</x:v>
      </x:c>
      <x:c r="L676" s="1" t="str">
        <x:v>=+D672</x:v>
      </x:c>
    </x:row>
    <x:row r="677" ht="21" customHeight="1">
      <x:c r="A677" s="5" t="n">
        <x:v>46255</x:v>
      </x:c>
      <x:c r="B677" s="11" t="n">
        <x:v>201.71</x:v>
      </x:c>
      <x:c r="C677" s="11" t="n">
        <x:v>15305316</x:v>
      </x:c>
      <x:c r="D677" s="11" t="n">
        <x:v>211</x:v>
      </x:c>
      <x:c r="E677" s="11" t="n">
        <x:v>165</x:v>
      </x:c>
      <x:c r="F677" s="11" t="n">
        <x:v>215</x:v>
      </x:c>
      <x:c r="G677" s="11" t="n">
        <x:v>165</x:v>
      </x:c>
      <x:c r="H677" s="11" t="n">
        <x:v>0</x:v>
      </x:c>
      <x:c r="I677" s="11" t="n">
        <x:v>0</x:v>
      </x:c>
      <x:c r="J677" s="11"/>
      <x:c r="K677" s="1" t="str">
        <x:v>GFGV6200OC</x:v>
      </x:c>
      <x:c r="L677" s="1" t="str">
        <x:v>=+D673</x:v>
      </x:c>
    </x:row>
    <x:row r="678" ht="21" customHeight="1">
      <x:c r="A678" s="5" t="n">
        <x:v>46258</x:v>
      </x:c>
      <x:c r="B678" s="11" t="n">
        <x:v>127.23</x:v>
      </x:c>
      <x:c r="C678" s="11" t="n">
        <x:v>90261000</x:v>
      </x:c>
      <x:c r="D678" s="11" t="n">
        <x:v>165</x:v>
      </x:c>
      <x:c r="E678" s="11" t="n">
        <x:v>116</x:v>
      </x:c>
      <x:c r="F678" s="11" t="n">
        <x:v>245</x:v>
      </x:c>
      <x:c r="G678" s="11" t="n">
        <x:v>110</x:v>
      </x:c>
      <x:c r="H678" s="11" t="n">
        <x:v>0</x:v>
      </x:c>
      <x:c r="I678" s="11" t="n">
        <x:v>0</x:v>
      </x:c>
      <x:c r="J678" s="11"/>
      <x:c r="K678" s="1" t="str">
        <x:v>GFGV6200OC</x:v>
      </x:c>
      <x:c r="L678" s="1" t="str">
        <x:v>=+D674</x:v>
      </x:c>
    </x:row>
    <x:row r="679" ht="21" customHeight="1">
      <x:c r="A679" s="5" t="n">
        <x:v>46259</x:v>
      </x:c>
      <x:c r="B679" s="11" t="n">
        <x:v>90.81</x:v>
      </x:c>
      <x:c r="C679" s="11" t="n">
        <x:v>66468080</x:v>
      </x:c>
      <x:c r="D679" s="11" t="n">
        <x:v>116</x:v>
      </x:c>
      <x:c r="E679" s="11" t="n">
        <x:v>85.77</x:v>
      </x:c>
      <x:c r="F679" s="11" t="n">
        <x:v>168</x:v>
      </x:c>
      <x:c r="G679" s="11" t="n">
        <x:v>90.15</x:v>
      </x:c>
      <x:c r="H679" s="11" t="n">
        <x:v>0</x:v>
      </x:c>
      <x:c r="I679" s="11" t="n">
        <x:v>0</x:v>
      </x:c>
      <x:c r="J679" s="11"/>
      <x:c r="K679" s="1" t="str">
        <x:v>GFGV6200OC</x:v>
      </x:c>
      <x:c r="L679" s="1" t="str">
        <x:v>=+D675</x:v>
      </x:c>
    </x:row>
    <x:row r="680" ht="21" customHeight="1">
      <x:c r="A680" s="5" t="n">
        <x:v>46260</x:v>
      </x:c>
      <x:c r="B680" s="11" t="n">
        <x:v>92.32</x:v>
      </x:c>
      <x:c r="C680" s="11" t="n">
        <x:v>49229032</x:v>
      </x:c>
      <x:c r="D680" s="11" t="n">
        <x:v>85.77</x:v>
      </x:c>
      <x:c r="E680" s="11" t="n">
        <x:v>99</x:v>
      </x:c>
      <x:c r="F680" s="11" t="n">
        <x:v>102</x:v>
      </x:c>
      <x:c r="G680" s="11" t="n">
        <x:v>71</x:v>
      </x:c>
      <x:c r="H680" s="11" t="n">
        <x:v>0</x:v>
      </x:c>
      <x:c r="I680" s="11" t="n">
        <x:v>0</x:v>
      </x:c>
      <x:c r="J680" s="11"/>
      <x:c r="K680" s="1" t="str">
        <x:v>GFGV6200OC</x:v>
      </x:c>
      <x:c r="L680" s="1" t="str">
        <x:v>=+D676</x:v>
      </x:c>
    </x:row>
    <x:row r="681" ht="21" customHeight="1">
      <x:c r="A681" s="5" t="n">
        <x:v>46261</x:v>
      </x:c>
      <x:c r="B681" s="11" t="n">
        <x:v>119.95</x:v>
      </x:c>
      <x:c r="C681" s="11" t="n">
        <x:v>62325680</x:v>
      </x:c>
      <x:c r="D681" s="11" t="n">
        <x:v>99</x:v>
      </x:c>
      <x:c r="E681" s="11" t="n">
        <x:v>126</x:v>
      </x:c>
      <x:c r="F681" s="11" t="n">
        <x:v>129.59</x:v>
      </x:c>
      <x:c r="G681" s="11" t="n">
        <x:v>86</x:v>
      </x:c>
      <x:c r="H681" s="11" t="n">
        <x:v>0</x:v>
      </x:c>
      <x:c r="I681" s="11" t="n">
        <x:v>0</x:v>
      </x:c>
      <x:c r="J681" s="11"/>
      <x:c r="K681" s="1" t="str">
        <x:v>GFGV6200OC</x:v>
      </x:c>
      <x:c r="L681" s="1" t="str">
        <x:v>=+D677</x:v>
      </x:c>
    </x:row>
    <x:row r="682" ht="21" customHeight="1">
      <x:c r="A682" s="5" t="n">
        <x:v>46262</x:v>
      </x:c>
      <x:c r="B682" s="11" t="n">
        <x:v>125.54</x:v>
      </x:c>
      <x:c r="C682" s="11" t="n">
        <x:v>84735464</x:v>
      </x:c>
      <x:c r="D682" s="11" t="n">
        <x:v>126</x:v>
      </x:c>
      <x:c r="E682" s="11" t="n">
        <x:v>128</x:v>
      </x:c>
      <x:c r="F682" s="11" t="n">
        <x:v>159</x:v>
      </x:c>
      <x:c r="G682" s="11" t="n">
        <x:v>124</x:v>
      </x:c>
      <x:c r="H682" s="11" t="n">
        <x:v>0</x:v>
      </x:c>
      <x:c r="I682" s="11" t="n">
        <x:v>0</x:v>
      </x:c>
      <x:c r="J682" s="11"/>
      <x:c r="K682" s="1" t="str">
        <x:v>GFGV6200OC</x:v>
      </x:c>
      <x:c r="L682" s="1" t="str">
        <x:v>=+D678</x:v>
      </x:c>
    </x:row>
    <x:row r="683" ht="21" customHeight="1">
      <x:c r="A683" s="5" t="n">
        <x:v>46265</x:v>
      </x:c>
      <x:c r="B683" s="11" t="n">
        <x:v>90.19</x:v>
      </x:c>
      <x:c r="C683" s="11" t="n">
        <x:v>65154644</x:v>
      </x:c>
      <x:c r="D683" s="11" t="n">
        <x:v>128</x:v>
      </x:c>
      <x:c r="E683" s="11" t="n">
        <x:v>99.4</x:v>
      </x:c>
      <x:c r="F683" s="11" t="n">
        <x:v>135</x:v>
      </x:c>
      <x:c r="G683" s="11" t="n">
        <x:v>80</x:v>
      </x:c>
      <x:c r="H683" s="11" t="n">
        <x:v>0</x:v>
      </x:c>
      <x:c r="I683" s="11" t="n">
        <x:v>0</x:v>
      </x:c>
      <x:c r="J683" s="11"/>
      <x:c r="K683" s="1" t="str">
        <x:v>GFGV6200OC</x:v>
      </x:c>
      <x:c r="L683" s="1" t="str">
        <x:v>=+D679</x:v>
      </x:c>
    </x:row>
    <x:row r="684" ht="21" customHeight="1">
      <x:c r="A684" s="5" t="n">
        <x:v>46266</x:v>
      </x:c>
      <x:c r="B684" s="11" t="n">
        <x:v>85.04</x:v>
      </x:c>
      <x:c r="C684" s="11" t="n">
        <x:v>47338000</x:v>
      </x:c>
      <x:c r="D684" s="11" t="n">
        <x:v>99.4</x:v>
      </x:c>
      <x:c r="E684" s="11" t="n">
        <x:v>70</x:v>
      </x:c>
      <x:c r="F684" s="11" t="n">
        <x:v>105.98</x:v>
      </x:c>
      <x:c r="G684" s="11" t="n">
        <x:v>74</x:v>
      </x:c>
      <x:c r="H684" s="11" t="n">
        <x:v>0</x:v>
      </x:c>
      <x:c r="I684" s="11" t="n">
        <x:v>0</x:v>
      </x:c>
      <x:c r="J684" s="11"/>
      <x:c r="K684" s="1" t="str">
        <x:v>GFGV6200OC</x:v>
      </x:c>
      <x:c r="L684" s="1" t="str">
        <x:v>=+D680</x:v>
      </x:c>
    </x:row>
    <x:row r="685" ht="21" customHeight="1">
      <x:c r="A685" s="5" t="n">
        <x:v>46267</x:v>
      </x:c>
      <x:c r="B685" s="11" t="n">
        <x:v>66.11</x:v>
      </x:c>
      <x:c r="C685" s="11" t="n">
        <x:v>34053432</x:v>
      </x:c>
      <x:c r="D685" s="11" t="n">
        <x:v>70</x:v>
      </x:c>
      <x:c r="E685" s="11" t="n">
        <x:v>58.1</x:v>
      </x:c>
      <x:c r="F685" s="11" t="n">
        <x:v>87</x:v>
      </x:c>
      <x:c r="G685" s="11" t="n">
        <x:v>64</x:v>
      </x:c>
      <x:c r="H685" s="11" t="n">
        <x:v>0</x:v>
      </x:c>
      <x:c r="I685" s="11" t="n">
        <x:v>0</x:v>
      </x:c>
      <x:c r="J685" s="11"/>
      <x:c r="K685" s="1" t="str">
        <x:v>GFGV6200OC</x:v>
      </x:c>
      <x:c r="L685" s="1" t="str">
        <x:v>=+D681</x:v>
      </x:c>
    </x:row>
    <x:row r="686" ht="21" customHeight="1">
      <x:c r="A686" s="5" t="n">
        <x:v>46268</x:v>
      </x:c>
      <x:c r="B686" s="11" t="n">
        <x:v>73.43</x:v>
      </x:c>
      <x:c r="C686" s="11" t="n">
        <x:v>26117368</x:v>
      </x:c>
      <x:c r="D686" s="11" t="n">
        <x:v>58.1</x:v>
      </x:c>
      <x:c r="E686" s="11" t="n">
        <x:v>69</x:v>
      </x:c>
      <x:c r="F686" s="11" t="n">
        <x:v>78.9</x:v>
      </x:c>
      <x:c r="G686" s="11" t="n">
        <x:v>50</x:v>
      </x:c>
      <x:c r="H686" s="11" t="n">
        <x:v>0</x:v>
      </x:c>
      <x:c r="I686" s="11" t="n">
        <x:v>0</x:v>
      </x:c>
      <x:c r="J686" s="11"/>
      <x:c r="K686" s="1" t="str">
        <x:v>GFGV6200OC</x:v>
      </x:c>
      <x:c r="L686" s="1" t="str">
        <x:v>=+D682</x:v>
      </x:c>
    </x:row>
    <x:row r="687" ht="21" customHeight="1">
      <x:c r="A687" s="5" t="n">
        <x:v>46269</x:v>
      </x:c>
      <x:c r="B687" s="11" t="n">
        <x:v>76.05</x:v>
      </x:c>
      <x:c r="C687" s="11" t="n">
        <x:v>33339540</x:v>
      </x:c>
      <x:c r="D687" s="11" t="n">
        <x:v>69</x:v>
      </x:c>
      <x:c r="E687" s="11" t="n">
        <x:v>75.12</x:v>
      </x:c>
      <x:c r="F687" s="11" t="n">
        <x:v>90.5</x:v>
      </x:c>
      <x:c r="G687" s="11" t="n">
        <x:v>68</x:v>
      </x:c>
      <x:c r="H687" s="11" t="n">
        <x:v>0</x:v>
      </x:c>
      <x:c r="I687" s="11" t="n">
        <x:v>0</x:v>
      </x:c>
      <x:c r="J687" s="11"/>
      <x:c r="K687" s="1" t="str">
        <x:v>GFGV6200OC</x:v>
      </x:c>
      <x:c r="L687" s="1" t="str">
        <x:v>=+D683</x:v>
      </x:c>
    </x:row>
    <x:row r="688" ht="21" customHeight="1">
      <x:c r="A688" s="5" t="n">
        <x:v>46272</x:v>
      </x:c>
      <x:c r="B688" s="11" t="n">
        <x:v>81.09</x:v>
      </x:c>
      <x:c r="C688" s="11" t="n">
        <x:v>3770500</x:v>
      </x:c>
      <x:c r="D688" s="11" t="n">
        <x:v>75.12</x:v>
      </x:c>
      <x:c r="E688" s="11" t="n">
        <x:v>80</x:v>
      </x:c>
      <x:c r="F688" s="11" t="n">
        <x:v>83</x:v>
      </x:c>
      <x:c r="G688" s="11" t="n">
        <x:v>75.12</x:v>
      </x:c>
      <x:c r="H688" s="11" t="n">
        <x:v>0</x:v>
      </x:c>
      <x:c r="I688" s="11" t="n">
        <x:v>0</x:v>
      </x:c>
      <x:c r="J688" s="11"/>
      <x:c r="K688" s="1" t="str">
        <x:v>GFGV6200OC</x:v>
      </x:c>
      <x:c r="L688" s="1" t="str">
        <x:v>=+D684</x:v>
      </x:c>
    </x:row>
    <x:row r="689" ht="21" customHeight="1">
      <x:c r="A689" s="5" t="n">
        <x:v>46273</x:v>
      </x:c>
      <x:c r="B689" s="11" t="n">
        <x:v>68.23</x:v>
      </x:c>
      <x:c r="C689" s="11" t="n">
        <x:v>21542124</x:v>
      </x:c>
      <x:c r="D689" s="11" t="n">
        <x:v>80</x:v>
      </x:c>
      <x:c r="E689" s="11" t="n">
        <x:v>74</x:v>
      </x:c>
      <x:c r="F689" s="11" t="n">
        <x:v>85.9</x:v>
      </x:c>
      <x:c r="G689" s="11" t="n">
        <x:v>67</x:v>
      </x:c>
      <x:c r="H689" s="11" t="n">
        <x:v>0</x:v>
      </x:c>
      <x:c r="I689" s="11" t="n">
        <x:v>0</x:v>
      </x:c>
      <x:c r="J689" s="11"/>
      <x:c r="K689" s="1" t="str">
        <x:v>GFGV6200OC</x:v>
      </x:c>
      <x:c r="L689" s="1" t="str">
        <x:v>=+D685</x:v>
      </x:c>
    </x:row>
    <x:row r="690" ht="21" customHeight="1">
      <x:c r="A690" s="5" t="n">
        <x:v>46274</x:v>
      </x:c>
      <x:c r="B690" s="11" t="n">
        <x:v>55.42</x:v>
      </x:c>
      <x:c r="C690" s="11" t="n">
        <x:v>25460566</x:v>
      </x:c>
      <x:c r="D690" s="11" t="n">
        <x:v>74</x:v>
      </x:c>
      <x:c r="E690" s="11" t="n">
        <x:v>64</x:v>
      </x:c>
      <x:c r="F690" s="11" t="n">
        <x:v>84</x:v>
      </x:c>
      <x:c r="G690" s="11" t="n">
        <x:v>50.1</x:v>
      </x:c>
      <x:c r="H690" s="11" t="n">
        <x:v>0</x:v>
      </x:c>
      <x:c r="I690" s="11" t="n">
        <x:v>0</x:v>
      </x:c>
      <x:c r="J690" s="11"/>
      <x:c r="K690" s="1" t="str">
        <x:v>GFGV6200OC</x:v>
      </x:c>
      <x:c r="L690" s="1" t="str">
        <x:v>=+D686</x:v>
      </x:c>
    </x:row>
    <x:row r="691" ht="21" customHeight="1">
      <x:c r="A691" s="5" t="n">
        <x:v>46275</x:v>
      </x:c>
      <x:c r="B691" s="11" t="n">
        <x:v>50.26</x:v>
      </x:c>
      <x:c r="C691" s="11" t="n">
        <x:v>22889404</x:v>
      </x:c>
      <x:c r="D691" s="11" t="n">
        <x:v>64</x:v>
      </x:c>
      <x:c r="E691" s="11" t="n">
        <x:v>53.99</x:v>
      </x:c>
      <x:c r="F691" s="11" t="n">
        <x:v>64.47</x:v>
      </x:c>
      <x:c r="G691" s="11" t="n">
        <x:v>40</x:v>
      </x:c>
      <x:c r="H691" s="11" t="n">
        <x:v>0</x:v>
      </x:c>
      <x:c r="I691" s="11" t="n">
        <x:v>0</x:v>
      </x:c>
      <x:c r="J691" s="11"/>
      <x:c r="K691" s="1" t="str">
        <x:v>GFGV6200OC</x:v>
      </x:c>
      <x:c r="L691" s="1" t="str">
        <x:v>=+D687</x:v>
      </x:c>
    </x:row>
    <x:row r="692" ht="21" customHeight="1">
      <x:c r="A692" s="5" t="n">
        <x:v>46276</x:v>
      </x:c>
      <x:c r="B692" s="11" t="n">
        <x:v>62.2</x:v>
      </x:c>
      <x:c r="C692" s="11" t="n">
        <x:v>29853540</x:v>
      </x:c>
      <x:c r="D692" s="11" t="n">
        <x:v>53.99</x:v>
      </x:c>
      <x:c r="E692" s="11" t="n">
        <x:v>75</x:v>
      </x:c>
      <x:c r="F692" s="11" t="n">
        <x:v>78</x:v>
      </x:c>
      <x:c r="G692" s="11" t="n">
        <x:v>47.78</x:v>
      </x:c>
      <x:c r="H692" s="11" t="n">
        <x:v>0</x:v>
      </x:c>
      <x:c r="I692" s="11" t="n">
        <x:v>0</x:v>
      </x:c>
      <x:c r="J692" s="11"/>
      <x:c r="K692" s="1" t="str">
        <x:v>GFGV6200OC</x:v>
      </x:c>
      <x:c r="L692" s="1" t="str">
        <x:v>=+D688</x:v>
      </x:c>
    </x:row>
    <x:row r="693" ht="21" customHeight="1">
      <x:c r="A693" s="5" t="n">
        <x:v>46279</x:v>
      </x:c>
      <x:c r="B693" s="11" t="n">
        <x:v>81.68</x:v>
      </x:c>
      <x:c r="C693" s="11" t="n">
        <x:v>36600232</x:v>
      </x:c>
      <x:c r="D693" s="11" t="n">
        <x:v>75</x:v>
      </x:c>
      <x:c r="E693" s="11" t="n">
        <x:v>80</x:v>
      </x:c>
      <x:c r="F693" s="11" t="n">
        <x:v>82.99</x:v>
      </x:c>
      <x:c r="G693" s="11" t="n">
        <x:v>61</x:v>
      </x:c>
      <x:c r="H693" s="11" t="n">
        <x:v>0</x:v>
      </x:c>
      <x:c r="I693" s="11" t="n">
        <x:v>0</x:v>
      </x:c>
      <x:c r="J693" s="11"/>
      <x:c r="K693" s="1" t="str">
        <x:v>GFGV6200OC</x:v>
      </x:c>
      <x:c r="L693" s="1" t="str">
        <x:v>=+D689</x:v>
      </x:c>
    </x:row>
    <x:row r="694" ht="21" customHeight="1">
      <x:c r="A694" s="5" t="n">
        <x:v>46280</x:v>
      </x:c>
      <x:c r="B694" s="11" t="n">
        <x:v>97.24</x:v>
      </x:c>
      <x:c r="C694" s="11" t="n">
        <x:v>62372620</x:v>
      </x:c>
      <x:c r="D694" s="11" t="n">
        <x:v>80</x:v>
      </x:c>
      <x:c r="E694" s="11" t="n">
        <x:v>104.99</x:v>
      </x:c>
      <x:c r="F694" s="11" t="n">
        <x:v>112</x:v>
      </x:c>
      <x:c r="G694" s="11" t="n">
        <x:v>80</x:v>
      </x:c>
      <x:c r="H694" s="11" t="n">
        <x:v>0</x:v>
      </x:c>
      <x:c r="I694" s="11" t="n">
        <x:v>0</x:v>
      </x:c>
      <x:c r="J694" s="11"/>
      <x:c r="K694" s="1" t="str">
        <x:v>GFGV6200OC</x:v>
      </x:c>
      <x:c r="L694" s="1" t="str">
        <x:v>=+D690</x:v>
      </x:c>
    </x:row>
    <x:row r="695" ht="21" customHeight="1">
      <x:c r="A695" s="5" t="n">
        <x:v>46281</x:v>
      </x:c>
      <x:c r="B695" s="11" t="n">
        <x:v>97.41</x:v>
      </x:c>
      <x:c r="C695" s="11" t="n">
        <x:v>54669212</x:v>
      </x:c>
      <x:c r="D695" s="11" t="n">
        <x:v>104.99</x:v>
      </x:c>
      <x:c r="E695" s="11" t="n">
        <x:v>190</x:v>
      </x:c>
      <x:c r="F695" s="11" t="n">
        <x:v>117.6</x:v>
      </x:c>
      <x:c r="G695" s="11" t="n">
        <x:v>83.05</x:v>
      </x:c>
      <x:c r="H695" s="11" t="n">
        <x:v>0</x:v>
      </x:c>
      <x:c r="I695" s="11" t="n">
        <x:v>0</x:v>
      </x:c>
      <x:c r="J695" s="11"/>
      <x:c r="K695" s="1" t="str">
        <x:v>GFGV6200OC</x:v>
      </x:c>
      <x:c r="L695" s="1" t="str">
        <x:v>=+D691</x:v>
      </x:c>
    </x:row>
    <x:row r="696" ht="21" customHeight="1">
      <x:c r="A696" s="5" t="n">
        <x:v>46255</x:v>
      </x:c>
      <x:c r="B696" s="11" t="n">
        <x:v>290.5</x:v>
      </x:c>
      <x:c r="C696" s="11" t="n">
        <x:v>57884704</x:v>
      </x:c>
      <x:c r="D696" s="11" t="n">
        <x:v>190</x:v>
      </x:c>
      <x:c r="E696" s="11" t="n">
        <x:v>300</x:v>
      </x:c>
      <x:c r="F696" s="11" t="n">
        <x:v>300</x:v>
      </x:c>
      <x:c r="G696" s="11" t="n">
        <x:v>190</x:v>
      </x:c>
      <x:c r="H696" s="11" t="n">
        <x:v>0</x:v>
      </x:c>
      <x:c r="I696" s="11" t="n">
        <x:v>0</x:v>
      </x:c>
      <x:c r="J696" s="11"/>
      <x:c r="K696" s="1" t="str">
        <x:v>GFGV6400OC</x:v>
      </x:c>
      <x:c r="L696" s="1" t="str">
        <x:v>=+D692</x:v>
      </x:c>
    </x:row>
    <x:row r="697" ht="21" customHeight="1">
      <x:c r="A697" s="5" t="n">
        <x:v>46258</x:v>
      </x:c>
      <x:c r="B697" s="11" t="n">
        <x:v>175.6</x:v>
      </x:c>
      <x:c r="C697" s="11" t="n">
        <x:v>269393792</x:v>
      </x:c>
      <x:c r="D697" s="11" t="n">
        <x:v>300</x:v>
      </x:c>
      <x:c r="E697" s="11" t="n">
        <x:v>185</x:v>
      </x:c>
      <x:c r="F697" s="11" t="n">
        <x:v>350</x:v>
      </x:c>
      <x:c r="G697" s="11" t="n">
        <x:v>161</x:v>
      </x:c>
      <x:c r="H697" s="11" t="n">
        <x:v>0</x:v>
      </x:c>
      <x:c r="I697" s="11" t="n">
        <x:v>0</x:v>
      </x:c>
      <x:c r="J697" s="11"/>
      <x:c r="K697" s="1" t="str">
        <x:v>GFGV6400OC</x:v>
      </x:c>
      <x:c r="L697" s="1" t="str">
        <x:v>=+D693</x:v>
      </x:c>
    </x:row>
    <x:row r="698" ht="21" customHeight="1">
      <x:c r="A698" s="5" t="n">
        <x:v>46259</x:v>
      </x:c>
      <x:c r="B698" s="11" t="n">
        <x:v>133.02</x:v>
      </x:c>
      <x:c r="C698" s="11" t="n">
        <x:v>166157664</x:v>
      </x:c>
      <x:c r="D698" s="11" t="n">
        <x:v>185</x:v>
      </x:c>
      <x:c r="E698" s="11" t="n">
        <x:v>129</x:v>
      </x:c>
      <x:c r="F698" s="11" t="n">
        <x:v>200</x:v>
      </x:c>
      <x:c r="G698" s="11" t="n">
        <x:v>130</x:v>
      </x:c>
      <x:c r="H698" s="11" t="n">
        <x:v>0</x:v>
      </x:c>
      <x:c r="I698" s="11" t="n">
        <x:v>0</x:v>
      </x:c>
      <x:c r="J698" s="11"/>
      <x:c r="K698" s="1" t="str">
        <x:v>GFGV6400OC</x:v>
      </x:c>
      <x:c r="L698" s="1" t="str">
        <x:v>=+D694</x:v>
      </x:c>
    </x:row>
    <x:row r="699" ht="21" customHeight="1">
      <x:c r="A699" s="5" t="n">
        <x:v>46260</x:v>
      </x:c>
      <x:c r="B699" s="11" t="n">
        <x:v>135.93</x:v>
      </x:c>
      <x:c r="C699" s="11" t="n">
        <x:v>85600376</x:v>
      </x:c>
      <x:c r="D699" s="11" t="n">
        <x:v>129</x:v>
      </x:c>
      <x:c r="E699" s="11" t="n">
        <x:v>138</x:v>
      </x:c>
      <x:c r="F699" s="11" t="n">
        <x:v>150</x:v>
      </x:c>
      <x:c r="G699" s="11" t="n">
        <x:v>108</x:v>
      </x:c>
      <x:c r="H699" s="11" t="n">
        <x:v>0</x:v>
      </x:c>
      <x:c r="I699" s="11" t="n">
        <x:v>0</x:v>
      </x:c>
      <x:c r="J699" s="11"/>
      <x:c r="K699" s="1" t="str">
        <x:v>GFGV6400OC</x:v>
      </x:c>
      <x:c r="L699" s="1" t="str">
        <x:v>=+D695</x:v>
      </x:c>
    </x:row>
    <x:row r="700" ht="21" customHeight="1">
      <x:c r="A700" s="5" t="n">
        <x:v>46261</x:v>
      </x:c>
      <x:c r="B700" s="11" t="n">
        <x:v>172.27</x:v>
      </x:c>
      <x:c r="C700" s="11" t="n">
        <x:v>121716192</x:v>
      </x:c>
      <x:c r="D700" s="11" t="n">
        <x:v>138</x:v>
      </x:c>
      <x:c r="E700" s="11" t="n">
        <x:v>170</x:v>
      </x:c>
      <x:c r="F700" s="11" t="n">
        <x:v>185</x:v>
      </x:c>
      <x:c r="G700" s="11" t="n">
        <x:v>130</x:v>
      </x:c>
      <x:c r="H700" s="11" t="n">
        <x:v>0</x:v>
      </x:c>
      <x:c r="I700" s="11" t="n">
        <x:v>0</x:v>
      </x:c>
      <x:c r="J700" s="11"/>
      <x:c r="K700" s="1" t="str">
        <x:v>GFGV6400OC</x:v>
      </x:c>
      <x:c r="L700" s="1" t="str">
        <x:v>=+D696</x:v>
      </x:c>
    </x:row>
    <x:row r="701" ht="21" customHeight="1">
      <x:c r="A701" s="5" t="n">
        <x:v>46262</x:v>
      </x:c>
      <x:c r="B701" s="11" t="n">
        <x:v>179.89</x:v>
      </x:c>
      <x:c r="C701" s="11" t="n">
        <x:v>177694320</x:v>
      </x:c>
      <x:c r="D701" s="11" t="n">
        <x:v>170</x:v>
      </x:c>
      <x:c r="E701" s="11" t="n">
        <x:v>170</x:v>
      </x:c>
      <x:c r="F701" s="11" t="n">
        <x:v>220</x:v>
      </x:c>
      <x:c r="G701" s="11" t="n">
        <x:v>170</x:v>
      </x:c>
      <x:c r="H701" s="11" t="n">
        <x:v>0</x:v>
      </x:c>
      <x:c r="I701" s="11" t="n">
        <x:v>0</x:v>
      </x:c>
      <x:c r="J701" s="11"/>
      <x:c r="K701" s="1" t="str">
        <x:v>GFGV6400OC</x:v>
      </x:c>
      <x:c r="L701" s="1" t="str">
        <x:v>=+D697</x:v>
      </x:c>
    </x:row>
    <x:row r="702" ht="21" customHeight="1">
      <x:c r="A702" s="5" t="n">
        <x:v>46265</x:v>
      </x:c>
      <x:c r="B702" s="11" t="n">
        <x:v>137.67</x:v>
      </x:c>
      <x:c r="C702" s="11" t="n">
        <x:v>88075136</x:v>
      </x:c>
      <x:c r="D702" s="11" t="n">
        <x:v>170</x:v>
      </x:c>
      <x:c r="E702" s="11" t="n">
        <x:v>149.5</x:v>
      </x:c>
      <x:c r="F702" s="11" t="n">
        <x:v>196.11</x:v>
      </x:c>
      <x:c r="G702" s="11" t="n">
        <x:v>115.4</x:v>
      </x:c>
      <x:c r="H702" s="11" t="n">
        <x:v>0</x:v>
      </x:c>
      <x:c r="I702" s="11" t="n">
        <x:v>0</x:v>
      </x:c>
      <x:c r="J702" s="11"/>
      <x:c r="K702" s="1" t="str">
        <x:v>GFGV6400OC</x:v>
      </x:c>
      <x:c r="L702" s="1" t="str">
        <x:v>=+D698</x:v>
      </x:c>
    </x:row>
    <x:row r="703" ht="21" customHeight="1">
      <x:c r="A703" s="5" t="n">
        <x:v>46266</x:v>
      </x:c>
      <x:c r="B703" s="11" t="n">
        <x:v>127.45</x:v>
      </x:c>
      <x:c r="C703" s="11" t="n">
        <x:v>108462736</x:v>
      </x:c>
      <x:c r="D703" s="11" t="n">
        <x:v>149.5</x:v>
      </x:c>
      <x:c r="E703" s="11" t="n">
        <x:v>135</x:v>
      </x:c>
      <x:c r="F703" s="11" t="n">
        <x:v>165</x:v>
      </x:c>
      <x:c r="G703" s="11" t="n">
        <x:v>110</x:v>
      </x:c>
      <x:c r="H703" s="11" t="n">
        <x:v>0</x:v>
      </x:c>
      <x:c r="I703" s="11" t="n">
        <x:v>0</x:v>
      </x:c>
      <x:c r="J703" s="11"/>
      <x:c r="K703" s="1" t="str">
        <x:v>GFGV6400OC</x:v>
      </x:c>
      <x:c r="L703" s="1" t="str">
        <x:v>=+D699</x:v>
      </x:c>
    </x:row>
    <x:row r="704" ht="21" customHeight="1">
      <x:c r="A704" s="5" t="n">
        <x:v>46267</x:v>
      </x:c>
      <x:c r="B704" s="11" t="n">
        <x:v>103.46</x:v>
      </x:c>
      <x:c r="C704" s="11" t="n">
        <x:v>65994224</x:v>
      </x:c>
      <x:c r="D704" s="11" t="n">
        <x:v>135</x:v>
      </x:c>
      <x:c r="E704" s="11" t="n">
        <x:v>93.3</x:v>
      </x:c>
      <x:c r="F704" s="11" t="n">
        <x:v>135</x:v>
      </x:c>
      <x:c r="G704" s="11" t="n">
        <x:v>100</x:v>
      </x:c>
      <x:c r="H704" s="11" t="n">
        <x:v>0</x:v>
      </x:c>
      <x:c r="I704" s="11" t="n">
        <x:v>0</x:v>
      </x:c>
      <x:c r="J704" s="11"/>
      <x:c r="K704" s="1" t="str">
        <x:v>GFGV6400OC</x:v>
      </x:c>
      <x:c r="L704" s="1" t="str">
        <x:v>=+D700</x:v>
      </x:c>
    </x:row>
    <x:row r="705" ht="21" customHeight="1">
      <x:c r="A705" s="5" t="n">
        <x:v>46268</x:v>
      </x:c>
      <x:c r="B705" s="11" t="n">
        <x:v>113.71</x:v>
      </x:c>
      <x:c r="C705" s="11" t="n">
        <x:v>86233792</x:v>
      </x:c>
      <x:c r="D705" s="11" t="n">
        <x:v>93.3</x:v>
      </x:c>
      <x:c r="E705" s="11" t="n">
        <x:v>109.89</x:v>
      </x:c>
      <x:c r="F705" s="11" t="n">
        <x:v>120</x:v>
      </x:c>
      <x:c r="G705" s="11" t="n">
        <x:v>75</x:v>
      </x:c>
      <x:c r="H705" s="11" t="n">
        <x:v>0</x:v>
      </x:c>
      <x:c r="I705" s="11" t="n">
        <x:v>0</x:v>
      </x:c>
      <x:c r="J705" s="11"/>
      <x:c r="K705" s="1" t="str">
        <x:v>GFGV6400OC</x:v>
      </x:c>
      <x:c r="L705" s="1" t="str">
        <x:v>=+D701</x:v>
      </x:c>
    </x:row>
    <x:row r="706" ht="21" customHeight="1">
      <x:c r="A706" s="5" t="n">
        <x:v>46269</x:v>
      </x:c>
      <x:c r="B706" s="11" t="n">
        <x:v>116.45</x:v>
      </x:c>
      <x:c r="C706" s="11" t="n">
        <x:v>58862520</x:v>
      </x:c>
      <x:c r="D706" s="11" t="n">
        <x:v>109.89</x:v>
      </x:c>
      <x:c r="E706" s="11" t="n">
        <x:v>111</x:v>
      </x:c>
      <x:c r="F706" s="11" t="n">
        <x:v>140</x:v>
      </x:c>
      <x:c r="G706" s="11" t="n">
        <x:v>109.89</x:v>
      </x:c>
      <x:c r="H706" s="11" t="n">
        <x:v>0</x:v>
      </x:c>
      <x:c r="I706" s="11" t="n">
        <x:v>0</x:v>
      </x:c>
      <x:c r="J706" s="11"/>
      <x:c r="K706" s="1" t="str">
        <x:v>GFGV6400OC</x:v>
      </x:c>
      <x:c r="L706" s="1" t="str">
        <x:v>=+D702</x:v>
      </x:c>
    </x:row>
    <x:row r="707" ht="21" customHeight="1">
      <x:c r="A707" s="5" t="n">
        <x:v>46272</x:v>
      </x:c>
      <x:c r="B707" s="11" t="n">
        <x:v>124.24</x:v>
      </x:c>
      <x:c r="C707" s="11" t="n">
        <x:v>6553844.5</x:v>
      </x:c>
      <x:c r="D707" s="11" t="n">
        <x:v>111</x:v>
      </x:c>
      <x:c r="E707" s="11" t="n">
        <x:v>126</x:v>
      </x:c>
      <x:c r="F707" s="11" t="n">
        <x:v>130.1</x:v>
      </x:c>
      <x:c r="G707" s="11" t="n">
        <x:v>111</x:v>
      </x:c>
      <x:c r="H707" s="11" t="n">
        <x:v>0</x:v>
      </x:c>
      <x:c r="I707" s="11" t="n">
        <x:v>0</x:v>
      </x:c>
      <x:c r="J707" s="11"/>
      <x:c r="K707" s="1" t="str">
        <x:v>GFGV6400OC</x:v>
      </x:c>
      <x:c r="L707" s="1" t="str">
        <x:v>=+D703</x:v>
      </x:c>
    </x:row>
    <x:row r="708" ht="21" customHeight="1">
      <x:c r="A708" s="5" t="n">
        <x:v>46273</x:v>
      </x:c>
      <x:c r="B708" s="11" t="n">
        <x:v>109.53</x:v>
      </x:c>
      <x:c r="C708" s="11" t="n">
        <x:v>32637114</x:v>
      </x:c>
      <x:c r="D708" s="11" t="n">
        <x:v>126</x:v>
      </x:c>
      <x:c r="E708" s="11" t="n">
        <x:v>129</x:v>
      </x:c>
      <x:c r="F708" s="11" t="n">
        <x:v>134</x:v>
      </x:c>
      <x:c r="G708" s="11" t="n">
        <x:v>101.3</x:v>
      </x:c>
      <x:c r="H708" s="11" t="n">
        <x:v>0</x:v>
      </x:c>
      <x:c r="I708" s="11" t="n">
        <x:v>0</x:v>
      </x:c>
      <x:c r="J708" s="11"/>
      <x:c r="K708" s="1" t="str">
        <x:v>GFGV6400OC</x:v>
      </x:c>
      <x:c r="L708" s="1" t="str">
        <x:v>=+D704</x:v>
      </x:c>
    </x:row>
    <x:row r="709" ht="21" customHeight="1">
      <x:c r="A709" s="5" t="n">
        <x:v>46274</x:v>
      </x:c>
      <x:c r="B709" s="11" t="n">
        <x:v>89.43</x:v>
      </x:c>
      <x:c r="C709" s="11" t="n">
        <x:v>55405064</x:v>
      </x:c>
      <x:c r="D709" s="11" t="n">
        <x:v>129</x:v>
      </x:c>
      <x:c r="E709" s="11" t="n">
        <x:v>101</x:v>
      </x:c>
      <x:c r="F709" s="11" t="n">
        <x:v>132</x:v>
      </x:c>
      <x:c r="G709" s="11" t="n">
        <x:v>80.18</x:v>
      </x:c>
      <x:c r="H709" s="11" t="n">
        <x:v>0</x:v>
      </x:c>
      <x:c r="I709" s="11" t="n">
        <x:v>0</x:v>
      </x:c>
      <x:c r="J709" s="11"/>
      <x:c r="K709" s="1" t="str">
        <x:v>GFGV6400OC</x:v>
      </x:c>
      <x:c r="L709" s="1" t="str">
        <x:v>=+D705</x:v>
      </x:c>
    </x:row>
    <x:row r="710" ht="21" customHeight="1">
      <x:c r="A710" s="5" t="n">
        <x:v>46275</x:v>
      </x:c>
      <x:c r="B710" s="11" t="n">
        <x:v>79.55</x:v>
      </x:c>
      <x:c r="C710" s="11" t="n">
        <x:v>62363836</x:v>
      </x:c>
      <x:c r="D710" s="11" t="n">
        <x:v>101</x:v>
      </x:c>
      <x:c r="E710" s="11" t="n">
        <x:v>75</x:v>
      </x:c>
      <x:c r="F710" s="11" t="n">
        <x:v>101</x:v>
      </x:c>
      <x:c r="G710" s="11" t="n">
        <x:v>65.39</x:v>
      </x:c>
      <x:c r="H710" s="11" t="n">
        <x:v>0</x:v>
      </x:c>
      <x:c r="I710" s="11" t="n">
        <x:v>0</x:v>
      </x:c>
      <x:c r="J710" s="11"/>
      <x:c r="K710" s="1" t="str">
        <x:v>GFGV6400OC</x:v>
      </x:c>
      <x:c r="L710" s="1" t="str">
        <x:v>=+D706</x:v>
      </x:c>
    </x:row>
    <x:row r="711" ht="21" customHeight="1">
      <x:c r="A711" s="5" t="n">
        <x:v>46276</x:v>
      </x:c>
      <x:c r="B711" s="11" t="n">
        <x:v>95.07</x:v>
      </x:c>
      <x:c r="C711" s="11" t="n">
        <x:v>61645404</x:v>
      </x:c>
      <x:c r="D711" s="11" t="n">
        <x:v>75</x:v>
      </x:c>
      <x:c r="E711" s="11" t="n">
        <x:v>100</x:v>
      </x:c>
      <x:c r="F711" s="11" t="n">
        <x:v>115.51</x:v>
      </x:c>
      <x:c r="G711" s="11" t="n">
        <x:v>75</x:v>
      </x:c>
      <x:c r="H711" s="11" t="n">
        <x:v>0</x:v>
      </x:c>
      <x:c r="I711" s="11" t="n">
        <x:v>0</x:v>
      </x:c>
      <x:c r="J711" s="11"/>
      <x:c r="K711" s="1" t="str">
        <x:v>GFGV6400OC</x:v>
      </x:c>
      <x:c r="L711" s="1" t="str">
        <x:v>=+D707</x:v>
      </x:c>
    </x:row>
    <x:row r="712" ht="21" customHeight="1">
      <x:c r="A712" s="5" t="n">
        <x:v>46279</x:v>
      </x:c>
      <x:c r="B712" s="11" t="n">
        <x:v>130.18</x:v>
      </x:c>
      <x:c r="C712" s="11" t="n">
        <x:v>76737328</x:v>
      </x:c>
      <x:c r="D712" s="11" t="n">
        <x:v>100</x:v>
      </x:c>
      <x:c r="E712" s="11" t="n">
        <x:v>139</x:v>
      </x:c>
      <x:c r="F712" s="11" t="n">
        <x:v>134.69</x:v>
      </x:c>
      <x:c r="G712" s="11" t="n">
        <x:v>97</x:v>
      </x:c>
      <x:c r="H712" s="11" t="n">
        <x:v>0</x:v>
      </x:c>
      <x:c r="I712" s="11" t="n">
        <x:v>0</x:v>
      </x:c>
      <x:c r="J712" s="11"/>
      <x:c r="K712" s="1" t="str">
        <x:v>GFGV6400OC</x:v>
      </x:c>
      <x:c r="L712" s="1" t="str">
        <x:v>=+D708</x:v>
      </x:c>
    </x:row>
    <x:row r="713" ht="21" customHeight="1">
      <x:c r="A713" s="5" t="n">
        <x:v>46280</x:v>
      </x:c>
      <x:c r="B713" s="11" t="n">
        <x:v>151.43</x:v>
      </x:c>
      <x:c r="C713" s="11" t="n">
        <x:v>154461408</x:v>
      </x:c>
      <x:c r="D713" s="11" t="n">
        <x:v>139</x:v>
      </x:c>
      <x:c r="E713" s="11" t="n">
        <x:v>164.99</x:v>
      </x:c>
      <x:c r="F713" s="11" t="n">
        <x:v>172</x:v>
      </x:c>
      <x:c r="G713" s="11" t="n">
        <x:v>130.15</x:v>
      </x:c>
      <x:c r="H713" s="11" t="n">
        <x:v>0</x:v>
      </x:c>
      <x:c r="I713" s="11" t="n">
        <x:v>0</x:v>
      </x:c>
      <x:c r="J713" s="11"/>
      <x:c r="K713" s="1" t="str">
        <x:v>GFGV6400OC</x:v>
      </x:c>
      <x:c r="L713" s="1" t="str">
        <x:v>=+D709</x:v>
      </x:c>
    </x:row>
    <x:row r="714" ht="21" customHeight="1">
      <x:c r="A714" s="5" t="n">
        <x:v>46281</x:v>
      </x:c>
      <x:c r="B714" s="11" t="n">
        <x:v>150.25</x:v>
      </x:c>
      <x:c r="C714" s="11" t="n">
        <x:v>109657352</x:v>
      </x:c>
      <x:c r="D714" s="11" t="n">
        <x:v>164.99</x:v>
      </x:c>
      <x:c r="E714" s="11" t="n">
        <x:v>350</x:v>
      </x:c>
      <x:c r="F714" s="11" t="n">
        <x:v>171</x:v>
      </x:c>
      <x:c r="G714" s="11" t="n">
        <x:v>132.99</x:v>
      </x:c>
      <x:c r="H714" s="11" t="n">
        <x:v>0</x:v>
      </x:c>
      <x:c r="I714" s="11" t="n">
        <x:v>0</x:v>
      </x:c>
      <x:c r="J714" s="11"/>
      <x:c r="K714" s="1" t="str">
        <x:v>GFGV6400OC</x:v>
      </x:c>
      <x:c r="L714" s="1" t="str">
        <x:v>=+D710</x:v>
      </x:c>
    </x:row>
    <x:row r="715" ht="21" customHeight="1">
      <x:c r="A715" s="5" t="n">
        <x:v>46255</x:v>
      </x:c>
      <x:c r="B715" s="11" t="n">
        <x:v>374.07</x:v>
      </x:c>
      <x:c r="C715" s="11" t="n">
        <x:v>110064368</x:v>
      </x:c>
      <x:c r="D715" s="11" t="n">
        <x:v>350</x:v>
      </x:c>
      <x:c r="E715" s="11" t="n">
        <x:v>365</x:v>
      </x:c>
      <x:c r="F715" s="11" t="n">
        <x:v>390</x:v>
      </x:c>
      <x:c r="G715" s="11" t="n">
        <x:v>290</x:v>
      </x:c>
      <x:c r="H715" s="11" t="n">
        <x:v>0</x:v>
      </x:c>
      <x:c r="I715" s="11" t="n">
        <x:v>0</x:v>
      </x:c>
      <x:c r="J715" s="11"/>
      <x:c r="K715" s="1" t="str">
        <x:v>GFGV6600OC</x:v>
      </x:c>
      <x:c r="L715" s="1" t="str">
        <x:v>=+D711</x:v>
      </x:c>
    </x:row>
    <x:row r="716" ht="21" customHeight="1">
      <x:c r="A716" s="5" t="n">
        <x:v>46258</x:v>
      </x:c>
      <x:c r="B716" s="11" t="n">
        <x:v>235.77</x:v>
      </x:c>
      <x:c r="C716" s="11" t="n">
        <x:v>349124160</x:v>
      </x:c>
      <x:c r="D716" s="11" t="n">
        <x:v>365</x:v>
      </x:c>
      <x:c r="E716" s="11" t="n">
        <x:v>230</x:v>
      </x:c>
      <x:c r="F716" s="11" t="n">
        <x:v>420</x:v>
      </x:c>
      <x:c r="G716" s="11" t="n">
        <x:v>220</x:v>
      </x:c>
      <x:c r="H716" s="11" t="n">
        <x:v>0</x:v>
      </x:c>
      <x:c r="I716" s="11" t="n">
        <x:v>0</x:v>
      </x:c>
      <x:c r="J716" s="11"/>
      <x:c r="K716" s="1" t="str">
        <x:v>GFGV6600OC</x:v>
      </x:c>
      <x:c r="L716" s="1" t="str">
        <x:v>=+D712</x:v>
      </x:c>
    </x:row>
    <x:row r="717" ht="21" customHeight="1">
      <x:c r="A717" s="5" t="n">
        <x:v>46259</x:v>
      </x:c>
      <x:c r="B717" s="11" t="n">
        <x:v>188.16</x:v>
      </x:c>
      <x:c r="C717" s="11" t="n">
        <x:v>212049856</x:v>
      </x:c>
      <x:c r="D717" s="11" t="n">
        <x:v>230</x:v>
      </x:c>
      <x:c r="E717" s="11" t="n">
        <x:v>170</x:v>
      </x:c>
      <x:c r="F717" s="11" t="n">
        <x:v>263</x:v>
      </x:c>
      <x:c r="G717" s="11" t="n">
        <x:v>183</x:v>
      </x:c>
      <x:c r="H717" s="11" t="n">
        <x:v>0</x:v>
      </x:c>
      <x:c r="I717" s="11" t="n">
        <x:v>0</x:v>
      </x:c>
      <x:c r="J717" s="11"/>
      <x:c r="K717" s="1" t="str">
        <x:v>GFGV6600OC</x:v>
      </x:c>
      <x:c r="L717" s="1" t="str">
        <x:v>=+D713</x:v>
      </x:c>
    </x:row>
    <x:row r="718" ht="21" customHeight="1">
      <x:c r="A718" s="5" t="n">
        <x:v>46260</x:v>
      </x:c>
      <x:c r="B718" s="11" t="n">
        <x:v>195.14</x:v>
      </x:c>
      <x:c r="C718" s="11" t="n">
        <x:v>154578496</x:v>
      </x:c>
      <x:c r="D718" s="11" t="n">
        <x:v>170</x:v>
      </x:c>
      <x:c r="E718" s="11" t="n">
        <x:v>180</x:v>
      </x:c>
      <x:c r="F718" s="11" t="n">
        <x:v>215</x:v>
      </x:c>
      <x:c r="G718" s="11" t="n">
        <x:v>165</x:v>
      </x:c>
      <x:c r="H718" s="11" t="n">
        <x:v>0</x:v>
      </x:c>
      <x:c r="I718" s="11" t="n">
        <x:v>0</x:v>
      </x:c>
      <x:c r="J718" s="11"/>
      <x:c r="K718" s="1" t="str">
        <x:v>GFGV6600OC</x:v>
      </x:c>
      <x:c r="L718" s="1" t="str">
        <x:v>=+D714</x:v>
      </x:c>
    </x:row>
    <x:row r="719" ht="21" customHeight="1">
      <x:c r="A719" s="5" t="n">
        <x:v>46261</x:v>
      </x:c>
      <x:c r="B719" s="11" t="n">
        <x:v>237.9</x:v>
      </x:c>
      <x:c r="C719" s="11" t="n">
        <x:v>234706816</x:v>
      </x:c>
      <x:c r="D719" s="11" t="n">
        <x:v>180</x:v>
      </x:c>
      <x:c r="E719" s="11" t="n">
        <x:v>200</x:v>
      </x:c>
      <x:c r="F719" s="11" t="n">
        <x:v>259</x:v>
      </x:c>
      <x:c r="G719" s="11" t="n">
        <x:v>180</x:v>
      </x:c>
      <x:c r="H719" s="11" t="n">
        <x:v>0</x:v>
      </x:c>
      <x:c r="I719" s="11" t="n">
        <x:v>0</x:v>
      </x:c>
      <x:c r="J719" s="11"/>
      <x:c r="K719" s="1" t="str">
        <x:v>GFGV6600OC</x:v>
      </x:c>
      <x:c r="L719" s="1" t="str">
        <x:v>=+D715</x:v>
      </x:c>
    </x:row>
    <x:row r="720" ht="21" customHeight="1">
      <x:c r="A720" s="5" t="n">
        <x:v>46262</x:v>
      </x:c>
      <x:c r="B720" s="11" t="n">
        <x:v>249.3</x:v>
      </x:c>
      <x:c r="C720" s="11" t="n">
        <x:v>305045952</x:v>
      </x:c>
      <x:c r="D720" s="11" t="n">
        <x:v>200</x:v>
      </x:c>
      <x:c r="E720" s="11" t="n">
        <x:v>240</x:v>
      </x:c>
      <x:c r="F720" s="11" t="n">
        <x:v>301.98</x:v>
      </x:c>
      <x:c r="G720" s="11" t="n">
        <x:v>200</x:v>
      </x:c>
      <x:c r="H720" s="11" t="n">
        <x:v>0</x:v>
      </x:c>
      <x:c r="I720" s="11" t="n">
        <x:v>0</x:v>
      </x:c>
      <x:c r="J720" s="11"/>
      <x:c r="K720" s="1" t="str">
        <x:v>GFGV6600OC</x:v>
      </x:c>
      <x:c r="L720" s="1" t="str">
        <x:v>=+D716</x:v>
      </x:c>
    </x:row>
    <x:row r="721" ht="21" customHeight="1">
      <x:c r="A721" s="5" t="n">
        <x:v>46265</x:v>
      </x:c>
      <x:c r="B721" s="11" t="n">
        <x:v>193.67</x:v>
      </x:c>
      <x:c r="C721" s="11" t="n">
        <x:v>162617312</x:v>
      </x:c>
      <x:c r="D721" s="11" t="n">
        <x:v>240</x:v>
      </x:c>
      <x:c r="E721" s="11" t="n">
        <x:v>215</x:v>
      </x:c>
      <x:c r="F721" s="11" t="n">
        <x:v>248.1</x:v>
      </x:c>
      <x:c r="G721" s="11" t="n">
        <x:v>168</x:v>
      </x:c>
      <x:c r="H721" s="11" t="n">
        <x:v>0</x:v>
      </x:c>
      <x:c r="I721" s="11" t="n">
        <x:v>0</x:v>
      </x:c>
      <x:c r="J721" s="11"/>
      <x:c r="K721" s="1" t="str">
        <x:v>GFGV6600OC</x:v>
      </x:c>
      <x:c r="L721" s="1" t="str">
        <x:v>=+D717</x:v>
      </x:c>
    </x:row>
    <x:row r="722" ht="21" customHeight="1">
      <x:c r="A722" s="5" t="n">
        <x:v>46266</x:v>
      </x:c>
      <x:c r="B722" s="11" t="n">
        <x:v>178.65</x:v>
      </x:c>
      <x:c r="C722" s="11" t="n">
        <x:v>218682928</x:v>
      </x:c>
      <x:c r="D722" s="11" t="n">
        <x:v>215</x:v>
      </x:c>
      <x:c r="E722" s="11" t="n">
        <x:v>175</x:v>
      </x:c>
      <x:c r="F722" s="11" t="n">
        <x:v>240</x:v>
      </x:c>
      <x:c r="G722" s="11" t="n">
        <x:v>158.05</x:v>
      </x:c>
      <x:c r="H722" s="11" t="n">
        <x:v>0</x:v>
      </x:c>
      <x:c r="I722" s="11" t="n">
        <x:v>0</x:v>
      </x:c>
      <x:c r="J722" s="11"/>
      <x:c r="K722" s="1" t="str">
        <x:v>GFGV6600OC</x:v>
      </x:c>
      <x:c r="L722" s="1" t="str">
        <x:v>=+D718</x:v>
      </x:c>
    </x:row>
    <x:row r="723" ht="21" customHeight="1">
      <x:c r="A723" s="5" t="n">
        <x:v>46267</x:v>
      </x:c>
      <x:c r="B723" s="11" t="n">
        <x:v>146.29</x:v>
      </x:c>
      <x:c r="C723" s="11" t="n">
        <x:v>141914928</x:v>
      </x:c>
      <x:c r="D723" s="11" t="n">
        <x:v>175</x:v>
      </x:c>
      <x:c r="E723" s="11" t="n">
        <x:v>151</x:v>
      </x:c>
      <x:c r="F723" s="11" t="n">
        <x:v>181</x:v>
      </x:c>
      <x:c r="G723" s="11" t="n">
        <x:v>140</x:v>
      </x:c>
      <x:c r="H723" s="11" t="n">
        <x:v>0</x:v>
      </x:c>
      <x:c r="I723" s="11" t="n">
        <x:v>0</x:v>
      </x:c>
      <x:c r="J723" s="11"/>
      <x:c r="K723" s="1" t="str">
        <x:v>GFGV6600OC</x:v>
      </x:c>
      <x:c r="L723" s="1" t="str">
        <x:v>=+D719</x:v>
      </x:c>
    </x:row>
    <x:row r="724" ht="21" customHeight="1">
      <x:c r="A724" s="5" t="n">
        <x:v>46268</x:v>
      </x:c>
      <x:c r="B724" s="11" t="n">
        <x:v>167.73</x:v>
      </x:c>
      <x:c r="C724" s="11" t="n">
        <x:v>285943328</x:v>
      </x:c>
      <x:c r="D724" s="11" t="n">
        <x:v>151</x:v>
      </x:c>
      <x:c r="E724" s="11" t="n">
        <x:v>167.24</x:v>
      </x:c>
      <x:c r="F724" s="11" t="n">
        <x:v>183</x:v>
      </x:c>
      <x:c r="G724" s="11" t="n">
        <x:v>111</x:v>
      </x:c>
      <x:c r="H724" s="11" t="n">
        <x:v>0</x:v>
      </x:c>
      <x:c r="I724" s="11" t="n">
        <x:v>0</x:v>
      </x:c>
      <x:c r="J724" s="11"/>
      <x:c r="K724" s="1" t="str">
        <x:v>GFGV6600OC</x:v>
      </x:c>
      <x:c r="L724" s="1" t="str">
        <x:v>=+D720</x:v>
      </x:c>
    </x:row>
    <x:row r="725" ht="21" customHeight="1">
      <x:c r="A725" s="5" t="n">
        <x:v>46269</x:v>
      </x:c>
      <x:c r="B725" s="11" t="n">
        <x:v>169.4</x:v>
      </x:c>
      <x:c r="C725" s="11" t="n">
        <x:v>109030056</x:v>
      </x:c>
      <x:c r="D725" s="11" t="n">
        <x:v>167.24</x:v>
      </x:c>
      <x:c r="E725" s="11" t="n">
        <x:v>168.58</x:v>
      </x:c>
      <x:c r="F725" s="11" t="n">
        <x:v>200</x:v>
      </x:c>
      <x:c r="G725" s="11" t="n">
        <x:v>160</x:v>
      </x:c>
      <x:c r="H725" s="11" t="n">
        <x:v>0</x:v>
      </x:c>
      <x:c r="I725" s="11" t="n">
        <x:v>0</x:v>
      </x:c>
      <x:c r="J725" s="11"/>
      <x:c r="K725" s="1" t="str">
        <x:v>GFGV6600OC</x:v>
      </x:c>
      <x:c r="L725" s="1" t="str">
        <x:v>=+D721</x:v>
      </x:c>
    </x:row>
    <x:row r="726" ht="21" customHeight="1">
      <x:c r="A726" s="5" t="n">
        <x:v>46272</x:v>
      </x:c>
      <x:c r="B726" s="11" t="n">
        <x:v>180.32</x:v>
      </x:c>
      <x:c r="C726" s="11" t="n">
        <x:v>16609572</x:v>
      </x:c>
      <x:c r="D726" s="11" t="n">
        <x:v>168.58</x:v>
      </x:c>
      <x:c r="E726" s="11" t="n">
        <x:v>200</x:v>
      </x:c>
      <x:c r="F726" s="11" t="n">
        <x:v>184.94</x:v>
      </x:c>
      <x:c r="G726" s="11" t="n">
        <x:v>168.58</x:v>
      </x:c>
      <x:c r="H726" s="11" t="n">
        <x:v>0</x:v>
      </x:c>
      <x:c r="I726" s="11" t="n">
        <x:v>0</x:v>
      </x:c>
      <x:c r="J726" s="11"/>
      <x:c r="K726" s="1" t="str">
        <x:v>GFGV6600OC</x:v>
      </x:c>
      <x:c r="L726" s="1" t="str">
        <x:v>=+D722</x:v>
      </x:c>
    </x:row>
    <x:row r="727" ht="21" customHeight="1">
      <x:c r="A727" s="5" t="n">
        <x:v>46273</x:v>
      </x:c>
      <x:c r="B727" s="11" t="n">
        <x:v>164.7</x:v>
      </x:c>
      <x:c r="C727" s="11" t="n">
        <x:v>68128544</x:v>
      </x:c>
      <x:c r="D727" s="11" t="n">
        <x:v>200</x:v>
      </x:c>
      <x:c r="E727" s="11" t="n">
        <x:v>165</x:v>
      </x:c>
      <x:c r="F727" s="11" t="n">
        <x:v>200</x:v>
      </x:c>
      <x:c r="G727" s="11" t="n">
        <x:v>154</x:v>
      </x:c>
      <x:c r="H727" s="11" t="n">
        <x:v>0</x:v>
      </x:c>
      <x:c r="I727" s="11" t="n">
        <x:v>0</x:v>
      </x:c>
      <x:c r="J727" s="11"/>
      <x:c r="K727" s="1" t="str">
        <x:v>GFGV6600OC</x:v>
      </x:c>
      <x:c r="L727" s="1" t="str">
        <x:v>=+D723</x:v>
      </x:c>
    </x:row>
    <x:row r="728" ht="21" customHeight="1">
      <x:c r="A728" s="5" t="n">
        <x:v>46274</x:v>
      </x:c>
      <x:c r="B728" s="11" t="n">
        <x:v>133.95</x:v>
      </x:c>
      <x:c r="C728" s="11" t="n">
        <x:v>190944560</x:v>
      </x:c>
      <x:c r="D728" s="11" t="n">
        <x:v>165</x:v>
      </x:c>
      <x:c r="E728" s="11" t="n">
        <x:v>163</x:v>
      </x:c>
      <x:c r="F728" s="11" t="n">
        <x:v>200</x:v>
      </x:c>
      <x:c r="G728" s="11" t="n">
        <x:v>132</x:v>
      </x:c>
      <x:c r="H728" s="11" t="n">
        <x:v>0</x:v>
      </x:c>
      <x:c r="I728" s="11" t="n">
        <x:v>0</x:v>
      </x:c>
      <x:c r="J728" s="11"/>
      <x:c r="K728" s="1" t="str">
        <x:v>GFGV6600OC</x:v>
      </x:c>
      <x:c r="L728" s="1" t="str">
        <x:v>=+D724</x:v>
      </x:c>
    </x:row>
    <x:row r="729" ht="21" customHeight="1">
      <x:c r="A729" s="5" t="n">
        <x:v>46275</x:v>
      </x:c>
      <x:c r="B729" s="11" t="n">
        <x:v>119.26</x:v>
      </x:c>
      <x:c r="C729" s="11" t="n">
        <x:v>110005104</x:v>
      </x:c>
      <x:c r="D729" s="11" t="n">
        <x:v>163</x:v>
      </x:c>
      <x:c r="E729" s="11" t="n">
        <x:v>90</x:v>
      </x:c>
      <x:c r="F729" s="11" t="n">
        <x:v>163</x:v>
      </x:c>
      <x:c r="G729" s="11" t="n">
        <x:v>101</x:v>
      </x:c>
      <x:c r="H729" s="11" t="n">
        <x:v>0</x:v>
      </x:c>
      <x:c r="I729" s="11" t="n">
        <x:v>0</x:v>
      </x:c>
      <x:c r="J729" s="11"/>
      <x:c r="K729" s="1" t="str">
        <x:v>GFGV6600OC</x:v>
      </x:c>
      <x:c r="L729" s="1" t="str">
        <x:v>=+D725</x:v>
      </x:c>
    </x:row>
    <x:row r="730" ht="21" customHeight="1">
      <x:c r="A730" s="5" t="n">
        <x:v>46276</x:v>
      </x:c>
      <x:c r="B730" s="11" t="n">
        <x:v>152.55</x:v>
      </x:c>
      <x:c r="C730" s="11" t="n">
        <x:v>134174904</x:v>
      </x:c>
      <x:c r="D730" s="11" t="n">
        <x:v>90</x:v>
      </x:c>
      <x:c r="E730" s="11" t="n">
        <x:v>170</x:v>
      </x:c>
      <x:c r="F730" s="11" t="n">
        <x:v>174</x:v>
      </x:c>
      <x:c r="G730" s="11" t="n">
        <x:v>90</x:v>
      </x:c>
      <x:c r="H730" s="11" t="n">
        <x:v>0</x:v>
      </x:c>
      <x:c r="I730" s="11" t="n">
        <x:v>0</x:v>
      </x:c>
      <x:c r="J730" s="11"/>
      <x:c r="K730" s="1" t="str">
        <x:v>GFGV6600OC</x:v>
      </x:c>
      <x:c r="L730" s="1" t="str">
        <x:v>=+D726</x:v>
      </x:c>
    </x:row>
    <x:row r="731" ht="21" customHeight="1">
      <x:c r="A731" s="5" t="n">
        <x:v>46279</x:v>
      </x:c>
      <x:c r="B731" s="11" t="n">
        <x:v>192.29</x:v>
      </x:c>
      <x:c r="C731" s="11" t="n">
        <x:v>115791792</x:v>
      </x:c>
      <x:c r="D731" s="11" t="n">
        <x:v>170</x:v>
      </x:c>
      <x:c r="E731" s="11" t="n">
        <x:v>184.95</x:v>
      </x:c>
      <x:c r="F731" s="11" t="n">
        <x:v>200</x:v>
      </x:c>
      <x:c r="G731" s="11" t="n">
        <x:v>137.48</x:v>
      </x:c>
      <x:c r="H731" s="11" t="n">
        <x:v>0</x:v>
      </x:c>
      <x:c r="I731" s="11" t="n">
        <x:v>0</x:v>
      </x:c>
      <x:c r="J731" s="11"/>
      <x:c r="K731" s="1" t="str">
        <x:v>GFGV6600OC</x:v>
      </x:c>
      <x:c r="L731" s="1" t="str">
        <x:v>=+D727</x:v>
      </x:c>
    </x:row>
    <x:row r="732" ht="21" customHeight="1">
      <x:c r="A732" s="5" t="n">
        <x:v>46280</x:v>
      </x:c>
      <x:c r="B732" s="11" t="n">
        <x:v>220.68</x:v>
      </x:c>
      <x:c r="C732" s="11" t="n">
        <x:v>232898432</x:v>
      </x:c>
      <x:c r="D732" s="11" t="n">
        <x:v>184.95</x:v>
      </x:c>
      <x:c r="E732" s="11" t="n">
        <x:v>249</x:v>
      </x:c>
      <x:c r="F732" s="11" t="n">
        <x:v>249</x:v>
      </x:c>
      <x:c r="G732" s="11" t="n">
        <x:v>184.95</x:v>
      </x:c>
      <x:c r="H732" s="11" t="n">
        <x:v>0</x:v>
      </x:c>
      <x:c r="I732" s="11" t="n">
        <x:v>0</x:v>
      </x:c>
      <x:c r="J732" s="11"/>
      <x:c r="K732" s="1" t="str">
        <x:v>GFGV6600OC</x:v>
      </x:c>
      <x:c r="L732" s="1" t="str">
        <x:v>=+D728</x:v>
      </x:c>
    </x:row>
    <x:row r="733" ht="21" customHeight="1">
      <x:c r="A733" s="5" t="n">
        <x:v>46281</x:v>
      </x:c>
      <x:c r="B733" s="11" t="n">
        <x:v>222.45</x:v>
      </x:c>
      <x:c r="C733" s="11" t="n">
        <x:v>124328488</x:v>
      </x:c>
      <x:c r="D733" s="11" t="n">
        <x:v>249</x:v>
      </x:c>
      <x:c r="E733" s="11" t="n">
        <x:v>470</x:v>
      </x:c>
      <x:c r="F733" s="11" t="n">
        <x:v>249</x:v>
      </x:c>
      <x:c r="G733" s="11" t="n">
        <x:v>198.18</x:v>
      </x:c>
      <x:c r="H733" s="11" t="n">
        <x:v>0</x:v>
      </x:c>
      <x:c r="I733" s="11" t="n">
        <x:v>0</x:v>
      </x:c>
      <x:c r="J733" s="11"/>
      <x:c r="K733" s="1" t="str">
        <x:v>GFGV6600OC</x:v>
      </x:c>
      <x:c r="L733" s="1" t="str">
        <x:v>=+D729</x:v>
      </x:c>
    </x:row>
    <x:row r="734" ht="21" customHeight="1">
      <x:c r="A734" s="5" t="n">
        <x:v>46255</x:v>
      </x:c>
      <x:c r="B734" s="11" t="n">
        <x:v>450.05</x:v>
      </x:c>
      <x:c r="C734" s="11" t="n">
        <x:v>34926320</x:v>
      </x:c>
      <x:c r="D734" s="11" t="n">
        <x:v>470</x:v>
      </x:c>
      <x:c r="E734" s="11" t="n">
        <x:v>450</x:v>
      </x:c>
      <x:c r="F734" s="11" t="n">
        <x:v>485</x:v>
      </x:c>
      <x:c r="G734" s="11" t="n">
        <x:v>383.44</x:v>
      </x:c>
      <x:c r="H734" s="11" t="n">
        <x:v>0</x:v>
      </x:c>
      <x:c r="I734" s="11" t="n">
        <x:v>0</x:v>
      </x:c>
      <x:c r="J734" s="11"/>
      <x:c r="K734" s="1" t="str">
        <x:v>GFGV6800OC</x:v>
      </x:c>
      <x:c r="L734" s="1" t="str">
        <x:v>=+D730</x:v>
      </x:c>
    </x:row>
    <x:row r="735" ht="21" customHeight="1">
      <x:c r="A735" s="5" t="n">
        <x:v>46258</x:v>
      </x:c>
      <x:c r="B735" s="11" t="n">
        <x:v>309</x:v>
      </x:c>
      <x:c r="C735" s="11" t="n">
        <x:v>160321328</x:v>
      </x:c>
      <x:c r="D735" s="11" t="n">
        <x:v>450</x:v>
      </x:c>
      <x:c r="E735" s="11" t="n">
        <x:v>301.9</x:v>
      </x:c>
      <x:c r="F735" s="11" t="n">
        <x:v>450</x:v>
      </x:c>
      <x:c r="G735" s="11" t="n">
        <x:v>290</x:v>
      </x:c>
      <x:c r="H735" s="11" t="n">
        <x:v>0</x:v>
      </x:c>
      <x:c r="I735" s="11" t="n">
        <x:v>0</x:v>
      </x:c>
      <x:c r="J735" s="11"/>
      <x:c r="K735" s="1" t="str">
        <x:v>GFGV6800OC</x:v>
      </x:c>
      <x:c r="L735" s="1" t="str">
        <x:v>=+D731</x:v>
      </x:c>
    </x:row>
    <x:row r="736" ht="21" customHeight="1">
      <x:c r="A736" s="5" t="n">
        <x:v>46259</x:v>
      </x:c>
      <x:c r="B736" s="11" t="n">
        <x:v>251.5</x:v>
      </x:c>
      <x:c r="C736" s="11" t="n">
        <x:v>144849968</x:v>
      </x:c>
      <x:c r="D736" s="11" t="n">
        <x:v>301.9</x:v>
      </x:c>
      <x:c r="E736" s="11" t="n">
        <x:v>211</x:v>
      </x:c>
      <x:c r="F736" s="11" t="n">
        <x:v>335</x:v>
      </x:c>
      <x:c r="G736" s="11" t="n">
        <x:v>240</x:v>
      </x:c>
      <x:c r="H736" s="11" t="n">
        <x:v>0</x:v>
      </x:c>
      <x:c r="I736" s="11" t="n">
        <x:v>0</x:v>
      </x:c>
      <x:c r="J736" s="11"/>
      <x:c r="K736" s="1" t="str">
        <x:v>GFGV6800OC</x:v>
      </x:c>
      <x:c r="L736" s="1" t="str">
        <x:v>=+D732</x:v>
      </x:c>
    </x:row>
    <x:row r="737" ht="21" customHeight="1">
      <x:c r="A737" s="5" t="n">
        <x:v>46260</x:v>
      </x:c>
      <x:c r="B737" s="11" t="n">
        <x:v>260.29</x:v>
      </x:c>
      <x:c r="C737" s="11" t="n">
        <x:v>147960448</x:v>
      </x:c>
      <x:c r="D737" s="11" t="n">
        <x:v>211</x:v>
      </x:c>
      <x:c r="E737" s="11" t="n">
        <x:v>269</x:v>
      </x:c>
      <x:c r="F737" s="11" t="n">
        <x:v>290</x:v>
      </x:c>
      <x:c r="G737" s="11" t="n">
        <x:v>210</x:v>
      </x:c>
      <x:c r="H737" s="11" t="n">
        <x:v>0</x:v>
      </x:c>
      <x:c r="I737" s="11" t="n">
        <x:v>0</x:v>
      </x:c>
      <x:c r="J737" s="11"/>
      <x:c r="K737" s="1" t="str">
        <x:v>GFGV6800OC</x:v>
      </x:c>
      <x:c r="L737" s="1" t="str">
        <x:v>=+D733</x:v>
      </x:c>
    </x:row>
    <x:row r="738" ht="21" customHeight="1">
      <x:c r="A738" s="5" t="n">
        <x:v>46261</x:v>
      </x:c>
      <x:c r="B738" s="11" t="n">
        <x:v>319.7</x:v>
      </x:c>
      <x:c r="C738" s="11" t="n">
        <x:v>98834760</x:v>
      </x:c>
      <x:c r="D738" s="11" t="n">
        <x:v>269</x:v>
      </x:c>
      <x:c r="E738" s="11" t="n">
        <x:v>399.99</x:v>
      </x:c>
      <x:c r="F738" s="11" t="n">
        <x:v>335</x:v>
      </x:c>
      <x:c r="G738" s="11" t="n">
        <x:v>240.01</x:v>
      </x:c>
      <x:c r="H738" s="11" t="n">
        <x:v>0</x:v>
      </x:c>
      <x:c r="I738" s="11" t="n">
        <x:v>0</x:v>
      </x:c>
      <x:c r="J738" s="11"/>
      <x:c r="K738" s="1" t="str">
        <x:v>GFGV6800OC</x:v>
      </x:c>
      <x:c r="L738" s="1" t="str">
        <x:v>=+D734</x:v>
      </x:c>
    </x:row>
    <x:row r="739" ht="21" customHeight="1">
      <x:c r="A739" s="5" t="n">
        <x:v>46262</x:v>
      </x:c>
      <x:c r="B739" s="11" t="n">
        <x:v>332.14</x:v>
      </x:c>
      <x:c r="C739" s="11" t="n">
        <x:v>117761568</x:v>
      </x:c>
      <x:c r="D739" s="11" t="n">
        <x:v>399.99</x:v>
      </x:c>
      <x:c r="E739" s="11" t="n">
        <x:v>318.81</x:v>
      </x:c>
      <x:c r="F739" s="11" t="n">
        <x:v>399.99</x:v>
      </x:c>
      <x:c r="G739" s="11" t="n">
        <x:v>324.99</x:v>
      </x:c>
      <x:c r="H739" s="11" t="n">
        <x:v>0</x:v>
      </x:c>
      <x:c r="I739" s="11" t="n">
        <x:v>0</x:v>
      </x:c>
      <x:c r="J739" s="11"/>
      <x:c r="K739" s="1" t="str">
        <x:v>GFGV6800OC</x:v>
      </x:c>
      <x:c r="L739" s="1" t="str">
        <x:v>=+D735</x:v>
      </x:c>
    </x:row>
    <x:row r="740" ht="21" customHeight="1">
      <x:c r="A740" s="5" t="n">
        <x:v>46265</x:v>
      </x:c>
      <x:c r="B740" s="11" t="n">
        <x:v>262.94</x:v>
      </x:c>
      <x:c r="C740" s="11" t="n">
        <x:v>172245376</x:v>
      </x:c>
      <x:c r="D740" s="11" t="n">
        <x:v>318.81</x:v>
      </x:c>
      <x:c r="E740" s="11" t="n">
        <x:v>296</x:v>
      </x:c>
      <x:c r="F740" s="11" t="n">
        <x:v>338.98</x:v>
      </x:c>
      <x:c r="G740" s="11" t="n">
        <x:v>235</x:v>
      </x:c>
      <x:c r="H740" s="11" t="n">
        <x:v>0</x:v>
      </x:c>
      <x:c r="I740" s="11" t="n">
        <x:v>0</x:v>
      </x:c>
      <x:c r="J740" s="11"/>
      <x:c r="K740" s="1" t="str">
        <x:v>GFGV6800OC</x:v>
      </x:c>
      <x:c r="L740" s="1" t="str">
        <x:v>=+D736</x:v>
      </x:c>
    </x:row>
    <x:row r="741" ht="21" customHeight="1">
      <x:c r="A741" s="5" t="n">
        <x:v>46266</x:v>
      </x:c>
      <x:c r="B741" s="11" t="n">
        <x:v>251.94</x:v>
      </x:c>
      <x:c r="C741" s="11" t="n">
        <x:v>67521120</x:v>
      </x:c>
      <x:c r="D741" s="11" t="n">
        <x:v>296</x:v>
      </x:c>
      <x:c r="E741" s="11" t="n">
        <x:v>240</x:v>
      </x:c>
      <x:c r="F741" s="11" t="n">
        <x:v>315</x:v>
      </x:c>
      <x:c r="G741" s="11" t="n">
        <x:v>215</x:v>
      </x:c>
      <x:c r="H741" s="11" t="n">
        <x:v>0</x:v>
      </x:c>
      <x:c r="I741" s="11" t="n">
        <x:v>0</x:v>
      </x:c>
      <x:c r="J741" s="11"/>
      <x:c r="K741" s="1" t="str">
        <x:v>GFGV6800OC</x:v>
      </x:c>
      <x:c r="L741" s="1" t="str">
        <x:v>=+D737</x:v>
      </x:c>
    </x:row>
    <x:row r="742" ht="21" customHeight="1">
      <x:c r="A742" s="5" t="n">
        <x:v>46267</x:v>
      </x:c>
      <x:c r="B742" s="11" t="n">
        <x:v>210.34</x:v>
      </x:c>
      <x:c r="C742" s="11" t="n">
        <x:v>76401512</x:v>
      </x:c>
      <x:c r="D742" s="11" t="n">
        <x:v>240</x:v>
      </x:c>
      <x:c r="E742" s="11" t="n">
        <x:v>190</x:v>
      </x:c>
      <x:c r="F742" s="11" t="n">
        <x:v>256.85</x:v>
      </x:c>
      <x:c r="G742" s="11" t="n">
        <x:v>205.01</x:v>
      </x:c>
      <x:c r="H742" s="11" t="n">
        <x:v>0</x:v>
      </x:c>
      <x:c r="I742" s="11" t="n">
        <x:v>0</x:v>
      </x:c>
      <x:c r="J742" s="11"/>
      <x:c r="K742" s="1" t="str">
        <x:v>GFGV6800OC</x:v>
      </x:c>
      <x:c r="L742" s="1" t="str">
        <x:v>=+D738</x:v>
      </x:c>
    </x:row>
    <x:row r="743" ht="21" customHeight="1">
      <x:c r="A743" s="5" t="n">
        <x:v>46268</x:v>
      </x:c>
      <x:c r="B743" s="11" t="n">
        <x:v>235.69</x:v>
      </x:c>
      <x:c r="C743" s="11" t="n">
        <x:v>176546384</x:v>
      </x:c>
      <x:c r="D743" s="11" t="n">
        <x:v>190</x:v>
      </x:c>
      <x:c r="E743" s="11" t="n">
        <x:v>250</x:v>
      </x:c>
      <x:c r="F743" s="11" t="n">
        <x:v>249</x:v>
      </x:c>
      <x:c r="G743" s="11" t="n">
        <x:v>166</x:v>
      </x:c>
      <x:c r="H743" s="11" t="n">
        <x:v>0</x:v>
      </x:c>
      <x:c r="I743" s="11" t="n">
        <x:v>0</x:v>
      </x:c>
      <x:c r="J743" s="11"/>
      <x:c r="K743" s="1" t="str">
        <x:v>GFGV6800OC</x:v>
      </x:c>
      <x:c r="L743" s="1" t="str">
        <x:v>=+D739</x:v>
      </x:c>
    </x:row>
    <x:row r="744" ht="21" customHeight="1">
      <x:c r="A744" s="5" t="n">
        <x:v>46269</x:v>
      </x:c>
      <x:c r="B744" s="11" t="n">
        <x:v>237.19</x:v>
      </x:c>
      <x:c r="C744" s="11" t="n">
        <x:v>58824368</x:v>
      </x:c>
      <x:c r="D744" s="11" t="n">
        <x:v>250</x:v>
      </x:c>
      <x:c r="E744" s="11" t="n">
        <x:v>242.85</x:v>
      </x:c>
      <x:c r="F744" s="11" t="n">
        <x:v>284</x:v>
      </x:c>
      <x:c r="G744" s="11" t="n">
        <x:v>228</x:v>
      </x:c>
      <x:c r="H744" s="11" t="n">
        <x:v>0</x:v>
      </x:c>
      <x:c r="I744" s="11" t="n">
        <x:v>0</x:v>
      </x:c>
      <x:c r="J744" s="11"/>
      <x:c r="K744" s="1" t="str">
        <x:v>GFGV6800OC</x:v>
      </x:c>
      <x:c r="L744" s="1" t="str">
        <x:v>=+D740</x:v>
      </x:c>
    </x:row>
    <x:row r="745" ht="21" customHeight="1">
      <x:c r="A745" s="5" t="n">
        <x:v>46272</x:v>
      </x:c>
      <x:c r="B745" s="11" t="n">
        <x:v>254.66</x:v>
      </x:c>
      <x:c r="C745" s="11" t="n">
        <x:v>12808101</x:v>
      </x:c>
      <x:c r="D745" s="11" t="n">
        <x:v>242.85</x:v>
      </x:c>
      <x:c r="E745" s="11" t="n">
        <x:v>284.99</x:v>
      </x:c>
      <x:c r="F745" s="11" t="n">
        <x:v>264.99</x:v>
      </x:c>
      <x:c r="G745" s="11" t="n">
        <x:v>240.01</x:v>
      </x:c>
      <x:c r="H745" s="11" t="n">
        <x:v>0</x:v>
      </x:c>
      <x:c r="I745" s="11" t="n">
        <x:v>0</x:v>
      </x:c>
      <x:c r="J745" s="11"/>
      <x:c r="K745" s="1" t="str">
        <x:v>GFGV6800OC</x:v>
      </x:c>
      <x:c r="L745" s="1" t="str">
        <x:v>=+D741</x:v>
      </x:c>
    </x:row>
    <x:row r="746" ht="21" customHeight="1">
      <x:c r="A746" s="5" t="n">
        <x:v>46273</x:v>
      </x:c>
      <x:c r="B746" s="11" t="n">
        <x:v>224.24</x:v>
      </x:c>
      <x:c r="C746" s="11" t="n">
        <x:v>105680440</x:v>
      </x:c>
      <x:c r="D746" s="11" t="n">
        <x:v>284.99</x:v>
      </x:c>
      <x:c r="E746" s="11" t="n">
        <x:v>224</x:v>
      </x:c>
      <x:c r="F746" s="11" t="n">
        <x:v>284.99</x:v>
      </x:c>
      <x:c r="G746" s="11" t="n">
        <x:v>215</x:v>
      </x:c>
      <x:c r="H746" s="11" t="n">
        <x:v>0</x:v>
      </x:c>
      <x:c r="I746" s="11" t="n">
        <x:v>0</x:v>
      </x:c>
      <x:c r="J746" s="11"/>
      <x:c r="K746" s="1" t="str">
        <x:v>GFGV6800OC</x:v>
      </x:c>
      <x:c r="L746" s="1" t="str">
        <x:v>=+D742</x:v>
      </x:c>
    </x:row>
    <x:row r="747" ht="21" customHeight="1">
      <x:c r="A747" s="5" t="n">
        <x:v>46274</x:v>
      </x:c>
      <x:c r="B747" s="11" t="n">
        <x:v>195.89</x:v>
      </x:c>
      <x:c r="C747" s="11" t="n">
        <x:v>161789408</x:v>
      </x:c>
      <x:c r="D747" s="11" t="n">
        <x:v>224</x:v>
      </x:c>
      <x:c r="E747" s="11" t="n">
        <x:v>220</x:v>
      </x:c>
      <x:c r="F747" s="11" t="n">
        <x:v>275</x:v>
      </x:c>
      <x:c r="G747" s="11" t="n">
        <x:v>142</x:v>
      </x:c>
      <x:c r="H747" s="11" t="n">
        <x:v>0</x:v>
      </x:c>
      <x:c r="I747" s="11" t="n">
        <x:v>0</x:v>
      </x:c>
      <x:c r="J747" s="11"/>
      <x:c r="K747" s="1" t="str">
        <x:v>GFGV6800OC</x:v>
      </x:c>
      <x:c r="L747" s="1" t="str">
        <x:v>=+D743</x:v>
      </x:c>
    </x:row>
    <x:row r="748" ht="21" customHeight="1">
      <x:c r="A748" s="5" t="n">
        <x:v>46275</x:v>
      </x:c>
      <x:c r="B748" s="11" t="n">
        <x:v>180.26</x:v>
      </x:c>
      <x:c r="C748" s="11" t="n">
        <x:v>181138896</x:v>
      </x:c>
      <x:c r="D748" s="11" t="n">
        <x:v>220</x:v>
      </x:c>
      <x:c r="E748" s="11" t="n">
        <x:v>169.99</x:v>
      </x:c>
      <x:c r="F748" s="11" t="n">
        <x:v>224</x:v>
      </x:c>
      <x:c r="G748" s="11" t="n">
        <x:v>148</x:v>
      </x:c>
      <x:c r="H748" s="11" t="n">
        <x:v>0</x:v>
      </x:c>
      <x:c r="I748" s="11" t="n">
        <x:v>0</x:v>
      </x:c>
      <x:c r="J748" s="11"/>
      <x:c r="K748" s="1" t="str">
        <x:v>GFGV6800OC</x:v>
      </x:c>
      <x:c r="L748" s="1" t="str">
        <x:v>=+D744</x:v>
      </x:c>
    </x:row>
    <x:row r="749" ht="21" customHeight="1">
      <x:c r="A749" s="5" t="n">
        <x:v>46276</x:v>
      </x:c>
      <x:c r="B749" s="11" t="n">
        <x:v>222.83</x:v>
      </x:c>
      <x:c r="C749" s="11" t="n">
        <x:v>133711784</x:v>
      </x:c>
      <x:c r="D749" s="11" t="n">
        <x:v>169.99</x:v>
      </x:c>
      <x:c r="E749" s="11" t="n">
        <x:v>262.5</x:v>
      </x:c>
      <x:c r="F749" s="11" t="n">
        <x:v>250</x:v>
      </x:c>
      <x:c r="G749" s="11" t="n">
        <x:v>169.99</x:v>
      </x:c>
      <x:c r="H749" s="11" t="n">
        <x:v>0</x:v>
      </x:c>
      <x:c r="I749" s="11" t="n">
        <x:v>0</x:v>
      </x:c>
      <x:c r="J749" s="11"/>
      <x:c r="K749" s="1" t="str">
        <x:v>GFGV6800OC</x:v>
      </x:c>
      <x:c r="L749" s="1" t="str">
        <x:v>=+D745</x:v>
      </x:c>
    </x:row>
    <x:row r="750" ht="21" customHeight="1">
      <x:c r="A750" s="5" t="n">
        <x:v>46279</x:v>
      </x:c>
      <x:c r="B750" s="11" t="n">
        <x:v>275.35</x:v>
      </x:c>
      <x:c r="C750" s="11" t="n">
        <x:v>155947568</x:v>
      </x:c>
      <x:c r="D750" s="11" t="n">
        <x:v>262.5</x:v>
      </x:c>
      <x:c r="E750" s="11" t="n">
        <x:v>298.96</x:v>
      </x:c>
      <x:c r="F750" s="11" t="n">
        <x:v>299</x:v>
      </x:c>
      <x:c r="G750" s="11" t="n">
        <x:v>214</x:v>
      </x:c>
      <x:c r="H750" s="11" t="n">
        <x:v>0</x:v>
      </x:c>
      <x:c r="I750" s="11" t="n">
        <x:v>0</x:v>
      </x:c>
      <x:c r="J750" s="11"/>
      <x:c r="K750" s="1" t="str">
        <x:v>GFGV6800OC</x:v>
      </x:c>
      <x:c r="L750" s="1" t="str">
        <x:v>=+D746</x:v>
      </x:c>
    </x:row>
    <x:row r="751" ht="21" customHeight="1">
      <x:c r="A751" s="5" t="n">
        <x:v>46280</x:v>
      </x:c>
      <x:c r="B751" s="11" t="n">
        <x:v>311.72</x:v>
      </x:c>
      <x:c r="C751" s="11" t="n">
        <x:v>177815008</x:v>
      </x:c>
      <x:c r="D751" s="11" t="n">
        <x:v>298.96</x:v>
      </x:c>
      <x:c r="E751" s="11" t="n">
        <x:v>330</x:v>
      </x:c>
      <x:c r="F751" s="11" t="n">
        <x:v>340</x:v>
      </x:c>
      <x:c r="G751" s="11" t="n">
        <x:v>286</x:v>
      </x:c>
      <x:c r="H751" s="11" t="n">
        <x:v>0</x:v>
      </x:c>
      <x:c r="I751" s="11" t="n">
        <x:v>0</x:v>
      </x:c>
      <x:c r="J751" s="11"/>
      <x:c r="K751" s="1" t="str">
        <x:v>GFGV6800OC</x:v>
      </x:c>
      <x:c r="L751" s="1" t="str">
        <x:v>=+D747</x:v>
      </x:c>
    </x:row>
    <x:row r="752" ht="21" customHeight="1">
      <x:c r="A752" s="5" t="n">
        <x:v>46281</x:v>
      </x:c>
      <x:c r="B752" s="11" t="n">
        <x:v>312.15</x:v>
      </x:c>
      <x:c r="C752" s="11" t="n">
        <x:v>81244632</x:v>
      </x:c>
      <x:c r="D752" s="11" t="n">
        <x:v>330</x:v>
      </x:c>
      <x:c r="E752" s="11" t="n">
        <x:v>560</x:v>
      </x:c>
      <x:c r="F752" s="11" t="n">
        <x:v>345</x:v>
      </x:c>
      <x:c r="G752" s="11" t="n">
        <x:v>285</x:v>
      </x:c>
      <x:c r="H752" s="11" t="n">
        <x:v>0</x:v>
      </x:c>
      <x:c r="I752" s="11" t="n">
        <x:v>0</x:v>
      </x:c>
      <x:c r="J752" s="11"/>
      <x:c r="K752" s="1" t="str">
        <x:v>GFGV6800OC</x:v>
      </x:c>
      <x:c r="L752" s="1" t="str">
        <x:v>=+D748</x:v>
      </x:c>
    </x:row>
    <x:row r="753" ht="21" customHeight="1">
      <x:c r="A753" s="5" t="n">
        <x:v>46255</x:v>
      </x:c>
      <x:c r="B753" s="11" t="n">
        <x:v>570</x:v>
      </x:c>
      <x:c r="C753" s="11" t="n">
        <x:v>65445404</x:v>
      </x:c>
      <x:c r="D753" s="11" t="n">
        <x:v>560</x:v>
      </x:c>
      <x:c r="E753" s="11" t="n">
        <x:v>570</x:v>
      </x:c>
      <x:c r="F753" s="11" t="n">
        <x:v>597</x:v>
      </x:c>
      <x:c r="G753" s="11" t="n">
        <x:v>435</x:v>
      </x:c>
      <x:c r="H753" s="11" t="n">
        <x:v>0</x:v>
      </x:c>
      <x:c r="I753" s="11" t="n">
        <x:v>0</x:v>
      </x:c>
      <x:c r="J753" s="11"/>
      <x:c r="K753" s="1" t="str">
        <x:v>GFGV7000OC</x:v>
      </x:c>
      <x:c r="L753" s="1" t="str">
        <x:v>=+D749</x:v>
      </x:c>
    </x:row>
    <x:row r="754" ht="21" customHeight="1">
      <x:c r="A754" s="5" t="n">
        <x:v>46258</x:v>
      </x:c>
      <x:c r="B754" s="11" t="n">
        <x:v>400.7</x:v>
      </x:c>
      <x:c r="C754" s="11" t="n">
        <x:v>622850880</x:v>
      </x:c>
      <x:c r="D754" s="11" t="n">
        <x:v>570</x:v>
      </x:c>
      <x:c r="E754" s="11" t="n">
        <x:v>413</x:v>
      </x:c>
      <x:c r="F754" s="11" t="n">
        <x:v>570</x:v>
      </x:c>
      <x:c r="G754" s="11" t="n">
        <x:v>370.01</x:v>
      </x:c>
      <x:c r="H754" s="11" t="n">
        <x:v>0</x:v>
      </x:c>
      <x:c r="I754" s="11" t="n">
        <x:v>0</x:v>
      </x:c>
      <x:c r="J754" s="11"/>
      <x:c r="K754" s="1" t="str">
        <x:v>GFGV7000OC</x:v>
      </x:c>
      <x:c r="L754" s="1" t="str">
        <x:v>=+D750</x:v>
      </x:c>
    </x:row>
    <x:row r="755" ht="21" customHeight="1">
      <x:c r="A755" s="5" t="n">
        <x:v>46259</x:v>
      </x:c>
      <x:c r="B755" s="11" t="n">
        <x:v>333.44</x:v>
      </x:c>
      <x:c r="C755" s="11" t="n">
        <x:v>147368496</x:v>
      </x:c>
      <x:c r="D755" s="11" t="n">
        <x:v>413</x:v>
      </x:c>
      <x:c r="E755" s="11" t="n">
        <x:v>280</x:v>
      </x:c>
      <x:c r="F755" s="11" t="n">
        <x:v>429</x:v>
      </x:c>
      <x:c r="G755" s="11" t="n">
        <x:v>325.02</x:v>
      </x:c>
      <x:c r="H755" s="11" t="n">
        <x:v>0</x:v>
      </x:c>
      <x:c r="I755" s="11" t="n">
        <x:v>0</x:v>
      </x:c>
      <x:c r="J755" s="11"/>
      <x:c r="K755" s="1" t="str">
        <x:v>GFGV7000OC</x:v>
      </x:c>
      <x:c r="L755" s="1" t="str">
        <x:v>=+D751</x:v>
      </x:c>
    </x:row>
    <x:row r="756" ht="21" customHeight="1">
      <x:c r="A756" s="5" t="n">
        <x:v>46260</x:v>
      </x:c>
      <x:c r="B756" s="11" t="n">
        <x:v>344.64</x:v>
      </x:c>
      <x:c r="C756" s="11" t="n">
        <x:v>112670816</x:v>
      </x:c>
      <x:c r="D756" s="11" t="n">
        <x:v>280</x:v>
      </x:c>
      <x:c r="E756" s="11" t="n">
        <x:v>360</x:v>
      </x:c>
      <x:c r="F756" s="11" t="n">
        <x:v>370</x:v>
      </x:c>
      <x:c r="G756" s="11" t="n">
        <x:v>280</x:v>
      </x:c>
      <x:c r="H756" s="11" t="n">
        <x:v>0</x:v>
      </x:c>
      <x:c r="I756" s="11" t="n">
        <x:v>0</x:v>
      </x:c>
      <x:c r="J756" s="11"/>
      <x:c r="K756" s="1" t="str">
        <x:v>GFGV7000OC</x:v>
      </x:c>
      <x:c r="L756" s="1" t="str">
        <x:v>=+D752</x:v>
      </x:c>
    </x:row>
    <x:row r="757" ht="21" customHeight="1">
      <x:c r="A757" s="5" t="n">
        <x:v>46261</x:v>
      </x:c>
      <x:c r="B757" s="11" t="n">
        <x:v>414.3</x:v>
      </x:c>
      <x:c r="C757" s="11" t="n">
        <x:v>151859664</x:v>
      </x:c>
      <x:c r="D757" s="11" t="n">
        <x:v>360</x:v>
      </x:c>
      <x:c r="E757" s="11" t="n">
        <x:v>439.98</x:v>
      </x:c>
      <x:c r="F757" s="11" t="n">
        <x:v>430</x:v>
      </x:c>
      <x:c r="G757" s="11" t="n">
        <x:v>306</x:v>
      </x:c>
      <x:c r="H757" s="11" t="n">
        <x:v>0</x:v>
      </x:c>
      <x:c r="I757" s="11" t="n">
        <x:v>0</x:v>
      </x:c>
      <x:c r="J757" s="11"/>
      <x:c r="K757" s="1" t="str">
        <x:v>GFGV7000OC</x:v>
      </x:c>
      <x:c r="L757" s="1" t="str">
        <x:v>=+D753</x:v>
      </x:c>
    </x:row>
    <x:row r="758" ht="21" customHeight="1">
      <x:c r="A758" s="5" t="n">
        <x:v>46262</x:v>
      </x:c>
      <x:c r="B758" s="11" t="n">
        <x:v>436.88</x:v>
      </x:c>
      <x:c r="C758" s="11" t="n">
        <x:v>113558816</x:v>
      </x:c>
      <x:c r="D758" s="11" t="n">
        <x:v>439.98</x:v>
      </x:c>
      <x:c r="E758" s="11" t="n">
        <x:v>412.52</x:v>
      </x:c>
      <x:c r="F758" s="11" t="n">
        <x:v>494.78</x:v>
      </x:c>
      <x:c r="G758" s="11" t="n">
        <x:v>420</x:v>
      </x:c>
      <x:c r="H758" s="11" t="n">
        <x:v>0</x:v>
      </x:c>
      <x:c r="I758" s="11" t="n">
        <x:v>0</x:v>
      </x:c>
      <x:c r="J758" s="11"/>
      <x:c r="K758" s="1" t="str">
        <x:v>GFGV7000OC</x:v>
      </x:c>
      <x:c r="L758" s="1" t="str">
        <x:v>=+D754</x:v>
      </x:c>
    </x:row>
    <x:row r="759" ht="21" customHeight="1">
      <x:c r="A759" s="5" t="n">
        <x:v>46265</x:v>
      </x:c>
      <x:c r="B759" s="11" t="n">
        <x:v>346.09</x:v>
      </x:c>
      <x:c r="C759" s="11" t="n">
        <x:v>147815968</x:v>
      </x:c>
      <x:c r="D759" s="11" t="n">
        <x:v>412.52</x:v>
      </x:c>
      <x:c r="E759" s="11" t="n">
        <x:v>390</x:v>
      </x:c>
      <x:c r="F759" s="11" t="n">
        <x:v>429.48</x:v>
      </x:c>
      <x:c r="G759" s="11" t="n">
        <x:v>310</x:v>
      </x:c>
      <x:c r="H759" s="11" t="n">
        <x:v>0</x:v>
      </x:c>
      <x:c r="I759" s="11" t="n">
        <x:v>0</x:v>
      </x:c>
      <x:c r="J759" s="11"/>
      <x:c r="K759" s="1" t="str">
        <x:v>GFGV7000OC</x:v>
      </x:c>
      <x:c r="L759" s="1" t="str">
        <x:v>=+D755</x:v>
      </x:c>
    </x:row>
    <x:row r="760" ht="21" customHeight="1">
      <x:c r="A760" s="5" t="n">
        <x:v>46266</x:v>
      </x:c>
      <x:c r="B760" s="11" t="n">
        <x:v>334.82</x:v>
      </x:c>
      <x:c r="C760" s="11" t="n">
        <x:v>161734720</x:v>
      </x:c>
      <x:c r="D760" s="11" t="n">
        <x:v>390</x:v>
      </x:c>
      <x:c r="E760" s="11" t="n">
        <x:v>325</x:v>
      </x:c>
      <x:c r="F760" s="11" t="n">
        <x:v>400</x:v>
      </x:c>
      <x:c r="G760" s="11" t="n">
        <x:v>285</x:v>
      </x:c>
      <x:c r="H760" s="11" t="n">
        <x:v>0</x:v>
      </x:c>
      <x:c r="I760" s="11" t="n">
        <x:v>0</x:v>
      </x:c>
      <x:c r="J760" s="11"/>
      <x:c r="K760" s="1" t="str">
        <x:v>GFGV7000OC</x:v>
      </x:c>
      <x:c r="L760" s="1" t="str">
        <x:v>=+D756</x:v>
      </x:c>
    </x:row>
    <x:row r="761" ht="21" customHeight="1">
      <x:c r="A761" s="5" t="n">
        <x:v>46267</x:v>
      </x:c>
      <x:c r="B761" s="11" t="n">
        <x:v>286.63</x:v>
      </x:c>
      <x:c r="C761" s="11" t="n">
        <x:v>247666304</x:v>
      </x:c>
      <x:c r="D761" s="11" t="n">
        <x:v>325</x:v>
      </x:c>
      <x:c r="E761" s="11" t="n">
        <x:v>285</x:v>
      </x:c>
      <x:c r="F761" s="11" t="n">
        <x:v>335</x:v>
      </x:c>
      <x:c r="G761" s="11" t="n">
        <x:v>280.01</x:v>
      </x:c>
      <x:c r="H761" s="11" t="n">
        <x:v>0</x:v>
      </x:c>
      <x:c r="I761" s="11" t="n">
        <x:v>0</x:v>
      </x:c>
      <x:c r="J761" s="11"/>
      <x:c r="K761" s="1" t="str">
        <x:v>GFGV7000OC</x:v>
      </x:c>
      <x:c r="L761" s="1" t="str">
        <x:v>=+D757</x:v>
      </x:c>
    </x:row>
    <x:row r="762" ht="21" customHeight="1">
      <x:c r="A762" s="5" t="n">
        <x:v>46268</x:v>
      </x:c>
      <x:c r="B762" s="11" t="n">
        <x:v>315.24</x:v>
      </x:c>
      <x:c r="C762" s="11" t="n">
        <x:v>213086576</x:v>
      </x:c>
      <x:c r="D762" s="11" t="n">
        <x:v>285</x:v>
      </x:c>
      <x:c r="E762" s="11" t="n">
        <x:v>307.01</x:v>
      </x:c>
      <x:c r="F762" s="11" t="n">
        <x:v>337</x:v>
      </x:c>
      <x:c r="G762" s="11" t="n">
        <x:v>240</x:v>
      </x:c>
      <x:c r="H762" s="11" t="n">
        <x:v>0</x:v>
      </x:c>
      <x:c r="I762" s="11" t="n">
        <x:v>0</x:v>
      </x:c>
      <x:c r="J762" s="11"/>
      <x:c r="K762" s="1" t="str">
        <x:v>GFGV7000OC</x:v>
      </x:c>
      <x:c r="L762" s="1" t="str">
        <x:v>=+D758</x:v>
      </x:c>
    </x:row>
    <x:row r="763" ht="21" customHeight="1">
      <x:c r="A763" s="5" t="n">
        <x:v>46269</x:v>
      </x:c>
      <x:c r="B763" s="11" t="n">
        <x:v>319.58</x:v>
      </x:c>
      <x:c r="C763" s="11" t="n">
        <x:v>132573840</x:v>
      </x:c>
      <x:c r="D763" s="11" t="n">
        <x:v>307.01</x:v>
      </x:c>
      <x:c r="E763" s="11" t="n">
        <x:v>344.56</x:v>
      </x:c>
      <x:c r="F763" s="11" t="n">
        <x:v>366</x:v>
      </x:c>
      <x:c r="G763" s="11" t="n">
        <x:v>290</x:v>
      </x:c>
      <x:c r="H763" s="11" t="n">
        <x:v>0</x:v>
      </x:c>
      <x:c r="I763" s="11" t="n">
        <x:v>0</x:v>
      </x:c>
      <x:c r="J763" s="11"/>
      <x:c r="K763" s="1" t="str">
        <x:v>GFGV7000OC</x:v>
      </x:c>
      <x:c r="L763" s="1" t="str">
        <x:v>=+D759</x:v>
      </x:c>
    </x:row>
    <x:row r="764" ht="21" customHeight="1">
      <x:c r="A764" s="5" t="n">
        <x:v>46272</x:v>
      </x:c>
      <x:c r="B764" s="11" t="n">
        <x:v>341.02</x:v>
      </x:c>
      <x:c r="C764" s="11" t="n">
        <x:v>39547268</x:v>
      </x:c>
      <x:c r="D764" s="11" t="n">
        <x:v>344.56</x:v>
      </x:c>
      <x:c r="E764" s="11" t="n">
        <x:v>325.01</x:v>
      </x:c>
      <x:c r="F764" s="11" t="n">
        <x:v>377.43</x:v>
      </x:c>
      <x:c r="G764" s="11" t="n">
        <x:v>332</x:v>
      </x:c>
      <x:c r="H764" s="11" t="n">
        <x:v>0</x:v>
      </x:c>
      <x:c r="I764" s="11" t="n">
        <x:v>0</x:v>
      </x:c>
      <x:c r="J764" s="11"/>
      <x:c r="K764" s="1" t="str">
        <x:v>GFGV7000OC</x:v>
      </x:c>
      <x:c r="L764" s="1" t="str">
        <x:v>=+D760</x:v>
      </x:c>
    </x:row>
    <x:row r="765" ht="21" customHeight="1">
      <x:c r="A765" s="5" t="n">
        <x:v>46273</x:v>
      </x:c>
      <x:c r="B765" s="11" t="n">
        <x:v>317.07</x:v>
      </x:c>
      <x:c r="C765" s="11" t="n">
        <x:v>194390672</x:v>
      </x:c>
      <x:c r="D765" s="11" t="n">
        <x:v>325.01</x:v>
      </x:c>
      <x:c r="E765" s="11" t="n">
        <x:v>330</x:v>
      </x:c>
      <x:c r="F765" s="11" t="n">
        <x:v>360</x:v>
      </x:c>
      <x:c r="G765" s="11" t="n">
        <x:v>300.11</x:v>
      </x:c>
      <x:c r="H765" s="11" t="n">
        <x:v>0</x:v>
      </x:c>
      <x:c r="I765" s="11" t="n">
        <x:v>0</x:v>
      </x:c>
      <x:c r="J765" s="11"/>
      <x:c r="K765" s="1" t="str">
        <x:v>GFGV7000OC</x:v>
      </x:c>
      <x:c r="L765" s="1" t="str">
        <x:v>=+D761</x:v>
      </x:c>
    </x:row>
    <x:row r="766" ht="21" customHeight="1">
      <x:c r="A766" s="5" t="n">
        <x:v>46274</x:v>
      </x:c>
      <x:c r="B766" s="11" t="n">
        <x:v>279.23</x:v>
      </x:c>
      <x:c r="C766" s="11" t="n">
        <x:v>193098256</x:v>
      </x:c>
      <x:c r="D766" s="11" t="n">
        <x:v>330</x:v>
      </x:c>
      <x:c r="E766" s="11" t="n">
        <x:v>320</x:v>
      </x:c>
      <x:c r="F766" s="11" t="n">
        <x:v>367</x:v>
      </x:c>
      <x:c r="G766" s="11" t="n">
        <x:v>265.01</x:v>
      </x:c>
      <x:c r="H766" s="11" t="n">
        <x:v>0</x:v>
      </x:c>
      <x:c r="I766" s="11" t="n">
        <x:v>0</x:v>
      </x:c>
      <x:c r="J766" s="11"/>
      <x:c r="K766" s="1" t="str">
        <x:v>GFGV7000OC</x:v>
      </x:c>
      <x:c r="L766" s="1" t="str">
        <x:v>=+D762</x:v>
      </x:c>
    </x:row>
    <x:row r="767" ht="21" customHeight="1">
      <x:c r="A767" s="5" t="n">
        <x:v>46275</x:v>
      </x:c>
      <x:c r="B767" s="11" t="n">
        <x:v>250.22</x:v>
      </x:c>
      <x:c r="C767" s="11" t="n">
        <x:v>165734816</x:v>
      </x:c>
      <x:c r="D767" s="11" t="n">
        <x:v>320</x:v>
      </x:c>
      <x:c r="E767" s="11" t="n">
        <x:v>209.72</x:v>
      </x:c>
      <x:c r="F767" s="11" t="n">
        <x:v>320</x:v>
      </x:c>
      <x:c r="G767" s="11" t="n">
        <x:v>211.08</x:v>
      </x:c>
      <x:c r="H767" s="11" t="n">
        <x:v>0</x:v>
      </x:c>
      <x:c r="I767" s="11" t="n">
        <x:v>0</x:v>
      </x:c>
      <x:c r="J767" s="11"/>
      <x:c r="K767" s="1" t="str">
        <x:v>GFGV7000OC</x:v>
      </x:c>
      <x:c r="L767" s="1" t="str">
        <x:v>=+D763</x:v>
      </x:c>
    </x:row>
    <x:row r="768" ht="21" customHeight="1">
      <x:c r="A768" s="5" t="n">
        <x:v>46276</x:v>
      </x:c>
      <x:c r="B768" s="11" t="n">
        <x:v>308.63</x:v>
      </x:c>
      <x:c r="C768" s="11" t="n">
        <x:v>148897408</x:v>
      </x:c>
      <x:c r="D768" s="11" t="n">
        <x:v>209.72</x:v>
      </x:c>
      <x:c r="E768" s="11" t="n">
        <x:v>320</x:v>
      </x:c>
      <x:c r="F768" s="11" t="n">
        <x:v>343</x:v>
      </x:c>
      <x:c r="G768" s="11" t="n">
        <x:v>209.72</x:v>
      </x:c>
      <x:c r="H768" s="11" t="n">
        <x:v>0</x:v>
      </x:c>
      <x:c r="I768" s="11" t="n">
        <x:v>0</x:v>
      </x:c>
      <x:c r="J768" s="11"/>
      <x:c r="K768" s="1" t="str">
        <x:v>GFGV7000OC</x:v>
      </x:c>
      <x:c r="L768" s="1" t="str">
        <x:v>=+D764</x:v>
      </x:c>
    </x:row>
    <x:row r="769" ht="21" customHeight="1">
      <x:c r="A769" s="5" t="n">
        <x:v>46279</x:v>
      </x:c>
      <x:c r="B769" s="11" t="n">
        <x:v>374.39</x:v>
      </x:c>
      <x:c r="C769" s="11" t="n">
        <x:v>147142976</x:v>
      </x:c>
      <x:c r="D769" s="11" t="n">
        <x:v>320</x:v>
      </x:c>
      <x:c r="E769" s="11" t="n">
        <x:v>395</x:v>
      </x:c>
      <x:c r="F769" s="11" t="n">
        <x:v>392</x:v>
      </x:c>
      <x:c r="G769" s="11" t="n">
        <x:v>300</x:v>
      </x:c>
      <x:c r="H769" s="11" t="n">
        <x:v>0</x:v>
      </x:c>
      <x:c r="I769" s="11" t="n">
        <x:v>0</x:v>
      </x:c>
      <x:c r="J769" s="11"/>
      <x:c r="K769" s="1" t="str">
        <x:v>GFGV7000OC</x:v>
      </x:c>
      <x:c r="L769" s="1" t="str">
        <x:v>=+D765</x:v>
      </x:c>
    </x:row>
    <x:row r="770" ht="21" customHeight="1">
      <x:c r="A770" s="5" t="n">
        <x:v>46280</x:v>
      </x:c>
      <x:c r="B770" s="11" t="n">
        <x:v>418.29</x:v>
      </x:c>
      <x:c r="C770" s="11" t="n">
        <x:v>127203152</x:v>
      </x:c>
      <x:c r="D770" s="11" t="n">
        <x:v>395</x:v>
      </x:c>
      <x:c r="E770" s="11" t="n">
        <x:v>430.01</x:v>
      </x:c>
      <x:c r="F770" s="11" t="n">
        <x:v>453.97</x:v>
      </x:c>
      <x:c r="G770" s="11" t="n">
        <x:v>382.99</x:v>
      </x:c>
      <x:c r="H770" s="11" t="n">
        <x:v>0</x:v>
      </x:c>
      <x:c r="I770" s="11" t="n">
        <x:v>0</x:v>
      </x:c>
      <x:c r="J770" s="11"/>
      <x:c r="K770" s="1" t="str">
        <x:v>GFGV7000OC</x:v>
      </x:c>
      <x:c r="L770" s="1" t="str">
        <x:v>=+D766</x:v>
      </x:c>
    </x:row>
    <x:row r="771" ht="21" customHeight="1">
      <x:c r="A771" s="5" t="n">
        <x:v>46281</x:v>
      </x:c>
      <x:c r="B771" s="11" t="n">
        <x:v>427.03</x:v>
      </x:c>
      <x:c r="C771" s="11" t="n">
        <x:v>45682320</x:v>
      </x:c>
      <x:c r="D771" s="11" t="n">
        <x:v>430.01</x:v>
      </x:c>
      <x:c r="E771" s="11" t="n">
        <x:v>641.6</x:v>
      </x:c>
      <x:c r="F771" s="11" t="n">
        <x:v>465</x:v>
      </x:c>
      <x:c r="G771" s="11" t="n">
        <x:v>385</x:v>
      </x:c>
      <x:c r="H771" s="11" t="n">
        <x:v>0</x:v>
      </x:c>
      <x:c r="I771" s="11" t="n">
        <x:v>0</x:v>
      </x:c>
      <x:c r="J771" s="11"/>
      <x:c r="K771" s="1" t="str">
        <x:v>GFGV7000OC</x:v>
      </x:c>
      <x:c r="L771" s="1" t="str">
        <x:v>=+D767</x:v>
      </x:c>
    </x:row>
    <x:row r="772" ht="21" customHeight="1">
      <x:c r="A772" s="5" t="n">
        <x:v>46255</x:v>
      </x:c>
      <x:c r="B772" s="11" t="n">
        <x:v>731.63</x:v>
      </x:c>
      <x:c r="C772" s="11" t="n">
        <x:v>14423741</x:v>
      </x:c>
      <x:c r="D772" s="11" t="n">
        <x:v>641.6</x:v>
      </x:c>
      <x:c r="E772" s="11" t="n">
        <x:v>633</x:v>
      </x:c>
      <x:c r="F772" s="11" t="n">
        <x:v>750</x:v>
      </x:c>
      <x:c r="G772" s="11" t="n">
        <x:v>603</x:v>
      </x:c>
      <x:c r="H772" s="11" t="n">
        <x:v>0</x:v>
      </x:c>
      <x:c r="I772" s="11" t="n">
        <x:v>0</x:v>
      </x:c>
      <x:c r="J772" s="11"/>
      <x:c r="K772" s="1" t="str">
        <x:v>GFGV7200OC</x:v>
      </x:c>
      <x:c r="L772" s="1" t="str">
        <x:v>=+D768</x:v>
      </x:c>
    </x:row>
    <x:row r="773" ht="21" customHeight="1">
      <x:c r="A773" s="5" t="n">
        <x:v>46258</x:v>
      </x:c>
      <x:c r="B773" s="11" t="n">
        <x:v>509.16</x:v>
      </x:c>
      <x:c r="C773" s="11" t="n">
        <x:v>29652486</x:v>
      </x:c>
      <x:c r="D773" s="11" t="n">
        <x:v>633</x:v>
      </x:c>
      <x:c r="E773" s="11" t="n">
        <x:v>519.88</x:v>
      </x:c>
      <x:c r="F773" s="11" t="n">
        <x:v>633</x:v>
      </x:c>
      <x:c r="G773" s="11" t="n">
        <x:v>453.25</x:v>
      </x:c>
      <x:c r="H773" s="11" t="n">
        <x:v>0</x:v>
      </x:c>
      <x:c r="I773" s="11" t="n">
        <x:v>0</x:v>
      </x:c>
      <x:c r="J773" s="11"/>
      <x:c r="K773" s="1" t="str">
        <x:v>GFGV7200OC</x:v>
      </x:c>
      <x:c r="L773" s="1" t="str">
        <x:v>=+D769</x:v>
      </x:c>
    </x:row>
    <x:row r="774" ht="21" customHeight="1">
      <x:c r="A774" s="5" t="n">
        <x:v>46259</x:v>
      </x:c>
      <x:c r="B774" s="11" t="n">
        <x:v>428.03</x:v>
      </x:c>
      <x:c r="C774" s="11" t="n">
        <x:v>37851692</x:v>
      </x:c>
      <x:c r="D774" s="11" t="n">
        <x:v>519.88</x:v>
      </x:c>
      <x:c r="E774" s="11" t="n">
        <x:v>355.5</x:v>
      </x:c>
      <x:c r="F774" s="11" t="n">
        <x:v>540</x:v>
      </x:c>
      <x:c r="G774" s="11" t="n">
        <x:v>428</x:v>
      </x:c>
      <x:c r="H774" s="11" t="n">
        <x:v>0</x:v>
      </x:c>
      <x:c r="I774" s="11" t="n">
        <x:v>0</x:v>
      </x:c>
      <x:c r="J774" s="11"/>
      <x:c r="K774" s="1" t="str">
        <x:v>GFGV7200OC</x:v>
      </x:c>
      <x:c r="L774" s="1" t="str">
        <x:v>=+D770</x:v>
      </x:c>
    </x:row>
    <x:row r="775" ht="21" customHeight="1">
      <x:c r="A775" s="5" t="n">
        <x:v>46260</x:v>
      </x:c>
      <x:c r="B775" s="11" t="n">
        <x:v>437.25</x:v>
      </x:c>
      <x:c r="C775" s="11" t="n">
        <x:v>45277852</x:v>
      </x:c>
      <x:c r="D775" s="11" t="n">
        <x:v>355.5</x:v>
      </x:c>
      <x:c r="E775" s="11" t="n">
        <x:v>440</x:v>
      </x:c>
      <x:c r="F775" s="11" t="n">
        <x:v>488.98</x:v>
      </x:c>
      <x:c r="G775" s="11" t="n">
        <x:v>355.5</x:v>
      </x:c>
      <x:c r="H775" s="11" t="n">
        <x:v>0</x:v>
      </x:c>
      <x:c r="I775" s="11" t="n">
        <x:v>0</x:v>
      </x:c>
      <x:c r="J775" s="11"/>
      <x:c r="K775" s="1" t="str">
        <x:v>GFGV7200OC</x:v>
      </x:c>
      <x:c r="L775" s="1" t="str">
        <x:v>=+D771</x:v>
      </x:c>
    </x:row>
    <x:row r="776" ht="21" customHeight="1">
      <x:c r="A776" s="5" t="n">
        <x:v>46261</x:v>
      </x:c>
      <x:c r="B776" s="11" t="n">
        <x:v>525.21</x:v>
      </x:c>
      <x:c r="C776" s="11" t="n">
        <x:v>25037786</x:v>
      </x:c>
      <x:c r="D776" s="11" t="n">
        <x:v>440</x:v>
      </x:c>
      <x:c r="E776" s="11" t="n">
        <x:v>525</x:v>
      </x:c>
      <x:c r="F776" s="11" t="n">
        <x:v>540</x:v>
      </x:c>
      <x:c r="G776" s="11" t="n">
        <x:v>440</x:v>
      </x:c>
      <x:c r="H776" s="11" t="n">
        <x:v>0</x:v>
      </x:c>
      <x:c r="I776" s="11" t="n">
        <x:v>0</x:v>
      </x:c>
      <x:c r="J776" s="11"/>
      <x:c r="K776" s="1" t="str">
        <x:v>GFGV7200OC</x:v>
      </x:c>
      <x:c r="L776" s="1" t="str">
        <x:v>=+D772</x:v>
      </x:c>
    </x:row>
    <x:row r="777" ht="21" customHeight="1">
      <x:c r="A777" s="5" t="n">
        <x:v>46262</x:v>
      </x:c>
      <x:c r="B777" s="11" t="n">
        <x:v>544.22</x:v>
      </x:c>
      <x:c r="C777" s="11" t="n">
        <x:v>25656718</x:v>
      </x:c>
      <x:c r="D777" s="11" t="n">
        <x:v>525</x:v>
      </x:c>
      <x:c r="E777" s="11" t="n">
        <x:v>529.99</x:v>
      </x:c>
      <x:c r="F777" s="11" t="n">
        <x:v>615</x:v>
      </x:c>
      <x:c r="G777" s="11" t="n">
        <x:v>525</x:v>
      </x:c>
      <x:c r="H777" s="11" t="n">
        <x:v>0</x:v>
      </x:c>
      <x:c r="I777" s="11" t="n">
        <x:v>0</x:v>
      </x:c>
      <x:c r="J777" s="11"/>
      <x:c r="K777" s="1" t="str">
        <x:v>GFGV7200OC</x:v>
      </x:c>
      <x:c r="L777" s="1" t="str">
        <x:v>=+D773</x:v>
      </x:c>
    </x:row>
    <x:row r="778" ht="21" customHeight="1">
      <x:c r="A778" s="5" t="n">
        <x:v>46265</x:v>
      </x:c>
      <x:c r="B778" s="11" t="n">
        <x:v>447.89</x:v>
      </x:c>
      <x:c r="C778" s="11" t="n">
        <x:v>12358046</x:v>
      </x:c>
      <x:c r="D778" s="11" t="n">
        <x:v>529.99</x:v>
      </x:c>
      <x:c r="E778" s="11" t="n">
        <x:v>490</x:v>
      </x:c>
      <x:c r="F778" s="11" t="n">
        <x:v>529.99</x:v>
      </x:c>
      <x:c r="G778" s="11" t="n">
        <x:v>414.11</x:v>
      </x:c>
      <x:c r="H778" s="11" t="n">
        <x:v>0</x:v>
      </x:c>
      <x:c r="I778" s="11" t="n">
        <x:v>0</x:v>
      </x:c>
      <x:c r="J778" s="11"/>
      <x:c r="K778" s="1" t="str">
        <x:v>GFGV7200OC</x:v>
      </x:c>
      <x:c r="L778" s="1" t="str">
        <x:v>=+D774</x:v>
      </x:c>
    </x:row>
    <x:row r="779" ht="21" customHeight="1">
      <x:c r="A779" s="5" t="n">
        <x:v>46266</x:v>
      </x:c>
      <x:c r="B779" s="11" t="n">
        <x:v>431.34</x:v>
      </x:c>
      <x:c r="C779" s="11" t="n">
        <x:v>63324888</x:v>
      </x:c>
      <x:c r="D779" s="11" t="n">
        <x:v>490</x:v>
      </x:c>
      <x:c r="E779" s="11" t="n">
        <x:v>406</x:v>
      </x:c>
      <x:c r="F779" s="11" t="n">
        <x:v>490</x:v>
      </x:c>
      <x:c r="G779" s="11" t="n">
        <x:v>372.05</x:v>
      </x:c>
      <x:c r="H779" s="11" t="n">
        <x:v>0</x:v>
      </x:c>
      <x:c r="I779" s="11" t="n">
        <x:v>0</x:v>
      </x:c>
      <x:c r="J779" s="11"/>
      <x:c r="K779" s="1" t="str">
        <x:v>GFGV7200OC</x:v>
      </x:c>
      <x:c r="L779" s="1" t="str">
        <x:v>=+D775</x:v>
      </x:c>
    </x:row>
    <x:row r="780" ht="21" customHeight="1">
      <x:c r="A780" s="5" t="n">
        <x:v>46267</x:v>
      </x:c>
      <x:c r="B780" s="11" t="n">
        <x:v>369.49</x:v>
      </x:c>
      <x:c r="C780" s="11" t="n">
        <x:v>57154840</x:v>
      </x:c>
      <x:c r="D780" s="11" t="n">
        <x:v>406</x:v>
      </x:c>
      <x:c r="E780" s="11" t="n">
        <x:v>360</x:v>
      </x:c>
      <x:c r="F780" s="11" t="n">
        <x:v>432.65</x:v>
      </x:c>
      <x:c r="G780" s="11" t="n">
        <x:v>365.01</x:v>
      </x:c>
      <x:c r="H780" s="11" t="n">
        <x:v>0</x:v>
      </x:c>
      <x:c r="I780" s="11" t="n">
        <x:v>0</x:v>
      </x:c>
      <x:c r="J780" s="11"/>
      <x:c r="K780" s="1" t="str">
        <x:v>GFGV7200OC</x:v>
      </x:c>
      <x:c r="L780" s="1" t="str">
        <x:v>=+D776</x:v>
      </x:c>
    </x:row>
    <x:row r="781" ht="21" customHeight="1">
      <x:c r="A781" s="5" t="n">
        <x:v>46268</x:v>
      </x:c>
      <x:c r="B781" s="11" t="n">
        <x:v>403.61</x:v>
      </x:c>
      <x:c r="C781" s="11" t="n">
        <x:v>79552488</x:v>
      </x:c>
      <x:c r="D781" s="11" t="n">
        <x:v>360</x:v>
      </x:c>
      <x:c r="E781" s="11" t="n">
        <x:v>411.01</x:v>
      </x:c>
      <x:c r="F781" s="11" t="n">
        <x:v>444.98</x:v>
      </x:c>
      <x:c r="G781" s="11" t="n">
        <x:v>310.51</x:v>
      </x:c>
      <x:c r="H781" s="11" t="n">
        <x:v>0</x:v>
      </x:c>
      <x:c r="I781" s="11" t="n">
        <x:v>0</x:v>
      </x:c>
      <x:c r="J781" s="11"/>
      <x:c r="K781" s="1" t="str">
        <x:v>GFGV7200OC</x:v>
      </x:c>
      <x:c r="L781" s="1" t="str">
        <x:v>=+D777</x:v>
      </x:c>
    </x:row>
    <x:row r="782" ht="21" customHeight="1">
      <x:c r="A782" s="5" t="n">
        <x:v>46269</x:v>
      </x:c>
      <x:c r="B782" s="11" t="n">
        <x:v>420.47</x:v>
      </x:c>
      <x:c r="C782" s="11" t="n">
        <x:v>30078318</x:v>
      </x:c>
      <x:c r="D782" s="11" t="n">
        <x:v>411.01</x:v>
      </x:c>
      <x:c r="E782" s="11" t="n">
        <x:v>437.77</x:v>
      </x:c>
      <x:c r="F782" s="11" t="n">
        <x:v>455</x:v>
      </x:c>
      <x:c r="G782" s="11" t="n">
        <x:v>385</x:v>
      </x:c>
      <x:c r="H782" s="11" t="n">
        <x:v>0</x:v>
      </x:c>
      <x:c r="I782" s="11" t="n">
        <x:v>0</x:v>
      </x:c>
      <x:c r="J782" s="11"/>
      <x:c r="K782" s="1" t="str">
        <x:v>GFGV7200OC</x:v>
      </x:c>
      <x:c r="L782" s="1" t="str">
        <x:v>=+D778</x:v>
      </x:c>
    </x:row>
    <x:row r="783" ht="21" customHeight="1">
      <x:c r="A783" s="5" t="n">
        <x:v>46272</x:v>
      </x:c>
      <x:c r="B783" s="11" t="n">
        <x:v>455</x:v>
      </x:c>
      <x:c r="C783" s="11" t="n">
        <x:v>19048068</x:v>
      </x:c>
      <x:c r="D783" s="11" t="n">
        <x:v>437.77</x:v>
      </x:c>
      <x:c r="E783" s="11" t="n">
        <x:v>411</x:v>
      </x:c>
      <x:c r="F783" s="11" t="n">
        <x:v>465.89</x:v>
      </x:c>
      <x:c r="G783" s="11" t="n">
        <x:v>434.99</x:v>
      </x:c>
      <x:c r="H783" s="11" t="n">
        <x:v>0</x:v>
      </x:c>
      <x:c r="I783" s="11" t="n">
        <x:v>0</x:v>
      </x:c>
      <x:c r="J783" s="11"/>
      <x:c r="K783" s="1" t="str">
        <x:v>GFGV7200OC</x:v>
      </x:c>
      <x:c r="L783" s="1" t="str">
        <x:v>=+D779</x:v>
      </x:c>
    </x:row>
    <x:row r="784" ht="21" customHeight="1">
      <x:c r="A784" s="5" t="n">
        <x:v>46273</x:v>
      </x:c>
      <x:c r="B784" s="11" t="n">
        <x:v>419.99</x:v>
      </x:c>
      <x:c r="C784" s="11" t="n">
        <x:v>48001704</x:v>
      </x:c>
      <x:c r="D784" s="11" t="n">
        <x:v>411</x:v>
      </x:c>
      <x:c r="E784" s="11" t="n">
        <x:v>432.48</x:v>
      </x:c>
      <x:c r="F784" s="11" t="n">
        <x:v>480</x:v>
      </x:c>
      <x:c r="G784" s="11" t="n">
        <x:v>398.07</x:v>
      </x:c>
      <x:c r="H784" s="11" t="n">
        <x:v>0</x:v>
      </x:c>
      <x:c r="I784" s="11" t="n">
        <x:v>0</x:v>
      </x:c>
      <x:c r="J784" s="11"/>
      <x:c r="K784" s="1" t="str">
        <x:v>GFGV7200OC</x:v>
      </x:c>
      <x:c r="L784" s="1" t="str">
        <x:v>=+D780</x:v>
      </x:c>
    </x:row>
    <x:row r="785" ht="21" customHeight="1">
      <x:c r="A785" s="5" t="n">
        <x:v>46274</x:v>
      </x:c>
      <x:c r="B785" s="11" t="n">
        <x:v>369.17</x:v>
      </x:c>
      <x:c r="C785" s="11" t="n">
        <x:v>66294692</x:v>
      </x:c>
      <x:c r="D785" s="11" t="n">
        <x:v>432.48</x:v>
      </x:c>
      <x:c r="E785" s="11" t="n">
        <x:v>409.99</x:v>
      </x:c>
      <x:c r="F785" s="11" t="n">
        <x:v>477.99</x:v>
      </x:c>
      <x:c r="G785" s="11" t="n">
        <x:v>360</x:v>
      </x:c>
      <x:c r="H785" s="11" t="n">
        <x:v>0</x:v>
      </x:c>
      <x:c r="I785" s="11" t="n">
        <x:v>0</x:v>
      </x:c>
      <x:c r="J785" s="11"/>
      <x:c r="K785" s="1" t="str">
        <x:v>GFGV7200OC</x:v>
      </x:c>
      <x:c r="L785" s="1" t="str">
        <x:v>=+D781</x:v>
      </x:c>
    </x:row>
    <x:row r="786" ht="21" customHeight="1">
      <x:c r="A786" s="5" t="n">
        <x:v>46275</x:v>
      </x:c>
      <x:c r="B786" s="11" t="n">
        <x:v>344.11</x:v>
      </x:c>
      <x:c r="C786" s="11" t="n">
        <x:v>54197528</x:v>
      </x:c>
      <x:c r="D786" s="11" t="n">
        <x:v>409.99</x:v>
      </x:c>
      <x:c r="E786" s="11" t="n">
        <x:v>323.01</x:v>
      </x:c>
      <x:c r="F786" s="11" t="n">
        <x:v>409.99</x:v>
      </x:c>
      <x:c r="G786" s="11" t="n">
        <x:v>301</x:v>
      </x:c>
      <x:c r="H786" s="11" t="n">
        <x:v>0</x:v>
      </x:c>
      <x:c r="I786" s="11" t="n">
        <x:v>0</x:v>
      </x:c>
      <x:c r="J786" s="11"/>
      <x:c r="K786" s="1" t="str">
        <x:v>GFGV7200OC</x:v>
      </x:c>
      <x:c r="L786" s="1" t="str">
        <x:v>=+D782</x:v>
      </x:c>
    </x:row>
    <x:row r="787" ht="21" customHeight="1">
      <x:c r="A787" s="5" t="n">
        <x:v>46276</x:v>
      </x:c>
      <x:c r="B787" s="11" t="n">
        <x:v>409.22</x:v>
      </x:c>
      <x:c r="C787" s="11" t="n">
        <x:v>42598912</x:v>
      </x:c>
      <x:c r="D787" s="11" t="n">
        <x:v>323.01</x:v>
      </x:c>
      <x:c r="E787" s="11" t="n">
        <x:v>430</x:v>
      </x:c>
      <x:c r="F787" s="11" t="n">
        <x:v>450</x:v>
      </x:c>
      <x:c r="G787" s="11" t="n">
        <x:v>323.01</x:v>
      </x:c>
      <x:c r="H787" s="11" t="n">
        <x:v>0</x:v>
      </x:c>
      <x:c r="I787" s="11" t="n">
        <x:v>0</x:v>
      </x:c>
      <x:c r="J787" s="11"/>
      <x:c r="K787" s="1" t="str">
        <x:v>GFGV7200OC</x:v>
      </x:c>
      <x:c r="L787" s="1" t="str">
        <x:v>=+D783</x:v>
      </x:c>
    </x:row>
    <x:row r="788" ht="21" customHeight="1">
      <x:c r="A788" s="5" t="n">
        <x:v>46279</x:v>
      </x:c>
      <x:c r="B788" s="11" t="n">
        <x:v>494.18</x:v>
      </x:c>
      <x:c r="C788" s="11" t="n">
        <x:v>43380644</x:v>
      </x:c>
      <x:c r="D788" s="11" t="n">
        <x:v>430</x:v>
      </x:c>
      <x:c r="E788" s="11" t="n">
        <x:v>579.99</x:v>
      </x:c>
      <x:c r="F788" s="11" t="n">
        <x:v>510</x:v>
      </x:c>
      <x:c r="G788" s="11" t="n">
        <x:v>393.3</x:v>
      </x:c>
      <x:c r="H788" s="11" t="n">
        <x:v>0</x:v>
      </x:c>
      <x:c r="I788" s="11" t="n">
        <x:v>0</x:v>
      </x:c>
      <x:c r="J788" s="11"/>
      <x:c r="K788" s="1" t="str">
        <x:v>GFGV7200OC</x:v>
      </x:c>
      <x:c r="L788" s="1" t="str">
        <x:v>=+D784</x:v>
      </x:c>
    </x:row>
    <x:row r="789" ht="21" customHeight="1">
      <x:c r="A789" s="5" t="n">
        <x:v>46280</x:v>
      </x:c>
      <x:c r="B789" s="11" t="n">
        <x:v>542</x:v>
      </x:c>
      <x:c r="C789" s="11" t="n">
        <x:v>51121128</x:v>
      </x:c>
      <x:c r="D789" s="11" t="n">
        <x:v>579.99</x:v>
      </x:c>
      <x:c r="E789" s="11" t="n">
        <x:v>550</x:v>
      </x:c>
      <x:c r="F789" s="11" t="n">
        <x:v>590</x:v>
      </x:c>
      <x:c r="G789" s="11" t="n">
        <x:v>495</x:v>
      </x:c>
      <x:c r="H789" s="11" t="n">
        <x:v>0</x:v>
      </x:c>
      <x:c r="I789" s="11" t="n">
        <x:v>0</x:v>
      </x:c>
      <x:c r="J789" s="11"/>
      <x:c r="K789" s="1" t="str">
        <x:v>GFGV7200OC</x:v>
      </x:c>
      <x:c r="L789" s="1" t="str">
        <x:v>=+D785</x:v>
      </x:c>
    </x:row>
    <x:row r="790" ht="21" customHeight="1">
      <x:c r="A790" s="5" t="n">
        <x:v>46281</x:v>
      </x:c>
      <x:c r="B790" s="11" t="n">
        <x:v>550.35</x:v>
      </x:c>
      <x:c r="C790" s="11" t="n">
        <x:v>10836713</x:v>
      </x:c>
      <x:c r="D790" s="11" t="n">
        <x:v>550</x:v>
      </x:c>
      <x:c r="E790" s="11" t="n">
        <x:v>820</x:v>
      </x:c>
      <x:c r="F790" s="11" t="n">
        <x:v>590</x:v>
      </x:c>
      <x:c r="G790" s="11" t="n">
        <x:v>521</x:v>
      </x:c>
      <x:c r="H790" s="11" t="n">
        <x:v>0</x:v>
      </x:c>
      <x:c r="I790" s="11" t="n">
        <x:v>0</x:v>
      </x:c>
      <x:c r="J790" s="11"/>
      <x:c r="K790" s="1" t="str">
        <x:v>GFGV7200OC</x:v>
      </x:c>
      <x:c r="L790" s="1" t="str">
        <x:v>=+D786</x:v>
      </x:c>
    </x:row>
    <x:row r="791" ht="21" customHeight="1">
      <x:c r="A791" s="5" t="n">
        <x:v>46255</x:v>
      </x:c>
      <x:c r="B791" s="11" t="n">
        <x:v>780</x:v>
      </x:c>
      <x:c r="C791" s="11" t="n">
        <x:v>2447004</x:v>
      </x:c>
      <x:c r="D791" s="11" t="n">
        <x:v>820</x:v>
      </x:c>
      <x:c r="E791" s="11" t="n">
        <x:v>700</x:v>
      </x:c>
      <x:c r="F791" s="11" t="n">
        <x:v>856</x:v>
      </x:c>
      <x:c r="G791" s="11" t="n">
        <x:v>750</x:v>
      </x:c>
      <x:c r="H791" s="11" t="n">
        <x:v>0</x:v>
      </x:c>
      <x:c r="I791" s="11" t="n">
        <x:v>0</x:v>
      </x:c>
      <x:c r="J791" s="11"/>
      <x:c r="K791" s="1" t="str">
        <x:v>GFGV7400OC</x:v>
      </x:c>
      <x:c r="L791" s="1" t="str">
        <x:v>=+D787</x:v>
      </x:c>
    </x:row>
    <x:row r="792" ht="21" customHeight="1">
      <x:c r="A792" s="5" t="n">
        <x:v>46258</x:v>
      </x:c>
      <x:c r="B792" s="11" t="n">
        <x:v>620</x:v>
      </x:c>
      <x:c r="C792" s="11" t="n">
        <x:v>28839538</x:v>
      </x:c>
      <x:c r="D792" s="11" t="n">
        <x:v>700</x:v>
      </x:c>
      <x:c r="E792" s="11" t="n">
        <x:v>621</x:v>
      </x:c>
      <x:c r="F792" s="11" t="n">
        <x:v>700</x:v>
      </x:c>
      <x:c r="G792" s="11" t="n">
        <x:v>577</x:v>
      </x:c>
      <x:c r="H792" s="11" t="n">
        <x:v>0</x:v>
      </x:c>
      <x:c r="I792" s="11" t="n">
        <x:v>0</x:v>
      </x:c>
      <x:c r="J792" s="11"/>
      <x:c r="K792" s="1" t="str">
        <x:v>GFGV7400OC</x:v>
      </x:c>
      <x:c r="L792" s="1" t="str">
        <x:v>=+D788</x:v>
      </x:c>
    </x:row>
    <x:row r="793" ht="21" customHeight="1">
      <x:c r="A793" s="5" t="n">
        <x:v>46259</x:v>
      </x:c>
      <x:c r="B793" s="11" t="n">
        <x:v>535.8</x:v>
      </x:c>
      <x:c r="C793" s="11" t="n">
        <x:v>35472140</x:v>
      </x:c>
      <x:c r="D793" s="11" t="n">
        <x:v>621</x:v>
      </x:c>
      <x:c r="E793" s="11" t="n">
        <x:v>505</x:v>
      </x:c>
      <x:c r="F793" s="11" t="n">
        <x:v>664</x:v>
      </x:c>
      <x:c r="G793" s="11" t="n">
        <x:v>534.01</x:v>
      </x:c>
      <x:c r="H793" s="11" t="n">
        <x:v>0</x:v>
      </x:c>
      <x:c r="I793" s="11" t="n">
        <x:v>0</x:v>
      </x:c>
      <x:c r="J793" s="11"/>
      <x:c r="K793" s="1" t="str">
        <x:v>GFGV7400OC</x:v>
      </x:c>
      <x:c r="L793" s="1" t="str">
        <x:v>=+D789</x:v>
      </x:c>
    </x:row>
    <x:row r="794" ht="21" customHeight="1">
      <x:c r="A794" s="5" t="n">
        <x:v>46260</x:v>
      </x:c>
      <x:c r="B794" s="11" t="n">
        <x:v>549.96</x:v>
      </x:c>
      <x:c r="C794" s="11" t="n">
        <x:v>11721958</x:v>
      </x:c>
      <x:c r="D794" s="11" t="n">
        <x:v>505</x:v>
      </x:c>
      <x:c r="E794" s="11" t="n">
        <x:v>575</x:v>
      </x:c>
      <x:c r="F794" s="11" t="n">
        <x:v>579.98</x:v>
      </x:c>
      <x:c r="G794" s="11" t="n">
        <x:v>499</x:v>
      </x:c>
      <x:c r="H794" s="11" t="n">
        <x:v>0</x:v>
      </x:c>
      <x:c r="I794" s="11" t="n">
        <x:v>0</x:v>
      </x:c>
      <x:c r="J794" s="11"/>
      <x:c r="K794" s="1" t="str">
        <x:v>GFGV7400OC</x:v>
      </x:c>
      <x:c r="L794" s="1" t="str">
        <x:v>=+D790</x:v>
      </x:c>
    </x:row>
    <x:row r="795" ht="21" customHeight="1">
      <x:c r="A795" s="5" t="n">
        <x:v>46261</x:v>
      </x:c>
      <x:c r="B795" s="11" t="n">
        <x:v>630.02</x:v>
      </x:c>
      <x:c r="C795" s="11" t="n">
        <x:v>21707936</x:v>
      </x:c>
      <x:c r="D795" s="11" t="n">
        <x:v>575</x:v>
      </x:c>
      <x:c r="E795" s="11" t="n">
        <x:v>680</x:v>
      </x:c>
      <x:c r="F795" s="11" t="n">
        <x:v>660.28</x:v>
      </x:c>
      <x:c r="G795" s="11" t="n">
        <x:v>575</x:v>
      </x:c>
      <x:c r="H795" s="11" t="n">
        <x:v>0</x:v>
      </x:c>
      <x:c r="I795" s="11" t="n">
        <x:v>0</x:v>
      </x:c>
      <x:c r="J795" s="11"/>
      <x:c r="K795" s="1" t="str">
        <x:v>GFGV7400OC</x:v>
      </x:c>
      <x:c r="L795" s="1" t="str">
        <x:v>=+D791</x:v>
      </x:c>
    </x:row>
    <x:row r="796" ht="21" customHeight="1">
      <x:c r="A796" s="5" t="n">
        <x:v>46262</x:v>
      </x:c>
      <x:c r="B796" s="11" t="n">
        <x:v>657.34</x:v>
      </x:c>
      <x:c r="C796" s="11" t="n">
        <x:v>29957128</x:v>
      </x:c>
      <x:c r="D796" s="11" t="n">
        <x:v>680</x:v>
      </x:c>
      <x:c r="E796" s="11" t="n">
        <x:v>580.02</x:v>
      </x:c>
      <x:c r="F796" s="11" t="n">
        <x:v>741</x:v>
      </x:c>
      <x:c r="G796" s="11" t="n">
        <x:v>661.58</x:v>
      </x:c>
      <x:c r="H796" s="11" t="n">
        <x:v>0</x:v>
      </x:c>
      <x:c r="I796" s="11" t="n">
        <x:v>0</x:v>
      </x:c>
      <x:c r="J796" s="11"/>
      <x:c r="K796" s="1" t="str">
        <x:v>GFGV7400OC</x:v>
      </x:c>
      <x:c r="L796" s="1" t="str">
        <x:v>=+D792</x:v>
      </x:c>
    </x:row>
    <x:row r="797" ht="21" customHeight="1">
      <x:c r="A797" s="5" t="n">
        <x:v>46265</x:v>
      </x:c>
      <x:c r="B797" s="11" t="n">
        <x:v>560.79</x:v>
      </x:c>
      <x:c r="C797" s="11" t="n">
        <x:v>29710064</x:v>
      </x:c>
      <x:c r="D797" s="11" t="n">
        <x:v>580.02</x:v>
      </x:c>
      <x:c r="E797" s="11" t="n">
        <x:v>566.48</x:v>
      </x:c>
      <x:c r="F797" s="11" t="n">
        <x:v>606.79</x:v>
      </x:c>
      <x:c r="G797" s="11" t="n">
        <x:v>511</x:v>
      </x:c>
      <x:c r="H797" s="11" t="n">
        <x:v>0</x:v>
      </x:c>
      <x:c r="I797" s="11" t="n">
        <x:v>0</x:v>
      </x:c>
      <x:c r="J797" s="11"/>
      <x:c r="K797" s="1" t="str">
        <x:v>GFGV7400OC</x:v>
      </x:c>
      <x:c r="L797" s="1" t="str">
        <x:v>=+D793</x:v>
      </x:c>
    </x:row>
    <x:row r="798" ht="21" customHeight="1">
      <x:c r="A798" s="5" t="n">
        <x:v>46266</x:v>
      </x:c>
      <x:c r="B798" s="11" t="n">
        <x:v>538.73</x:v>
      </x:c>
      <x:c r="C798" s="11" t="n">
        <x:v>17777200</x:v>
      </x:c>
      <x:c r="D798" s="11" t="n">
        <x:v>566.48</x:v>
      </x:c>
      <x:c r="E798" s="11" t="n">
        <x:v>536.56</x:v>
      </x:c>
      <x:c r="F798" s="11" t="n">
        <x:v>566.48</x:v>
      </x:c>
      <x:c r="G798" s="11" t="n">
        <x:v>499.99</x:v>
      </x:c>
      <x:c r="H798" s="11" t="n">
        <x:v>0</x:v>
      </x:c>
      <x:c r="I798" s="11" t="n">
        <x:v>0</x:v>
      </x:c>
      <x:c r="J798" s="11"/>
      <x:c r="K798" s="1" t="str">
        <x:v>GFGV7400OC</x:v>
      </x:c>
      <x:c r="L798" s="1" t="str">
        <x:v>=+D794</x:v>
      </x:c>
    </x:row>
    <x:row r="799" ht="21" customHeight="1">
      <x:c r="A799" s="5" t="n">
        <x:v>46267</x:v>
      </x:c>
      <x:c r="B799" s="11" t="n">
        <x:v>480</x:v>
      </x:c>
      <x:c r="C799" s="11" t="n">
        <x:v>14795418</x:v>
      </x:c>
      <x:c r="D799" s="11" t="n">
        <x:v>536.56</x:v>
      </x:c>
      <x:c r="E799" s="11" t="n">
        <x:v>401</x:v>
      </x:c>
      <x:c r="F799" s="11" t="n">
        <x:v>547.89</x:v>
      </x:c>
      <x:c r="G799" s="11" t="n">
        <x:v>475</x:v>
      </x:c>
      <x:c r="H799" s="11" t="n">
        <x:v>0</x:v>
      </x:c>
      <x:c r="I799" s="11" t="n">
        <x:v>0</x:v>
      </x:c>
      <x:c r="J799" s="11"/>
      <x:c r="K799" s="1" t="str">
        <x:v>GFGV7400OC</x:v>
      </x:c>
      <x:c r="L799" s="1" t="str">
        <x:v>=+D795</x:v>
      </x:c>
    </x:row>
    <x:row r="800" ht="21" customHeight="1">
      <x:c r="A800" s="5" t="n">
        <x:v>46268</x:v>
      </x:c>
      <x:c r="B800" s="11" t="n">
        <x:v>521.53</x:v>
      </x:c>
      <x:c r="C800" s="11" t="n">
        <x:v>10447188</x:v>
      </x:c>
      <x:c r="D800" s="11" t="n">
        <x:v>401</x:v>
      </x:c>
      <x:c r="E800" s="11" t="n">
        <x:v>505</x:v>
      </x:c>
      <x:c r="F800" s="11" t="n">
        <x:v>600</x:v>
      </x:c>
      <x:c r="G800" s="11" t="n">
        <x:v>401</x:v>
      </x:c>
      <x:c r="H800" s="11" t="n">
        <x:v>0</x:v>
      </x:c>
      <x:c r="I800" s="11" t="n">
        <x:v>0</x:v>
      </x:c>
      <x:c r="J800" s="11"/>
      <x:c r="K800" s="1" t="str">
        <x:v>GFGV7400OC</x:v>
      </x:c>
      <x:c r="L800" s="1" t="str">
        <x:v>=+D796</x:v>
      </x:c>
    </x:row>
    <x:row r="801" ht="21" customHeight="1">
      <x:c r="A801" s="5" t="n">
        <x:v>46269</x:v>
      </x:c>
      <x:c r="B801" s="11" t="n">
        <x:v>534.3</x:v>
      </x:c>
      <x:c r="C801" s="11" t="n">
        <x:v>1949192</x:v>
      </x:c>
      <x:c r="D801" s="11" t="n">
        <x:v>505</x:v>
      </x:c>
      <x:c r="E801" s="11" t="n">
        <x:v>600</x:v>
      </x:c>
      <x:c r="F801" s="11" t="n">
        <x:v>570</x:v>
      </x:c>
      <x:c r="G801" s="11" t="n">
        <x:v>500.95</x:v>
      </x:c>
      <x:c r="H801" s="11" t="n">
        <x:v>0</x:v>
      </x:c>
      <x:c r="I801" s="11" t="n">
        <x:v>0</x:v>
      </x:c>
      <x:c r="J801" s="11"/>
      <x:c r="K801" s="1" t="str">
        <x:v>GFGV7400OC</x:v>
      </x:c>
      <x:c r="L801" s="1" t="str">
        <x:v>=+D797</x:v>
      </x:c>
    </x:row>
    <x:row r="802" ht="21" customHeight="1">
      <x:c r="A802" s="5" t="n">
        <x:v>46272</x:v>
      </x:c>
      <x:c r="B802" s="11" t="n">
        <x:v>555</x:v>
      </x:c>
      <x:c r="C802" s="11" t="n">
        <x:v>2981400</x:v>
      </x:c>
      <x:c r="D802" s="11" t="n">
        <x:v>600</x:v>
      </x:c>
      <x:c r="E802" s="11" t="n">
        <x:v>537.05</x:v>
      </x:c>
      <x:c r="F802" s="11" t="n">
        <x:v>600</x:v>
      </x:c>
      <x:c r="G802" s="11" t="n">
        <x:v>550</x:v>
      </x:c>
      <x:c r="H802" s="11" t="n">
        <x:v>0</x:v>
      </x:c>
      <x:c r="I802" s="11" t="n">
        <x:v>0</x:v>
      </x:c>
      <x:c r="J802" s="11"/>
      <x:c r="K802" s="1" t="str">
        <x:v>GFGV7400OC</x:v>
      </x:c>
      <x:c r="L802" s="1" t="str">
        <x:v>=+D798</x:v>
      </x:c>
    </x:row>
    <x:row r="803" ht="21" customHeight="1">
      <x:c r="A803" s="5" t="n">
        <x:v>46273</x:v>
      </x:c>
      <x:c r="B803" s="11" t="n">
        <x:v>535.47</x:v>
      </x:c>
      <x:c r="C803" s="11" t="n">
        <x:v>9589832</x:v>
      </x:c>
      <x:c r="D803" s="11" t="n">
        <x:v>537.05</x:v>
      </x:c>
      <x:c r="E803" s="11" t="n">
        <x:v>600</x:v>
      </x:c>
      <x:c r="F803" s="11" t="n">
        <x:v>602.03</x:v>
      </x:c>
      <x:c r="G803" s="11" t="n">
        <x:v>511.69</x:v>
      </x:c>
      <x:c r="H803" s="11" t="n">
        <x:v>0</x:v>
      </x:c>
      <x:c r="I803" s="11" t="n">
        <x:v>0</x:v>
      </x:c>
      <x:c r="J803" s="11"/>
      <x:c r="K803" s="1" t="str">
        <x:v>GFGV7400OC</x:v>
      </x:c>
      <x:c r="L803" s="1" t="str">
        <x:v>=+D799</x:v>
      </x:c>
    </x:row>
    <x:row r="804" ht="21" customHeight="1">
      <x:c r="A804" s="5" t="n">
        <x:v>46274</x:v>
      </x:c>
      <x:c r="B804" s="11" t="n">
        <x:v>480.11</x:v>
      </x:c>
      <x:c r="C804" s="11" t="n">
        <x:v>11769648</x:v>
      </x:c>
      <x:c r="D804" s="11" t="n">
        <x:v>600</x:v>
      </x:c>
      <x:c r="E804" s="11" t="n">
        <x:v>483.86</x:v>
      </x:c>
      <x:c r="F804" s="11" t="n">
        <x:v>610</x:v>
      </x:c>
      <x:c r="G804" s="11" t="n">
        <x:v>456.43</x:v>
      </x:c>
      <x:c r="H804" s="11" t="n">
        <x:v>0</x:v>
      </x:c>
      <x:c r="I804" s="11" t="n">
        <x:v>0</x:v>
      </x:c>
      <x:c r="J804" s="11"/>
      <x:c r="K804" s="1" t="str">
        <x:v>GFGV7400OC</x:v>
      </x:c>
      <x:c r="L804" s="1" t="str">
        <x:v>=+D800</x:v>
      </x:c>
    </x:row>
    <x:row r="805" ht="21" customHeight="1">
      <x:c r="A805" s="5" t="n">
        <x:v>46275</x:v>
      </x:c>
      <x:c r="B805" s="11" t="n">
        <x:v>451.44</x:v>
      </x:c>
      <x:c r="C805" s="11" t="n">
        <x:v>67544864</x:v>
      </x:c>
      <x:c r="D805" s="11" t="n">
        <x:v>483.86</x:v>
      </x:c>
      <x:c r="E805" s="11" t="n">
        <x:v>450</x:v>
      </x:c>
      <x:c r="F805" s="11" t="n">
        <x:v>483.86</x:v>
      </x:c>
      <x:c r="G805" s="11" t="n">
        <x:v>400</x:v>
      </x:c>
      <x:c r="H805" s="11" t="n">
        <x:v>0</x:v>
      </x:c>
      <x:c r="I805" s="11" t="n">
        <x:v>0</x:v>
      </x:c>
      <x:c r="J805" s="11"/>
      <x:c r="K805" s="1" t="str">
        <x:v>GFGV7400OC</x:v>
      </x:c>
      <x:c r="L805" s="1" t="str">
        <x:v>=+D801</x:v>
      </x:c>
    </x:row>
    <x:row r="806" ht="21" customHeight="1">
      <x:c r="A806" s="5" t="n">
        <x:v>46276</x:v>
      </x:c>
      <x:c r="B806" s="11" t="n">
        <x:v>528.03</x:v>
      </x:c>
      <x:c r="C806" s="11" t="n">
        <x:v>75105792</x:v>
      </x:c>
      <x:c r="D806" s="11" t="n">
        <x:v>450</x:v>
      </x:c>
      <x:c r="E806" s="11" t="n">
        <x:v>535</x:v>
      </x:c>
      <x:c r="F806" s="11" t="n">
        <x:v>579.9</x:v>
      </x:c>
      <x:c r="G806" s="11" t="n">
        <x:v>450</x:v>
      </x:c>
      <x:c r="H806" s="11" t="n">
        <x:v>0</x:v>
      </x:c>
      <x:c r="I806" s="11" t="n">
        <x:v>0</x:v>
      </x:c>
      <x:c r="J806" s="11"/>
      <x:c r="K806" s="1" t="str">
        <x:v>GFGV7400OC</x:v>
      </x:c>
      <x:c r="L806" s="1" t="str">
        <x:v>=+D802</x:v>
      </x:c>
    </x:row>
    <x:row r="807" ht="21" customHeight="1">
      <x:c r="A807" s="5" t="n">
        <x:v>46279</x:v>
      </x:c>
      <x:c r="B807" s="11" t="n">
        <x:v>619.04</x:v>
      </x:c>
      <x:c r="C807" s="11" t="n">
        <x:v>11768273</x:v>
      </x:c>
      <x:c r="D807" s="11" t="n">
        <x:v>535</x:v>
      </x:c>
      <x:c r="E807" s="11" t="n">
        <x:v>649.5</x:v>
      </x:c>
      <x:c r="F807" s="11" t="n">
        <x:v>620</x:v>
      </x:c>
      <x:c r="G807" s="11" t="n">
        <x:v>520</x:v>
      </x:c>
      <x:c r="H807" s="11" t="n">
        <x:v>0</x:v>
      </x:c>
      <x:c r="I807" s="11" t="n">
        <x:v>0</x:v>
      </x:c>
      <x:c r="J807" s="11"/>
      <x:c r="K807" s="1" t="str">
        <x:v>GFGV7400OC</x:v>
      </x:c>
      <x:c r="L807" s="1" t="str">
        <x:v>=+D803</x:v>
      </x:c>
    </x:row>
    <x:row r="808" ht="21" customHeight="1">
      <x:c r="A808" s="5" t="n">
        <x:v>46280</x:v>
      </x:c>
      <x:c r="B808" s="11" t="n">
        <x:v>663.54</x:v>
      </x:c>
      <x:c r="C808" s="11" t="n">
        <x:v>42596096</x:v>
      </x:c>
      <x:c r="D808" s="11" t="n">
        <x:v>649.5</x:v>
      </x:c>
      <x:c r="E808" s="11" t="n">
        <x:v>697.67</x:v>
      </x:c>
      <x:c r="F808" s="11" t="n">
        <x:v>721.1</x:v>
      </x:c>
      <x:c r="G808" s="11" t="n">
        <x:v>649.5</x:v>
      </x:c>
      <x:c r="H808" s="11" t="n">
        <x:v>0</x:v>
      </x:c>
      <x:c r="I808" s="11" t="n">
        <x:v>0</x:v>
      </x:c>
      <x:c r="J808" s="11"/>
      <x:c r="K808" s="1" t="str">
        <x:v>GFGV7400OC</x:v>
      </x:c>
      <x:c r="L808" s="1" t="str">
        <x:v>=+D804</x:v>
      </x:c>
    </x:row>
    <x:row r="809" ht="21" customHeight="1">
      <x:c r="A809" s="5" t="n">
        <x:v>46281</x:v>
      </x:c>
      <x:c r="B809" s="11" t="n">
        <x:v>677.83</x:v>
      </x:c>
      <x:c r="C809" s="11" t="n">
        <x:v>6190239</x:v>
      </x:c>
      <x:c r="D809" s="11" t="n">
        <x:v>697.67</x:v>
      </x:c>
      <x:c r="E809" s="11" t="n">
        <x:v>975</x:v>
      </x:c>
      <x:c r="F809" s="11" t="n">
        <x:v>715.55</x:v>
      </x:c>
      <x:c r="G809" s="11" t="n">
        <x:v>630.55</x:v>
      </x:c>
      <x:c r="H809" s="11" t="n">
        <x:v>0</x:v>
      </x:c>
      <x:c r="I809" s="11" t="n">
        <x:v>0</x:v>
      </x:c>
      <x:c r="J809" s="11"/>
      <x:c r="K809" s="1" t="str">
        <x:v>GFGV7400OC</x:v>
      </x:c>
      <x:c r="L809" s="1" t="str">
        <x:v>=+D805</x:v>
      </x:c>
    </x:row>
    <x:row r="810" ht="21" customHeight="1">
      <x:c r="A810" s="5" t="n">
        <x:v>46255</x:v>
      </x:c>
      <x:c r="B810" s="11" t="n">
        <x:v>987.5</x:v>
      </x:c>
      <x:c r="C810" s="11" t="n">
        <x:v>790000</x:v>
      </x:c>
      <x:c r="D810" s="11" t="n">
        <x:v>975</x:v>
      </x:c>
      <x:c r="E810" s="11" t="n">
        <x:v>800</x:v>
      </x:c>
      <x:c r="F810" s="11" t="n">
        <x:v>975</x:v>
      </x:c>
      <x:c r="G810" s="11" t="n">
        <x:v>975</x:v>
      </x:c>
      <x:c r="H810" s="11" t="n">
        <x:v>0</x:v>
      </x:c>
      <x:c r="I810" s="11" t="n">
        <x:v>0</x:v>
      </x:c>
      <x:c r="J810" s="11"/>
      <x:c r="K810" s="1" t="str">
        <x:v>GFGV7600OC</x:v>
      </x:c>
      <x:c r="L810" s="1" t="str">
        <x:v>=+D806</x:v>
      </x:c>
    </x:row>
    <x:row r="811" ht="21" customHeight="1">
      <x:c r="A811" s="5" t="n">
        <x:v>46258</x:v>
      </x:c>
      <x:c r="B811" s="11" t="n">
        <x:v>711</x:v>
      </x:c>
      <x:c r="C811" s="11" t="n">
        <x:v>1864000</x:v>
      </x:c>
      <x:c r="D811" s="11" t="n">
        <x:v>800</x:v>
      </x:c>
      <x:c r="E811" s="11" t="n">
        <x:v>724</x:v>
      </x:c>
      <x:c r="F811" s="11" t="n">
        <x:v>800</x:v>
      </x:c>
      <x:c r="G811" s="11" t="n">
        <x:v>672</x:v>
      </x:c>
      <x:c r="H811" s="11" t="n">
        <x:v>0</x:v>
      </x:c>
      <x:c r="I811" s="11" t="n">
        <x:v>0</x:v>
      </x:c>
      <x:c r="J811" s="11"/>
      <x:c r="K811" s="1" t="str">
        <x:v>GFGV7600OC</x:v>
      </x:c>
      <x:c r="L811" s="1" t="str">
        <x:v>=+D807</x:v>
      </x:c>
    </x:row>
    <x:row r="812" ht="21" customHeight="1">
      <x:c r="A812" s="5" t="n">
        <x:v>46259</x:v>
      </x:c>
      <x:c r="B812" s="11" t="n">
        <x:v>660</x:v>
      </x:c>
      <x:c r="C812" s="11" t="n">
        <x:v>3193109</x:v>
      </x:c>
      <x:c r="D812" s="11" t="n">
        <x:v>724</x:v>
      </x:c>
      <x:c r="E812" s="11" t="n">
        <x:v>608</x:v>
      </x:c>
      <x:c r="F812" s="11" t="n">
        <x:v>739.87</x:v>
      </x:c>
      <x:c r="G812" s="11" t="n">
        <x:v>660</x:v>
      </x:c>
      <x:c r="H812" s="11" t="n">
        <x:v>0</x:v>
      </x:c>
      <x:c r="I812" s="11" t="n">
        <x:v>0</x:v>
      </x:c>
      <x:c r="J812" s="11"/>
      <x:c r="K812" s="1" t="str">
        <x:v>GFGV7600OC</x:v>
      </x:c>
      <x:c r="L812" s="1" t="str">
        <x:v>=+D808</x:v>
      </x:c>
    </x:row>
    <x:row r="813" ht="21" customHeight="1">
      <x:c r="A813" s="5" t="n">
        <x:v>46260</x:v>
      </x:c>
      <x:c r="B813" s="11" t="n">
        <x:v>665</x:v>
      </x:c>
      <x:c r="C813" s="11" t="n">
        <x:v>2373800</x:v>
      </x:c>
      <x:c r="D813" s="11" t="n">
        <x:v>608</x:v>
      </x:c>
      <x:c r="E813" s="11" t="n">
        <x:v>690</x:v>
      </x:c>
      <x:c r="F813" s="11" t="n">
        <x:v>700</x:v>
      </x:c>
      <x:c r="G813" s="11" t="n">
        <x:v>608</x:v>
      </x:c>
      <x:c r="H813" s="11" t="n">
        <x:v>0</x:v>
      </x:c>
      <x:c r="I813" s="11" t="n">
        <x:v>0</x:v>
      </x:c>
      <x:c r="J813" s="11"/>
      <x:c r="K813" s="1" t="str">
        <x:v>GFGV7600OC</x:v>
      </x:c>
      <x:c r="L813" s="1" t="str">
        <x:v>=+D809</x:v>
      </x:c>
    </x:row>
    <x:row r="814" ht="21" customHeight="1">
      <x:c r="A814" s="5" t="n">
        <x:v>46261</x:v>
      </x:c>
      <x:c r="B814" s="11" t="n">
        <x:v>785</x:v>
      </x:c>
      <x:c r="C814" s="11" t="n">
        <x:v>2053604.38</x:v>
      </x:c>
      <x:c r="D814" s="11" t="n">
        <x:v>690</x:v>
      </x:c>
      <x:c r="E814" s="11" t="n">
        <x:v>810</x:v>
      </x:c>
      <x:c r="F814" s="11" t="n">
        <x:v>780</x:v>
      </x:c>
      <x:c r="G814" s="11" t="n">
        <x:v>690</x:v>
      </x:c>
      <x:c r="H814" s="11" t="n">
        <x:v>0</x:v>
      </x:c>
      <x:c r="I814" s="11" t="n">
        <x:v>0</x:v>
      </x:c>
      <x:c r="J814" s="11"/>
      <x:c r="K814" s="1" t="str">
        <x:v>GFGV7600OC</x:v>
      </x:c>
      <x:c r="L814" s="1" t="str">
        <x:v>=+D810</x:v>
      </x:c>
    </x:row>
    <x:row r="815" ht="21" customHeight="1">
      <x:c r="A815" s="5" t="n">
        <x:v>46262</x:v>
      </x:c>
      <x:c r="B815" s="11" t="n">
        <x:v>811.29</x:v>
      </x:c>
      <x:c r="C815" s="11" t="n">
        <x:v>913518</x:v>
      </x:c>
      <x:c r="D815" s="11" t="n">
        <x:v>810</x:v>
      </x:c>
      <x:c r="E815" s="11" t="n">
        <x:v>700.5</x:v>
      </x:c>
      <x:c r="F815" s="11" t="n">
        <x:v>850</x:v>
      </x:c>
      <x:c r="G815" s="11" t="n">
        <x:v>802.59</x:v>
      </x:c>
      <x:c r="H815" s="11" t="n">
        <x:v>0</x:v>
      </x:c>
      <x:c r="I815" s="11" t="n">
        <x:v>0</x:v>
      </x:c>
      <x:c r="J815" s="11"/>
      <x:c r="K815" s="1" t="str">
        <x:v>GFGV7600OC</x:v>
      </x:c>
      <x:c r="L815" s="1" t="str">
        <x:v>=+D811</x:v>
      </x:c>
    </x:row>
    <x:row r="816" ht="21" customHeight="1">
      <x:c r="A816" s="5" t="n">
        <x:v>46265</x:v>
      </x:c>
      <x:c r="B816" s="11" t="n">
        <x:v>677.61</x:v>
      </x:c>
      <x:c r="C816" s="11" t="n">
        <x:v>1608724.62</x:v>
      </x:c>
      <x:c r="D816" s="11" t="n">
        <x:v>700.5</x:v>
      </x:c>
      <x:c r="E816" s="11" t="n">
        <x:v>698.9</x:v>
      </x:c>
      <x:c r="F816" s="11" t="n">
        <x:v>700.5</x:v>
      </x:c>
      <x:c r="G816" s="11" t="n">
        <x:v>626</x:v>
      </x:c>
      <x:c r="H816" s="11" t="n">
        <x:v>0</x:v>
      </x:c>
      <x:c r="I816" s="11" t="n">
        <x:v>0</x:v>
      </x:c>
      <x:c r="J816" s="11"/>
      <x:c r="K816" s="1" t="str">
        <x:v>GFGV7600OC</x:v>
      </x:c>
      <x:c r="L816" s="1" t="str">
        <x:v>=+D812</x:v>
      </x:c>
    </x:row>
    <x:row r="817" ht="21" customHeight="1">
      <x:c r="A817" s="5" t="n">
        <x:v>46266</x:v>
      </x:c>
      <x:c r="B817" s="11" t="n">
        <x:v>660.35</x:v>
      </x:c>
      <x:c r="C817" s="11" t="n">
        <x:v>2586524.5</x:v>
      </x:c>
      <x:c r="D817" s="11" t="n">
        <x:v>698.9</x:v>
      </x:c>
      <x:c r="E817" s="11" t="n">
        <x:v>625</x:v>
      </x:c>
      <x:c r="F817" s="11" t="n">
        <x:v>698.9</x:v>
      </x:c>
      <x:c r="G817" s="11" t="n">
        <x:v>625</x:v>
      </x:c>
      <x:c r="H817" s="11" t="n">
        <x:v>0</x:v>
      </x:c>
      <x:c r="I817" s="11" t="n">
        <x:v>0</x:v>
      </x:c>
      <x:c r="J817" s="11"/>
      <x:c r="K817" s="1" t="str">
        <x:v>GFGV7600OC</x:v>
      </x:c>
      <x:c r="L817" s="1" t="str">
        <x:v>=+D813</x:v>
      </x:c>
    </x:row>
    <x:row r="818" ht="21" customHeight="1">
      <x:c r="A818" s="5" t="n">
        <x:v>46267</x:v>
      </x:c>
      <x:c r="B818" s="11" t="n">
        <x:v>600</x:v>
      </x:c>
      <x:c r="C818" s="11" t="n">
        <x:v>2646613</x:v>
      </x:c>
      <x:c r="D818" s="11" t="n">
        <x:v>625</x:v>
      </x:c>
      <x:c r="E818" s="11" t="n">
        <x:v>550</x:v>
      </x:c>
      <x:c r="F818" s="11" t="n">
        <x:v>650</x:v>
      </x:c>
      <x:c r="G818" s="11" t="n">
        <x:v>600</x:v>
      </x:c>
      <x:c r="H818" s="11" t="n">
        <x:v>0</x:v>
      </x:c>
      <x:c r="I818" s="11" t="n">
        <x:v>0</x:v>
      </x:c>
      <x:c r="J818" s="11"/>
      <x:c r="K818" s="1" t="str">
        <x:v>GFGV7600OC</x:v>
      </x:c>
      <x:c r="L818" s="1" t="str">
        <x:v>=+D814</x:v>
      </x:c>
    </x:row>
    <x:row r="819" ht="21" customHeight="1">
      <x:c r="A819" s="5" t="n">
        <x:v>46268</x:v>
      </x:c>
      <x:c r="B819" s="11" t="n">
        <x:v>650</x:v>
      </x:c>
      <x:c r="C819" s="11" t="n">
        <x:v>3813652.25</x:v>
      </x:c>
      <x:c r="D819" s="11" t="n">
        <x:v>550</x:v>
      </x:c>
      <x:c r="E819" s="11" t="n">
        <x:v>680</x:v>
      </x:c>
      <x:c r="F819" s="11" t="n">
        <x:v>690</x:v>
      </x:c>
      <x:c r="G819" s="11" t="n">
        <x:v>550</x:v>
      </x:c>
      <x:c r="H819" s="11" t="n">
        <x:v>0</x:v>
      </x:c>
      <x:c r="I819" s="11" t="n">
        <x:v>0</x:v>
      </x:c>
      <x:c r="J819" s="11"/>
      <x:c r="K819" s="1" t="str">
        <x:v>GFGV7600OC</x:v>
      </x:c>
      <x:c r="L819" s="1" t="str">
        <x:v>=+D815</x:v>
      </x:c>
    </x:row>
    <x:row r="820" ht="21" customHeight="1">
      <x:c r="A820" s="5" t="n">
        <x:v>46269</x:v>
      </x:c>
      <x:c r="B820" s="11" t="n">
        <x:v>660</x:v>
      </x:c>
      <x:c r="C820" s="11" t="n">
        <x:v>5147195.5</x:v>
      </x:c>
      <x:c r="D820" s="11" t="n">
        <x:v>680</x:v>
      </x:c>
      <x:c r="E820" s="11" t="n">
        <x:v>625</x:v>
      </x:c>
      <x:c r="F820" s="11" t="n">
        <x:v>695.98</x:v>
      </x:c>
      <x:c r="G820" s="11" t="n">
        <x:v>640</x:v>
      </x:c>
      <x:c r="H820" s="11" t="n">
        <x:v>0</x:v>
      </x:c>
      <x:c r="I820" s="11" t="n">
        <x:v>0</x:v>
      </x:c>
      <x:c r="J820" s="11"/>
      <x:c r="K820" s="1" t="str">
        <x:v>GFGV7600OC</x:v>
      </x:c>
      <x:c r="L820" s="1" t="str">
        <x:v>=+D816</x:v>
      </x:c>
    </x:row>
    <x:row r="821" ht="21" customHeight="1">
      <x:c r="A821" s="5" t="n">
        <x:v>46272</x:v>
      </x:c>
      <x:c r="B821" s="11" t="n">
        <x:v>625</x:v>
      </x:c>
      <x:c r="C821" s="11" t="n">
        <x:v>62500</x:v>
      </x:c>
      <x:c r="D821" s="11" t="n">
        <x:v>625</x:v>
      </x:c>
      <x:c r="E821" s="11" t="n">
        <x:v>650</x:v>
      </x:c>
      <x:c r="F821" s="11" t="n">
        <x:v>0</x:v>
      </x:c>
      <x:c r="G821" s="11" t="n">
        <x:v>0</x:v>
      </x:c>
      <x:c r="H821" s="11" t="n">
        <x:v>0</x:v>
      </x:c>
      <x:c r="I821" s="11" t="n">
        <x:v>0</x:v>
      </x:c>
      <x:c r="J821" s="11"/>
      <x:c r="K821" s="1" t="str">
        <x:v>GFGV7600OC</x:v>
      </x:c>
      <x:c r="L821" s="1" t="str">
        <x:v>=+D817</x:v>
      </x:c>
    </x:row>
    <x:row r="822" ht="21" customHeight="1">
      <x:c r="A822" s="5" t="n">
        <x:v>46273</x:v>
      </x:c>
      <x:c r="B822" s="11" t="n">
        <x:v>643.01</x:v>
      </x:c>
      <x:c r="C822" s="11" t="n">
        <x:v>6452029</x:v>
      </x:c>
      <x:c r="D822" s="11" t="n">
        <x:v>650</x:v>
      </x:c>
      <x:c r="E822" s="11" t="n">
        <x:v>689.63</x:v>
      </x:c>
      <x:c r="F822" s="11" t="n">
        <x:v>688.07</x:v>
      </x:c>
      <x:c r="G822" s="11" t="n">
        <x:v>650</x:v>
      </x:c>
      <x:c r="H822" s="11" t="n">
        <x:v>0</x:v>
      </x:c>
      <x:c r="I822" s="11" t="n">
        <x:v>0</x:v>
      </x:c>
      <x:c r="J822" s="11"/>
      <x:c r="K822" s="1" t="str">
        <x:v>GFGV7600OC</x:v>
      </x:c>
      <x:c r="L822" s="1" t="str">
        <x:v>=+D818</x:v>
      </x:c>
    </x:row>
    <x:row r="823" ht="21" customHeight="1">
      <x:c r="A823" s="5" t="n">
        <x:v>46274</x:v>
      </x:c>
      <x:c r="B823" s="11" t="n">
        <x:v>593.01</x:v>
      </x:c>
      <x:c r="C823" s="11" t="n">
        <x:v>3909676</x:v>
      </x:c>
      <x:c r="D823" s="11" t="n">
        <x:v>689.63</x:v>
      </x:c>
      <x:c r="E823" s="11" t="n">
        <x:v>603</x:v>
      </x:c>
      <x:c r="F823" s="11" t="n">
        <x:v>747.99</x:v>
      </x:c>
      <x:c r="G823" s="11" t="n">
        <x:v>590</x:v>
      </x:c>
      <x:c r="H823" s="11" t="n">
        <x:v>0</x:v>
      </x:c>
      <x:c r="I823" s="11" t="n">
        <x:v>0</x:v>
      </x:c>
      <x:c r="J823" s="11"/>
      <x:c r="K823" s="1" t="str">
        <x:v>GFGV7600OC</x:v>
      </x:c>
      <x:c r="L823" s="1" t="str">
        <x:v>=+D819</x:v>
      </x:c>
    </x:row>
    <x:row r="824" ht="21" customHeight="1">
      <x:c r="A824" s="5" t="n">
        <x:v>46275</x:v>
      </x:c>
      <x:c r="B824" s="11" t="n">
        <x:v>569.29</x:v>
      </x:c>
      <x:c r="C824" s="11" t="n">
        <x:v>3364062.75</x:v>
      </x:c>
      <x:c r="D824" s="11" t="n">
        <x:v>603</x:v>
      </x:c>
      <x:c r="E824" s="11" t="n">
        <x:v>616.62</x:v>
      </x:c>
      <x:c r="F824" s="11" t="n">
        <x:v>615</x:v>
      </x:c>
      <x:c r="G824" s="11" t="n">
        <x:v>475.14</x:v>
      </x:c>
      <x:c r="H824" s="11" t="n">
        <x:v>0</x:v>
      </x:c>
      <x:c r="I824" s="11" t="n">
        <x:v>0</x:v>
      </x:c>
      <x:c r="J824" s="11"/>
      <x:c r="K824" s="1" t="str">
        <x:v>GFGV7600OC</x:v>
      </x:c>
      <x:c r="L824" s="1" t="str">
        <x:v>=+D820</x:v>
      </x:c>
    </x:row>
    <x:row r="825" ht="21" customHeight="1">
      <x:c r="A825" s="5" t="n">
        <x:v>46276</x:v>
      </x:c>
      <x:c r="B825" s="11" t="n">
        <x:v>658.65</x:v>
      </x:c>
      <x:c r="C825" s="11" t="n">
        <x:v>1715158.62</x:v>
      </x:c>
      <x:c r="D825" s="11" t="n">
        <x:v>616.62</x:v>
      </x:c>
      <x:c r="E825" s="11" t="n">
        <x:v>661</x:v>
      </x:c>
      <x:c r="F825" s="11" t="n">
        <x:v>689</x:v>
      </x:c>
      <x:c r="G825" s="11" t="n">
        <x:v>600</x:v>
      </x:c>
      <x:c r="H825" s="11" t="n">
        <x:v>0</x:v>
      </x:c>
      <x:c r="I825" s="11" t="n">
        <x:v>0</x:v>
      </x:c>
      <x:c r="J825" s="11"/>
      <x:c r="K825" s="1" t="str">
        <x:v>GFGV7600OC</x:v>
      </x:c>
      <x:c r="L825" s="1" t="str">
        <x:v>=+D821</x:v>
      </x:c>
    </x:row>
    <x:row r="826" ht="21" customHeight="1">
      <x:c r="A826" s="5" t="n">
        <x:v>46279</x:v>
      </x:c>
      <x:c r="B826" s="11" t="n">
        <x:v>775.5</x:v>
      </x:c>
      <x:c r="C826" s="11" t="n">
        <x:v>2145817.25</x:v>
      </x:c>
      <x:c r="D826" s="11" t="n">
        <x:v>661</x:v>
      </x:c>
      <x:c r="E826" s="11" t="n">
        <x:v>799.5</x:v>
      </x:c>
      <x:c r="F826" s="11" t="n">
        <x:v>775.5</x:v>
      </x:c>
      <x:c r="G826" s="11" t="n">
        <x:v>661</x:v>
      </x:c>
      <x:c r="H826" s="11" t="n">
        <x:v>0</x:v>
      </x:c>
      <x:c r="I826" s="11" t="n">
        <x:v>0</x:v>
      </x:c>
      <x:c r="J826" s="11"/>
      <x:c r="K826" s="1" t="str">
        <x:v>GFGV7600OC</x:v>
      </x:c>
      <x:c r="L826" s="1" t="str">
        <x:v>=+D822</x:v>
      </x:c>
    </x:row>
    <x:row r="827" ht="21" customHeight="1">
      <x:c r="A827" s="5" t="n">
        <x:v>46280</x:v>
      </x:c>
      <x:c r="B827" s="11" t="n">
        <x:v>860.85</x:v>
      </x:c>
      <x:c r="C827" s="11" t="n">
        <x:v>1079927</x:v>
      </x:c>
      <x:c r="D827" s="11" t="n">
        <x:v>799.5</x:v>
      </x:c>
      <x:c r="E827" s="11" t="n">
        <x:v>840</x:v>
      </x:c>
      <x:c r="F827" s="11" t="n">
        <x:v>879.55</x:v>
      </x:c>
      <x:c r="G827" s="11" t="n">
        <x:v>799.5</x:v>
      </x:c>
      <x:c r="H827" s="11" t="n">
        <x:v>0</x:v>
      </x:c>
      <x:c r="I827" s="11" t="n">
        <x:v>0</x:v>
      </x:c>
      <x:c r="J827" s="11"/>
      <x:c r="K827" s="1" t="str">
        <x:v>GFGV7600OC</x:v>
      </x:c>
      <x:c r="L827" s="1" t="str">
        <x:v>=+D823</x:v>
      </x:c>
    </x:row>
    <x:row r="828" ht="21" customHeight="1">
      <x:c r="A828" s="5" t="n">
        <x:v>46281</x:v>
      </x:c>
      <x:c r="B828" s="11" t="n">
        <x:v>857</x:v>
      </x:c>
      <x:c r="C828" s="11" t="n">
        <x:v>4665704</x:v>
      </x:c>
      <x:c r="D828" s="11" t="n">
        <x:v>840</x:v>
      </x:c>
      <x:c r="E828" s="11" t="n">
        <x:v>1150</x:v>
      </x:c>
      <x:c r="F828" s="11" t="n">
        <x:v>916</x:v>
      </x:c>
      <x:c r="G828" s="11" t="n">
        <x:v>753.12</x:v>
      </x:c>
      <x:c r="H828" s="11" t="n">
        <x:v>0</x:v>
      </x:c>
      <x:c r="I828" s="11" t="n">
        <x:v>0</x:v>
      </x:c>
      <x:c r="J828" s="11"/>
      <x:c r="K828" s="1" t="str">
        <x:v>GFGV7600OC</x:v>
      </x:c>
      <x:c r="L828" s="1" t="str">
        <x:v>=+D824</x:v>
      </x:c>
    </x:row>
    <x:row r="829" ht="21" customHeight="1">
      <x:c r="A829" s="5" t="n">
        <x:v>46255</x:v>
      </x:c>
      <x:c r="B829" s="11" t="n">
        <x:v>1150</x:v>
      </x:c>
      <x:c r="C829" s="11" t="n">
        <x:v>230000</x:v>
      </x:c>
      <x:c r="D829" s="11" t="n">
        <x:v>1150</x:v>
      </x:c>
      <x:c r="E829" s="11" t="n">
        <x:v>978</x:v>
      </x:c>
      <x:c r="F829" s="11" t="n">
        <x:v>1150</x:v>
      </x:c>
      <x:c r="G829" s="11" t="n">
        <x:v>1150</x:v>
      </x:c>
      <x:c r="H829" s="11" t="n">
        <x:v>0</x:v>
      </x:c>
      <x:c r="I829" s="11" t="n">
        <x:v>0</x:v>
      </x:c>
      <x:c r="J829" s="11"/>
      <x:c r="K829" s="1" t="str">
        <x:v>GFGV7800OC</x:v>
      </x:c>
      <x:c r="L829" s="1" t="str">
        <x:v>=+D825</x:v>
      </x:c>
    </x:row>
    <x:row r="830" ht="21" customHeight="1">
      <x:c r="A830" s="5" t="n">
        <x:v>46258</x:v>
      </x:c>
      <x:c r="B830" s="11" t="n">
        <x:v>871</x:v>
      </x:c>
      <x:c r="C830" s="11" t="n">
        <x:v>10129480</x:v>
      </x:c>
      <x:c r="D830" s="11" t="n">
        <x:v>978</x:v>
      </x:c>
      <x:c r="E830" s="11" t="n">
        <x:v>900</x:v>
      </x:c>
      <x:c r="F830" s="11" t="n">
        <x:v>1000</x:v>
      </x:c>
      <x:c r="G830" s="11" t="n">
        <x:v>866</x:v>
      </x:c>
      <x:c r="H830" s="11" t="n">
        <x:v>0</x:v>
      </x:c>
      <x:c r="I830" s="11" t="n">
        <x:v>0</x:v>
      </x:c>
      <x:c r="J830" s="11"/>
      <x:c r="K830" s="1" t="str">
        <x:v>GFGV7800OC</x:v>
      </x:c>
      <x:c r="L830" s="1" t="str">
        <x:v>=+D826</x:v>
      </x:c>
    </x:row>
    <x:row r="831" ht="21" customHeight="1">
      <x:c r="A831" s="5" t="n">
        <x:v>46259</x:v>
      </x:c>
      <x:c r="B831" s="11" t="n">
        <x:v>771</x:v>
      </x:c>
      <x:c r="C831" s="11" t="n">
        <x:v>2489300</x:v>
      </x:c>
      <x:c r="D831" s="11" t="n">
        <x:v>900</x:v>
      </x:c>
      <x:c r="E831" s="11" t="n">
        <x:v>800</x:v>
      </x:c>
      <x:c r="F831" s="11" t="n">
        <x:v>900</x:v>
      </x:c>
      <x:c r="G831" s="11" t="n">
        <x:v>840</x:v>
      </x:c>
      <x:c r="H831" s="11" t="n">
        <x:v>0</x:v>
      </x:c>
      <x:c r="I831" s="11" t="n">
        <x:v>0</x:v>
      </x:c>
      <x:c r="J831" s="11"/>
      <x:c r="K831" s="1" t="str">
        <x:v>GFGV7800OC</x:v>
      </x:c>
      <x:c r="L831" s="1" t="str">
        <x:v>=+D827</x:v>
      </x:c>
    </x:row>
    <x:row r="832" ht="21" customHeight="1">
      <x:c r="A832" s="5" t="n">
        <x:v>46260</x:v>
      </x:c>
      <x:c r="B832" s="11" t="n">
        <x:v>800</x:v>
      </x:c>
      <x:c r="C832" s="11" t="n">
        <x:v>800000</x:v>
      </x:c>
      <x:c r="D832" s="11" t="n">
        <x:v>800</x:v>
      </x:c>
      <x:c r="E832" s="11" t="n">
        <x:v>770</x:v>
      </x:c>
      <x:c r="F832" s="11" t="n">
        <x:v>0</x:v>
      </x:c>
      <x:c r="G832" s="11" t="n">
        <x:v>0</x:v>
      </x:c>
      <x:c r="H832" s="11" t="n">
        <x:v>0</x:v>
      </x:c>
      <x:c r="I832" s="11" t="n">
        <x:v>0</x:v>
      </x:c>
      <x:c r="J832" s="11"/>
      <x:c r="K832" s="1" t="str">
        <x:v>GFGV7800OC</x:v>
      </x:c>
      <x:c r="L832" s="1" t="str">
        <x:v>=+D828</x:v>
      </x:c>
    </x:row>
    <x:row r="833" ht="21" customHeight="1">
      <x:c r="A833" s="5" t="n">
        <x:v>46261</x:v>
      </x:c>
      <x:c r="B833" s="11" t="n">
        <x:v>905</x:v>
      </x:c>
      <x:c r="C833" s="11" t="n">
        <x:v>879515.5</x:v>
      </x:c>
      <x:c r="D833" s="11" t="n">
        <x:v>770</x:v>
      </x:c>
      <x:c r="E833" s="11" t="n">
        <x:v>770</x:v>
      </x:c>
      <x:c r="F833" s="11" t="n">
        <x:v>910</x:v>
      </x:c>
      <x:c r="G833" s="11" t="n">
        <x:v>770</x:v>
      </x:c>
      <x:c r="H833" s="11" t="n">
        <x:v>0</x:v>
      </x:c>
      <x:c r="I833" s="11" t="n">
        <x:v>0</x:v>
      </x:c>
      <x:c r="J833" s="11"/>
      <x:c r="K833" s="1" t="str">
        <x:v>GFGV7800OC</x:v>
      </x:c>
      <x:c r="L833" s="1" t="str">
        <x:v>=+D829</x:v>
      </x:c>
    </x:row>
    <x:row r="834" ht="21" customHeight="1">
      <x:c r="A834" s="5" t="n">
        <x:v>46262</x:v>
      </x:c>
      <x:c r="B834" s="11" t="n">
        <x:v>905</x:v>
      </x:c>
      <x:c r="C834" s="11" t="n">
        <x:v>0</x:v>
      </x:c>
      <x:c r="D834" s="11" t="n">
        <x:v>770</x:v>
      </x:c>
      <x:c r="E834" s="11" t="n">
        <x:v>968</x:v>
      </x:c>
      <x:c r="F834" s="11" t="n">
        <x:v>910</x:v>
      </x:c>
      <x:c r="G834" s="11" t="n">
        <x:v>770</x:v>
      </x:c>
      <x:c r="H834" s="11" t="n">
        <x:v>0</x:v>
      </x:c>
      <x:c r="I834" s="11" t="n">
        <x:v>0</x:v>
      </x:c>
      <x:c r="J834" s="11"/>
      <x:c r="K834" s="1" t="str">
        <x:v>GFGV7800OC</x:v>
      </x:c>
      <x:c r="L834" s="1" t="str">
        <x:v>=+D830</x:v>
      </x:c>
    </x:row>
    <x:row r="835" ht="21" customHeight="1">
      <x:c r="A835" s="5" t="n">
        <x:v>46265</x:v>
      </x:c>
      <x:c r="B835" s="11" t="n">
        <x:v>790.81</x:v>
      </x:c>
      <x:c r="C835" s="11" t="n">
        <x:v>7598978</x:v>
      </x:c>
      <x:c r="D835" s="11" t="n">
        <x:v>968</x:v>
      </x:c>
      <x:c r="E835" s="11" t="n">
        <x:v>858.77</x:v>
      </x:c>
      <x:c r="F835" s="11" t="n">
        <x:v>968</x:v>
      </x:c>
      <x:c r="G835" s="11" t="n">
        <x:v>731.89</x:v>
      </x:c>
      <x:c r="H835" s="11" t="n">
        <x:v>0</x:v>
      </x:c>
      <x:c r="I835" s="11" t="n">
        <x:v>0</x:v>
      </x:c>
      <x:c r="J835" s="11"/>
      <x:c r="K835" s="1" t="str">
        <x:v>GFGV7800OC</x:v>
      </x:c>
      <x:c r="L835" s="1" t="str">
        <x:v>=+D831</x:v>
      </x:c>
    </x:row>
    <x:row r="836" ht="21" customHeight="1">
      <x:c r="A836" s="5" t="n">
        <x:v>46266</x:v>
      </x:c>
      <x:c r="B836" s="11" t="n">
        <x:v>798.65</x:v>
      </x:c>
      <x:c r="C836" s="11" t="n">
        <x:v>2430883.25</x:v>
      </x:c>
      <x:c r="D836" s="11" t="n">
        <x:v>858.77</x:v>
      </x:c>
      <x:c r="E836" s="11" t="n">
        <x:v>726</x:v>
      </x:c>
      <x:c r="F836" s="11" t="n">
        <x:v>940.81</x:v>
      </x:c>
      <x:c r="G836" s="11" t="n">
        <x:v>750.05</x:v>
      </x:c>
      <x:c r="H836" s="11" t="n">
        <x:v>0</x:v>
      </x:c>
      <x:c r="I836" s="11" t="n">
        <x:v>0</x:v>
      </x:c>
      <x:c r="J836" s="11"/>
      <x:c r="K836" s="1" t="str">
        <x:v>GFGV7800OC</x:v>
      </x:c>
      <x:c r="L836" s="1" t="str">
        <x:v>=+D832</x:v>
      </x:c>
    </x:row>
    <x:row r="837" ht="21" customHeight="1">
      <x:c r="A837" s="5" t="n">
        <x:v>46267</x:v>
      </x:c>
      <x:c r="B837" s="11" t="n">
        <x:v>726</x:v>
      </x:c>
      <x:c r="C837" s="11" t="n">
        <x:v>363000.5</x:v>
      </x:c>
      <x:c r="D837" s="11" t="n">
        <x:v>726</x:v>
      </x:c>
      <x:c r="E837" s="11" t="n">
        <x:v>605</x:v>
      </x:c>
      <x:c r="F837" s="11" t="n">
        <x:v>0</x:v>
      </x:c>
      <x:c r="G837" s="11" t="n">
        <x:v>0</x:v>
      </x:c>
      <x:c r="H837" s="11" t="n">
        <x:v>0</x:v>
      </x:c>
      <x:c r="I837" s="11" t="n">
        <x:v>0</x:v>
      </x:c>
      <x:c r="J837" s="11"/>
      <x:c r="K837" s="1" t="str">
        <x:v>GFGV7800OC</x:v>
      </x:c>
      <x:c r="L837" s="1" t="str">
        <x:v>=+D833</x:v>
      </x:c>
    </x:row>
    <x:row r="838" ht="21" customHeight="1">
      <x:c r="A838" s="5" t="n">
        <x:v>46268</x:v>
      </x:c>
      <x:c r="B838" s="11" t="n">
        <x:v>898.99</x:v>
      </x:c>
      <x:c r="C838" s="11" t="n">
        <x:v>392399</x:v>
      </x:c>
      <x:c r="D838" s="11" t="n">
        <x:v>605</x:v>
      </x:c>
      <x:c r="E838" s="11" t="n">
        <x:v>790</x:v>
      </x:c>
      <x:c r="F838" s="11" t="n">
        <x:v>605</x:v>
      </x:c>
      <x:c r="G838" s="11" t="n">
        <x:v>605</x:v>
      </x:c>
      <x:c r="H838" s="11" t="n">
        <x:v>0</x:v>
      </x:c>
      <x:c r="I838" s="11" t="n">
        <x:v>0</x:v>
      </x:c>
      <x:c r="J838" s="11"/>
      <x:c r="K838" s="1" t="str">
        <x:v>GFGV7800OC</x:v>
      </x:c>
      <x:c r="L838" s="1" t="str">
        <x:v>=+D834</x:v>
      </x:c>
    </x:row>
    <x:row r="839" ht="21" customHeight="1">
      <x:c r="A839" s="5" t="n">
        <x:v>46269</x:v>
      </x:c>
      <x:c r="B839" s="11" t="n">
        <x:v>780</x:v>
      </x:c>
      <x:c r="C839" s="11" t="n">
        <x:v>235000</x:v>
      </x:c>
      <x:c r="D839" s="11" t="n">
        <x:v>790</x:v>
      </x:c>
      <x:c r="E839" s="11" t="n">
        <x:v>790</x:v>
      </x:c>
      <x:c r="F839" s="11" t="n">
        <x:v>790</x:v>
      </x:c>
      <x:c r="G839" s="11" t="n">
        <x:v>790</x:v>
      </x:c>
      <x:c r="H839" s="11" t="n">
        <x:v>0</x:v>
      </x:c>
      <x:c r="I839" s="11" t="n">
        <x:v>0</x:v>
      </x:c>
      <x:c r="J839" s="11"/>
      <x:c r="K839" s="1" t="str">
        <x:v>GFGV7800OC</x:v>
      </x:c>
      <x:c r="L839" s="1" t="str">
        <x:v>=+D835</x:v>
      </x:c>
    </x:row>
    <x:row r="840" ht="21" customHeight="1">
      <x:c r="A840" s="5" t="n">
        <x:v>46272</x:v>
      </x:c>
      <x:c r="B840" s="11" t="n">
        <x:v>780</x:v>
      </x:c>
      <x:c r="C840" s="11" t="n">
        <x:v>0</x:v>
      </x:c>
      <x:c r="D840" s="11" t="n">
        <x:v>790</x:v>
      </x:c>
      <x:c r="E840" s="11" t="n">
        <x:v>790</x:v>
      </x:c>
      <x:c r="F840" s="11" t="n">
        <x:v>790</x:v>
      </x:c>
      <x:c r="G840" s="11" t="n">
        <x:v>790</x:v>
      </x:c>
      <x:c r="H840" s="11" t="n">
        <x:v>0</x:v>
      </x:c>
      <x:c r="I840" s="11" t="n">
        <x:v>0</x:v>
      </x:c>
      <x:c r="J840" s="11"/>
      <x:c r="K840" s="1" t="str">
        <x:v>GFGV7800OC</x:v>
      </x:c>
      <x:c r="L840" s="1" t="str">
        <x:v>=+D836</x:v>
      </x:c>
    </x:row>
    <x:row r="841" ht="21" customHeight="1">
      <x:c r="A841" s="5" t="n">
        <x:v>46273</x:v>
      </x:c>
      <x:c r="B841" s="11" t="n">
        <x:v>780</x:v>
      </x:c>
      <x:c r="C841" s="11" t="n">
        <x:v>0</x:v>
      </x:c>
      <x:c r="D841" s="11" t="n">
        <x:v>790</x:v>
      </x:c>
      <x:c r="E841" s="11" t="n">
        <x:v>790</x:v>
      </x:c>
      <x:c r="F841" s="11" t="n">
        <x:v>790</x:v>
      </x:c>
      <x:c r="G841" s="11" t="n">
        <x:v>790</x:v>
      </x:c>
      <x:c r="H841" s="11" t="n">
        <x:v>0</x:v>
      </x:c>
      <x:c r="I841" s="11" t="n">
        <x:v>0</x:v>
      </x:c>
      <x:c r="J841" s="11"/>
      <x:c r="K841" s="1" t="str">
        <x:v>GFGV7800OC</x:v>
      </x:c>
      <x:c r="L841" s="1" t="str">
        <x:v>=+D837</x:v>
      </x:c>
    </x:row>
    <x:row r="842" ht="21" customHeight="1">
      <x:c r="A842" s="5" t="n">
        <x:v>46274</x:v>
      </x:c>
      <x:c r="B842" s="11" t="n">
        <x:v>780</x:v>
      </x:c>
      <x:c r="C842" s="11" t="n">
        <x:v>0</x:v>
      </x:c>
      <x:c r="D842" s="11" t="n">
        <x:v>790</x:v>
      </x:c>
      <x:c r="E842" s="11" t="n">
        <x:v>720</x:v>
      </x:c>
      <x:c r="F842" s="11" t="n">
        <x:v>790</x:v>
      </x:c>
      <x:c r="G842" s="11" t="n">
        <x:v>790</x:v>
      </x:c>
      <x:c r="H842" s="11" t="n">
        <x:v>0</x:v>
      </x:c>
      <x:c r="I842" s="11" t="n">
        <x:v>0</x:v>
      </x:c>
      <x:c r="J842" s="11"/>
      <x:c r="K842" s="1" t="str">
        <x:v>GFGV7800OC</x:v>
      </x:c>
      <x:c r="L842" s="1" t="str">
        <x:v>=+D838</x:v>
      </x:c>
    </x:row>
    <x:row r="843" ht="21" customHeight="1">
      <x:c r="A843" s="5" t="n">
        <x:v>46275</x:v>
      </x:c>
      <x:c r="B843" s="11" t="n">
        <x:v>720</x:v>
      </x:c>
      <x:c r="C843" s="11" t="n">
        <x:v>144000</x:v>
      </x:c>
      <x:c r="D843" s="11" t="n">
        <x:v>720</x:v>
      </x:c>
      <x:c r="E843" s="11" t="n">
        <x:v>720</x:v>
      </x:c>
      <x:c r="F843" s="11" t="n">
        <x:v>0</x:v>
      </x:c>
      <x:c r="G843" s="11" t="n">
        <x:v>0</x:v>
      </x:c>
      <x:c r="H843" s="11" t="n">
        <x:v>0</x:v>
      </x:c>
      <x:c r="I843" s="11" t="n">
        <x:v>0</x:v>
      </x:c>
      <x:c r="J843" s="11"/>
      <x:c r="K843" s="1" t="str">
        <x:v>GFGV7800OC</x:v>
      </x:c>
      <x:c r="L843" s="1" t="str">
        <x:v>=+D839</x:v>
      </x:c>
    </x:row>
    <x:row r="844" ht="21" customHeight="1">
      <x:c r="A844" s="5" t="n">
        <x:v>46276</x:v>
      </x:c>
      <x:c r="B844" s="11" t="n">
        <x:v>720</x:v>
      </x:c>
      <x:c r="C844" s="11" t="n">
        <x:v>0</x:v>
      </x:c>
      <x:c r="D844" s="11" t="n">
        <x:v>720</x:v>
      </x:c>
      <x:c r="E844" s="11" t="n">
        <x:v>830</x:v>
      </x:c>
      <x:c r="F844" s="11" t="n">
        <x:v>720</x:v>
      </x:c>
      <x:c r="G844" s="11" t="n">
        <x:v>720</x:v>
      </x:c>
      <x:c r="H844" s="11" t="n">
        <x:v>0</x:v>
      </x:c>
      <x:c r="I844" s="11" t="n">
        <x:v>0</x:v>
      </x:c>
      <x:c r="J844" s="11"/>
      <x:c r="K844" s="1" t="str">
        <x:v>GFGV7800OC</x:v>
      </x:c>
      <x:c r="L844" s="1" t="str">
        <x:v>=+D840</x:v>
      </x:c>
    </x:row>
    <x:row r="845" ht="21" customHeight="1">
      <x:c r="A845" s="5" t="n">
        <x:v>46279</x:v>
      </x:c>
      <x:c r="B845" s="11" t="n">
        <x:v>955</x:v>
      </x:c>
      <x:c r="C845" s="11" t="n">
        <x:v>3038134</x:v>
      </x:c>
      <x:c r="D845" s="11" t="n">
        <x:v>830</x:v>
      </x:c>
      <x:c r="E845" s="11" t="n">
        <x:v>990.5</x:v>
      </x:c>
      <x:c r="F845" s="11" t="n">
        <x:v>983.59</x:v>
      </x:c>
      <x:c r="G845" s="11" t="n">
        <x:v>830</x:v>
      </x:c>
      <x:c r="H845" s="11" t="n">
        <x:v>0</x:v>
      </x:c>
      <x:c r="I845" s="11" t="n">
        <x:v>0</x:v>
      </x:c>
      <x:c r="J845" s="11"/>
      <x:c r="K845" s="1" t="str">
        <x:v>GFGV7800OC</x:v>
      </x:c>
      <x:c r="L845" s="1" t="str">
        <x:v>=+D841</x:v>
      </x:c>
    </x:row>
    <x:row r="846" ht="21" customHeight="1">
      <x:c r="A846" s="5" t="n">
        <x:v>46280</x:v>
      </x:c>
      <x:c r="B846" s="11" t="n">
        <x:v>1064.72</x:v>
      </x:c>
      <x:c r="C846" s="11" t="n">
        <x:v>2107901.5</x:v>
      </x:c>
      <x:c r="D846" s="11" t="n">
        <x:v>990.5</x:v>
      </x:c>
      <x:c r="E846" s="11" t="n">
        <x:v>1020</x:v>
      </x:c>
      <x:c r="F846" s="11" t="n">
        <x:v>1088.22</x:v>
      </x:c>
      <x:c r="G846" s="11" t="n">
        <x:v>967.62</x:v>
      </x:c>
      <x:c r="H846" s="11" t="n">
        <x:v>0</x:v>
      </x:c>
      <x:c r="I846" s="11" t="n">
        <x:v>0</x:v>
      </x:c>
      <x:c r="J846" s="11"/>
      <x:c r="K846" s="1" t="str">
        <x:v>GFGV7800OC</x:v>
      </x:c>
      <x:c r="L846" s="1" t="str">
        <x:v>=+D842</x:v>
      </x:c>
    </x:row>
    <x:row r="847" ht="21" customHeight="1">
      <x:c r="A847" s="5" t="n">
        <x:v>46281</x:v>
      </x:c>
      <x:c r="B847" s="11" t="n">
        <x:v>1000</x:v>
      </x:c>
      <x:c r="C847" s="11" t="n">
        <x:v>302000</x:v>
      </x:c>
      <x:c r="D847" s="11" t="n">
        <x:v>1020</x:v>
      </x:c>
      <x:c r="E847" s="11" t="n">
        <x:v>1490</x:v>
      </x:c>
      <x:c r="F847" s="11" t="n">
        <x:v>1020</x:v>
      </x:c>
      <x:c r="G847" s="11" t="n">
        <x:v>1020</x:v>
      </x:c>
      <x:c r="H847" s="11" t="n">
        <x:v>0</x:v>
      </x:c>
      <x:c r="I847" s="11" t="n">
        <x:v>0</x:v>
      </x:c>
      <x:c r="J847" s="11"/>
      <x:c r="K847" s="1" t="str">
        <x:v>GFGV7800OC</x:v>
      </x:c>
      <x:c r="L847" s="1" t="str">
        <x:v>=+D843</x:v>
      </x:c>
    </x:row>
    <x:row r="848" ht="21" customHeight="1">
      <x:c r="A848" s="5" t="n">
        <x:v>46255</x:v>
      </x:c>
      <x:c r="B848" s="11" t="n">
        <x:v>1337.5</x:v>
      </x:c>
      <x:c r="C848" s="11" t="n">
        <x:v>1426500</x:v>
      </x:c>
      <x:c r="D848" s="11" t="n">
        <x:v>1490</x:v>
      </x:c>
      <x:c r="E848" s="11" t="n">
        <x:v>1105</x:v>
      </x:c>
      <x:c r="F848" s="11" t="n">
        <x:v>1490</x:v>
      </x:c>
      <x:c r="G848" s="11" t="n">
        <x:v>1325</x:v>
      </x:c>
      <x:c r="H848" s="11" t="n">
        <x:v>0</x:v>
      </x:c>
      <x:c r="I848" s="11" t="n">
        <x:v>0</x:v>
      </x:c>
      <x:c r="J848" s="11"/>
      <x:c r="K848" s="1" t="str">
        <x:v>GFGV8000OC</x:v>
      </x:c>
      <x:c r="L848" s="1" t="str">
        <x:v>=+D844</x:v>
      </x:c>
    </x:row>
    <x:row r="849" ht="21" customHeight="1">
      <x:c r="A849" s="5" t="n">
        <x:v>46258</x:v>
      </x:c>
      <x:c r="B849" s="11" t="n">
        <x:v>1000</x:v>
      </x:c>
      <x:c r="C849" s="11" t="n">
        <x:v>2361522</x:v>
      </x:c>
      <x:c r="D849" s="11" t="n">
        <x:v>1105</x:v>
      </x:c>
      <x:c r="E849" s="11" t="n">
        <x:v>1020</x:v>
      </x:c>
      <x:c r="F849" s="11" t="n">
        <x:v>1105</x:v>
      </x:c>
      <x:c r="G849" s="11" t="n">
        <x:v>1000.1</x:v>
      </x:c>
      <x:c r="H849" s="11" t="n">
        <x:v>0</x:v>
      </x:c>
      <x:c r="I849" s="11" t="n">
        <x:v>0</x:v>
      </x:c>
      <x:c r="J849" s="11"/>
      <x:c r="K849" s="1" t="str">
        <x:v>GFGV8000OC</x:v>
      </x:c>
      <x:c r="L849" s="1" t="str">
        <x:v>=+D845</x:v>
      </x:c>
    </x:row>
    <x:row r="850" ht="21" customHeight="1">
      <x:c r="A850" s="5" t="n">
        <x:v>46259</x:v>
      </x:c>
      <x:c r="B850" s="11" t="n">
        <x:v>1024</x:v>
      </x:c>
      <x:c r="C850" s="11" t="n">
        <x:v>2905407.5</x:v>
      </x:c>
      <x:c r="D850" s="11" t="n">
        <x:v>1020</x:v>
      </x:c>
      <x:c r="E850" s="11" t="n">
        <x:v>879</x:v>
      </x:c>
      <x:c r="F850" s="11" t="n">
        <x:v>1040</x:v>
      </x:c>
      <x:c r="G850" s="11" t="n">
        <x:v>955</x:v>
      </x:c>
      <x:c r="H850" s="11" t="n">
        <x:v>0</x:v>
      </x:c>
      <x:c r="I850" s="11" t="n">
        <x:v>0</x:v>
      </x:c>
      <x:c r="J850" s="11"/>
      <x:c r="K850" s="1" t="str">
        <x:v>GFGV8000OC</x:v>
      </x:c>
      <x:c r="L850" s="1" t="str">
        <x:v>=+D846</x:v>
      </x:c>
    </x:row>
    <x:row r="851" ht="21" customHeight="1">
      <x:c r="A851" s="5" t="n">
        <x:v>46260</x:v>
      </x:c>
      <x:c r="B851" s="11" t="n">
        <x:v>990</x:v>
      </x:c>
      <x:c r="C851" s="11" t="n">
        <x:v>6944098.5</x:v>
      </x:c>
      <x:c r="D851" s="11" t="n">
        <x:v>879</x:v>
      </x:c>
      <x:c r="E851" s="11" t="n">
        <x:v>1075</x:v>
      </x:c>
      <x:c r="F851" s="11" t="n">
        <x:v>999</x:v>
      </x:c>
      <x:c r="G851" s="11" t="n">
        <x:v>879</x:v>
      </x:c>
      <x:c r="H851" s="11" t="n">
        <x:v>0</x:v>
      </x:c>
      <x:c r="I851" s="11" t="n">
        <x:v>0</x:v>
      </x:c>
      <x:c r="J851" s="11"/>
      <x:c r="K851" s="1" t="str">
        <x:v>GFGV8000OC</x:v>
      </x:c>
      <x:c r="L851" s="1" t="str">
        <x:v>=+D847</x:v>
      </x:c>
    </x:row>
    <x:row r="852" ht="21" customHeight="1">
      <x:c r="A852" s="5" t="n">
        <x:v>46261</x:v>
      </x:c>
      <x:c r="B852" s="11" t="n">
        <x:v>1127.14</x:v>
      </x:c>
      <x:c r="C852" s="11" t="n">
        <x:v>19368288</x:v>
      </x:c>
      <x:c r="D852" s="11" t="n">
        <x:v>1075</x:v>
      </x:c>
      <x:c r="E852" s="11" t="n">
        <x:v>1166</x:v>
      </x:c>
      <x:c r="F852" s="11" t="n">
        <x:v>1155</x:v>
      </x:c>
      <x:c r="G852" s="11" t="n">
        <x:v>1055</x:v>
      </x:c>
      <x:c r="H852" s="11" t="n">
        <x:v>0</x:v>
      </x:c>
      <x:c r="I852" s="11" t="n">
        <x:v>0</x:v>
      </x:c>
      <x:c r="J852" s="11"/>
      <x:c r="K852" s="1" t="str">
        <x:v>GFGV8000OC</x:v>
      </x:c>
      <x:c r="L852" s="1" t="str">
        <x:v>=+D848</x:v>
      </x:c>
    </x:row>
    <x:row r="853" ht="21" customHeight="1">
      <x:c r="A853" s="5" t="n">
        <x:v>46262</x:v>
      </x:c>
      <x:c r="B853" s="11" t="n">
        <x:v>1225</x:v>
      </x:c>
      <x:c r="C853" s="11" t="n">
        <x:v>2458600.25</x:v>
      </x:c>
      <x:c r="D853" s="11" t="n">
        <x:v>1166</x:v>
      </x:c>
      <x:c r="E853" s="11" t="n">
        <x:v>1107.95</x:v>
      </x:c>
      <x:c r="F853" s="11" t="n">
        <x:v>1259</x:v>
      </x:c>
      <x:c r="G853" s="11" t="n">
        <x:v>1166</x:v>
      </x:c>
      <x:c r="H853" s="11" t="n">
        <x:v>0</x:v>
      </x:c>
      <x:c r="I853" s="11" t="n">
        <x:v>0</x:v>
      </x:c>
      <x:c r="J853" s="11"/>
      <x:c r="K853" s="1" t="str">
        <x:v>GFGV8000OC</x:v>
      </x:c>
      <x:c r="L853" s="1" t="str">
        <x:v>=+D849</x:v>
      </x:c>
    </x:row>
    <x:row r="854" ht="21" customHeight="1">
      <x:c r="A854" s="5" t="n">
        <x:v>46265</x:v>
      </x:c>
      <x:c r="B854" s="11" t="n">
        <x:v>950</x:v>
      </x:c>
      <x:c r="C854" s="11" t="n">
        <x:v>2310116.5</x:v>
      </x:c>
      <x:c r="D854" s="11" t="n">
        <x:v>1107.95</x:v>
      </x:c>
      <x:c r="E854" s="11" t="n">
        <x:v>877.66</x:v>
      </x:c>
      <x:c r="F854" s="11" t="n">
        <x:v>1107.95</x:v>
      </x:c>
      <x:c r="G854" s="11" t="n">
        <x:v>880.45</x:v>
      </x:c>
      <x:c r="H854" s="11" t="n">
        <x:v>0</x:v>
      </x:c>
      <x:c r="I854" s="11" t="n">
        <x:v>0</x:v>
      </x:c>
      <x:c r="J854" s="11"/>
      <x:c r="K854" s="1" t="str">
        <x:v>GFGV8000OC</x:v>
      </x:c>
      <x:c r="L854" s="1" t="str">
        <x:v>=+D850</x:v>
      </x:c>
    </x:row>
    <x:row r="855" ht="21" customHeight="1">
      <x:c r="A855" s="5" t="n">
        <x:v>46266</x:v>
      </x:c>
      <x:c r="B855" s="11" t="n">
        <x:v>960</x:v>
      </x:c>
      <x:c r="C855" s="11" t="n">
        <x:v>562751.31</x:v>
      </x:c>
      <x:c r="D855" s="11" t="n">
        <x:v>877.66</x:v>
      </x:c>
      <x:c r="E855" s="11" t="n">
        <x:v>910</x:v>
      </x:c>
      <x:c r="F855" s="11" t="n">
        <x:v>961.15</x:v>
      </x:c>
      <x:c r="G855" s="11" t="n">
        <x:v>877.66</x:v>
      </x:c>
      <x:c r="H855" s="11" t="n">
        <x:v>0</x:v>
      </x:c>
      <x:c r="I855" s="11" t="n">
        <x:v>0</x:v>
      </x:c>
      <x:c r="J855" s="11"/>
      <x:c r="K855" s="1" t="str">
        <x:v>GFGV8000OC</x:v>
      </x:c>
      <x:c r="L855" s="1" t="str">
        <x:v>=+D851</x:v>
      </x:c>
    </x:row>
    <x:row r="856" ht="21" customHeight="1">
      <x:c r="A856" s="5" t="n">
        <x:v>46267</x:v>
      </x:c>
      <x:c r="B856" s="11" t="n">
        <x:v>910</x:v>
      </x:c>
      <x:c r="C856" s="11" t="n">
        <x:v>455000</x:v>
      </x:c>
      <x:c r="D856" s="11" t="n">
        <x:v>910</x:v>
      </x:c>
      <x:c r="E856" s="11" t="n">
        <x:v>1000</x:v>
      </x:c>
      <x:c r="F856" s="11" t="n">
        <x:v>910</x:v>
      </x:c>
      <x:c r="G856" s="11" t="n">
        <x:v>910</x:v>
      </x:c>
      <x:c r="H856" s="11" t="n">
        <x:v>0</x:v>
      </x:c>
      <x:c r="I856" s="11" t="n">
        <x:v>0</x:v>
      </x:c>
      <x:c r="J856" s="11"/>
      <x:c r="K856" s="1" t="str">
        <x:v>GFGV8000OC</x:v>
      </x:c>
      <x:c r="L856" s="1" t="str">
        <x:v>=+D852</x:v>
      </x:c>
    </x:row>
    <x:row r="857" ht="21" customHeight="1">
      <x:c r="A857" s="5" t="n">
        <x:v>46268</x:v>
      </x:c>
      <x:c r="B857" s="11" t="n">
        <x:v>1000</x:v>
      </x:c>
      <x:c r="C857" s="11" t="n">
        <x:v>298999.91</x:v>
      </x:c>
      <x:c r="D857" s="11" t="n">
        <x:v>1000</x:v>
      </x:c>
      <x:c r="E857" s="11" t="n">
        <x:v>1000</x:v>
      </x:c>
      <x:c r="F857" s="11" t="n">
        <x:v>1000</x:v>
      </x:c>
      <x:c r="G857" s="11" t="n">
        <x:v>990</x:v>
      </x:c>
      <x:c r="H857" s="11" t="n">
        <x:v>0</x:v>
      </x:c>
      <x:c r="I857" s="11" t="n">
        <x:v>0</x:v>
      </x:c>
      <x:c r="J857" s="11"/>
      <x:c r="K857" s="1" t="str">
        <x:v>GFGV8000OC</x:v>
      </x:c>
      <x:c r="L857" s="1" t="str">
        <x:v>=+D853</x:v>
      </x:c>
    </x:row>
    <x:row r="858" ht="21" customHeight="1">
      <x:c r="A858" s="5" t="n">
        <x:v>46269</x:v>
      </x:c>
      <x:c r="B858" s="11" t="n">
        <x:v>1000</x:v>
      </x:c>
      <x:c r="C858" s="11" t="n">
        <x:v>200000</x:v>
      </x:c>
      <x:c r="D858" s="11" t="n">
        <x:v>1000</x:v>
      </x:c>
      <x:c r="E858" s="11" t="n">
        <x:v>1000</x:v>
      </x:c>
      <x:c r="F858" s="11" t="n">
        <x:v>1000</x:v>
      </x:c>
      <x:c r="G858" s="11" t="n">
        <x:v>1000</x:v>
      </x:c>
      <x:c r="H858" s="11" t="n">
        <x:v>0</x:v>
      </x:c>
      <x:c r="I858" s="11" t="n">
        <x:v>0</x:v>
      </x:c>
      <x:c r="J858" s="11"/>
      <x:c r="K858" s="1" t="str">
        <x:v>GFGV8000OC</x:v>
      </x:c>
      <x:c r="L858" s="1" t="str">
        <x:v>=+D854</x:v>
      </x:c>
    </x:row>
    <x:row r="859" ht="21" customHeight="1">
      <x:c r="A859" s="5" t="n">
        <x:v>46272</x:v>
      </x:c>
      <x:c r="B859" s="11" t="n">
        <x:v>1000</x:v>
      </x:c>
      <x:c r="C859" s="11" t="n">
        <x:v>0</x:v>
      </x:c>
      <x:c r="D859" s="11" t="n">
        <x:v>1000</x:v>
      </x:c>
      <x:c r="E859" s="11" t="n">
        <x:v>990</x:v>
      </x:c>
      <x:c r="F859" s="11" t="n">
        <x:v>1000</x:v>
      </x:c>
      <x:c r="G859" s="11" t="n">
        <x:v>1000</x:v>
      </x:c>
      <x:c r="H859" s="11" t="n">
        <x:v>0</x:v>
      </x:c>
      <x:c r="I859" s="11" t="n">
        <x:v>0</x:v>
      </x:c>
      <x:c r="J859" s="11"/>
      <x:c r="K859" s="1" t="str">
        <x:v>GFGV8000OC</x:v>
      </x:c>
      <x:c r="L859" s="1" t="str">
        <x:v>=+D855</x:v>
      </x:c>
    </x:row>
    <x:row r="860" ht="21" customHeight="1">
      <x:c r="A860" s="5" t="n">
        <x:v>46273</x:v>
      </x:c>
      <x:c r="B860" s="11" t="n">
        <x:v>960</x:v>
      </x:c>
      <x:c r="C860" s="11" t="n">
        <x:v>498793</x:v>
      </x:c>
      <x:c r="D860" s="11" t="n">
        <x:v>990</x:v>
      </x:c>
      <x:c r="E860" s="11" t="n">
        <x:v>1100</x:v>
      </x:c>
      <x:c r="F860" s="11" t="n">
        <x:v>1100</x:v>
      </x:c>
      <x:c r="G860" s="11" t="n">
        <x:v>947.93</x:v>
      </x:c>
      <x:c r="H860" s="11" t="n">
        <x:v>0</x:v>
      </x:c>
      <x:c r="I860" s="11" t="n">
        <x:v>0</x:v>
      </x:c>
      <x:c r="J860" s="11"/>
      <x:c r="K860" s="1" t="str">
        <x:v>GFGV8000OC</x:v>
      </x:c>
      <x:c r="L860" s="1" t="str">
        <x:v>=+D856</x:v>
      </x:c>
    </x:row>
    <x:row r="861" ht="21" customHeight="1">
      <x:c r="A861" s="5" t="n">
        <x:v>46274</x:v>
      </x:c>
      <x:c r="B861" s="11" t="n">
        <x:v>900</x:v>
      </x:c>
      <x:c r="C861" s="11" t="n">
        <x:v>200000</x:v>
      </x:c>
      <x:c r="D861" s="11" t="n">
        <x:v>1100</x:v>
      </x:c>
      <x:c r="E861" s="11" t="n">
        <x:v>850</x:v>
      </x:c>
      <x:c r="F861" s="11" t="n">
        <x:v>1100</x:v>
      </x:c>
      <x:c r="G861" s="11" t="n">
        <x:v>1100</x:v>
      </x:c>
      <x:c r="H861" s="11" t="n">
        <x:v>0</x:v>
      </x:c>
      <x:c r="I861" s="11" t="n">
        <x:v>0</x:v>
      </x:c>
      <x:c r="J861" s="11"/>
      <x:c r="K861" s="1" t="str">
        <x:v>GFGV8000OC</x:v>
      </x:c>
      <x:c r="L861" s="1" t="str">
        <x:v>=+D857</x:v>
      </x:c>
    </x:row>
    <x:row r="862" ht="21" customHeight="1">
      <x:c r="A862" s="5" t="n">
        <x:v>46275</x:v>
      </x:c>
      <x:c r="B862" s="11" t="n">
        <x:v>835</x:v>
      </x:c>
      <x:c r="C862" s="11" t="n">
        <x:v>167000</x:v>
      </x:c>
      <x:c r="D862" s="11" t="n">
        <x:v>850</x:v>
      </x:c>
      <x:c r="E862" s="11" t="n">
        <x:v>900</x:v>
      </x:c>
      <x:c r="F862" s="11" t="n">
        <x:v>850</x:v>
      </x:c>
      <x:c r="G862" s="11" t="n">
        <x:v>850</x:v>
      </x:c>
      <x:c r="H862" s="11" t="n">
        <x:v>0</x:v>
      </x:c>
      <x:c r="I862" s="11" t="n">
        <x:v>0</x:v>
      </x:c>
      <x:c r="J862" s="11"/>
      <x:c r="K862" s="1" t="str">
        <x:v>GFGV8000OC</x:v>
      </x:c>
      <x:c r="L862" s="1" t="str">
        <x:v>=+D858</x:v>
      </x:c>
    </x:row>
    <x:row r="863" ht="21" customHeight="1">
      <x:c r="A863" s="5" t="n">
        <x:v>46276</x:v>
      </x:c>
      <x:c r="B863" s="11" t="n">
        <x:v>1017.5</x:v>
      </x:c>
      <x:c r="C863" s="11" t="n">
        <x:v>393500</x:v>
      </x:c>
      <x:c r="D863" s="11" t="n">
        <x:v>900</x:v>
      </x:c>
      <x:c r="E863" s="11" t="n">
        <x:v>1090</x:v>
      </x:c>
      <x:c r="F863" s="11" t="n">
        <x:v>1000</x:v>
      </x:c>
      <x:c r="G863" s="11" t="n">
        <x:v>900</x:v>
      </x:c>
      <x:c r="H863" s="11" t="n">
        <x:v>0</x:v>
      </x:c>
      <x:c r="I863" s="11" t="n">
        <x:v>0</x:v>
      </x:c>
      <x:c r="J863" s="11"/>
      <x:c r="K863" s="1" t="str">
        <x:v>GFGV8000OC</x:v>
      </x:c>
      <x:c r="L863" s="1" t="str">
        <x:v>=+D859</x:v>
      </x:c>
    </x:row>
    <x:row r="864" ht="21" customHeight="1">
      <x:c r="A864" s="5" t="n">
        <x:v>46279</x:v>
      </x:c>
      <x:c r="B864" s="11" t="n">
        <x:v>1160</x:v>
      </x:c>
      <x:c r="C864" s="11" t="n">
        <x:v>3754252.75</x:v>
      </x:c>
      <x:c r="D864" s="11" t="n">
        <x:v>1090</x:v>
      </x:c>
      <x:c r="E864" s="11" t="n">
        <x:v>1109.11</x:v>
      </x:c>
      <x:c r="F864" s="11" t="n">
        <x:v>1160</x:v>
      </x:c>
      <x:c r="G864" s="11" t="n">
        <x:v>1090</x:v>
      </x:c>
      <x:c r="H864" s="11" t="n">
        <x:v>0</x:v>
      </x:c>
      <x:c r="I864" s="11" t="n">
        <x:v>0</x:v>
      </x:c>
      <x:c r="J864" s="11"/>
      <x:c r="K864" s="1" t="str">
        <x:v>GFGV8000OC</x:v>
      </x:c>
      <x:c r="L864" s="1" t="str">
        <x:v>=+D860</x:v>
      </x:c>
    </x:row>
    <x:row r="865" ht="21" customHeight="1">
      <x:c r="A865" s="5" t="n">
        <x:v>46280</x:v>
      </x:c>
      <x:c r="B865" s="11" t="n">
        <x:v>1230</x:v>
      </x:c>
      <x:c r="C865" s="11" t="n">
        <x:v>21339940</x:v>
      </x:c>
      <x:c r="D865" s="11" t="n">
        <x:v>1109.11</x:v>
      </x:c>
      <x:c r="E865" s="11" t="n">
        <x:v>1109.11</x:v>
      </x:c>
      <x:c r="F865" s="11" t="n">
        <x:v>1250</x:v>
      </x:c>
      <x:c r="G865" s="11" t="n">
        <x:v>1109</x:v>
      </x:c>
      <x:c r="H865" s="11" t="n">
        <x:v>0</x:v>
      </x:c>
      <x:c r="I865" s="11" t="n">
        <x:v>0</x:v>
      </x:c>
      <x:c r="J865" s="11"/>
      <x:c r="K865" s="1" t="str">
        <x:v>GFGV8000OC</x:v>
      </x:c>
      <x:c r="L865" s="1" t="str">
        <x:v>=+D861</x:v>
      </x:c>
    </x:row>
    <x:row r="866" ht="21" customHeight="1">
      <x:c r="A866" s="5" t="n">
        <x:v>46281</x:v>
      </x:c>
      <x:c r="B866" s="11" t="n">
        <x:v>1230</x:v>
      </x:c>
      <x:c r="C866" s="11" t="n">
        <x:v>0</x:v>
      </x:c>
      <x:c r="D866" s="11" t="n">
        <x:v>1109.11</x:v>
      </x:c>
      <x:c r="E866" s="11" t="n">
        <x:v>1580</x:v>
      </x:c>
      <x:c r="F866" s="11" t="n">
        <x:v>1250</x:v>
      </x:c>
      <x:c r="G866" s="11" t="n">
        <x:v>1109</x:v>
      </x:c>
      <x:c r="H866" s="11" t="n">
        <x:v>0</x:v>
      </x:c>
      <x:c r="I866" s="11" t="n">
        <x:v>0</x:v>
      </x:c>
      <x:c r="J866" s="11"/>
      <x:c r="K866" s="1" t="str">
        <x:v>GFGV8000OC</x:v>
      </x:c>
      <x:c r="L866" s="1" t="str">
        <x:v>=+D862</x:v>
      </x:c>
    </x:row>
    <x:row r="867" ht="21" customHeight="1">
      <x:c r="A867" s="5" t="n">
        <x:v>46255</x:v>
      </x:c>
      <x:c r="B867" s="11" t="n">
        <x:v>1580</x:v>
      </x:c>
      <x:c r="C867" s="11" t="n">
        <x:v>474000</x:v>
      </x:c>
      <x:c r="D867" s="11" t="n">
        <x:v>1580</x:v>
      </x:c>
      <x:c r="E867" s="11" t="n">
        <x:v>1700</x:v>
      </x:c>
      <x:c r="F867" s="11" t="n">
        <x:v>1580</x:v>
      </x:c>
      <x:c r="G867" s="11" t="n">
        <x:v>1580</x:v>
      </x:c>
      <x:c r="H867" s="11" t="n">
        <x:v>0</x:v>
      </x:c>
      <x:c r="I867" s="11" t="n">
        <x:v>0</x:v>
      </x:c>
      <x:c r="J867" s="11"/>
      <x:c r="K867" s="1" t="str">
        <x:v>GFGV8300OC</x:v>
      </x:c>
      <x:c r="L867" s="1" t="str">
        <x:v>=+D863</x:v>
      </x:c>
    </x:row>
    <x:row r="868" ht="21" customHeight="1">
      <x:c r="A868" s="5" t="n">
        <x:v>46258</x:v>
      </x:c>
      <x:c r="B868" s="11" t="n">
        <x:v>1310</x:v>
      </x:c>
      <x:c r="C868" s="11" t="n">
        <x:v>9934083</x:v>
      </x:c>
      <x:c r="D868" s="11" t="n">
        <x:v>1700</x:v>
      </x:c>
      <x:c r="E868" s="11" t="n">
        <x:v>1280</x:v>
      </x:c>
      <x:c r="F868" s="11" t="n">
        <x:v>1700</x:v>
      </x:c>
      <x:c r="G868" s="11" t="n">
        <x:v>1260</x:v>
      </x:c>
      <x:c r="H868" s="11" t="n">
        <x:v>0</x:v>
      </x:c>
      <x:c r="I868" s="11" t="n">
        <x:v>0</x:v>
      </x:c>
      <x:c r="J868" s="11"/>
      <x:c r="K868" s="1" t="str">
        <x:v>GFGV8300OC</x:v>
      </x:c>
      <x:c r="L868" s="1" t="str">
        <x:v>=+D864</x:v>
      </x:c>
    </x:row>
    <x:row r="869" ht="21" customHeight="1">
      <x:c r="A869" s="5" t="n">
        <x:v>46259</x:v>
      </x:c>
      <x:c r="B869" s="11" t="n">
        <x:v>1176.84</x:v>
      </x:c>
      <x:c r="C869" s="11" t="n">
        <x:v>2028466</x:v>
      </x:c>
      <x:c r="D869" s="11" t="n">
        <x:v>1280</x:v>
      </x:c>
      <x:c r="E869" s="11" t="n">
        <x:v>1180</x:v>
      </x:c>
      <x:c r="F869" s="11" t="n">
        <x:v>1310</x:v>
      </x:c>
      <x:c r="G869" s="11" t="n">
        <x:v>1181.84</x:v>
      </x:c>
      <x:c r="H869" s="11" t="n">
        <x:v>0</x:v>
      </x:c>
      <x:c r="I869" s="11" t="n">
        <x:v>0</x:v>
      </x:c>
      <x:c r="J869" s="11"/>
      <x:c r="K869" s="1" t="str">
        <x:v>GFGV8300OC</x:v>
      </x:c>
      <x:c r="L869" s="1" t="str">
        <x:v>=+D865</x:v>
      </x:c>
    </x:row>
    <x:row r="870" ht="21" customHeight="1">
      <x:c r="A870" s="5" t="n">
        <x:v>46260</x:v>
      </x:c>
      <x:c r="B870" s="11" t="n">
        <x:v>1274.9</x:v>
      </x:c>
      <x:c r="C870" s="11" t="n">
        <x:v>1536505</x:v>
      </x:c>
      <x:c r="D870" s="11" t="n">
        <x:v>1180</x:v>
      </x:c>
      <x:c r="E870" s="11" t="n">
        <x:v>1240</x:v>
      </x:c>
      <x:c r="F870" s="11" t="n">
        <x:v>1220</x:v>
      </x:c>
      <x:c r="G870" s="11" t="n">
        <x:v>1082.11</x:v>
      </x:c>
      <x:c r="H870" s="11" t="n">
        <x:v>0</x:v>
      </x:c>
      <x:c r="I870" s="11" t="n">
        <x:v>0</x:v>
      </x:c>
      <x:c r="J870" s="11"/>
      <x:c r="K870" s="1" t="str">
        <x:v>GFGV8300OC</x:v>
      </x:c>
      <x:c r="L870" s="1" t="str">
        <x:v>=+D866</x:v>
      </x:c>
    </x:row>
    <x:row r="871" ht="21" customHeight="1">
      <x:c r="A871" s="5" t="n">
        <x:v>46261</x:v>
      </x:c>
      <x:c r="B871" s="11" t="n">
        <x:v>1291.94</x:v>
      </x:c>
      <x:c r="C871" s="11" t="n">
        <x:v>2470367</x:v>
      </x:c>
      <x:c r="D871" s="11" t="n">
        <x:v>1240</x:v>
      </x:c>
      <x:c r="E871" s="11" t="n">
        <x:v>1240</x:v>
      </x:c>
      <x:c r="F871" s="11" t="n">
        <x:v>1437.33</x:v>
      </x:c>
      <x:c r="G871" s="11" t="n">
        <x:v>1240</x:v>
      </x:c>
      <x:c r="H871" s="11" t="n">
        <x:v>0</x:v>
      </x:c>
      <x:c r="I871" s="11" t="n">
        <x:v>0</x:v>
      </x:c>
      <x:c r="J871" s="11"/>
      <x:c r="K871" s="1" t="str">
        <x:v>GFGV8300OC</x:v>
      </x:c>
      <x:c r="L871" s="1" t="str">
        <x:v>=+D867</x:v>
      </x:c>
    </x:row>
    <x:row r="872" ht="21" customHeight="1">
      <x:c r="A872" s="5" t="n">
        <x:v>46262</x:v>
      </x:c>
      <x:c r="B872" s="11" t="n">
        <x:v>1291.94</x:v>
      </x:c>
      <x:c r="C872" s="11" t="n">
        <x:v>0</x:v>
      </x:c>
      <x:c r="D872" s="11" t="n">
        <x:v>1240</x:v>
      </x:c>
      <x:c r="E872" s="11" t="n">
        <x:v>1260</x:v>
      </x:c>
      <x:c r="F872" s="11" t="n">
        <x:v>1437.33</x:v>
      </x:c>
      <x:c r="G872" s="11" t="n">
        <x:v>1240</x:v>
      </x:c>
      <x:c r="H872" s="11" t="n">
        <x:v>0</x:v>
      </x:c>
      <x:c r="I872" s="11" t="n">
        <x:v>0</x:v>
      </x:c>
      <x:c r="J872" s="11"/>
      <x:c r="K872" s="1" t="str">
        <x:v>GFGV8300OC</x:v>
      </x:c>
      <x:c r="L872" s="1" t="str">
        <x:v>=+D868</x:v>
      </x:c>
    </x:row>
    <x:row r="873" ht="21" customHeight="1">
      <x:c r="A873" s="5" t="n">
        <x:v>46265</x:v>
      </x:c>
      <x:c r="B873" s="11" t="n">
        <x:v>1260</x:v>
      </x:c>
      <x:c r="C873" s="11" t="n">
        <x:v>252000</x:v>
      </x:c>
      <x:c r="D873" s="11" t="n">
        <x:v>1260</x:v>
      </x:c>
      <x:c r="E873" s="11" t="n">
        <x:v>1260</x:v>
      </x:c>
      <x:c r="F873" s="11" t="n">
        <x:v>0</x:v>
      </x:c>
      <x:c r="G873" s="11" t="n">
        <x:v>0</x:v>
      </x:c>
      <x:c r="H873" s="11" t="n">
        <x:v>0</x:v>
      </x:c>
      <x:c r="I873" s="11" t="n">
        <x:v>0</x:v>
      </x:c>
      <x:c r="J873" s="11"/>
      <x:c r="K873" s="1" t="str">
        <x:v>GFGV8300OC</x:v>
      </x:c>
      <x:c r="L873" s="1" t="str">
        <x:v>=+D869</x:v>
      </x:c>
    </x:row>
    <x:row r="874" ht="21" customHeight="1">
      <x:c r="A874" s="5" t="n">
        <x:v>46266</x:v>
      </x:c>
      <x:c r="B874" s="11" t="n">
        <x:v>1260</x:v>
      </x:c>
      <x:c r="C874" s="11" t="n">
        <x:v>0</x:v>
      </x:c>
      <x:c r="D874" s="11" t="n">
        <x:v>1260</x:v>
      </x:c>
      <x:c r="E874" s="11" t="n">
        <x:v>1250</x:v>
      </x:c>
      <x:c r="F874" s="11" t="n">
        <x:v>1260</x:v>
      </x:c>
      <x:c r="G874" s="11" t="n">
        <x:v>1260</x:v>
      </x:c>
      <x:c r="H874" s="11" t="n">
        <x:v>0</x:v>
      </x:c>
      <x:c r="I874" s="11" t="n">
        <x:v>0</x:v>
      </x:c>
      <x:c r="J874" s="11"/>
      <x:c r="K874" s="1" t="str">
        <x:v>GFGV8300OC</x:v>
      </x:c>
      <x:c r="L874" s="1" t="str">
        <x:v>=+D870</x:v>
      </x:c>
    </x:row>
    <x:row r="875" ht="21" customHeight="1">
      <x:c r="A875" s="5" t="n">
        <x:v>46267</x:v>
      </x:c>
      <x:c r="B875" s="11" t="n">
        <x:v>1250</x:v>
      </x:c>
      <x:c r="C875" s="11" t="n">
        <x:v>125000</x:v>
      </x:c>
      <x:c r="D875" s="11" t="n">
        <x:v>1250</x:v>
      </x:c>
      <x:c r="E875" s="11" t="n">
        <x:v>1190</x:v>
      </x:c>
      <x:c r="F875" s="11" t="n">
        <x:v>0</x:v>
      </x:c>
      <x:c r="G875" s="11" t="n">
        <x:v>0</x:v>
      </x:c>
      <x:c r="H875" s="11" t="n">
        <x:v>0</x:v>
      </x:c>
      <x:c r="I875" s="11" t="n">
        <x:v>0</x:v>
      </x:c>
      <x:c r="J875" s="11"/>
      <x:c r="K875" s="1" t="str">
        <x:v>GFGV8300OC</x:v>
      </x:c>
      <x:c r="L875" s="1" t="str">
        <x:v>=+D871</x:v>
      </x:c>
    </x:row>
    <x:row r="876" ht="21" customHeight="1">
      <x:c r="A876" s="5" t="n">
        <x:v>46268</x:v>
      </x:c>
      <x:c r="B876" s="11" t="n">
        <x:v>1270</x:v>
      </x:c>
      <x:c r="C876" s="11" t="n">
        <x:v>373000</x:v>
      </x:c>
      <x:c r="D876" s="11" t="n">
        <x:v>1190</x:v>
      </x:c>
      <x:c r="E876" s="11" t="n">
        <x:v>1350</x:v>
      </x:c>
      <x:c r="F876" s="11" t="n">
        <x:v>1190</x:v>
      </x:c>
      <x:c r="G876" s="11" t="n">
        <x:v>1190</x:v>
      </x:c>
      <x:c r="H876" s="11" t="n">
        <x:v>0</x:v>
      </x:c>
      <x:c r="I876" s="11" t="n">
        <x:v>0</x:v>
      </x:c>
      <x:c r="J876" s="11"/>
      <x:c r="K876" s="1" t="str">
        <x:v>GFGV8300OC</x:v>
      </x:c>
      <x:c r="L876" s="1" t="str">
        <x:v>=+D872</x:v>
      </x:c>
    </x:row>
    <x:row r="877" ht="21" customHeight="1">
      <x:c r="A877" s="5" t="n">
        <x:v>46269</x:v>
      </x:c>
      <x:c r="B877" s="11" t="n">
        <x:v>1350</x:v>
      </x:c>
      <x:c r="C877" s="11" t="n">
        <x:v>675000</x:v>
      </x:c>
      <x:c r="D877" s="11" t="n">
        <x:v>1350</x:v>
      </x:c>
      <x:c r="E877" s="11" t="n">
        <x:v>1350</x:v>
      </x:c>
      <x:c r="F877" s="11" t="n">
        <x:v>1350</x:v>
      </x:c>
      <x:c r="G877" s="11" t="n">
        <x:v>1350</x:v>
      </x:c>
      <x:c r="H877" s="11" t="n">
        <x:v>0</x:v>
      </x:c>
      <x:c r="I877" s="11" t="n">
        <x:v>0</x:v>
      </x:c>
      <x:c r="J877" s="11"/>
      <x:c r="K877" s="1" t="str">
        <x:v>GFGV8300OC</x:v>
      </x:c>
      <x:c r="L877" s="1" t="str">
        <x:v>=+D873</x:v>
      </x:c>
    </x:row>
    <x:row r="878" ht="21" customHeight="1">
      <x:c r="A878" s="5" t="n">
        <x:v>46272</x:v>
      </x:c>
      <x:c r="B878" s="11" t="n">
        <x:v>1350</x:v>
      </x:c>
      <x:c r="C878" s="11" t="n">
        <x:v>0</x:v>
      </x:c>
      <x:c r="D878" s="11" t="n">
        <x:v>1350</x:v>
      </x:c>
      <x:c r="E878" s="11" t="n">
        <x:v>1350</x:v>
      </x:c>
      <x:c r="F878" s="11" t="n">
        <x:v>1350</x:v>
      </x:c>
      <x:c r="G878" s="11" t="n">
        <x:v>1350</x:v>
      </x:c>
      <x:c r="H878" s="11" t="n">
        <x:v>0</x:v>
      </x:c>
      <x:c r="I878" s="11" t="n">
        <x:v>0</x:v>
      </x:c>
      <x:c r="J878" s="11"/>
      <x:c r="K878" s="1" t="str">
        <x:v>GFGV8300OC</x:v>
      </x:c>
      <x:c r="L878" s="1" t="str">
        <x:v>=+D874</x:v>
      </x:c>
    </x:row>
    <x:row r="879" ht="21" customHeight="1">
      <x:c r="A879" s="5" t="n">
        <x:v>46273</x:v>
      </x:c>
      <x:c r="B879" s="11" t="n">
        <x:v>1350</x:v>
      </x:c>
      <x:c r="C879" s="11" t="n">
        <x:v>0</x:v>
      </x:c>
      <x:c r="D879" s="11" t="n">
        <x:v>1350</x:v>
      </x:c>
      <x:c r="E879" s="11" t="n">
        <x:v>1234</x:v>
      </x:c>
      <x:c r="F879" s="11" t="n">
        <x:v>1350</x:v>
      </x:c>
      <x:c r="G879" s="11" t="n">
        <x:v>1350</x:v>
      </x:c>
      <x:c r="H879" s="11" t="n">
        <x:v>0</x:v>
      </x:c>
      <x:c r="I879" s="11" t="n">
        <x:v>0</x:v>
      </x:c>
      <x:c r="J879" s="11"/>
      <x:c r="K879" s="1" t="str">
        <x:v>GFGV8300OC</x:v>
      </x:c>
      <x:c r="L879" s="1" t="str">
        <x:v>=+D875</x:v>
      </x:c>
    </x:row>
    <x:row r="880" ht="21" customHeight="1">
      <x:c r="A880" s="5" t="n">
        <x:v>46274</x:v>
      </x:c>
      <x:c r="B880" s="11" t="n">
        <x:v>1234</x:v>
      </x:c>
      <x:c r="C880" s="11" t="n">
        <x:v>617000</x:v>
      </x:c>
      <x:c r="D880" s="11" t="n">
        <x:v>1234</x:v>
      </x:c>
      <x:c r="E880" s="11" t="n">
        <x:v>1100</x:v>
      </x:c>
      <x:c r="F880" s="11" t="n">
        <x:v>1234</x:v>
      </x:c>
      <x:c r="G880" s="11" t="n">
        <x:v>1234</x:v>
      </x:c>
      <x:c r="H880" s="11" t="n">
        <x:v>0</x:v>
      </x:c>
      <x:c r="I880" s="11" t="n">
        <x:v>0</x:v>
      </x:c>
      <x:c r="J880" s="11"/>
      <x:c r="K880" s="1" t="str">
        <x:v>GFGV8300OC</x:v>
      </x:c>
      <x:c r="L880" s="1" t="str">
        <x:v>=+D876</x:v>
      </x:c>
    </x:row>
    <x:row r="881" ht="21" customHeight="1">
      <x:c r="A881" s="5" t="n">
        <x:v>46275</x:v>
      </x:c>
      <x:c r="B881" s="11" t="n">
        <x:v>1160</x:v>
      </x:c>
      <x:c r="C881" s="11" t="n">
        <x:v>458000</x:v>
      </x:c>
      <x:c r="D881" s="11" t="n">
        <x:v>1100</x:v>
      </x:c>
      <x:c r="E881" s="11" t="n">
        <x:v>1300</x:v>
      </x:c>
      <x:c r="F881" s="11" t="n">
        <x:v>1160</x:v>
      </x:c>
      <x:c r="G881" s="11" t="n">
        <x:v>1100</x:v>
      </x:c>
      <x:c r="H881" s="11" t="n">
        <x:v>0</x:v>
      </x:c>
      <x:c r="I881" s="11" t="n">
        <x:v>0</x:v>
      </x:c>
      <x:c r="J881" s="11"/>
      <x:c r="K881" s="1" t="str">
        <x:v>GFGV8300OC</x:v>
      </x:c>
      <x:c r="L881" s="1" t="str">
        <x:v>=+D877</x:v>
      </x:c>
    </x:row>
    <x:row r="882" ht="21" customHeight="1">
      <x:c r="A882" s="5" t="n">
        <x:v>46276</x:v>
      </x:c>
      <x:c r="B882" s="11" t="n">
        <x:v>1264.67</x:v>
      </x:c>
      <x:c r="C882" s="11" t="n">
        <x:v>7291063.5</x:v>
      </x:c>
      <x:c r="D882" s="11" t="n">
        <x:v>1300</x:v>
      </x:c>
      <x:c r="E882" s="11" t="n">
        <x:v>1238.27</x:v>
      </x:c>
      <x:c r="F882" s="11" t="n">
        <x:v>1369.89</x:v>
      </x:c>
      <x:c r="G882" s="11" t="n">
        <x:v>1200</x:v>
      </x:c>
      <x:c r="H882" s="11" t="n">
        <x:v>0</x:v>
      </x:c>
      <x:c r="I882" s="11" t="n">
        <x:v>0</x:v>
      </x:c>
      <x:c r="J882" s="11"/>
      <x:c r="K882" s="1" t="str">
        <x:v>GFGV8300OC</x:v>
      </x:c>
      <x:c r="L882" s="1" t="str">
        <x:v>=+D878</x:v>
      </x:c>
    </x:row>
    <x:row r="883" ht="21" customHeight="1">
      <x:c r="A883" s="5" t="n">
        <x:v>46279</x:v>
      </x:c>
      <x:c r="B883" s="11" t="n">
        <x:v>1327.03</x:v>
      </x:c>
      <x:c r="C883" s="11" t="n">
        <x:v>3026934</x:v>
      </x:c>
      <x:c r="D883" s="11" t="n">
        <x:v>1238.27</x:v>
      </x:c>
      <x:c r="E883" s="11" t="n">
        <x:v>1520</x:v>
      </x:c>
      <x:c r="F883" s="11" t="n">
        <x:v>1469.79</x:v>
      </x:c>
      <x:c r="G883" s="11" t="n">
        <x:v>1238.27</x:v>
      </x:c>
      <x:c r="H883" s="11" t="n">
        <x:v>0</x:v>
      </x:c>
      <x:c r="I883" s="11" t="n">
        <x:v>0</x:v>
      </x:c>
      <x:c r="J883" s="11"/>
      <x:c r="K883" s="1" t="str">
        <x:v>GFGV8300OC</x:v>
      </x:c>
      <x:c r="L883" s="1" t="str">
        <x:v>=+D879</x:v>
      </x:c>
    </x:row>
    <x:row r="884" ht="21" customHeight="1">
      <x:c r="A884" s="5" t="n">
        <x:v>46280</x:v>
      </x:c>
      <x:c r="B884" s="11" t="n">
        <x:v>1520</x:v>
      </x:c>
      <x:c r="C884" s="11" t="n">
        <x:v>760000</x:v>
      </x:c>
      <x:c r="D884" s="11" t="n">
        <x:v>1520</x:v>
      </x:c>
      <x:c r="E884" s="11" t="n">
        <x:v>1520</x:v>
      </x:c>
      <x:c r="F884" s="11" t="n">
        <x:v>1520</x:v>
      </x:c>
      <x:c r="G884" s="11" t="n">
        <x:v>1520</x:v>
      </x:c>
      <x:c r="H884" s="11" t="n">
        <x:v>0</x:v>
      </x:c>
      <x:c r="I884" s="11" t="n">
        <x:v>0</x:v>
      </x:c>
      <x:c r="J884" s="11"/>
      <x:c r="K884" s="1" t="str">
        <x:v>GFGV8300OC</x:v>
      </x:c>
      <x:c r="L884" s="1" t="str">
        <x:v>=+D880</x:v>
      </x:c>
    </x:row>
    <x:row r="885" ht="21" customHeight="1">
      <x:c r="A885" s="5" t="n">
        <x:v>46281</x:v>
      </x:c>
      <x:c r="B885" s="11" t="n">
        <x:v>1520</x:v>
      </x:c>
      <x:c r="C885" s="11" t="n">
        <x:v>0</x:v>
      </x:c>
      <x:c r="D885" s="11" t="n">
        <x:v>1520</x:v>
      </x:c>
      <x:c r="E885" s="11" t="n">
        <x:v>1060</x:v>
      </x:c>
      <x:c r="F885" s="11" t="n">
        <x:v>1520</x:v>
      </x:c>
      <x:c r="G885" s="11" t="n">
        <x:v>1520</x:v>
      </x:c>
      <x:c r="H885" s="11" t="n">
        <x:v>0</x:v>
      </x:c>
      <x:c r="I885" s="11" t="n">
        <x:v>0</x:v>
      </x:c>
      <x:c r="J885" s="11"/>
      <x:c r="K885" s="1" t="str">
        <x:v>GFGV8300OC</x:v>
      </x:c>
      <x:c r="L885" s="1" t="str">
        <x:v>=+D881</x:v>
      </x:c>
    </x:row>
    <x:row r="886" ht="21" customHeight="1">
      <x:c r="A886" s="5" t="n">
        <x:v>46255</x:v>
      </x:c>
      <x:c r="B886" s="11" t="n">
        <x:v>1173.55</x:v>
      </x:c>
      <x:c r="C886" s="11" t="n">
        <x:v>0</x:v>
      </x:c>
      <x:c r="D886" s="11" t="n">
        <x:v>1060</x:v>
      </x:c>
      <x:c r="E886" s="11" t="n">
        <x:v>1060</x:v>
      </x:c>
      <x:c r="F886" s="11" t="n">
        <x:v>1343.98</x:v>
      </x:c>
      <x:c r="G886" s="11" t="n">
        <x:v>1060</x:v>
      </x:c>
      <x:c r="H886" s="11" t="n">
        <x:v>0</x:v>
      </x:c>
      <x:c r="I886" s="11" t="n">
        <x:v>0</x:v>
      </x:c>
      <x:c r="J886" s="11"/>
      <x:c r="K886" s="1" t="str">
        <x:v>GFGV8600OC</x:v>
      </x:c>
      <x:c r="L886" s="1" t="str">
        <x:v>=+D882</x:v>
      </x:c>
    </x:row>
    <x:row r="887" ht="21" customHeight="1">
      <x:c r="A887" s="5" t="n">
        <x:v>46258</x:v>
      </x:c>
      <x:c r="B887" s="11" t="n">
        <x:v>1173.55</x:v>
      </x:c>
      <x:c r="C887" s="11" t="n">
        <x:v>0</x:v>
      </x:c>
      <x:c r="D887" s="11" t="n">
        <x:v>1060</x:v>
      </x:c>
      <x:c r="E887" s="11" t="n">
        <x:v>1432.13</x:v>
      </x:c>
      <x:c r="F887" s="11" t="n">
        <x:v>1343.98</x:v>
      </x:c>
      <x:c r="G887" s="11" t="n">
        <x:v>1060</x:v>
      </x:c>
      <x:c r="H887" s="11" t="n">
        <x:v>0</x:v>
      </x:c>
      <x:c r="I887" s="11" t="n">
        <x:v>0</x:v>
      </x:c>
      <x:c r="J887" s="11"/>
      <x:c r="K887" s="1" t="str">
        <x:v>GFGV8600OC</x:v>
      </x:c>
      <x:c r="L887" s="1" t="str">
        <x:v>=+D883</x:v>
      </x:c>
    </x:row>
    <x:row r="888" ht="21" customHeight="1">
      <x:c r="A888" s="5" t="n">
        <x:v>46259</x:v>
      </x:c>
      <x:c r="B888" s="11" t="n">
        <x:v>1460</x:v>
      </x:c>
      <x:c r="C888" s="11" t="n">
        <x:v>727213</x:v>
      </x:c>
      <x:c r="D888" s="11" t="n">
        <x:v>1432.13</x:v>
      </x:c>
      <x:c r="E888" s="11" t="n">
        <x:v>1600</x:v>
      </x:c>
      <x:c r="F888" s="11" t="n">
        <x:v>1460</x:v>
      </x:c>
      <x:c r="G888" s="11" t="n">
        <x:v>1432.13</x:v>
      </x:c>
      <x:c r="H888" s="11" t="n">
        <x:v>0</x:v>
      </x:c>
      <x:c r="I888" s="11" t="n">
        <x:v>0</x:v>
      </x:c>
      <x:c r="J888" s="11"/>
      <x:c r="K888" s="1" t="str">
        <x:v>GFGV8600OC</x:v>
      </x:c>
      <x:c r="L888" s="1" t="str">
        <x:v>=+D884</x:v>
      </x:c>
    </x:row>
    <x:row r="889" ht="21" customHeight="1">
      <x:c r="A889" s="5" t="n">
        <x:v>46260</x:v>
      </x:c>
      <x:c r="B889" s="11" t="n">
        <x:v>1630</x:v>
      </x:c>
      <x:c r="C889" s="11" t="n">
        <x:v>485999.69</x:v>
      </x:c>
      <x:c r="D889" s="11" t="n">
        <x:v>1600</x:v>
      </x:c>
      <x:c r="E889" s="11" t="n">
        <x:v>1700</x:v>
      </x:c>
      <x:c r="F889" s="11" t="n">
        <x:v>1630</x:v>
      </x:c>
      <x:c r="G889" s="11" t="n">
        <x:v>1600</x:v>
      </x:c>
      <x:c r="H889" s="11" t="n">
        <x:v>0</x:v>
      </x:c>
      <x:c r="I889" s="11" t="n">
        <x:v>0</x:v>
      </x:c>
      <x:c r="J889" s="11"/>
      <x:c r="K889" s="1" t="str">
        <x:v>GFGV8600OC</x:v>
      </x:c>
      <x:c r="L889" s="1" t="str">
        <x:v>=+D885</x:v>
      </x:c>
    </x:row>
    <x:row r="890" ht="21" customHeight="1">
      <x:c r="A890" s="5" t="n">
        <x:v>46261</x:v>
      </x:c>
      <x:c r="B890" s="11" t="n">
        <x:v>1725</x:v>
      </x:c>
      <x:c r="C890" s="11" t="n">
        <x:v>4265179.5</x:v>
      </x:c>
      <x:c r="D890" s="11" t="n">
        <x:v>1700</x:v>
      </x:c>
      <x:c r="E890" s="11" t="n">
        <x:v>1850</x:v>
      </x:c>
      <x:c r="F890" s="11" t="n">
        <x:v>1722.5</x:v>
      </x:c>
      <x:c r="G890" s="11" t="n">
        <x:v>1515</x:v>
      </x:c>
      <x:c r="H890" s="11" t="n">
        <x:v>0</x:v>
      </x:c>
      <x:c r="I890" s="11" t="n">
        <x:v>0</x:v>
      </x:c>
      <x:c r="J890" s="11"/>
      <x:c r="K890" s="1" t="str">
        <x:v>GFGV8600OC</x:v>
      </x:c>
      <x:c r="L890" s="1" t="str">
        <x:v>=+D886</x:v>
      </x:c>
    </x:row>
    <x:row r="891" ht="21" customHeight="1">
      <x:c r="A891" s="5" t="n">
        <x:v>46262</x:v>
      </x:c>
      <x:c r="B891" s="11" t="n">
        <x:v>1850</x:v>
      </x:c>
      <x:c r="C891" s="11" t="n">
        <x:v>370000</x:v>
      </x:c>
      <x:c r="D891" s="11" t="n">
        <x:v>1850</x:v>
      </x:c>
      <x:c r="E891" s="11" t="n">
        <x:v>1500</x:v>
      </x:c>
      <x:c r="F891" s="11" t="n">
        <x:v>0</x:v>
      </x:c>
      <x:c r="G891" s="11" t="n">
        <x:v>0</x:v>
      </x:c>
      <x:c r="H891" s="11" t="n">
        <x:v>0</x:v>
      </x:c>
      <x:c r="I891" s="11" t="n">
        <x:v>0</x:v>
      </x:c>
      <x:c r="J891" s="11"/>
      <x:c r="K891" s="1" t="str">
        <x:v>GFGV8600OC</x:v>
      </x:c>
      <x:c r="L891" s="1" t="str">
        <x:v>=+D887</x:v>
      </x:c>
    </x:row>
    <x:row r="892" ht="21" customHeight="1">
      <x:c r="A892" s="5" t="n">
        <x:v>46265</x:v>
      </x:c>
      <x:c r="B892" s="11" t="n">
        <x:v>1650</x:v>
      </x:c>
      <x:c r="C892" s="11" t="n">
        <x:v>315000</x:v>
      </x:c>
      <x:c r="D892" s="11" t="n">
        <x:v>1500</x:v>
      </x:c>
      <x:c r="E892" s="11" t="n">
        <x:v>1500</x:v>
      </x:c>
      <x:c r="F892" s="11" t="n">
        <x:v>1500</x:v>
      </x:c>
      <x:c r="G892" s="11" t="n">
        <x:v>1500</x:v>
      </x:c>
      <x:c r="H892" s="11" t="n">
        <x:v>0</x:v>
      </x:c>
      <x:c r="I892" s="11" t="n">
        <x:v>0</x:v>
      </x:c>
      <x:c r="J892" s="11"/>
      <x:c r="K892" s="1" t="str">
        <x:v>GFGV8600OC</x:v>
      </x:c>
      <x:c r="L892" s="1" t="str">
        <x:v>=+D888</x:v>
      </x:c>
    </x:row>
    <x:row r="893" ht="21" customHeight="1">
      <x:c r="A893" s="5" t="n">
        <x:v>46266</x:v>
      </x:c>
      <x:c r="B893" s="11" t="n">
        <x:v>1650</x:v>
      </x:c>
      <x:c r="C893" s="11" t="n">
        <x:v>0</x:v>
      </x:c>
      <x:c r="D893" s="11" t="n">
        <x:v>1500</x:v>
      </x:c>
      <x:c r="E893" s="11" t="n">
        <x:v>1555.11</x:v>
      </x:c>
      <x:c r="F893" s="11" t="n">
        <x:v>1500</x:v>
      </x:c>
      <x:c r="G893" s="11" t="n">
        <x:v>1500</x:v>
      </x:c>
      <x:c r="H893" s="11" t="n">
        <x:v>0</x:v>
      </x:c>
      <x:c r="I893" s="11" t="n">
        <x:v>0</x:v>
      </x:c>
      <x:c r="J893" s="11"/>
      <x:c r="K893" s="1" t="str">
        <x:v>GFGV8600OC</x:v>
      </x:c>
      <x:c r="L893" s="1" t="str">
        <x:v>=+D889</x:v>
      </x:c>
    </x:row>
    <x:row r="894" ht="21" customHeight="1">
      <x:c r="A894" s="5" t="n">
        <x:v>46267</x:v>
      </x:c>
      <x:c r="B894" s="11" t="n">
        <x:v>1555.11</x:v>
      </x:c>
      <x:c r="C894" s="11" t="n">
        <x:v>155511</x:v>
      </x:c>
      <x:c r="D894" s="11" t="n">
        <x:v>1555.11</x:v>
      </x:c>
      <x:c r="E894" s="11" t="n">
        <x:v>1555.11</x:v>
      </x:c>
      <x:c r="F894" s="11" t="n">
        <x:v>0</x:v>
      </x:c>
      <x:c r="G894" s="11" t="n">
        <x:v>0</x:v>
      </x:c>
      <x:c r="H894" s="11" t="n">
        <x:v>0</x:v>
      </x:c>
      <x:c r="I894" s="11" t="n">
        <x:v>0</x:v>
      </x:c>
      <x:c r="J894" s="11"/>
      <x:c r="K894" s="1" t="str">
        <x:v>GFGV8600OC</x:v>
      </x:c>
      <x:c r="L894" s="1" t="str">
        <x:v>=+D890</x:v>
      </x:c>
    </x:row>
    <x:row r="895" ht="21" customHeight="1">
      <x:c r="A895" s="5" t="n">
        <x:v>46268</x:v>
      </x:c>
      <x:c r="B895" s="11" t="n">
        <x:v>1555.11</x:v>
      </x:c>
      <x:c r="C895" s="11" t="n">
        <x:v>0</x:v>
      </x:c>
      <x:c r="D895" s="11" t="n">
        <x:v>1555.11</x:v>
      </x:c>
      <x:c r="E895" s="11" t="n">
        <x:v>1555.11</x:v>
      </x:c>
      <x:c r="F895" s="11" t="n">
        <x:v>1555.11</x:v>
      </x:c>
      <x:c r="G895" s="11" t="n">
        <x:v>1555.11</x:v>
      </x:c>
      <x:c r="H895" s="11" t="n">
        <x:v>0</x:v>
      </x:c>
      <x:c r="I895" s="11" t="n">
        <x:v>0</x:v>
      </x:c>
      <x:c r="J895" s="11"/>
      <x:c r="K895" s="1" t="str">
        <x:v>GFGV8600OC</x:v>
      </x:c>
      <x:c r="L895" s="1" t="str">
        <x:v>=+D891</x:v>
      </x:c>
    </x:row>
    <x:row r="896" ht="21" customHeight="1">
      <x:c r="A896" s="5" t="n">
        <x:v>46269</x:v>
      </x:c>
      <x:c r="B896" s="11" t="n">
        <x:v>1555.11</x:v>
      </x:c>
      <x:c r="C896" s="11" t="n">
        <x:v>0</x:v>
      </x:c>
      <x:c r="D896" s="11" t="n">
        <x:v>1555.11</x:v>
      </x:c>
      <x:c r="E896" s="11" t="n">
        <x:v>1555.11</x:v>
      </x:c>
      <x:c r="F896" s="11" t="n">
        <x:v>1555.11</x:v>
      </x:c>
      <x:c r="G896" s="11" t="n">
        <x:v>1555.11</x:v>
      </x:c>
      <x:c r="H896" s="11" t="n">
        <x:v>0</x:v>
      </x:c>
      <x:c r="I896" s="11" t="n">
        <x:v>0</x:v>
      </x:c>
      <x:c r="J896" s="11"/>
      <x:c r="K896" s="1" t="str">
        <x:v>GFGV8600OC</x:v>
      </x:c>
      <x:c r="L896" s="1" t="str">
        <x:v>=+D892</x:v>
      </x:c>
    </x:row>
    <x:row r="897" ht="21" customHeight="1">
      <x:c r="A897" s="5" t="n">
        <x:v>46272</x:v>
      </x:c>
      <x:c r="B897" s="11" t="n">
        <x:v>1555.11</x:v>
      </x:c>
      <x:c r="C897" s="11" t="n">
        <x:v>0</x:v>
      </x:c>
      <x:c r="D897" s="11" t="n">
        <x:v>1555.11</x:v>
      </x:c>
      <x:c r="E897" s="11" t="n">
        <x:v>1462.61</x:v>
      </x:c>
      <x:c r="F897" s="11" t="n">
        <x:v>1555.11</x:v>
      </x:c>
      <x:c r="G897" s="11" t="n">
        <x:v>1555.11</x:v>
      </x:c>
      <x:c r="H897" s="11" t="n">
        <x:v>0</x:v>
      </x:c>
      <x:c r="I897" s="11" t="n">
        <x:v>0</x:v>
      </x:c>
      <x:c r="J897" s="11"/>
      <x:c r="K897" s="1" t="str">
        <x:v>GFGV8600OC</x:v>
      </x:c>
      <x:c r="L897" s="1" t="str">
        <x:v>=+D893</x:v>
      </x:c>
    </x:row>
    <x:row r="898" ht="21" customHeight="1">
      <x:c r="A898" s="5" t="n">
        <x:v>46273</x:v>
      </x:c>
      <x:c r="B898" s="11" t="n">
        <x:v>1463.59</x:v>
      </x:c>
      <x:c r="C898" s="11" t="n">
        <x:v>876669</x:v>
      </x:c>
      <x:c r="D898" s="11" t="n">
        <x:v>1462.61</x:v>
      </x:c>
      <x:c r="E898" s="11" t="n">
        <x:v>1499</x:v>
      </x:c>
      <x:c r="F898" s="11" t="n">
        <x:v>1463.59</x:v>
      </x:c>
      <x:c r="G898" s="11" t="n">
        <x:v>1452.64</x:v>
      </x:c>
      <x:c r="H898" s="11" t="n">
        <x:v>0</x:v>
      </x:c>
      <x:c r="I898" s="11" t="n">
        <x:v>0</x:v>
      </x:c>
      <x:c r="J898" s="11"/>
      <x:c r="K898" s="1" t="str">
        <x:v>GFGV8600OC</x:v>
      </x:c>
      <x:c r="L898" s="1" t="str">
        <x:v>=+D894</x:v>
      </x:c>
    </x:row>
    <x:row r="899" ht="21" customHeight="1">
      <x:c r="A899" s="5" t="n">
        <x:v>46274</x:v>
      </x:c>
      <x:c r="B899" s="11" t="n">
        <x:v>1559.27</x:v>
      </x:c>
      <x:c r="C899" s="11" t="n">
        <x:v>461754</x:v>
      </x:c>
      <x:c r="D899" s="11" t="n">
        <x:v>1499</x:v>
      </x:c>
      <x:c r="E899" s="11" t="n">
        <x:v>1357.53</x:v>
      </x:c>
      <x:c r="F899" s="11" t="n">
        <x:v>1499</x:v>
      </x:c>
      <x:c r="G899" s="11" t="n">
        <x:v>1499</x:v>
      </x:c>
      <x:c r="H899" s="11" t="n">
        <x:v>0</x:v>
      </x:c>
      <x:c r="I899" s="11" t="n">
        <x:v>0</x:v>
      </x:c>
      <x:c r="J899" s="11"/>
      <x:c r="K899" s="1" t="str">
        <x:v>GFGV8600OC</x:v>
      </x:c>
      <x:c r="L899" s="1" t="str">
        <x:v>=+D895</x:v>
      </x:c>
    </x:row>
    <x:row r="900" ht="21" customHeight="1">
      <x:c r="A900" s="5" t="n">
        <x:v>46275</x:v>
      </x:c>
      <x:c r="B900" s="11" t="n">
        <x:v>1483.75</x:v>
      </x:c>
      <x:c r="C900" s="11" t="n">
        <x:v>5957463</x:v>
      </x:c>
      <x:c r="D900" s="11" t="n">
        <x:v>1357.53</x:v>
      </x:c>
      <x:c r="E900" s="11" t="n">
        <x:v>1600</x:v>
      </x:c>
      <x:c r="F900" s="11" t="n">
        <x:v>1488.24</x:v>
      </x:c>
      <x:c r="G900" s="11" t="n">
        <x:v>1357.53</x:v>
      </x:c>
      <x:c r="H900" s="11" t="n">
        <x:v>0</x:v>
      </x:c>
      <x:c r="I900" s="11" t="n">
        <x:v>0</x:v>
      </x:c>
      <x:c r="J900" s="11"/>
      <x:c r="K900" s="1" t="str">
        <x:v>GFGV8600OC</x:v>
      </x:c>
      <x:c r="L900" s="1" t="str">
        <x:v>=+D896</x:v>
      </x:c>
    </x:row>
    <x:row r="901" ht="21" customHeight="1">
      <x:c r="A901" s="5" t="n">
        <x:v>46276</x:v>
      </x:c>
      <x:c r="B901" s="11" t="n">
        <x:v>1600</x:v>
      </x:c>
      <x:c r="C901" s="11" t="n">
        <x:v>160000</x:v>
      </x:c>
      <x:c r="D901" s="11" t="n">
        <x:v>1600</x:v>
      </x:c>
      <x:c r="E901" s="11" t="n">
        <x:v>1789.44</x:v>
      </x:c>
      <x:c r="F901" s="11" t="n">
        <x:v>0</x:v>
      </x:c>
      <x:c r="G901" s="11" t="n">
        <x:v>0</x:v>
      </x:c>
      <x:c r="H901" s="11" t="n">
        <x:v>0</x:v>
      </x:c>
      <x:c r="I901" s="11" t="n">
        <x:v>0</x:v>
      </x:c>
      <x:c r="J901" s="11"/>
      <x:c r="K901" s="1" t="str">
        <x:v>GFGV8600OC</x:v>
      </x:c>
      <x:c r="L901" s="1" t="str">
        <x:v>=+D897</x:v>
      </x:c>
    </x:row>
    <x:row r="902" ht="21" customHeight="1">
      <x:c r="A902" s="5" t="n">
        <x:v>46279</x:v>
      </x:c>
      <x:c r="B902" s="11" t="n">
        <x:v>1789.44</x:v>
      </x:c>
      <x:c r="C902" s="11" t="n">
        <x:v>178944.09</x:v>
      </x:c>
      <x:c r="D902" s="11" t="n">
        <x:v>1789.44</x:v>
      </x:c>
      <x:c r="E902" s="11" t="n">
        <x:v>1648.65</x:v>
      </x:c>
      <x:c r="F902" s="11" t="n">
        <x:v>0</x:v>
      </x:c>
      <x:c r="G902" s="11" t="n">
        <x:v>0</x:v>
      </x:c>
      <x:c r="H902" s="11" t="n">
        <x:v>0</x:v>
      </x:c>
      <x:c r="I902" s="11" t="n">
        <x:v>0</x:v>
      </x:c>
      <x:c r="J902" s="11"/>
      <x:c r="K902" s="1" t="str">
        <x:v>GFGV8600OC</x:v>
      </x:c>
      <x:c r="L902" s="1" t="str">
        <x:v>=+D898</x:v>
      </x:c>
    </x:row>
    <x:row r="903" ht="21" customHeight="1">
      <x:c r="A903" s="5" t="n">
        <x:v>46280</x:v>
      </x:c>
      <x:c r="B903" s="11" t="n">
        <x:v>1648.65</x:v>
      </x:c>
      <x:c r="C903" s="11" t="n">
        <x:v>164865</x:v>
      </x:c>
      <x:c r="D903" s="11" t="n">
        <x:v>1648.65</x:v>
      </x:c>
      <x:c r="E903" s="11" t="n">
        <x:v>1648.65</x:v>
      </x:c>
      <x:c r="F903" s="11" t="n">
        <x:v>0</x:v>
      </x:c>
      <x:c r="G903" s="11" t="n">
        <x:v>0</x:v>
      </x:c>
      <x:c r="H903" s="11" t="n">
        <x:v>0</x:v>
      </x:c>
      <x:c r="I903" s="11" t="n">
        <x:v>0</x:v>
      </x:c>
      <x:c r="J903" s="11"/>
      <x:c r="K903" s="1" t="str">
        <x:v>GFGV8600OC</x:v>
      </x:c>
      <x:c r="L903" s="1" t="str">
        <x:v>=+D899</x:v>
      </x:c>
    </x:row>
    <x:row r="904" ht="21" customHeight="1">
      <x:c r="A904" s="5" t="n">
        <x:v>46281</x:v>
      </x:c>
      <x:c r="B904" s="11" t="n">
        <x:v>1648.65</x:v>
      </x:c>
      <x:c r="C904" s="11" t="n">
        <x:v>0</x:v>
      </x:c>
      <x:c r="D904" s="11" t="n">
        <x:v>1648.65</x:v>
      </x:c>
      <x:c r="E904" s="11" t="n">
        <x:v>2022.5</x:v>
      </x:c>
      <x:c r="F904" s="11" t="n">
        <x:v>1648.65</x:v>
      </x:c>
      <x:c r="G904" s="11" t="n">
        <x:v>1648.65</x:v>
      </x:c>
      <x:c r="H904" s="11" t="n">
        <x:v>0</x:v>
      </x:c>
      <x:c r="I904" s="11" t="n">
        <x:v>0</x:v>
      </x:c>
      <x:c r="J904" s="11"/>
      <x:c r="K904" s="1" t="str">
        <x:v>GFGV8600OC</x:v>
      </x:c>
      <x:c r="L904" s="1" t="str">
        <x:v>=+D900</x:v>
      </x:c>
    </x:row>
    <x:row r="905" ht="21" customHeight="1">
      <x:c r="A905" s="5" t="n">
        <x:v>46261</x:v>
      </x:c>
      <x:c r="B905" s="11" t="n">
        <x:v>2022.5</x:v>
      </x:c>
      <x:c r="C905" s="11" t="n">
        <x:v>2430033.5</x:v>
      </x:c>
      <x:c r="D905" s="11" t="n">
        <x:v>2022.5</x:v>
      </x:c>
      <x:c r="E905" s="11" t="n">
        <x:v>2022.5</x:v>
      </x:c>
      <x:c r="F905" s="11" t="n">
        <x:v>2037.67</x:v>
      </x:c>
      <x:c r="G905" s="11" t="n">
        <x:v>2022.5</x:v>
      </x:c>
      <x:c r="H905" s="11" t="n">
        <x:v>0</x:v>
      </x:c>
      <x:c r="I905" s="11" t="n">
        <x:v>0</x:v>
      </x:c>
      <x:c r="J905" s="11"/>
      <x:c r="K905" s="1" t="str">
        <x:v>GFGV8900OC</x:v>
      </x:c>
      <x:c r="L905" s="1" t="str">
        <x:v>=+D901</x:v>
      </x:c>
    </x:row>
    <x:row r="906" ht="21" customHeight="1">
      <x:c r="A906" s="5" t="n">
        <x:v>46262</x:v>
      </x:c>
      <x:c r="B906" s="11" t="n">
        <x:v>2022.5</x:v>
      </x:c>
      <x:c r="C906" s="11" t="n">
        <x:v>0</x:v>
      </x:c>
      <x:c r="D906" s="11" t="n">
        <x:v>2022.5</x:v>
      </x:c>
      <x:c r="E906" s="11" t="n">
        <x:v>2022.5</x:v>
      </x:c>
      <x:c r="F906" s="11" t="n">
        <x:v>2037.67</x:v>
      </x:c>
      <x:c r="G906" s="11" t="n">
        <x:v>2022.5</x:v>
      </x:c>
      <x:c r="H906" s="11" t="n">
        <x:v>0</x:v>
      </x:c>
      <x:c r="I906" s="11" t="n">
        <x:v>0</x:v>
      </x:c>
      <x:c r="J906" s="11"/>
      <x:c r="K906" s="1" t="str">
        <x:v>GFGV8900OC</x:v>
      </x:c>
      <x:c r="L906" s="1" t="str">
        <x:v>=+D902</x:v>
      </x:c>
    </x:row>
    <x:row r="907" ht="21" customHeight="1">
      <x:c r="A907" s="5" t="n">
        <x:v>46265</x:v>
      </x:c>
      <x:c r="B907" s="11" t="n">
        <x:v>2022.5</x:v>
      </x:c>
      <x:c r="C907" s="11" t="n">
        <x:v>0</x:v>
      </x:c>
      <x:c r="D907" s="11" t="n">
        <x:v>2022.5</x:v>
      </x:c>
      <x:c r="E907" s="11" t="n">
        <x:v>2022.5</x:v>
      </x:c>
      <x:c r="F907" s="11" t="n">
        <x:v>2037.67</x:v>
      </x:c>
      <x:c r="G907" s="11" t="n">
        <x:v>2022.5</x:v>
      </x:c>
      <x:c r="H907" s="11" t="n">
        <x:v>0</x:v>
      </x:c>
      <x:c r="I907" s="11" t="n">
        <x:v>0</x:v>
      </x:c>
      <x:c r="J907" s="11"/>
      <x:c r="K907" s="1" t="str">
        <x:v>GFGV8900OC</x:v>
      </x:c>
      <x:c r="L907" s="1" t="str">
        <x:v>=+D903</x:v>
      </x:c>
    </x:row>
    <x:row r="908" ht="21" customHeight="1">
      <x:c r="A908" s="5" t="n">
        <x:v>46266</x:v>
      </x:c>
      <x:c r="B908" s="11" t="n">
        <x:v>2022.5</x:v>
      </x:c>
      <x:c r="C908" s="11" t="n">
        <x:v>0</x:v>
      </x:c>
      <x:c r="D908" s="11" t="n">
        <x:v>2022.5</x:v>
      </x:c>
      <x:c r="E908" s="11" t="n">
        <x:v>2022.5</x:v>
      </x:c>
      <x:c r="F908" s="11" t="n">
        <x:v>2037.67</x:v>
      </x:c>
      <x:c r="G908" s="11" t="n">
        <x:v>2022.5</x:v>
      </x:c>
      <x:c r="H908" s="11" t="n">
        <x:v>0</x:v>
      </x:c>
      <x:c r="I908" s="11" t="n">
        <x:v>0</x:v>
      </x:c>
      <x:c r="J908" s="11"/>
      <x:c r="K908" s="1" t="str">
        <x:v>GFGV8900OC</x:v>
      </x:c>
      <x:c r="L908" s="1" t="str">
        <x:v>=+D904</x:v>
      </x:c>
    </x:row>
    <x:row r="909" ht="21" customHeight="1">
      <x:c r="A909" s="5" t="n">
        <x:v>46267</x:v>
      </x:c>
      <x:c r="B909" s="11" t="n">
        <x:v>2022.5</x:v>
      </x:c>
      <x:c r="C909" s="11" t="n">
        <x:v>0</x:v>
      </x:c>
      <x:c r="D909" s="11" t="n">
        <x:v>2022.5</x:v>
      </x:c>
      <x:c r="E909" s="11" t="n">
        <x:v>2022.5</x:v>
      </x:c>
      <x:c r="F909" s="11" t="n">
        <x:v>2037.67</x:v>
      </x:c>
      <x:c r="G909" s="11" t="n">
        <x:v>2022.5</x:v>
      </x:c>
      <x:c r="H909" s="11" t="n">
        <x:v>0</x:v>
      </x:c>
      <x:c r="I909" s="11" t="n">
        <x:v>0</x:v>
      </x:c>
      <x:c r="J909" s="11"/>
      <x:c r="K909" s="1" t="str">
        <x:v>GFGV8900OC</x:v>
      </x:c>
      <x:c r="L909" s="1" t="str">
        <x:v>=+D905</x:v>
      </x:c>
    </x:row>
    <x:row r="910" ht="21" customHeight="1">
      <x:c r="A910" s="5" t="n">
        <x:v>46268</x:v>
      </x:c>
      <x:c r="B910" s="11" t="n">
        <x:v>2022.5</x:v>
      </x:c>
      <x:c r="C910" s="11" t="n">
        <x:v>0</x:v>
      </x:c>
      <x:c r="D910" s="11" t="n">
        <x:v>2022.5</x:v>
      </x:c>
      <x:c r="E910" s="11" t="n">
        <x:v>2022.5</x:v>
      </x:c>
      <x:c r="F910" s="11" t="n">
        <x:v>2037.67</x:v>
      </x:c>
      <x:c r="G910" s="11" t="n">
        <x:v>2022.5</x:v>
      </x:c>
      <x:c r="H910" s="11" t="n">
        <x:v>0</x:v>
      </x:c>
      <x:c r="I910" s="11" t="n">
        <x:v>0</x:v>
      </x:c>
      <x:c r="J910" s="11"/>
      <x:c r="K910" s="1" t="str">
        <x:v>GFGV8900OC</x:v>
      </x:c>
      <x:c r="L910" s="1" t="str">
        <x:v>=+D906</x:v>
      </x:c>
    </x:row>
    <x:row r="911" ht="21" customHeight="1">
      <x:c r="A911" s="5" t="n">
        <x:v>46269</x:v>
      </x:c>
      <x:c r="B911" s="11" t="n">
        <x:v>2022.5</x:v>
      </x:c>
      <x:c r="C911" s="11" t="n">
        <x:v>0</x:v>
      </x:c>
      <x:c r="D911" s="11" t="n">
        <x:v>2022.5</x:v>
      </x:c>
      <x:c r="E911" s="11" t="n">
        <x:v>2022.5</x:v>
      </x:c>
      <x:c r="F911" s="11" t="n">
        <x:v>2037.67</x:v>
      </x:c>
      <x:c r="G911" s="11" t="n">
        <x:v>2022.5</x:v>
      </x:c>
      <x:c r="H911" s="11" t="n">
        <x:v>0</x:v>
      </x:c>
      <x:c r="I911" s="11" t="n">
        <x:v>0</x:v>
      </x:c>
      <x:c r="J911" s="11"/>
      <x:c r="K911" s="1" t="str">
        <x:v>GFGV8900OC</x:v>
      </x:c>
      <x:c r="L911" s="1" t="str">
        <x:v>=+D907</x:v>
      </x:c>
    </x:row>
    <x:row r="912" ht="21" customHeight="1">
      <x:c r="A912" s="5" t="n">
        <x:v>46272</x:v>
      </x:c>
      <x:c r="B912" s="11" t="n">
        <x:v>2022.5</x:v>
      </x:c>
      <x:c r="C912" s="11" t="n">
        <x:v>0</x:v>
      </x:c>
      <x:c r="D912" s="11" t="n">
        <x:v>2022.5</x:v>
      </x:c>
      <x:c r="E912" s="11" t="n">
        <x:v>2022.5</x:v>
      </x:c>
      <x:c r="F912" s="11" t="n">
        <x:v>2037.67</x:v>
      </x:c>
      <x:c r="G912" s="11" t="n">
        <x:v>2022.5</x:v>
      </x:c>
      <x:c r="H912" s="11" t="n">
        <x:v>0</x:v>
      </x:c>
      <x:c r="I912" s="11" t="n">
        <x:v>0</x:v>
      </x:c>
      <x:c r="J912" s="11"/>
      <x:c r="K912" s="1" t="str">
        <x:v>GFGV8900OC</x:v>
      </x:c>
      <x:c r="L912" s="1" t="str">
        <x:v>=+D908</x:v>
      </x:c>
    </x:row>
    <x:row r="913" ht="21" customHeight="1">
      <x:c r="A913" s="5" t="n">
        <x:v>46273</x:v>
      </x:c>
      <x:c r="B913" s="11" t="n">
        <x:v>2022.5</x:v>
      </x:c>
      <x:c r="C913" s="11" t="n">
        <x:v>0</x:v>
      </x:c>
      <x:c r="D913" s="11" t="n">
        <x:v>2022.5</x:v>
      </x:c>
      <x:c r="E913" s="11" t="n">
        <x:v>2022.5</x:v>
      </x:c>
      <x:c r="F913" s="11" t="n">
        <x:v>2037.67</x:v>
      </x:c>
      <x:c r="G913" s="11" t="n">
        <x:v>2022.5</x:v>
      </x:c>
      <x:c r="H913" s="11" t="n">
        <x:v>0</x:v>
      </x:c>
      <x:c r="I913" s="11" t="n">
        <x:v>0</x:v>
      </x:c>
      <x:c r="J913" s="11"/>
      <x:c r="K913" s="1" t="str">
        <x:v>GFGV8900OC</x:v>
      </x:c>
      <x:c r="L913" s="1" t="str">
        <x:v>=+D909</x:v>
      </x:c>
    </x:row>
    <x:row r="914" ht="21" customHeight="1">
      <x:c r="A914" s="5" t="n">
        <x:v>46274</x:v>
      </x:c>
      <x:c r="B914" s="11" t="n">
        <x:v>2022.5</x:v>
      </x:c>
      <x:c r="C914" s="11" t="n">
        <x:v>0</x:v>
      </x:c>
      <x:c r="D914" s="11" t="n">
        <x:v>2022.5</x:v>
      </x:c>
      <x:c r="E914" s="11" t="n">
        <x:v>2022.5</x:v>
      </x:c>
      <x:c r="F914" s="11" t="n">
        <x:v>2037.67</x:v>
      </x:c>
      <x:c r="G914" s="11" t="n">
        <x:v>2022.5</x:v>
      </x:c>
      <x:c r="H914" s="11" t="n">
        <x:v>0</x:v>
      </x:c>
      <x:c r="I914" s="11" t="n">
        <x:v>0</x:v>
      </x:c>
      <x:c r="J914" s="11"/>
      <x:c r="K914" s="1" t="str">
        <x:v>GFGV8900OC</x:v>
      </x:c>
      <x:c r="L914" s="1" t="str">
        <x:v>=+D910</x:v>
      </x:c>
    </x:row>
    <x:row r="915" ht="21" customHeight="1">
      <x:c r="A915" s="5" t="n">
        <x:v>46275</x:v>
      </x:c>
      <x:c r="B915" s="11" t="n">
        <x:v>2022.5</x:v>
      </x:c>
      <x:c r="C915" s="11" t="n">
        <x:v>0</x:v>
      </x:c>
      <x:c r="D915" s="11" t="n">
        <x:v>2022.5</x:v>
      </x:c>
      <x:c r="E915" s="11" t="n">
        <x:v>2022.5</x:v>
      </x:c>
      <x:c r="F915" s="11" t="n">
        <x:v>2037.67</x:v>
      </x:c>
      <x:c r="G915" s="11" t="n">
        <x:v>2022.5</x:v>
      </x:c>
      <x:c r="H915" s="11" t="n">
        <x:v>0</x:v>
      </x:c>
      <x:c r="I915" s="11" t="n">
        <x:v>0</x:v>
      </x:c>
      <x:c r="J915" s="11"/>
      <x:c r="K915" s="1" t="str">
        <x:v>GFGV8900OC</x:v>
      </x:c>
      <x:c r="L915" s="1" t="str">
        <x:v>=+D911</x:v>
      </x:c>
    </x:row>
    <x:row r="916" ht="21" customHeight="1">
      <x:c r="A916" s="5" t="n">
        <x:v>46276</x:v>
      </x:c>
      <x:c r="B916" s="11" t="n">
        <x:v>2022.5</x:v>
      </x:c>
      <x:c r="C916" s="11" t="n">
        <x:v>0</x:v>
      </x:c>
      <x:c r="D916" s="11" t="n">
        <x:v>2022.5</x:v>
      </x:c>
      <x:c r="E916" s="11" t="n">
        <x:v>2022.5</x:v>
      </x:c>
      <x:c r="F916" s="11" t="n">
        <x:v>2037.67</x:v>
      </x:c>
      <x:c r="G916" s="11" t="n">
        <x:v>2022.5</x:v>
      </x:c>
      <x:c r="H916" s="11" t="n">
        <x:v>0</x:v>
      </x:c>
      <x:c r="I916" s="11" t="n">
        <x:v>0</x:v>
      </x:c>
      <x:c r="J916" s="11"/>
      <x:c r="K916" s="1" t="str">
        <x:v>GFGV8900OC</x:v>
      </x:c>
      <x:c r="L916" s="1" t="str">
        <x:v>=+D912</x:v>
      </x:c>
    </x:row>
    <x:row r="917" ht="21" customHeight="1">
      <x:c r="A917" s="5" t="n">
        <x:v>46279</x:v>
      </x:c>
      <x:c r="B917" s="11" t="n">
        <x:v>2022.5</x:v>
      </x:c>
      <x:c r="C917" s="11" t="n">
        <x:v>0</x:v>
      </x:c>
      <x:c r="D917" s="11" t="n">
        <x:v>2022.5</x:v>
      </x:c>
      <x:c r="E917" s="11" t="n">
        <x:v>2022.5</x:v>
      </x:c>
      <x:c r="F917" s="11" t="n">
        <x:v>2037.67</x:v>
      </x:c>
      <x:c r="G917" s="11" t="n">
        <x:v>2022.5</x:v>
      </x:c>
      <x:c r="H917" s="11" t="n">
        <x:v>0</x:v>
      </x:c>
      <x:c r="I917" s="11" t="n">
        <x:v>0</x:v>
      </x:c>
      <x:c r="J917" s="11"/>
      <x:c r="K917" s="1" t="str">
        <x:v>GFGV8900OC</x:v>
      </x:c>
      <x:c r="L917" s="1" t="str">
        <x:v>=+D913</x:v>
      </x:c>
    </x:row>
    <x:row r="918" ht="21" customHeight="1">
      <x:c r="A918" s="5" t="n">
        <x:v>46280</x:v>
      </x:c>
      <x:c r="B918" s="11" t="n">
        <x:v>2022.5</x:v>
      </x:c>
      <x:c r="C918" s="11" t="n">
        <x:v>0</x:v>
      </x:c>
      <x:c r="D918" s="11" t="n">
        <x:v>2022.5</x:v>
      </x:c>
      <x:c r="E918" s="11" t="n">
        <x:v>2022.5</x:v>
      </x:c>
      <x:c r="F918" s="11" t="n">
        <x:v>2037.67</x:v>
      </x:c>
      <x:c r="G918" s="11" t="n">
        <x:v>2022.5</x:v>
      </x:c>
      <x:c r="H918" s="11" t="n">
        <x:v>0</x:v>
      </x:c>
      <x:c r="I918" s="11" t="n">
        <x:v>0</x:v>
      </x:c>
      <x:c r="J918" s="11"/>
      <x:c r="K918" s="1" t="str">
        <x:v>GFGV8900OC</x:v>
      </x:c>
      <x:c r="L918" s="1" t="str">
        <x:v>=+D914</x:v>
      </x:c>
    </x:row>
    <x:row r="919" ht="21" customHeight="1">
      <x:c r="A919" s="5" t="n">
        <x:v>46281</x:v>
      </x:c>
      <x:c r="B919" s="11" t="n">
        <x:v>2022.5</x:v>
      </x:c>
      <x:c r="C919" s="11" t="n">
        <x:v>0</x:v>
      </x:c>
      <x:c r="D919" s="11" t="n">
        <x:v>2022.5</x:v>
      </x:c>
      <x:c r="E919" s="11" t="n">
        <x:v>2000</x:v>
      </x:c>
      <x:c r="F919" s="11" t="n">
        <x:v>2037.67</x:v>
      </x:c>
      <x:c r="G919" s="11" t="n">
        <x:v>2022.5</x:v>
      </x:c>
      <x:c r="H919" s="11" t="n">
        <x:v>0</x:v>
      </x:c>
      <x:c r="I919" s="11" t="n">
        <x:v>0</x:v>
      </x:c>
      <x:c r="J919" s="11"/>
      <x:c r="K919" s="1" t="str">
        <x:v>GFGV8900OC</x:v>
      </x:c>
      <x:c r="L919" s="1" t="str">
        <x:v>=+D915</x:v>
      </x:c>
    </x:row>
    <x:row r="920" ht="21" customHeight="1">
      <x:c r="A920" s="5" t="n">
        <x:v>46273</x:v>
      </x:c>
      <x:c r="B920" s="11" t="n">
        <x:v>2000</x:v>
      </x:c>
      <x:c r="C920" s="11" t="n">
        <x:v>200000</x:v>
      </x:c>
      <x:c r="D920" s="11" t="n">
        <x:v>2000</x:v>
      </x:c>
      <x:c r="E920" s="11" t="n">
        <x:v>2000</x:v>
      </x:c>
      <x:c r="F920" s="11" t="n">
        <x:v>0</x:v>
      </x:c>
      <x:c r="G920" s="11" t="n">
        <x:v>0</x:v>
      </x:c>
      <x:c r="H920" s="11" t="n">
        <x:v>0</x:v>
      </x:c>
      <x:c r="I920" s="11" t="n">
        <x:v>0</x:v>
      </x:c>
      <x:c r="J920" s="11"/>
      <x:c r="K920" s="1" t="str">
        <x:v>GFGV9200OC</x:v>
      </x:c>
      <x:c r="L920" s="1" t="str">
        <x:v>=+D916</x:v>
      </x:c>
    </x:row>
    <x:row r="921" ht="21" customHeight="1">
      <x:c r="A921" s="5" t="n">
        <x:v>46274</x:v>
      </x:c>
      <x:c r="B921" s="11" t="n">
        <x:v>2000</x:v>
      </x:c>
      <x:c r="C921" s="11" t="n">
        <x:v>0</x:v>
      </x:c>
      <x:c r="D921" s="11" t="n">
        <x:v>2000</x:v>
      </x:c>
      <x:c r="E921" s="11" t="n">
        <x:v>2000</x:v>
      </x:c>
      <x:c r="F921" s="11" t="n">
        <x:v>2000</x:v>
      </x:c>
      <x:c r="G921" s="11" t="n">
        <x:v>2000</x:v>
      </x:c>
      <x:c r="H921" s="11" t="n">
        <x:v>0</x:v>
      </x:c>
      <x:c r="I921" s="11" t="n">
        <x:v>0</x:v>
      </x:c>
      <x:c r="J921" s="11"/>
      <x:c r="K921" s="1" t="str">
        <x:v>GFGV9200OC</x:v>
      </x:c>
      <x:c r="L921" s="1" t="str">
        <x:v>=+D917</x:v>
      </x:c>
    </x:row>
    <x:row r="922" ht="21" customHeight="1">
      <x:c r="A922" s="5" t="n">
        <x:v>46275</x:v>
      </x:c>
      <x:c r="B922" s="11" t="n">
        <x:v>2000</x:v>
      </x:c>
      <x:c r="C922" s="11" t="n">
        <x:v>0</x:v>
      </x:c>
      <x:c r="D922" s="11" t="n">
        <x:v>2000</x:v>
      </x:c>
      <x:c r="E922" s="11" t="n">
        <x:v>1895</x:v>
      </x:c>
      <x:c r="F922" s="11" t="n">
        <x:v>2000</x:v>
      </x:c>
      <x:c r="G922" s="11" t="n">
        <x:v>2000</x:v>
      </x:c>
      <x:c r="H922" s="11" t="n">
        <x:v>0</x:v>
      </x:c>
      <x:c r="I922" s="11" t="n">
        <x:v>0</x:v>
      </x:c>
      <x:c r="J922" s="11"/>
      <x:c r="K922" s="1" t="str">
        <x:v>GFGV9200OC</x:v>
      </x:c>
      <x:c r="L922" s="1" t="str">
        <x:v>=+D918</x:v>
      </x:c>
    </x:row>
    <x:row r="923" ht="21" customHeight="1">
      <x:c r="A923" s="5" t="n">
        <x:v>46276</x:v>
      </x:c>
      <x:c r="B923" s="11" t="n">
        <x:v>1895</x:v>
      </x:c>
      <x:c r="C923" s="11" t="n">
        <x:v>189500</x:v>
      </x:c>
      <x:c r="D923" s="11" t="n">
        <x:v>1895</x:v>
      </x:c>
      <x:c r="E923" s="11" t="n">
        <x:v>2041.57</x:v>
      </x:c>
      <x:c r="F923" s="11" t="n">
        <x:v>0</x:v>
      </x:c>
      <x:c r="G923" s="11" t="n">
        <x:v>0</x:v>
      </x:c>
      <x:c r="H923" s="11" t="n">
        <x:v>0</x:v>
      </x:c>
      <x:c r="I923" s="11" t="n">
        <x:v>0</x:v>
      </x:c>
      <x:c r="J923" s="11"/>
      <x:c r="K923" s="1" t="str">
        <x:v>GFGV9200OC</x:v>
      </x:c>
      <x:c r="L923" s="1" t="str">
        <x:v>=+D919</x:v>
      </x:c>
    </x:row>
    <x:row r="924" ht="21" customHeight="1">
      <x:c r="A924" s="5" t="n">
        <x:v>46279</x:v>
      </x:c>
      <x:c r="B924" s="11" t="n">
        <x:v>2041.57</x:v>
      </x:c>
      <x:c r="C924" s="11" t="n">
        <x:v>408314</x:v>
      </x:c>
      <x:c r="D924" s="11" t="n">
        <x:v>2041.57</x:v>
      </x:c>
      <x:c r="E924" s="11" t="n">
        <x:v>2041.57</x:v>
      </x:c>
      <x:c r="F924" s="11" t="n">
        <x:v>0</x:v>
      </x:c>
      <x:c r="G924" s="11" t="n">
        <x:v>0</x:v>
      </x:c>
      <x:c r="H924" s="11" t="n">
        <x:v>0</x:v>
      </x:c>
      <x:c r="I924" s="11" t="n">
        <x:v>0</x:v>
      </x:c>
      <x:c r="J924" s="11"/>
      <x:c r="K924" s="1" t="str">
        <x:v>GFGV9200OC</x:v>
      </x:c>
      <x:c r="L924" s="1" t="str">
        <x:v>=+D920</x:v>
      </x:c>
    </x:row>
    <x:row r="925" ht="21" customHeight="1">
      <x:c r="A925" s="5" t="n">
        <x:v>46280</x:v>
      </x:c>
      <x:c r="B925" s="11" t="n">
        <x:v>2041.57</x:v>
      </x:c>
      <x:c r="C925" s="11" t="n">
        <x:v>0</x:v>
      </x:c>
      <x:c r="D925" s="11" t="n">
        <x:v>2041.57</x:v>
      </x:c>
      <x:c r="E925" s="11" t="n">
        <x:v>2168.75</x:v>
      </x:c>
      <x:c r="F925" s="11" t="n">
        <x:v>2041.57</x:v>
      </x:c>
      <x:c r="G925" s="11" t="n">
        <x:v>2041.57</x:v>
      </x:c>
      <x:c r="H925" s="11" t="n">
        <x:v>0</x:v>
      </x:c>
      <x:c r="I925" s="11" t="n">
        <x:v>0</x:v>
      </x:c>
      <x:c r="J925" s="11"/>
      <x:c r="K925" s="1" t="str">
        <x:v>GFGV9200OC</x:v>
      </x:c>
      <x:c r="L925" s="1" t="str">
        <x:v>=+D921</x:v>
      </x:c>
    </x:row>
    <x:row r="926" ht="21" customHeight="1">
      <x:c r="A926" s="5" t="n">
        <x:v>46281</x:v>
      </x:c>
      <x:c r="B926" s="11" t="n">
        <x:v>2268.51</x:v>
      </x:c>
      <x:c r="C926" s="11" t="n">
        <x:v>660601</x:v>
      </x:c>
      <x:c r="D926" s="11" t="n">
        <x:v>2168.75</x:v>
      </x:c>
      <x:c r="E926" s="11"/>
      <x:c r="F926" s="11" t="n">
        <x:v>2168.75</x:v>
      </x:c>
      <x:c r="G926" s="11" t="n">
        <x:v>2168.75</x:v>
      </x:c>
      <x:c r="H926" s="11" t="n">
        <x:v>0</x:v>
      </x:c>
      <x:c r="I926" s="11" t="n">
        <x:v>0</x:v>
      </x:c>
      <x:c r="J926" s="11"/>
      <x:c r="K926" s="1" t="str">
        <x:v>GFGV9200OC</x:v>
      </x:c>
      <x:c r="L926" s="1" t="str">
        <x:v>'</x:v>
      </x:c>
    </x:row>
  </x:sheetData>
  <x:pageMargins left="0.7" right="0.7" top="0.75" bottom="0.75" header="0.3" footer="0.3"/>
  <x:tableParts count="1">
    <x:tablePart xmlns:r="http://schemas.openxmlformats.org/officeDocument/2006/relationships" r:id="R48d987a96ee349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2" t="str">
        <x:v>Inputs and interpretation</x:v>
      </x:c>
      <x:c r="B2" s="1"/>
      <x:c r="C2" s="1"/>
      <x:c r="D2" s="1"/>
      <x:c r="E2" s="1"/>
      <x:c r="F2" s="1"/>
      <x:c r="G2" s="1"/>
      <x:c r="H2" s="1"/>
    </x:row>
    <x:row r="3" ht="21" customHeight="1">
      <x:c r="A3" s="3"/>
      <x:c r="B3" s="3"/>
      <x:c r="C3" s="3"/>
      <x:c r="D3" s="3"/>
      <x:c r="E3" s="3"/>
      <x:c r="F3" s="3"/>
      <x:c r="G3" s="3"/>
      <x:c r="H3" s="3"/>
    </x:row>
    <x:row r="4" ht="21" customHeight="1">
      <x:c r="A4" s="1"/>
      <x:c r="B4" s="1"/>
      <x:c r="C4" s="1"/>
      <x:c r="D4" s="1"/>
      <x:c r="E4" s="1"/>
      <x:c r="F4" s="1"/>
      <x:c r="G4" s="1"/>
      <x:c r="H4" s="1"/>
    </x:row>
    <x:row r="5" ht="21" customHeight="1">
      <x:c r="A5" s="1" t="str">
        <x:v>Expiry</x:v>
      </x:c>
      <x:c r="B5" s="14" t="n">
        <x:v>46311</x:v>
      </x:c>
      <x:c r="C5" s="1"/>
      <x:c r="D5" s="1" t="str">
        <x:v>Matched to saved BYMA September 7 option metadata.</x:v>
      </x:c>
      <x:c r="E5" s="1"/>
      <x:c r="F5" s="1"/>
      <x:c r="G5" s="1"/>
      <x:c r="H5" s="1"/>
    </x:row>
    <x:row r="6" ht="21" customHeight="1">
      <x:c r="A6" s="1" t="str">
        <x:v>Rate used</x:v>
      </x:c>
      <x:c r="B6" s="15" t="n">
        <x:v>0.3</x:v>
      </x:c>
      <x:c r="C6" s="1"/>
      <x:c r="D6" s="1" t="str">
        <x:v>30% annual continuous rate, illustrative constant; not an observed funding curve.</x:v>
      </x:c>
      <x:c r="E6" s="1"/>
      <x:c r="F6" s="1"/>
      <x:c r="G6" s="1"/>
      <x:c r="H6" s="1"/>
    </x:row>
    <x:row r="7" ht="21" customHeight="1">
      <x:c r="A7" s="1" t="str">
        <x:v>Dividend yield used</x:v>
      </x:c>
      <x:c r="B7" s="15" t="n">
        <x:v>0</x:v>
      </x:c>
      <x:c r="C7" s="1"/>
      <x:c r="D7" s="1" t="str">
        <x:v>q = 0 assumption; no verified forward dividend schedule.</x:v>
      </x:c>
      <x:c r="E7" s="1"/>
      <x:c r="F7" s="1"/>
      <x:c r="G7" s="1"/>
      <x:c r="H7" s="1"/>
    </x:row>
    <x:row r="8" ht="21" customHeight="1">
      <x:c r="A8" s="1" t="str">
        <x:v>Shares per contract</x:v>
      </x:c>
      <x:c r="B8" s="16" t="n">
        <x:v>100</x:v>
      </x:c>
      <x:c r="C8" s="1"/>
      <x:c r="D8" s="1" t="str">
        <x:v>Standard BYMA share-option lot. Check extraordinary corporate adjustments.</x:v>
      </x:c>
      <x:c r="E8" s="1"/>
      <x:c r="F8" s="1"/>
      <x:c r="G8" s="1"/>
      <x:c r="H8" s="1"/>
    </x:row>
    <x:row r="9" ht="21" customHeight="1">
      <x:c r="A9" s="1" t="str">
        <x:v>Day-count basis</x:v>
      </x:c>
      <x:c r="B9" s="16" t="n">
        <x:v>365</x:v>
      </x:c>
      <x:c r="C9" s="1"/>
      <x:c r="D9" s="1" t="str">
        <x:v>Actual calendar days / 365.</x:v>
      </x:c>
      <x:c r="E9" s="1"/>
      <x:c r="F9" s="1"/>
      <x:c r="G9" s="1"/>
      <x:c r="H9" s="1"/>
    </x:row>
    <x:row r="10" ht="21" customHeight="1">
      <x:c r="A10" s="1" t="str">
        <x:v>Annualization sessions</x:v>
      </x:c>
      <x:c r="B10" s="16" t="n">
        <x:v>252</x:v>
      </x:c>
      <x:c r="C10" s="1"/>
      <x:c r="D10" s="1" t="str">
        <x:v>Realized volatility uses sample standard deviation of daily log returns.</x:v>
      </x:c>
      <x:c r="E10" s="1"/>
      <x:c r="F10" s="1"/>
      <x:c r="G10" s="1"/>
      <x:c r="H10" s="1"/>
    </x:row>
    <x:row r="11" ht="21" customHeight="1">
      <x:c r="A11" s="1" t="str">
        <x:v>Low/high rate checks</x:v>
      </x:c>
      <x:c r="B11" s="16" t="str">
        <x:v>20% / 40%</x:v>
      </x:c>
      <x:c r="C11" s="1"/>
      <x:c r="D11" s="1" t="str">
        <x:v>Illustrative rate sensitivity; same model, spot and option price.</x:v>
      </x:c>
      <x:c r="E11" s="1"/>
      <x:c r="F11" s="1"/>
      <x:c r="G11" s="1"/>
      <x:c r="H11" s="1"/>
    </x:row>
    <x:row r="12" ht="21" customHeight="1">
      <x:c r="A12" s="1" t="str">
        <x:v>Call IV engine</x:v>
      </x:c>
      <x:c r="B12" s="16" t="str">
        <x:v>Black-Scholes, q=0</x:v>
      </x:c>
      <x:c r="C12" s="1"/>
      <x:c r="D12" s="1" t="str">
        <x:v>Equivalent to American call under the stated non-dividend assumption.</x:v>
      </x:c>
      <x:c r="E12" s="1"/>
      <x:c r="F12" s="1"/>
      <x:c r="G12" s="1"/>
      <x:c r="H12" s="1"/>
    </x:row>
    <x:row r="13" ht="21" customHeight="1">
      <x:c r="A13" s="1" t="str">
        <x:v>Put IV engine</x:v>
      </x:c>
      <x:c r="B13" s="16" t="str">
        <x:v>American CRR, 200 steps</x:v>
      </x:c>
      <x:c r="C13" s="1"/>
      <x:c r="D13" s="1" t="str">
        <x:v>29 bisections, bounded 0–500% IV; rejects unstable/intrinsic-bound prices.</x:v>
      </x:c>
      <x:c r="E13" s="1"/>
      <x:c r="F13" s="1"/>
      <x:c r="G13" s="1"/>
      <x:c r="H13" s="1"/>
    </x:row>
    <x:row r="14" ht="21" customHeight="1">
      <x:c r="A14" s="1" t="str">
        <x:v>Strike mapping</x:v>
      </x:c>
      <x:c r="B14" s="16" t="str">
        <x:v>Numeric ticker strike</x:v>
      </x:c>
      <x:c r="C14" s="1"/>
      <x:c r="D14" s="1" t="str">
        <x:v>No security-master strike adjustments verified. All outputs conditional on this mapping.</x:v>
      </x:c>
      <x:c r="E14" s="1"/>
      <x:c r="F14" s="1"/>
      <x:c r="G14" s="1"/>
      <x:c r="H14" s="1"/>
    </x:row>
    <x:row r="15" ht="21" customHeight="1">
      <x:c r="A15" s="1" t="str">
        <x:v>Price basis</x:v>
      </x:c>
      <x:c r="B15" s="16" t="str">
        <x:v>PPI price as reported</x:v>
      </x:c>
      <x:c r="C15" s="1"/>
      <x:c r="D15" s="1" t="str">
        <x:v>No use of next-row opening price as a close. No bid/ask spread information.</x:v>
      </x:c>
      <x:c r="E15" s="1"/>
      <x:c r="F15" s="1"/>
      <x:c r="G15" s="1"/>
      <x:c r="H15" s="1"/>
    </x:row>
    <x:row r="16" ht="21" customHeight="1">
      <x:c r="A16" s="1" t="str">
        <x:v>Volume basis</x:v>
      </x:c>
      <x:c r="B16" s="16" t="str">
        <x:v>Unverified raw field</x:v>
      </x:c>
      <x:c r="C16" s="1"/>
      <x:c r="D16" s="1" t="str">
        <x:v>P/C raw-volume ratio is NOT a verified contract-count ratio. May be monetary turnover.</x:v>
      </x:c>
      <x:c r="E16" s="1"/>
      <x:c r="F16" s="1"/>
      <x:c r="G16" s="1"/>
      <x:c r="H16" s="1"/>
    </x:row>
    <x:row r="17" ht="21" customHeight="1">
      <x:c r="A17" s="1" t="str">
        <x:v>IV screening</x:v>
      </x:c>
      <x:c r="B17" s="16" t="str">
        <x:v>Volume &gt; 0; price in range</x:v>
      </x:c>
      <x:c r="C17" s="1"/>
      <x:c r="D17" s="1" t="str">
        <x:v>Also rejects below-intrinsic prices and model-bound violations. Not proof of a fresh quote.</x:v>
      </x:c>
      <x:c r="E17" s="1"/>
      <x:c r="F17" s="1"/>
      <x:c r="G17" s="1"/>
      <x:c r="H17" s="1"/>
    </x:row>
    <x:row r="18" ht="21" customHeight="1">
      <x:c r="A18" s="1" t="str">
        <x:v>IV / Greeks refresh</x:v>
      </x:c>
      <x:c r="B18" s="16" t="str">
        <x:v>Externally calculated snapshot</x:v>
      </x:c>
      <x:c r="C18" s="1"/>
      <x:c r="D18" s="1" t="str">
        <x:v>Re-run analysis after changing inputs. Editing assumptions here does not recompute IV.</x:v>
      </x:c>
      <x:c r="E18" s="1"/>
      <x:c r="F18" s="1"/>
      <x:c r="G18" s="1"/>
      <x:c r="H18" s="1"/>
    </x:row>
    <x:row r="19" ht="21" customHeight="1">
      <x:c r="A19" s="1" t="str">
        <x:v>Delta / vega</x:v>
      </x:c>
      <x:c r="B19" s="1" t="str">
        <x:v>European BS diagnostics</x:v>
      </x:c>
      <x:c r="C19" s="1"/>
      <x:c r="D19" s="1" t="str">
        <x:v>Using estimated IV. Vega is ARS per share per 1 percentage-point IV change.</x:v>
      </x:c>
      <x:c r="E19" s="1"/>
      <x:c r="F19" s="1"/>
      <x:c r="G19" s="1"/>
      <x:c r="H19" s="1"/>
    </x:row>
    <x:row r="20" ht="21" customHeight="1">
      <x:c r="A20" s="1" t="str">
        <x:v>ATM series</x:v>
      </x:c>
      <x:c r="B20" s="1" t="str">
        <x:v>Nearest paired strike within 8%</x:v>
      </x:c>
      <x:c r="C20" s="1"/>
      <x:c r="D20" s="1" t="str">
        <x:v>Average call/put IV at that strike. Strike can change; tenor declines. Not constant maturity.</x:v>
      </x:c>
      <x:c r="E20" s="1"/>
      <x:c r="F20" s="1"/>
      <x:c r="G20" s="1"/>
      <x:c r="H20" s="1"/>
    </x:row>
    <x:row r="21" ht="21" customHeight="1">
      <x:c r="A21" s="1" t="str">
        <x:v>25-delta skew</x:v>
      </x:c>
      <x:c r="B21" s="1" t="str">
        <x:v>Put IV minus call IV</x:v>
      </x:c>
      <x:c r="C21" s="1"/>
      <x:c r="D21" s="1" t="str">
        <x:v>Linear interpolation by BS delta, no extrapolation. American-put delta is approximated.</x:v>
      </x:c>
      <x:c r="E21" s="1"/>
      <x:c r="F21" s="1"/>
      <x:c r="G21" s="1"/>
      <x:c r="H21" s="1"/>
    </x:row>
    <x:row r="22" ht="21" customHeight="1">
      <x:c r="A22" s="1" t="str">
        <x:v>Volatility butterfly</x:v>
      </x:c>
      <x:c r="B22" s="1" t="str">
        <x:v>(25d call + 25d put)/2 − ATM</x:v>
      </x:c>
      <x:c r="C22" s="1"/>
      <x:c r="D22" s="1" t="str">
        <x:v>Smile curvature, distinct from the 1:-2:1 price strategy.</x:v>
      </x:c>
      <x:c r="E22" s="1"/>
      <x:c r="F22" s="1"/>
      <x:c r="G22" s="1"/>
      <x:c r="H22" s="1"/>
    </x:row>
    <x:row r="23" ht="21" customHeight="1">
      <x:c r="A23" s="1" t="str">
        <x:v>RV / IV comparison</x:v>
      </x:c>
      <x:c r="B23" s="1" t="str">
        <x:v>Diagnostic only</x:v>
      </x:c>
      <x:c r="C23" s="1"/>
      <x:c r="D23" s="1" t="str">
        <x:v>Backward RV and forward IV cover different periods; gap is not guaranteed excess return.</x:v>
      </x:c>
      <x:c r="E23" s="1"/>
      <x:c r="F23" s="1"/>
      <x:c r="G23" s="1"/>
      <x:c r="H23" s="1"/>
    </x:row>
    <x:row r="24" ht="21" customHeight="1">
      <x:c r="A24" s="1" t="str">
        <x:v>Strategy P&amp;L</x:v>
      </x:c>
      <x:c r="B24" s="1" t="str">
        <x:v>Expiration, ARS per share</x:v>
      </x:c>
      <x:c r="C24" s="1"/>
      <x:c r="D24" s="1" t="str">
        <x:v>Excludes fees, financing, slippage and early-assignment cash flows. Multiply by 100 per standard set.</x:v>
      </x:c>
      <x:c r="E24" s="1"/>
      <x:c r="F24" s="1"/>
      <x:c r="G24" s="1"/>
      <x:c r="H24" s="1"/>
    </x:row>
    <x:row r="25" ht="21" customHeight="1">
      <x:c r="A25" s="1" t="str">
        <x:v>1x2 call risk</x:v>
      </x:c>
      <x:c r="B25" s="1" t="str">
        <x:v>Unlimited upside loss</x:v>
      </x:c>
      <x:c r="C25" s="1"/>
      <x:c r="D25" s="1" t="str">
        <x:v>One long lower-strike call and two short higher-strike calls.</x:v>
      </x:c>
      <x:c r="E25" s="1"/>
      <x:c r="F25" s="1"/>
      <x:c r="G25" s="1"/>
      <x:c r="H25" s="1"/>
    </x:row>
    <x:row r="26" ht="21" customHeight="1">
      <x:c r="A26" s="1" t="str">
        <x:v>1x2 put risk</x:v>
      </x:c>
      <x:c r="B26" s="1" t="str">
        <x:v>Large downside loss</x:v>
      </x:c>
      <x:c r="C26" s="1"/>
      <x:c r="D26" s="1" t="str">
        <x:v>One long higher-strike put and two short lower-strike puts. Downside bound assumes spot &gt;= 0.</x:v>
      </x:c>
      <x:c r="E26" s="1"/>
      <x:c r="F26" s="1"/>
      <x:c r="G26" s="1"/>
      <x:c r="H26" s="1"/>
    </x:row>
    <x:row r="27" ht="21" customHeight="1">
      <x:c r="A27" s="1" t="str">
        <x:v>Missing measures</x:v>
      </x:c>
      <x:c r="B27" s="1" t="str">
        <x:v>OI / bid-ask / term structure</x:v>
      </x:c>
      <x:c r="C27" s="1"/>
      <x:c r="D27" s="1" t="str">
        <x:v>No OI, quotes or second expiry. No full-year IV rank or percentile from 19 days.</x:v>
      </x:c>
      <x:c r="E27" s="1"/>
      <x:c r="F27" s="1"/>
      <x:c r="G27" s="1"/>
      <x:c r="H27" s="1"/>
    </x:row>
    <x:row r="28" ht="21" customHeight="1">
      <x:c r="A28" s="1" t="str">
        <x:v>Sources</x:v>
      </x:c>
      <x:c r="B28" s="1" t="str">
        <x:v>PPI API and user workbook</x:v>
      </x:c>
      <x:c r="C28" s="1"/>
      <x:c r="D28" s="1" t="str">
        <x:v>Stock: MarketData/Search, GGAL, ACCIONES, A-24HS, June 1–September 16, 2026.</x:v>
      </x:c>
      <x:c r="E28" s="1"/>
      <x:c r="F28" s="1"/>
      <x:c r="G28" s="1"/>
      <x:c r="H28" s="1"/>
    </x:row>
    <x:row r="29" ht="21" customHeight="1">
      <x:c r="A29" s="1" t="str">
        <x:v>BYMA contract rules</x:v>
      </x:c>
      <x:c r="B29" s="1"/>
      <x:c r="C29" s="1"/>
      <x:c r="D29" s="1" t="str">
        <x:v>https://www.byma.com.ar/productos/productos-financieros/opciones</x:v>
      </x:c>
      <x:c r="E29" s="1"/>
      <x:c r="F29" s="1"/>
      <x:c r="G29" s="1"/>
      <x:c r="H29" s="1"/>
    </x:row>
    <x:row r="30" ht="21" customHeight="1">
      <x:c r="A30" s="1" t="str">
        <x:v>Butterfly reference</x:v>
      </x:c>
      <x:c r="B30" s="1"/>
      <x:c r="C30" s="1"/>
      <x:c r="D30" s="1" t="str">
        <x:v>https://www.optionseducation.org/strategies/all-strategies/long-call-butterfly</x:v>
      </x:c>
      <x:c r="E30" s="1"/>
      <x:c r="F30" s="1"/>
      <x:c r="G30" s="1"/>
      <x:c r="H30" s="1"/>
    </x:row>
    <x:row r="31" ht="21" customHeight="1">
      <x:c r="A31" s="1" t="str">
        <x:v>Ratio reference</x:v>
      </x:c>
      <x:c r="B31" s="1"/>
      <x:c r="C31" s="1"/>
      <x:c r="D31" s="1" t="str">
        <x:v>https://www.optionseducation.org/strategies/all-strategies/short-ratio-call-spread</x:v>
      </x:c>
      <x:c r="E31" s="1"/>
      <x:c r="F31" s="1"/>
      <x:c r="G31" s="1"/>
      <x:c r="H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</x:row>
    <x:row r="35" ht="40" customHeight="1">
      <x:c r="A35" s="10" t="str">
        <x:v>Date</x:v>
      </x:c>
      <x:c r="B35" s="10" t="str">
        <x:v>GGAL price</x:v>
      </x:c>
      <x:c r="C35" s="10" t="str">
        <x:v>Open</x:v>
      </x:c>
      <x:c r="D35" s="10" t="str">
        <x:v>High</x:v>
      </x:c>
      <x:c r="E35" s="10" t="str">
        <x:v>Low</x:v>
      </x:c>
      <x:c r="F35" s="10" t="str">
        <x:v>Raw volume</x:v>
      </x:c>
      <x:c r="G35" s="1"/>
      <x:c r="H35" s="1"/>
    </x:row>
    <x:row r="36" ht="21" customHeight="1">
      <x:c r="A36" s="12" t="n">
        <x:v>46174</x:v>
      </x:c>
      <x:c r="B36" s="11" t="n">
        <x:v>7640</x:v>
      </x:c>
      <x:c r="C36" s="11" t="n">
        <x:v>7490</x:v>
      </x:c>
      <x:c r="D36" s="11" t="n">
        <x:v>7725</x:v>
      </x:c>
      <x:c r="E36" s="11" t="n">
        <x:v>7405</x:v>
      </x:c>
      <x:c r="F36" s="11" t="n">
        <x:v>28360044544</x:v>
      </x:c>
      <x:c r="G36" s="1"/>
      <x:c r="H36" s="1"/>
    </x:row>
    <x:row r="37" ht="21" customHeight="1">
      <x:c r="A37" s="12" t="n">
        <x:v>46175</x:v>
      </x:c>
      <x:c r="B37" s="11" t="n">
        <x:v>7585</x:v>
      </x:c>
      <x:c r="C37" s="11" t="n">
        <x:v>7645</x:v>
      </x:c>
      <x:c r="D37" s="11" t="n">
        <x:v>7645</x:v>
      </x:c>
      <x:c r="E37" s="11" t="n">
        <x:v>7425</x:v>
      </x:c>
      <x:c r="F37" s="11" t="n">
        <x:v>22263787520</x:v>
      </x:c>
      <x:c r="G37" s="1"/>
      <x:c r="H37" s="1"/>
    </x:row>
    <x:row r="38" ht="21" customHeight="1">
      <x:c r="A38" s="12" t="n">
        <x:v>46176</x:v>
      </x:c>
      <x:c r="B38" s="11" t="n">
        <x:v>7350</x:v>
      </x:c>
      <x:c r="C38" s="11" t="n">
        <x:v>7520</x:v>
      </x:c>
      <x:c r="D38" s="11" t="n">
        <x:v>7575</x:v>
      </x:c>
      <x:c r="E38" s="11" t="n">
        <x:v>7310</x:v>
      </x:c>
      <x:c r="F38" s="11" t="n">
        <x:v>17648420864</x:v>
      </x:c>
      <x:c r="G38" s="1"/>
      <x:c r="H38" s="1"/>
    </x:row>
    <x:row r="39" ht="21" customHeight="1">
      <x:c r="A39" s="12" t="n">
        <x:v>46177</x:v>
      </x:c>
      <x:c r="B39" s="11" t="n">
        <x:v>7340</x:v>
      </x:c>
      <x:c r="C39" s="11" t="n">
        <x:v>7350</x:v>
      </x:c>
      <x:c r="D39" s="11" t="n">
        <x:v>7485</x:v>
      </x:c>
      <x:c r="E39" s="11" t="n">
        <x:v>7265</x:v>
      </x:c>
      <x:c r="F39" s="11" t="n">
        <x:v>18536675328</x:v>
      </x:c>
      <x:c r="G39" s="1"/>
      <x:c r="H39" s="1"/>
    </x:row>
    <x:row r="40" ht="21" customHeight="1">
      <x:c r="A40" s="12" t="n">
        <x:v>46178</x:v>
      </x:c>
      <x:c r="B40" s="11" t="n">
        <x:v>7205</x:v>
      </x:c>
      <x:c r="C40" s="11" t="n">
        <x:v>7340</x:v>
      </x:c>
      <x:c r="D40" s="11" t="n">
        <x:v>7400</x:v>
      </x:c>
      <x:c r="E40" s="11" t="n">
        <x:v>7135</x:v>
      </x:c>
      <x:c r="F40" s="11" t="n">
        <x:v>23260377088</x:v>
      </x:c>
      <x:c r="G40" s="1"/>
      <x:c r="H40" s="1"/>
    </x:row>
    <x:row r="41" ht="21" customHeight="1">
      <x:c r="A41" s="12" t="n">
        <x:v>46181</x:v>
      </x:c>
      <x:c r="B41" s="11" t="n">
        <x:v>7340</x:v>
      </x:c>
      <x:c r="C41" s="11" t="n">
        <x:v>7300</x:v>
      </x:c>
      <x:c r="D41" s="11" t="n">
        <x:v>7460</x:v>
      </x:c>
      <x:c r="E41" s="11" t="n">
        <x:v>7150</x:v>
      </x:c>
      <x:c r="F41" s="11" t="n">
        <x:v>27055659008</x:v>
      </x:c>
      <x:c r="G41" s="1"/>
      <x:c r="H41" s="1"/>
    </x:row>
    <x:row r="42" ht="21" customHeight="1">
      <x:c r="A42" s="12" t="n">
        <x:v>46182</x:v>
      </x:c>
      <x:c r="B42" s="11" t="n">
        <x:v>7545</x:v>
      </x:c>
      <x:c r="C42" s="11" t="n">
        <x:v>7350</x:v>
      </x:c>
      <x:c r="D42" s="11" t="n">
        <x:v>7650</x:v>
      </x:c>
      <x:c r="E42" s="11" t="n">
        <x:v>7310</x:v>
      </x:c>
      <x:c r="F42" s="11" t="n">
        <x:v>41855709184</x:v>
      </x:c>
      <x:c r="G42" s="1"/>
      <x:c r="H42" s="1"/>
    </x:row>
    <x:row r="43" ht="21" customHeight="1">
      <x:c r="A43" s="12" t="n">
        <x:v>46183</x:v>
      </x:c>
      <x:c r="B43" s="11" t="n">
        <x:v>7485</x:v>
      </x:c>
      <x:c r="C43" s="11" t="n">
        <x:v>7540</x:v>
      </x:c>
      <x:c r="D43" s="11" t="n">
        <x:v>7635</x:v>
      </x:c>
      <x:c r="E43" s="11" t="n">
        <x:v>7435</x:v>
      </x:c>
      <x:c r="F43" s="11" t="n">
        <x:v>28395188224</x:v>
      </x:c>
      <x:c r="G43" s="1"/>
      <x:c r="H43" s="1"/>
    </x:row>
    <x:row r="44" ht="21" customHeight="1">
      <x:c r="A44" s="12" t="n">
        <x:v>46184</x:v>
      </x:c>
      <x:c r="B44" s="11" t="n">
        <x:v>8270</x:v>
      </x:c>
      <x:c r="C44" s="11" t="n">
        <x:v>7680</x:v>
      </x:c>
      <x:c r="D44" s="11" t="n">
        <x:v>8320</x:v>
      </x:c>
      <x:c r="E44" s="11" t="n">
        <x:v>7680</x:v>
      </x:c>
      <x:c r="F44" s="11" t="n">
        <x:v>89861103616</x:v>
      </x:c>
      <x:c r="G44" s="1"/>
      <x:c r="H44" s="1"/>
    </x:row>
    <x:row r="45" ht="21" customHeight="1">
      <x:c r="A45" s="12" t="n">
        <x:v>46185</x:v>
      </x:c>
      <x:c r="B45" s="11" t="n">
        <x:v>8210</x:v>
      </x:c>
      <x:c r="C45" s="11" t="n">
        <x:v>8300</x:v>
      </x:c>
      <x:c r="D45" s="11" t="n">
        <x:v>8450</x:v>
      </x:c>
      <x:c r="E45" s="11" t="n">
        <x:v>8170</x:v>
      </x:c>
      <x:c r="F45" s="11" t="n">
        <x:v>46344859648</x:v>
      </x:c>
      <x:c r="G45" s="1"/>
      <x:c r="H45" s="1"/>
    </x:row>
    <x:row r="46" ht="21" customHeight="1">
      <x:c r="A46" s="12" t="n">
        <x:v>46189</x:v>
      </x:c>
      <x:c r="B46" s="11" t="n">
        <x:v>8160</x:v>
      </x:c>
      <x:c r="C46" s="11" t="n">
        <x:v>8230</x:v>
      </x:c>
      <x:c r="D46" s="11" t="n">
        <x:v>8400</x:v>
      </x:c>
      <x:c r="E46" s="11" t="n">
        <x:v>8105</x:v>
      </x:c>
      <x:c r="F46" s="11" t="n">
        <x:v>28046338048</x:v>
      </x:c>
      <x:c r="G46" s="1"/>
      <x:c r="H46" s="1"/>
    </x:row>
    <x:row r="47" ht="21" customHeight="1">
      <x:c r="A47" s="12" t="n">
        <x:v>46190</x:v>
      </x:c>
      <x:c r="B47" s="11" t="n">
        <x:v>8365</x:v>
      </x:c>
      <x:c r="C47" s="11" t="n">
        <x:v>8160</x:v>
      </x:c>
      <x:c r="D47" s="11" t="n">
        <x:v>8715</x:v>
      </x:c>
      <x:c r="E47" s="11" t="n">
        <x:v>8140</x:v>
      </x:c>
      <x:c r="F47" s="11" t="n">
        <x:v>42074746880</x:v>
      </x:c>
      <x:c r="G47" s="1"/>
      <x:c r="H47" s="1"/>
    </x:row>
    <x:row r="48" ht="21" customHeight="1">
      <x:c r="A48" s="12" t="n">
        <x:v>46191</x:v>
      </x:c>
      <x:c r="B48" s="11" t="n">
        <x:v>8500</x:v>
      </x:c>
      <x:c r="C48" s="11" t="n">
        <x:v>8570</x:v>
      </x:c>
      <x:c r="D48" s="11" t="n">
        <x:v>8725</x:v>
      </x:c>
      <x:c r="E48" s="11" t="n">
        <x:v>8430</x:v>
      </x:c>
      <x:c r="F48" s="11" t="n">
        <x:v>29427111936</x:v>
      </x:c>
      <x:c r="G48" s="1"/>
      <x:c r="H48" s="1"/>
    </x:row>
    <x:row r="49" ht="21" customHeight="1">
      <x:c r="A49" s="12" t="n">
        <x:v>46192</x:v>
      </x:c>
      <x:c r="B49" s="11" t="n">
        <x:v>8260</x:v>
      </x:c>
      <x:c r="C49" s="11" t="n">
        <x:v>8480</x:v>
      </x:c>
      <x:c r="D49" s="11" t="n">
        <x:v>8480</x:v>
      </x:c>
      <x:c r="E49" s="11" t="n">
        <x:v>8150</x:v>
      </x:c>
      <x:c r="F49" s="11" t="n">
        <x:v>18375294976</x:v>
      </x:c>
      <x:c r="G49" s="1"/>
      <x:c r="H49" s="1"/>
    </x:row>
    <x:row r="50" ht="21" customHeight="1">
      <x:c r="A50" s="12" t="n">
        <x:v>46195</x:v>
      </x:c>
      <x:c r="B50" s="11" t="n">
        <x:v>8165</x:v>
      </x:c>
      <x:c r="C50" s="11" t="n">
        <x:v>8395</x:v>
      </x:c>
      <x:c r="D50" s="11" t="n">
        <x:v>8515</x:v>
      </x:c>
      <x:c r="E50" s="11" t="n">
        <x:v>8050</x:v>
      </x:c>
      <x:c r="F50" s="11" t="n">
        <x:v>13427326976</x:v>
      </x:c>
      <x:c r="G50" s="1"/>
      <x:c r="H50" s="1"/>
    </x:row>
    <x:row r="51" ht="21" customHeight="1">
      <x:c r="A51" s="12" t="n">
        <x:v>46196</x:v>
      </x:c>
      <x:c r="B51" s="11" t="n">
        <x:v>7960</x:v>
      </x:c>
      <x:c r="C51" s="11" t="n">
        <x:v>8040</x:v>
      </x:c>
      <x:c r="D51" s="11" t="n">
        <x:v>8040</x:v>
      </x:c>
      <x:c r="E51" s="11" t="n">
        <x:v>7900</x:v>
      </x:c>
      <x:c r="F51" s="11" t="n">
        <x:v>13731221504</x:v>
      </x:c>
      <x:c r="G51" s="1"/>
      <x:c r="H51" s="1"/>
    </x:row>
    <x:row r="52" ht="21" customHeight="1">
      <x:c r="A52" s="12" t="n">
        <x:v>46197</x:v>
      </x:c>
      <x:c r="B52" s="11" t="n">
        <x:v>7625</x:v>
      </x:c>
      <x:c r="C52" s="11" t="n">
        <x:v>7860</x:v>
      </x:c>
      <x:c r="D52" s="11" t="n">
        <x:v>7950</x:v>
      </x:c>
      <x:c r="E52" s="11" t="n">
        <x:v>7575</x:v>
      </x:c>
      <x:c r="F52" s="11" t="n">
        <x:v>20190779392</x:v>
      </x:c>
      <x:c r="G52" s="1"/>
      <x:c r="H52" s="1"/>
    </x:row>
    <x:row r="53" ht="21" customHeight="1">
      <x:c r="A53" s="12" t="n">
        <x:v>46198</x:v>
      </x:c>
      <x:c r="B53" s="11" t="n">
        <x:v>7605</x:v>
      </x:c>
      <x:c r="C53" s="11" t="n">
        <x:v>7690</x:v>
      </x:c>
      <x:c r="D53" s="11" t="n">
        <x:v>7760</x:v>
      </x:c>
      <x:c r="E53" s="11" t="n">
        <x:v>7550</x:v>
      </x:c>
      <x:c r="F53" s="11" t="n">
        <x:v>6982208000</x:v>
      </x:c>
      <x:c r="G53" s="1"/>
      <x:c r="H53" s="1"/>
    </x:row>
    <x:row r="54" ht="21" customHeight="1">
      <x:c r="A54" s="12" t="n">
        <x:v>46199</x:v>
      </x:c>
      <x:c r="B54" s="11" t="n">
        <x:v>7715</x:v>
      </x:c>
      <x:c r="C54" s="11" t="n">
        <x:v>7650</x:v>
      </x:c>
      <x:c r="D54" s="11" t="n">
        <x:v>7840</x:v>
      </x:c>
      <x:c r="E54" s="11" t="n">
        <x:v>7600</x:v>
      </x:c>
      <x:c r="F54" s="11" t="n">
        <x:v>13295663104</x:v>
      </x:c>
      <x:c r="G54" s="1"/>
      <x:c r="H54" s="1"/>
    </x:row>
    <x:row r="55" ht="21" customHeight="1">
      <x:c r="A55" s="12" t="n">
        <x:v>46202</x:v>
      </x:c>
      <x:c r="B55" s="11" t="n">
        <x:v>7885</x:v>
      </x:c>
      <x:c r="C55" s="11" t="n">
        <x:v>7800</x:v>
      </x:c>
      <x:c r="D55" s="11" t="n">
        <x:v>8065</x:v>
      </x:c>
      <x:c r="E55" s="11" t="n">
        <x:v>7770</x:v>
      </x:c>
      <x:c r="F55" s="11" t="n">
        <x:v>16052533248</x:v>
      </x:c>
      <x:c r="G55" s="1"/>
      <x:c r="H55" s="1"/>
    </x:row>
    <x:row r="56" ht="21" customHeight="1">
      <x:c r="A56" s="12" t="n">
        <x:v>46203</x:v>
      </x:c>
      <x:c r="B56" s="11" t="n">
        <x:v>7790</x:v>
      </x:c>
      <x:c r="C56" s="11" t="n">
        <x:v>8035</x:v>
      </x:c>
      <x:c r="D56" s="11" t="n">
        <x:v>8055</x:v>
      </x:c>
      <x:c r="E56" s="11" t="n">
        <x:v>7730</x:v>
      </x:c>
      <x:c r="F56" s="11" t="n">
        <x:v>22779033600</x:v>
      </x:c>
      <x:c r="G56" s="1"/>
      <x:c r="H56" s="1"/>
    </x:row>
    <x:row r="57" ht="21" customHeight="1">
      <x:c r="A57" s="12" t="n">
        <x:v>46204</x:v>
      </x:c>
      <x:c r="B57" s="11" t="n">
        <x:v>7685</x:v>
      </x:c>
      <x:c r="C57" s="11" t="n">
        <x:v>7810</x:v>
      </x:c>
      <x:c r="D57" s="11" t="n">
        <x:v>7900</x:v>
      </x:c>
      <x:c r="E57" s="11" t="n">
        <x:v>7510</x:v>
      </x:c>
      <x:c r="F57" s="11" t="n">
        <x:v>17359714304</x:v>
      </x:c>
      <x:c r="G57" s="1"/>
      <x:c r="H57" s="1"/>
    </x:row>
    <x:row r="58" ht="21" customHeight="1">
      <x:c r="A58" s="12" t="n">
        <x:v>46205</x:v>
      </x:c>
      <x:c r="B58" s="11" t="n">
        <x:v>7910</x:v>
      </x:c>
      <x:c r="C58" s="11" t="n">
        <x:v>7710</x:v>
      </x:c>
      <x:c r="D58" s="11" t="n">
        <x:v>7950</x:v>
      </x:c>
      <x:c r="E58" s="11" t="n">
        <x:v>7710</x:v>
      </x:c>
      <x:c r="F58" s="11" t="n">
        <x:v>15021685760</x:v>
      </x:c>
      <x:c r="G58" s="1"/>
      <x:c r="H58" s="1"/>
    </x:row>
    <x:row r="59" ht="21" customHeight="1">
      <x:c r="A59" s="12" t="n">
        <x:v>46206</x:v>
      </x:c>
      <x:c r="B59" s="11" t="n">
        <x:v>7970</x:v>
      </x:c>
      <x:c r="C59" s="11" t="n">
        <x:v>7950</x:v>
      </x:c>
      <x:c r="D59" s="11" t="n">
        <x:v>7995</x:v>
      </x:c>
      <x:c r="E59" s="11" t="n">
        <x:v>7890</x:v>
      </x:c>
      <x:c r="F59" s="11" t="n">
        <x:v>1895501568</x:v>
      </x:c>
      <x:c r="G59" s="1"/>
      <x:c r="H59" s="1"/>
    </x:row>
    <x:row r="60" ht="21" customHeight="1">
      <x:c r="A60" s="12" t="n">
        <x:v>46209</x:v>
      </x:c>
      <x:c r="B60" s="11" t="n">
        <x:v>8320</x:v>
      </x:c>
      <x:c r="C60" s="11" t="n">
        <x:v>8000</x:v>
      </x:c>
      <x:c r="D60" s="11" t="n">
        <x:v>8375</x:v>
      </x:c>
      <x:c r="E60" s="11" t="n">
        <x:v>7960</x:v>
      </x:c>
      <x:c r="F60" s="11" t="n">
        <x:v>21321086976</x:v>
      </x:c>
      <x:c r="G60" s="1"/>
      <x:c r="H60" s="1"/>
    </x:row>
    <x:row r="61" ht="21" customHeight="1">
      <x:c r="A61" s="12" t="n">
        <x:v>46210</x:v>
      </x:c>
      <x:c r="B61" s="11" t="n">
        <x:v>8045</x:v>
      </x:c>
      <x:c r="C61" s="11" t="n">
        <x:v>8320</x:v>
      </x:c>
      <x:c r="D61" s="11" t="n">
        <x:v>8390</x:v>
      </x:c>
      <x:c r="E61" s="11" t="n">
        <x:v>8010</x:v>
      </x:c>
      <x:c r="F61" s="11" t="n">
        <x:v>13244759040</x:v>
      </x:c>
      <x:c r="G61" s="1"/>
      <x:c r="H61" s="1"/>
    </x:row>
    <x:row r="62" ht="21" customHeight="1">
      <x:c r="A62" s="12" t="n">
        <x:v>46211</x:v>
      </x:c>
      <x:c r="B62" s="11" t="n">
        <x:v>7880</x:v>
      </x:c>
      <x:c r="C62" s="11" t="n">
        <x:v>7940</x:v>
      </x:c>
      <x:c r="D62" s="11" t="n">
        <x:v>8095</x:v>
      </x:c>
      <x:c r="E62" s="11" t="n">
        <x:v>7805</x:v>
      </x:c>
      <x:c r="F62" s="11" t="n">
        <x:v>17314961408</x:v>
      </x:c>
      <x:c r="G62" s="1"/>
      <x:c r="H62" s="1"/>
    </x:row>
    <x:row r="63" ht="21" customHeight="1">
      <x:c r="A63" s="12" t="n">
        <x:v>46213</x:v>
      </x:c>
      <x:c r="B63" s="11" t="n">
        <x:v>8335</x:v>
      </x:c>
      <x:c r="C63" s="11" t="n">
        <x:v>7950</x:v>
      </x:c>
      <x:c r="D63" s="11" t="n">
        <x:v>8375</x:v>
      </x:c>
      <x:c r="E63" s="11" t="n">
        <x:v>7770</x:v>
      </x:c>
      <x:c r="F63" s="11" t="n">
        <x:v>15859684352</x:v>
      </x:c>
      <x:c r="G63" s="1"/>
      <x:c r="H63" s="1"/>
    </x:row>
    <x:row r="64" ht="21" customHeight="1">
      <x:c r="A64" s="12" t="n">
        <x:v>46216</x:v>
      </x:c>
      <x:c r="B64" s="11" t="n">
        <x:v>8080</x:v>
      </x:c>
      <x:c r="C64" s="11" t="n">
        <x:v>8385</x:v>
      </x:c>
      <x:c r="D64" s="11" t="n">
        <x:v>8385</x:v>
      </x:c>
      <x:c r="E64" s="11" t="n">
        <x:v>8060</x:v>
      </x:c>
      <x:c r="F64" s="11" t="n">
        <x:v>15407140864</x:v>
      </x:c>
      <x:c r="G64" s="1"/>
      <x:c r="H64" s="1"/>
    </x:row>
    <x:row r="65" ht="21" customHeight="1">
      <x:c r="A65" s="12" t="n">
        <x:v>46217</x:v>
      </x:c>
      <x:c r="B65" s="11" t="n">
        <x:v>7910</x:v>
      </x:c>
      <x:c r="C65" s="11" t="n">
        <x:v>8100</x:v>
      </x:c>
      <x:c r="D65" s="11" t="n">
        <x:v>8270</x:v>
      </x:c>
      <x:c r="E65" s="11" t="n">
        <x:v>7895</x:v>
      </x:c>
      <x:c r="F65" s="11" t="n">
        <x:v>16802713600</x:v>
      </x:c>
      <x:c r="G65" s="1"/>
      <x:c r="H65" s="1"/>
    </x:row>
    <x:row r="66" ht="21" customHeight="1">
      <x:c r="A66" s="12" t="n">
        <x:v>46218</x:v>
      </x:c>
      <x:c r="B66" s="11" t="n">
        <x:v>8205</x:v>
      </x:c>
      <x:c r="C66" s="11" t="n">
        <x:v>7980</x:v>
      </x:c>
      <x:c r="D66" s="11" t="n">
        <x:v>8275</x:v>
      </x:c>
      <x:c r="E66" s="11" t="n">
        <x:v>7880</x:v>
      </x:c>
      <x:c r="F66" s="11" t="n">
        <x:v>11666479104</x:v>
      </x:c>
      <x:c r="G66" s="1"/>
      <x:c r="H66" s="1"/>
    </x:row>
    <x:row r="67" ht="21" customHeight="1">
      <x:c r="A67" s="12" t="n">
        <x:v>46219</x:v>
      </x:c>
      <x:c r="B67" s="11" t="n">
        <x:v>7865</x:v>
      </x:c>
      <x:c r="C67" s="11" t="n">
        <x:v>8250</x:v>
      </x:c>
      <x:c r="D67" s="11" t="n">
        <x:v>8250</x:v>
      </x:c>
      <x:c r="E67" s="11" t="n">
        <x:v>7805</x:v>
      </x:c>
      <x:c r="F67" s="11" t="n">
        <x:v>17886533632</x:v>
      </x:c>
      <x:c r="G67" s="1"/>
      <x:c r="H67" s="1"/>
    </x:row>
    <x:row r="68" ht="21" customHeight="1">
      <x:c r="A68" s="12" t="n">
        <x:v>46220</x:v>
      </x:c>
      <x:c r="B68" s="11" t="n">
        <x:v>7860</x:v>
      </x:c>
      <x:c r="C68" s="11" t="n">
        <x:v>7870</x:v>
      </x:c>
      <x:c r="D68" s="11" t="n">
        <x:v>7875</x:v>
      </x:c>
      <x:c r="E68" s="11" t="n">
        <x:v>7630</x:v>
      </x:c>
      <x:c r="F68" s="11" t="n">
        <x:v>15873362944</x:v>
      </x:c>
      <x:c r="G68" s="1"/>
      <x:c r="H68" s="1"/>
    </x:row>
    <x:row r="69" ht="21" customHeight="1">
      <x:c r="A69" s="12" t="n">
        <x:v>46223</x:v>
      </x:c>
      <x:c r="B69" s="11" t="n">
        <x:v>7845</x:v>
      </x:c>
      <x:c r="C69" s="11" t="n">
        <x:v>7870</x:v>
      </x:c>
      <x:c r="D69" s="11" t="n">
        <x:v>7955</x:v>
      </x:c>
      <x:c r="E69" s="11" t="n">
        <x:v>7720</x:v>
      </x:c>
      <x:c r="F69" s="11" t="n">
        <x:v>11068800000</x:v>
      </x:c>
      <x:c r="G69" s="1"/>
      <x:c r="H69" s="1"/>
    </x:row>
    <x:row r="70" ht="21" customHeight="1">
      <x:c r="A70" s="12" t="n">
        <x:v>46224</x:v>
      </x:c>
      <x:c r="B70" s="11" t="n">
        <x:v>7965</x:v>
      </x:c>
      <x:c r="C70" s="11" t="n">
        <x:v>7930</x:v>
      </x:c>
      <x:c r="D70" s="11" t="n">
        <x:v>8085</x:v>
      </x:c>
      <x:c r="E70" s="11" t="n">
        <x:v>7870</x:v>
      </x:c>
      <x:c r="F70" s="11" t="n">
        <x:v>10532041728</x:v>
      </x:c>
      <x:c r="G70" s="1"/>
      <x:c r="H70" s="1"/>
    </x:row>
    <x:row r="71" ht="21" customHeight="1">
      <x:c r="A71" s="12" t="n">
        <x:v>46225</x:v>
      </x:c>
      <x:c r="B71" s="11" t="n">
        <x:v>8275</x:v>
      </x:c>
      <x:c r="C71" s="11" t="n">
        <x:v>8025</x:v>
      </x:c>
      <x:c r="D71" s="11" t="n">
        <x:v>8315</x:v>
      </x:c>
      <x:c r="E71" s="11" t="n">
        <x:v>8025</x:v>
      </x:c>
      <x:c r="F71" s="11" t="n">
        <x:v>29296150528</x:v>
      </x:c>
      <x:c r="G71" s="1"/>
      <x:c r="H71" s="1"/>
    </x:row>
    <x:row r="72" ht="21" customHeight="1">
      <x:c r="A72" s="12" t="n">
        <x:v>46226</x:v>
      </x:c>
      <x:c r="B72" s="11" t="n">
        <x:v>7945</x:v>
      </x:c>
      <x:c r="C72" s="11" t="n">
        <x:v>8250</x:v>
      </x:c>
      <x:c r="D72" s="11" t="n">
        <x:v>8280</x:v>
      </x:c>
      <x:c r="E72" s="11" t="n">
        <x:v>7930</x:v>
      </x:c>
      <x:c r="F72" s="11" t="n">
        <x:v>16096606208</x:v>
      </x:c>
      <x:c r="G72" s="1"/>
      <x:c r="H72" s="1"/>
    </x:row>
    <x:row r="73" ht="21" customHeight="1">
      <x:c r="A73" s="12" t="n">
        <x:v>46227</x:v>
      </x:c>
      <x:c r="B73" s="11" t="n">
        <x:v>7890</x:v>
      </x:c>
      <x:c r="C73" s="11" t="n">
        <x:v>7940</x:v>
      </x:c>
      <x:c r="D73" s="11" t="n">
        <x:v>8215</x:v>
      </x:c>
      <x:c r="E73" s="11" t="n">
        <x:v>7795</x:v>
      </x:c>
      <x:c r="F73" s="11" t="n">
        <x:v>23109275648</x:v>
      </x:c>
      <x:c r="G73" s="1"/>
      <x:c r="H73" s="1"/>
    </x:row>
    <x:row r="74" ht="21" customHeight="1">
      <x:c r="A74" s="12" t="n">
        <x:v>46230</x:v>
      </x:c>
      <x:c r="B74" s="11" t="n">
        <x:v>7960</x:v>
      </x:c>
      <x:c r="C74" s="11" t="n">
        <x:v>7930</x:v>
      </x:c>
      <x:c r="D74" s="11" t="n">
        <x:v>8050</x:v>
      </x:c>
      <x:c r="E74" s="11" t="n">
        <x:v>7905</x:v>
      </x:c>
      <x:c r="F74" s="11" t="n">
        <x:v>7465235968</x:v>
      </x:c>
      <x:c r="G74" s="1"/>
      <x:c r="H74" s="1"/>
    </x:row>
    <x:row r="75" ht="21" customHeight="1">
      <x:c r="A75" s="12" t="n">
        <x:v>46231</x:v>
      </x:c>
      <x:c r="B75" s="11" t="n">
        <x:v>7855</x:v>
      </x:c>
      <x:c r="C75" s="11" t="n">
        <x:v>7940</x:v>
      </x:c>
      <x:c r="D75" s="11" t="n">
        <x:v>7940</x:v>
      </x:c>
      <x:c r="E75" s="11" t="n">
        <x:v>7690</x:v>
      </x:c>
      <x:c r="F75" s="11" t="n">
        <x:v>20881920000</x:v>
      </x:c>
      <x:c r="G75" s="1"/>
      <x:c r="H75" s="1"/>
    </x:row>
    <x:row r="76" ht="21" customHeight="1">
      <x:c r="A76" s="12" t="n">
        <x:v>46232</x:v>
      </x:c>
      <x:c r="B76" s="11" t="n">
        <x:v>7795</x:v>
      </x:c>
      <x:c r="C76" s="11" t="n">
        <x:v>7810</x:v>
      </x:c>
      <x:c r="D76" s="11" t="n">
        <x:v>7980</x:v>
      </x:c>
      <x:c r="E76" s="11" t="n">
        <x:v>7680</x:v>
      </x:c>
      <x:c r="F76" s="11" t="n">
        <x:v>13825177600</x:v>
      </x:c>
      <x:c r="G76" s="1"/>
      <x:c r="H76" s="1"/>
    </x:row>
    <x:row r="77" ht="21" customHeight="1">
      <x:c r="A77" s="12" t="n">
        <x:v>46233</x:v>
      </x:c>
      <x:c r="B77" s="11" t="n">
        <x:v>8015</x:v>
      </x:c>
      <x:c r="C77" s="11" t="n">
        <x:v>7790</x:v>
      </x:c>
      <x:c r="D77" s="11" t="n">
        <x:v>8040</x:v>
      </x:c>
      <x:c r="E77" s="11" t="n">
        <x:v>7710</x:v>
      </x:c>
      <x:c r="F77" s="11" t="n">
        <x:v>16636412928</x:v>
      </x:c>
      <x:c r="G77" s="1"/>
      <x:c r="H77" s="1"/>
    </x:row>
    <x:row r="78" ht="21" customHeight="1">
      <x:c r="A78" s="12" t="n">
        <x:v>46234</x:v>
      </x:c>
      <x:c r="B78" s="11" t="n">
        <x:v>7890</x:v>
      </x:c>
      <x:c r="C78" s="11" t="n">
        <x:v>8050</x:v>
      </x:c>
      <x:c r="D78" s="11" t="n">
        <x:v>8195</x:v>
      </x:c>
      <x:c r="E78" s="11" t="n">
        <x:v>7825</x:v>
      </x:c>
      <x:c r="F78" s="11" t="n">
        <x:v>17074728960</x:v>
      </x:c>
      <x:c r="G78" s="1"/>
      <x:c r="H78" s="1"/>
    </x:row>
    <x:row r="79" ht="21" customHeight="1">
      <x:c r="A79" s="12" t="n">
        <x:v>46237</x:v>
      </x:c>
      <x:c r="B79" s="11" t="n">
        <x:v>7970</x:v>
      </x:c>
      <x:c r="C79" s="11" t="n">
        <x:v>7890</x:v>
      </x:c>
      <x:c r="D79" s="11" t="n">
        <x:v>8050</x:v>
      </x:c>
      <x:c r="E79" s="11" t="n">
        <x:v>7850</x:v>
      </x:c>
      <x:c r="F79" s="11" t="n">
        <x:v>10335778816</x:v>
      </x:c>
      <x:c r="G79" s="1"/>
      <x:c r="H79" s="1"/>
    </x:row>
    <x:row r="80" ht="21" customHeight="1">
      <x:c r="A80" s="12" t="n">
        <x:v>46238</x:v>
      </x:c>
      <x:c r="B80" s="11" t="n">
        <x:v>7740</x:v>
      </x:c>
      <x:c r="C80" s="11" t="n">
        <x:v>7970</x:v>
      </x:c>
      <x:c r="D80" s="11" t="n">
        <x:v>8055</x:v>
      </x:c>
      <x:c r="E80" s="11" t="n">
        <x:v>7710</x:v>
      </x:c>
      <x:c r="F80" s="11" t="n">
        <x:v>25763831808</x:v>
      </x:c>
      <x:c r="G80" s="1"/>
      <x:c r="H80" s="1"/>
    </x:row>
    <x:row r="81" ht="21" customHeight="1">
      <x:c r="A81" s="12" t="n">
        <x:v>46239</x:v>
      </x:c>
      <x:c r="B81" s="11" t="n">
        <x:v>7640</x:v>
      </x:c>
      <x:c r="C81" s="11" t="n">
        <x:v>7770</x:v>
      </x:c>
      <x:c r="D81" s="11" t="n">
        <x:v>7840</x:v>
      </x:c>
      <x:c r="E81" s="11" t="n">
        <x:v>7595</x:v>
      </x:c>
      <x:c r="F81" s="11" t="n">
        <x:v>13705123840</x:v>
      </x:c>
      <x:c r="G81" s="1"/>
      <x:c r="H81" s="1"/>
    </x:row>
    <x:row r="82" ht="21" customHeight="1">
      <x:c r="A82" s="12" t="n">
        <x:v>46240</x:v>
      </x:c>
      <x:c r="B82" s="11" t="n">
        <x:v>7375</x:v>
      </x:c>
      <x:c r="C82" s="11" t="n">
        <x:v>7640</x:v>
      </x:c>
      <x:c r="D82" s="11" t="n">
        <x:v>7670</x:v>
      </x:c>
      <x:c r="E82" s="11" t="n">
        <x:v>7355</x:v>
      </x:c>
      <x:c r="F82" s="11" t="n">
        <x:v>13564500992</x:v>
      </x:c>
      <x:c r="G82" s="1"/>
      <x:c r="H82" s="1"/>
    </x:row>
    <x:row r="83" ht="21" customHeight="1">
      <x:c r="A83" s="12" t="n">
        <x:v>46241</x:v>
      </x:c>
      <x:c r="B83" s="11" t="n">
        <x:v>7315</x:v>
      </x:c>
      <x:c r="C83" s="11" t="n">
        <x:v>7380</x:v>
      </x:c>
      <x:c r="D83" s="11" t="n">
        <x:v>7540</x:v>
      </x:c>
      <x:c r="E83" s="11" t="n">
        <x:v>7215</x:v>
      </x:c>
      <x:c r="F83" s="11" t="n">
        <x:v>14393594880</x:v>
      </x:c>
      <x:c r="G83" s="1"/>
      <x:c r="H83" s="1"/>
    </x:row>
    <x:row r="84" ht="21" customHeight="1">
      <x:c r="A84" s="12" t="n">
        <x:v>46244</x:v>
      </x:c>
      <x:c r="B84" s="11" t="n">
        <x:v>7360</x:v>
      </x:c>
      <x:c r="C84" s="11" t="n">
        <x:v>7320</x:v>
      </x:c>
      <x:c r="D84" s="11" t="n">
        <x:v>7385</x:v>
      </x:c>
      <x:c r="E84" s="11" t="n">
        <x:v>7220</x:v>
      </x:c>
      <x:c r="F84" s="11" t="n">
        <x:v>10491222016</x:v>
      </x:c>
      <x:c r="G84" s="1"/>
      <x:c r="H84" s="1"/>
    </x:row>
    <x:row r="85" ht="21" customHeight="1">
      <x:c r="A85" s="12" t="n">
        <x:v>46245</x:v>
      </x:c>
      <x:c r="B85" s="11" t="n">
        <x:v>7035</x:v>
      </x:c>
      <x:c r="C85" s="11" t="n">
        <x:v>7390</x:v>
      </x:c>
      <x:c r="D85" s="11" t="n">
        <x:v>7520</x:v>
      </x:c>
      <x:c r="E85" s="11" t="n">
        <x:v>6955</x:v>
      </x:c>
      <x:c r="F85" s="11" t="n">
        <x:v>30202550272</x:v>
      </x:c>
      <x:c r="G85" s="1"/>
      <x:c r="H85" s="1"/>
    </x:row>
    <x:row r="86" ht="21" customHeight="1">
      <x:c r="A86" s="12" t="n">
        <x:v>46246</x:v>
      </x:c>
      <x:c r="B86" s="11" t="n">
        <x:v>7020</x:v>
      </x:c>
      <x:c r="C86" s="11" t="n">
        <x:v>7065</x:v>
      </x:c>
      <x:c r="D86" s="11" t="n">
        <x:v>7115</x:v>
      </x:c>
      <x:c r="E86" s="11" t="n">
        <x:v>6920</x:v>
      </x:c>
      <x:c r="F86" s="11" t="n">
        <x:v>21305856000</x:v>
      </x:c>
      <x:c r="G86" s="1"/>
      <x:c r="H86" s="1"/>
    </x:row>
    <x:row r="87" ht="21" customHeight="1">
      <x:c r="A87" s="12" t="n">
        <x:v>46247</x:v>
      </x:c>
      <x:c r="B87" s="11" t="n">
        <x:v>7095</x:v>
      </x:c>
      <x:c r="C87" s="11" t="n">
        <x:v>7055</x:v>
      </x:c>
      <x:c r="D87" s="11" t="n">
        <x:v>7200</x:v>
      </x:c>
      <x:c r="E87" s="11" t="n">
        <x:v>6935</x:v>
      </x:c>
      <x:c r="F87" s="11" t="n">
        <x:v>17628995584</x:v>
      </x:c>
      <x:c r="G87" s="1"/>
      <x:c r="H87" s="1"/>
    </x:row>
    <x:row r="88" ht="21" customHeight="1">
      <x:c r="A88" s="12" t="n">
        <x:v>46248</x:v>
      </x:c>
      <x:c r="B88" s="11" t="n">
        <x:v>6850</x:v>
      </x:c>
      <x:c r="C88" s="11" t="n">
        <x:v>7150</x:v>
      </x:c>
      <x:c r="D88" s="11" t="n">
        <x:v>7170</x:v>
      </x:c>
      <x:c r="E88" s="11" t="n">
        <x:v>6835</x:v>
      </x:c>
      <x:c r="F88" s="11" t="n">
        <x:v>12133601280</x:v>
      </x:c>
      <x:c r="G88" s="1"/>
      <x:c r="H88" s="1"/>
    </x:row>
    <x:row r="89" ht="21" customHeight="1">
      <x:c r="A89" s="12" t="n">
        <x:v>46252</x:v>
      </x:c>
      <x:c r="B89" s="11" t="n">
        <x:v>6650</x:v>
      </x:c>
      <x:c r="C89" s="11" t="n">
        <x:v>6850</x:v>
      </x:c>
      <x:c r="D89" s="11" t="n">
        <x:v>6960</x:v>
      </x:c>
      <x:c r="E89" s="11" t="n">
        <x:v>6605</x:v>
      </x:c>
      <x:c r="F89" s="11" t="n">
        <x:v>14919097344</x:v>
      </x:c>
      <x:c r="G89" s="1"/>
      <x:c r="H89" s="1"/>
    </x:row>
    <x:row r="90" ht="21" customHeight="1">
      <x:c r="A90" s="12" t="n">
        <x:v>46253</x:v>
      </x:c>
      <x:c r="B90" s="11" t="n">
        <x:v>6550</x:v>
      </x:c>
      <x:c r="C90" s="11" t="n">
        <x:v>6650</x:v>
      </x:c>
      <x:c r="D90" s="11" t="n">
        <x:v>6760</x:v>
      </x:c>
      <x:c r="E90" s="11" t="n">
        <x:v>6455</x:v>
      </x:c>
      <x:c r="F90" s="11" t="n">
        <x:v>17968824320</x:v>
      </x:c>
      <x:c r="G90" s="1"/>
      <x:c r="H90" s="1"/>
    </x:row>
    <x:row r="91" ht="21" customHeight="1">
      <x:c r="A91" s="12" t="n">
        <x:v>46254</x:v>
      </x:c>
      <x:c r="B91" s="11" t="n">
        <x:v>6515</x:v>
      </x:c>
      <x:c r="C91" s="11" t="n">
        <x:v>6555</x:v>
      </x:c>
      <x:c r="D91" s="11" t="n">
        <x:v>6695</x:v>
      </x:c>
      <x:c r="E91" s="11" t="n">
        <x:v>6450</x:v>
      </x:c>
      <x:c r="F91" s="11" t="n">
        <x:v>20530089984</x:v>
      </x:c>
      <x:c r="G91" s="1"/>
      <x:c r="H91" s="1"/>
    </x:row>
    <x:row r="92" ht="21" customHeight="1">
      <x:c r="A92" s="12" t="n">
        <x:v>46255</x:v>
      </x:c>
      <x:c r="B92" s="11" t="n">
        <x:v>6620</x:v>
      </x:c>
      <x:c r="C92" s="11" t="n">
        <x:v>6530</x:v>
      </x:c>
      <x:c r="D92" s="11" t="n">
        <x:v>6745</x:v>
      </x:c>
      <x:c r="E92" s="11" t="n">
        <x:v>6530</x:v>
      </x:c>
      <x:c r="F92" s="11" t="n">
        <x:v>37403992064</x:v>
      </x:c>
      <x:c r="G92" s="1"/>
      <x:c r="H92" s="1"/>
    </x:row>
    <x:row r="93" ht="21" customHeight="1">
      <x:c r="A93" s="12" t="n">
        <x:v>46258</x:v>
      </x:c>
      <x:c r="B93" s="11" t="n">
        <x:v>6950</x:v>
      </x:c>
      <x:c r="C93" s="11" t="n">
        <x:v>6620</x:v>
      </x:c>
      <x:c r="D93" s="11" t="n">
        <x:v>7040</x:v>
      </x:c>
      <x:c r="E93" s="11" t="n">
        <x:v>6560</x:v>
      </x:c>
      <x:c r="F93" s="11" t="n">
        <x:v>27147565056</x:v>
      </x:c>
      <x:c r="G93" s="1"/>
      <x:c r="H93" s="1"/>
    </x:row>
    <x:row r="94" ht="21" customHeight="1">
      <x:c r="A94" s="12" t="n">
        <x:v>46259</x:v>
      </x:c>
      <x:c r="B94" s="11" t="n">
        <x:v>7075</x:v>
      </x:c>
      <x:c r="C94" s="11" t="n">
        <x:v>6965</x:v>
      </x:c>
      <x:c r="D94" s="11" t="n">
        <x:v>7095</x:v>
      </x:c>
      <x:c r="E94" s="11" t="n">
        <x:v>6835</x:v>
      </x:c>
      <x:c r="F94" s="11" t="n">
        <x:v>18223050752</x:v>
      </x:c>
      <x:c r="G94" s="1"/>
      <x:c r="H94" s="1"/>
    </x:row>
    <x:row r="95" ht="21" customHeight="1">
      <x:c r="A95" s="12" t="n">
        <x:v>46260</x:v>
      </x:c>
      <x:c r="B95" s="11" t="n">
        <x:v>7045</x:v>
      </x:c>
      <x:c r="C95" s="11" t="n">
        <x:v>7070</x:v>
      </x:c>
      <x:c r="D95" s="11" t="n">
        <x:v>7230</x:v>
      </x:c>
      <x:c r="E95" s="11" t="n">
        <x:v>6975</x:v>
      </x:c>
      <x:c r="F95" s="11" t="n">
        <x:v>13321033728</x:v>
      </x:c>
      <x:c r="G95" s="1"/>
      <x:c r="H95" s="1"/>
    </x:row>
    <x:row r="96" ht="21" customHeight="1">
      <x:c r="A96" s="12" t="n">
        <x:v>46261</x:v>
      </x:c>
      <x:c r="B96" s="11" t="n">
        <x:v>6880</x:v>
      </x:c>
      <x:c r="C96" s="11" t="n">
        <x:v>7070</x:v>
      </x:c>
      <x:c r="D96" s="11" t="n">
        <x:v>7120</x:v>
      </x:c>
      <x:c r="E96" s="11" t="n">
        <x:v>6840</x:v>
      </x:c>
      <x:c r="F96" s="11" t="n">
        <x:v>9751334912</x:v>
      </x:c>
      <x:c r="G96" s="1"/>
      <x:c r="H96" s="1"/>
    </x:row>
    <x:row r="97" ht="21" customHeight="1">
      <x:c r="A97" s="12" t="n">
        <x:v>46262</x:v>
      </x:c>
      <x:c r="B97" s="11" t="n">
        <x:v>6810</x:v>
      </x:c>
      <x:c r="C97" s="11" t="n">
        <x:v>6880</x:v>
      </x:c>
      <x:c r="D97" s="11" t="n">
        <x:v>6930</x:v>
      </x:c>
      <x:c r="E97" s="11" t="n">
        <x:v>6710</x:v>
      </x:c>
      <x:c r="F97" s="11" t="n">
        <x:v>9589026816</x:v>
      </x:c>
      <x:c r="G97" s="1"/>
      <x:c r="H97" s="1"/>
    </x:row>
    <x:row r="98" ht="21" customHeight="1">
      <x:c r="A98" s="12" t="n">
        <x:v>46265</x:v>
      </x:c>
      <x:c r="B98" s="11" t="n">
        <x:v>7015</x:v>
      </x:c>
      <x:c r="C98" s="11" t="n">
        <x:v>6800</x:v>
      </x:c>
      <x:c r="D98" s="11" t="n">
        <x:v>7110</x:v>
      </x:c>
      <x:c r="E98" s="11" t="n">
        <x:v>6800</x:v>
      </x:c>
      <x:c r="F98" s="11" t="n">
        <x:v>17207844864</x:v>
      </x:c>
      <x:c r="G98" s="1"/>
      <x:c r="H98" s="1"/>
    </x:row>
    <x:row r="99" ht="21" customHeight="1">
      <x:c r="A99" s="12" t="n">
        <x:v>46266</x:v>
      </x:c>
      <x:c r="B99" s="11" t="n">
        <x:v>7060</x:v>
      </x:c>
      <x:c r="C99" s="11" t="n">
        <x:v>6985</x:v>
      </x:c>
      <x:c r="D99" s="11" t="n">
        <x:v>7175</x:v>
      </x:c>
      <x:c r="E99" s="11" t="n">
        <x:v>6865</x:v>
      </x:c>
      <x:c r="F99" s="11" t="n">
        <x:v>11943705600</x:v>
      </x:c>
      <x:c r="G99" s="1"/>
      <x:c r="H99" s="1"/>
    </x:row>
    <x:row r="100" ht="21" customHeight="1">
      <x:c r="A100" s="12" t="n">
        <x:v>46267</x:v>
      </x:c>
      <x:c r="B100" s="11" t="n">
        <x:v>7170</x:v>
      </x:c>
      <x:c r="C100" s="11" t="n">
        <x:v>7100</x:v>
      </x:c>
      <x:c r="D100" s="11" t="n">
        <x:v>7180</x:v>
      </x:c>
      <x:c r="E100" s="11" t="n">
        <x:v>7030</x:v>
      </x:c>
      <x:c r="F100" s="11" t="n">
        <x:v>10330931200</x:v>
      </x:c>
      <x:c r="G100" s="1"/>
      <x:c r="H100" s="1"/>
    </x:row>
    <x:row r="101" ht="21" customHeight="1">
      <x:c r="A101" s="12" t="n">
        <x:v>46268</x:v>
      </x:c>
      <x:c r="B101" s="11" t="n">
        <x:v>7075</x:v>
      </x:c>
      <x:c r="C101" s="11" t="n">
        <x:v>7210</x:v>
      </x:c>
      <x:c r="D101" s="11" t="n">
        <x:v>7320</x:v>
      </x:c>
      <x:c r="E101" s="11" t="n">
        <x:v>7005</x:v>
      </x:c>
      <x:c r="F101" s="11" t="n">
        <x:v>11059331072</x:v>
      </x:c>
      <x:c r="G101" s="1"/>
      <x:c r="H101" s="1"/>
    </x:row>
    <x:row r="102" ht="21" customHeight="1">
      <x:c r="A102" s="12" t="n">
        <x:v>46269</x:v>
      </x:c>
      <x:c r="B102" s="11" t="n">
        <x:v>7005</x:v>
      </x:c>
      <x:c r="C102" s="11" t="n">
        <x:v>7075</x:v>
      </x:c>
      <x:c r="D102" s="11" t="n">
        <x:v>7125</x:v>
      </x:c>
      <x:c r="E102" s="11" t="n">
        <x:v>6950</x:v>
      </x:c>
      <x:c r="F102" s="11" t="n">
        <x:v>5255578624</x:v>
      </x:c>
      <x:c r="G102" s="1"/>
      <x:c r="H102" s="1"/>
    </x:row>
    <x:row r="103" ht="21" customHeight="1">
      <x:c r="A103" s="12" t="n">
        <x:v>46272</x:v>
      </x:c>
      <x:c r="B103" s="11" t="n">
        <x:v>6935</x:v>
      </x:c>
      <x:c r="C103" s="11" t="n">
        <x:v>7040</x:v>
      </x:c>
      <x:c r="D103" s="11" t="n">
        <x:v>7070</x:v>
      </x:c>
      <x:c r="E103" s="11" t="n">
        <x:v>6870</x:v>
      </x:c>
      <x:c r="F103" s="11" t="n">
        <x:v>1858620288</x:v>
      </x:c>
      <x:c r="G103" s="1"/>
      <x:c r="H103" s="1"/>
    </x:row>
    <x:row r="104" ht="21" customHeight="1">
      <x:c r="A104" s="12" t="n">
        <x:v>46273</x:v>
      </x:c>
      <x:c r="B104" s="11" t="n">
        <x:v>7015</x:v>
      </x:c>
      <x:c r="C104" s="11" t="n">
        <x:v>6925</x:v>
      </x:c>
      <x:c r="D104" s="11" t="n">
        <x:v>7095</x:v>
      </x:c>
      <x:c r="E104" s="11" t="n">
        <x:v>6900</x:v>
      </x:c>
      <x:c r="F104" s="11" t="n">
        <x:v>8690566144</x:v>
      </x:c>
      <x:c r="G104" s="1"/>
      <x:c r="H104" s="1"/>
    </x:row>
    <x:row r="105" ht="21" customHeight="1">
      <x:c r="A105" s="12" t="n">
        <x:v>46274</x:v>
      </x:c>
      <x:c r="B105" s="11" t="n">
        <x:v>7085</x:v>
      </x:c>
      <x:c r="C105" s="11" t="n">
        <x:v>7020</x:v>
      </x:c>
      <x:c r="D105" s="11" t="n">
        <x:v>7130</x:v>
      </x:c>
      <x:c r="E105" s="11" t="n">
        <x:v>6880</x:v>
      </x:c>
      <x:c r="F105" s="11" t="n">
        <x:v>9038316544</x:v>
      </x:c>
      <x:c r="G105" s="1"/>
      <x:c r="H105" s="1"/>
    </x:row>
    <x:row r="106" ht="21" customHeight="1">
      <x:c r="A106" s="12" t="n">
        <x:v>46275</x:v>
      </x:c>
      <x:c r="B106" s="11" t="n">
        <x:v>7145</x:v>
      </x:c>
      <x:c r="C106" s="11" t="n">
        <x:v>7050</x:v>
      </x:c>
      <x:c r="D106" s="11" t="n">
        <x:v>7265</x:v>
      </x:c>
      <x:c r="E106" s="11" t="n">
        <x:v>7005</x:v>
      </x:c>
      <x:c r="F106" s="11" t="n">
        <x:v>12089066496</x:v>
      </x:c>
      <x:c r="G106" s="1"/>
      <x:c r="H106" s="1"/>
    </x:row>
    <x:row r="107" ht="21" customHeight="1">
      <x:c r="A107" s="12" t="n">
        <x:v>46276</x:v>
      </x:c>
      <x:c r="B107" s="11" t="n">
        <x:v>7000</x:v>
      </x:c>
      <x:c r="C107" s="11" t="n">
        <x:v>7150</x:v>
      </x:c>
      <x:c r="D107" s="11" t="n">
        <x:v>7220</x:v>
      </x:c>
      <x:c r="E107" s="11" t="n">
        <x:v>6910</x:v>
      </x:c>
      <x:c r="F107" s="11" t="n">
        <x:v>8695358464</x:v>
      </x:c>
      <x:c r="G107" s="1"/>
      <x:c r="H107" s="1"/>
    </x:row>
    <x:row r="108" ht="21" customHeight="1">
      <x:c r="A108" s="12" t="n">
        <x:v>46279</x:v>
      </x:c>
      <x:c r="B108" s="11" t="n">
        <x:v>6840</x:v>
      </x:c>
      <x:c r="C108" s="11" t="n">
        <x:v>6980</x:v>
      </x:c>
      <x:c r="D108" s="11" t="n">
        <x:v>7015</x:v>
      </x:c>
      <x:c r="E108" s="11" t="n">
        <x:v>6810</x:v>
      </x:c>
      <x:c r="F108" s="11" t="n">
        <x:v>12132106240</x:v>
      </x:c>
      <x:c r="G108" s="1"/>
      <x:c r="H108" s="1"/>
    </x:row>
    <x:row r="109" ht="21" customHeight="1">
      <x:c r="A109" s="12" t="n">
        <x:v>46280</x:v>
      </x:c>
      <x:c r="B109" s="11" t="n">
        <x:v>6725</x:v>
      </x:c>
      <x:c r="C109" s="11" t="n">
        <x:v>6840</x:v>
      </x:c>
      <x:c r="D109" s="11" t="n">
        <x:v>6910</x:v>
      </x:c>
      <x:c r="E109" s="11" t="n">
        <x:v>6700</x:v>
      </x:c>
      <x:c r="F109" s="11" t="n">
        <x:v>11244275712</x:v>
      </x:c>
      <x:c r="G109" s="1"/>
      <x:c r="H109" s="1"/>
    </x:row>
    <x:row r="110" ht="21" customHeight="1">
      <x:c r="A110" s="12" t="n">
        <x:v>46281</x:v>
      </x:c>
      <x:c r="B110" s="11" t="n">
        <x:v>6760</x:v>
      </x:c>
      <x:c r="C110" s="11" t="n">
        <x:v>6705</x:v>
      </x:c>
      <x:c r="D110" s="11" t="n">
        <x:v>6830</x:v>
      </x:c>
      <x:c r="E110" s="11" t="n">
        <x:v>6660</x:v>
      </x:c>
      <x:c r="F110" s="11" t="n">
        <x:v>6813778432</x:v>
      </x:c>
      <x:c r="G110" s="1"/>
      <x:c r="H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</x:row>
  </x:sheetData>
  <x:pageMargins left="0.7" right="0.7" top="0.75" bottom="0.75" header="0.3" footer="0.3"/>
</x:worksheet>
</file>